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077CD76-94E4-4F5E-98DE-A15E54C919B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4" i="1" l="1"/>
  <c r="CL14" i="1" l="1"/>
  <c r="CL15" i="1"/>
  <c r="CL16" i="1"/>
  <c r="CL17" i="1"/>
  <c r="CL18" i="1"/>
  <c r="CL254" i="1"/>
  <c r="R10" i="1"/>
  <c r="R9" i="1"/>
  <c r="R8" i="1"/>
  <c r="R7" i="1"/>
  <c r="R6" i="1"/>
  <c r="R5" i="1"/>
  <c r="R11" i="1" s="1"/>
  <c r="S10" i="1"/>
  <c r="S9" i="1"/>
  <c r="S18" i="1" s="1"/>
  <c r="S8" i="1"/>
  <c r="S7" i="1"/>
  <c r="S6" i="1"/>
  <c r="S5" i="1"/>
  <c r="S14" i="1" s="1"/>
  <c r="T10" i="1"/>
  <c r="T9" i="1"/>
  <c r="T18" i="1" s="1"/>
  <c r="T8" i="1"/>
  <c r="T7" i="1"/>
  <c r="T6" i="1"/>
  <c r="T15" i="1" s="1"/>
  <c r="T5" i="1"/>
  <c r="U10" i="1"/>
  <c r="U9" i="1"/>
  <c r="U18" i="1" s="1"/>
  <c r="U8" i="1"/>
  <c r="U17" i="1" s="1"/>
  <c r="U7" i="1"/>
  <c r="U6" i="1"/>
  <c r="U15" i="1" s="1"/>
  <c r="U5" i="1"/>
  <c r="U14" i="1" s="1"/>
  <c r="V10" i="1"/>
  <c r="V9" i="1"/>
  <c r="V18" i="1" s="1"/>
  <c r="V8" i="1"/>
  <c r="V17" i="1" s="1"/>
  <c r="V7" i="1"/>
  <c r="V6" i="1"/>
  <c r="V15" i="1" s="1"/>
  <c r="V5" i="1"/>
  <c r="V14" i="1" s="1"/>
  <c r="W10" i="1"/>
  <c r="W9" i="1"/>
  <c r="W18" i="1" s="1"/>
  <c r="W8" i="1"/>
  <c r="W7" i="1"/>
  <c r="W16" i="1" s="1"/>
  <c r="W6" i="1"/>
  <c r="W15" i="1" s="1"/>
  <c r="W5" i="1"/>
  <c r="X10" i="1"/>
  <c r="X19" i="1" s="1"/>
  <c r="X9" i="1"/>
  <c r="X18" i="1" s="1"/>
  <c r="X8" i="1"/>
  <c r="X7" i="1"/>
  <c r="X16" i="1" s="1"/>
  <c r="X6" i="1"/>
  <c r="X15" i="1" s="1"/>
  <c r="X5" i="1"/>
  <c r="Y10" i="1"/>
  <c r="Y9" i="1"/>
  <c r="Y8" i="1"/>
  <c r="Y7" i="1"/>
  <c r="Y6" i="1"/>
  <c r="Y5" i="1"/>
  <c r="Z10" i="1"/>
  <c r="Z9" i="1"/>
  <c r="Z18" i="1" s="1"/>
  <c r="Z8" i="1"/>
  <c r="Z7" i="1"/>
  <c r="Z6" i="1"/>
  <c r="Z5" i="1"/>
  <c r="Z11" i="1" s="1"/>
  <c r="AE10" i="1"/>
  <c r="AD10" i="1"/>
  <c r="AC10" i="1"/>
  <c r="AB10" i="1"/>
  <c r="AA10" i="1"/>
  <c r="CM8" i="1"/>
  <c r="CM6" i="1"/>
  <c r="CN15" i="1"/>
  <c r="CO15" i="1" s="1"/>
  <c r="CP15" i="1" s="1"/>
  <c r="CQ15" i="1" s="1"/>
  <c r="CR15" i="1" s="1"/>
  <c r="CS15" i="1" s="1"/>
  <c r="CT15" i="1" s="1"/>
  <c r="CV15" i="1" s="1"/>
  <c r="CW15" i="1" s="1"/>
  <c r="CX15" i="1" s="1"/>
  <c r="CY15" i="1" s="1"/>
  <c r="CZ15" i="1" s="1"/>
  <c r="DA15" i="1" s="1"/>
  <c r="DB15" i="1" s="1"/>
  <c r="CM16" i="1"/>
  <c r="CM7" i="1" s="1"/>
  <c r="CN17" i="1"/>
  <c r="CO17" i="1" s="1"/>
  <c r="CP17" i="1" s="1"/>
  <c r="CQ17" i="1" s="1"/>
  <c r="CR17" i="1" s="1"/>
  <c r="CS17" i="1" s="1"/>
  <c r="CT17" i="1" s="1"/>
  <c r="CV17" i="1" s="1"/>
  <c r="CW17" i="1" s="1"/>
  <c r="CX17" i="1" s="1"/>
  <c r="CY17" i="1" s="1"/>
  <c r="CZ17" i="1" s="1"/>
  <c r="DA17" i="1" s="1"/>
  <c r="DB17" i="1" s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CK15" i="1"/>
  <c r="AA6" i="1" s="1"/>
  <c r="CK16" i="1"/>
  <c r="CK17" i="1"/>
  <c r="AA8" i="1" s="1"/>
  <c r="CK18" i="1"/>
  <c r="CK14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CK11" i="1"/>
  <c r="Y18" i="1" l="1"/>
  <c r="Y15" i="1"/>
  <c r="Y14" i="1"/>
  <c r="CM14" i="1"/>
  <c r="CN14" i="1" s="1"/>
  <c r="CO14" i="1" s="1"/>
  <c r="CP14" i="1" s="1"/>
  <c r="CQ14" i="1" s="1"/>
  <c r="CR14" i="1" s="1"/>
  <c r="CS14" i="1" s="1"/>
  <c r="CT14" i="1" s="1"/>
  <c r="CV14" i="1" s="1"/>
  <c r="CW14" i="1" s="1"/>
  <c r="CX14" i="1" s="1"/>
  <c r="CY14" i="1" s="1"/>
  <c r="CZ14" i="1" s="1"/>
  <c r="DA14" i="1" s="1"/>
  <c r="DB14" i="1" s="1"/>
  <c r="S19" i="1"/>
  <c r="T17" i="1"/>
  <c r="T16" i="1"/>
  <c r="S11" i="1"/>
  <c r="U19" i="1"/>
  <c r="V16" i="1"/>
  <c r="W19" i="1"/>
  <c r="X17" i="1"/>
  <c r="Z17" i="1"/>
  <c r="Z16" i="1"/>
  <c r="AA15" i="1"/>
  <c r="AA17" i="1"/>
  <c r="T14" i="1"/>
  <c r="T11" i="1"/>
  <c r="W11" i="1"/>
  <c r="W14" i="1"/>
  <c r="X11" i="1"/>
  <c r="X14" i="1"/>
  <c r="CL11" i="1"/>
  <c r="U11" i="1"/>
  <c r="S16" i="1"/>
  <c r="W17" i="1"/>
  <c r="V11" i="1"/>
  <c r="Z14" i="1"/>
  <c r="U16" i="1"/>
  <c r="Y17" i="1"/>
  <c r="Z15" i="1"/>
  <c r="S15" i="1"/>
  <c r="Y11" i="1"/>
  <c r="Y16" i="1"/>
  <c r="T19" i="1"/>
  <c r="CN6" i="1"/>
  <c r="CR6" i="1" s="1"/>
  <c r="CV6" i="1" s="1"/>
  <c r="S17" i="1"/>
  <c r="V19" i="1"/>
  <c r="CP8" i="1"/>
  <c r="CT8" i="1"/>
  <c r="CX8" i="1" s="1"/>
  <c r="DB8" i="1" s="1"/>
  <c r="CN8" i="1"/>
  <c r="CR8" i="1" s="1"/>
  <c r="CV8" i="1" s="1"/>
  <c r="CZ8" i="1" s="1"/>
  <c r="CQ8" i="1"/>
  <c r="CO8" i="1"/>
  <c r="CS8" i="1" s="1"/>
  <c r="CW8" i="1" s="1"/>
  <c r="DA8" i="1" s="1"/>
  <c r="CN16" i="1"/>
  <c r="AA7" i="1"/>
  <c r="AA16" i="1" s="1"/>
  <c r="CO6" i="1"/>
  <c r="CS6" i="1" s="1"/>
  <c r="CW6" i="1" s="1"/>
  <c r="DA6" i="1" s="1"/>
  <c r="CQ6" i="1"/>
  <c r="CP6" i="1"/>
  <c r="CT6" i="1" s="1"/>
  <c r="CX6" i="1" s="1"/>
  <c r="DB6" i="1" s="1"/>
  <c r="CM5" i="1"/>
  <c r="AA5" i="1"/>
  <c r="CP5" i="1"/>
  <c r="CN5" i="1" l="1"/>
  <c r="CR5" i="1" s="1"/>
  <c r="CV5" i="1" s="1"/>
  <c r="CZ5" i="1" s="1"/>
  <c r="CO5" i="1"/>
  <c r="CS5" i="1" s="1"/>
  <c r="CW5" i="1" s="1"/>
  <c r="DA5" i="1" s="1"/>
  <c r="AA9" i="1"/>
  <c r="CN18" i="1"/>
  <c r="CM9" i="1"/>
  <c r="CU8" i="1"/>
  <c r="AC8" i="1"/>
  <c r="AB8" i="1"/>
  <c r="AB17" i="1" s="1"/>
  <c r="CO16" i="1"/>
  <c r="CN7" i="1"/>
  <c r="CU6" i="1"/>
  <c r="AC6" i="1"/>
  <c r="AB6" i="1"/>
  <c r="AB15" i="1" s="1"/>
  <c r="CQ5" i="1"/>
  <c r="AA14" i="1"/>
  <c r="CT5" i="1"/>
  <c r="CZ6" i="1"/>
  <c r="AB5" i="1" l="1"/>
  <c r="AA18" i="1"/>
  <c r="AA11" i="1"/>
  <c r="CO18" i="1"/>
  <c r="CN9" i="1"/>
  <c r="CN11" i="1" s="1"/>
  <c r="CN23" i="1" s="1"/>
  <c r="CN25" i="1" s="1"/>
  <c r="CM11" i="1"/>
  <c r="CM23" i="1" s="1"/>
  <c r="CM25" i="1" s="1"/>
  <c r="AC17" i="1"/>
  <c r="CY8" i="1"/>
  <c r="AE8" i="1" s="1"/>
  <c r="AD8" i="1"/>
  <c r="AD17" i="1" s="1"/>
  <c r="CP16" i="1"/>
  <c r="CO7" i="1"/>
  <c r="AC15" i="1"/>
  <c r="CY6" i="1"/>
  <c r="AE6" i="1" s="1"/>
  <c r="AD6" i="1"/>
  <c r="AD15" i="1" s="1"/>
  <c r="CU5" i="1"/>
  <c r="AC5" i="1"/>
  <c r="CX5" i="1"/>
  <c r="AB14" i="1" l="1"/>
  <c r="CP18" i="1"/>
  <c r="CO9" i="1"/>
  <c r="AE17" i="1"/>
  <c r="CO11" i="1"/>
  <c r="CO23" i="1" s="1"/>
  <c r="CO25" i="1" s="1"/>
  <c r="CN27" i="1"/>
  <c r="CP7" i="1"/>
  <c r="AB7" i="1" s="1"/>
  <c r="AE15" i="1"/>
  <c r="AC14" i="1"/>
  <c r="AD5" i="1"/>
  <c r="CY5" i="1"/>
  <c r="DB5" i="1"/>
  <c r="CQ18" i="1" l="1"/>
  <c r="CP9" i="1"/>
  <c r="CR16" i="1"/>
  <c r="CQ7" i="1"/>
  <c r="AB16" i="1"/>
  <c r="CP11" i="1"/>
  <c r="CP23" i="1" s="1"/>
  <c r="CP25" i="1" s="1"/>
  <c r="CO27" i="1"/>
  <c r="AD14" i="1"/>
  <c r="AE5" i="1"/>
  <c r="AB9" i="1" l="1"/>
  <c r="CR18" i="1"/>
  <c r="CQ9" i="1"/>
  <c r="CS16" i="1"/>
  <c r="CR7" i="1"/>
  <c r="CP27" i="1"/>
  <c r="AE14" i="1"/>
  <c r="CQ11" i="1" l="1"/>
  <c r="CQ23" i="1" s="1"/>
  <c r="CQ25" i="1" s="1"/>
  <c r="CQ27" i="1" s="1"/>
  <c r="CS18" i="1"/>
  <c r="CR9" i="1"/>
  <c r="AB18" i="1"/>
  <c r="AB11" i="1"/>
  <c r="CT16" i="1"/>
  <c r="CS7" i="1"/>
  <c r="CQ26" i="1" l="1"/>
  <c r="CR11" i="1"/>
  <c r="CR23" i="1" s="1"/>
  <c r="CR25" i="1" s="1"/>
  <c r="CR27" i="1" s="1"/>
  <c r="CT18" i="1"/>
  <c r="CU18" i="1" s="1"/>
  <c r="CV18" i="1" s="1"/>
  <c r="CW18" i="1" s="1"/>
  <c r="CX18" i="1" s="1"/>
  <c r="CS9" i="1"/>
  <c r="CS11" i="1"/>
  <c r="CS23" i="1" s="1"/>
  <c r="CS25" i="1" s="1"/>
  <c r="CT7" i="1"/>
  <c r="CR26" i="1" l="1"/>
  <c r="CT9" i="1"/>
  <c r="CT11" i="1"/>
  <c r="CT23" i="1" s="1"/>
  <c r="CT25" i="1" s="1"/>
  <c r="CT27" i="1" s="1"/>
  <c r="AC7" i="1"/>
  <c r="CV16" i="1"/>
  <c r="CU7" i="1"/>
  <c r="CS26" i="1"/>
  <c r="CS27" i="1"/>
  <c r="AC9" i="1" l="1"/>
  <c r="CU9" i="1"/>
  <c r="CU11" i="1" s="1"/>
  <c r="CU23" i="1" s="1"/>
  <c r="CU25" i="1" s="1"/>
  <c r="CW16" i="1"/>
  <c r="CV7" i="1"/>
  <c r="AC16" i="1"/>
  <c r="CT26" i="1"/>
  <c r="AC18" i="1" l="1"/>
  <c r="AC11" i="1"/>
  <c r="CV9" i="1"/>
  <c r="CU26" i="1"/>
  <c r="CU27" i="1"/>
  <c r="CX16" i="1"/>
  <c r="CW7" i="1"/>
  <c r="CV11" i="1" l="1"/>
  <c r="CV23" i="1" s="1"/>
  <c r="CV25" i="1" s="1"/>
  <c r="CV27" i="1" s="1"/>
  <c r="CW9" i="1"/>
  <c r="CW11" i="1" s="1"/>
  <c r="CW23" i="1" s="1"/>
  <c r="CW25" i="1" s="1"/>
  <c r="CY16" i="1"/>
  <c r="CX7" i="1"/>
  <c r="AD7" i="1" l="1"/>
  <c r="CW27" i="1"/>
  <c r="CV26" i="1"/>
  <c r="CY18" i="1"/>
  <c r="CX9" i="1"/>
  <c r="AD16" i="1"/>
  <c r="CZ16" i="1"/>
  <c r="CY7" i="1"/>
  <c r="CW26" i="1"/>
  <c r="CX11" i="1" l="1"/>
  <c r="CX23" i="1" s="1"/>
  <c r="CX25" i="1" s="1"/>
  <c r="CX27" i="1" s="1"/>
  <c r="CZ18" i="1"/>
  <c r="CY9" i="1"/>
  <c r="CY11" i="1" s="1"/>
  <c r="CY23" i="1" s="1"/>
  <c r="CY25" i="1" s="1"/>
  <c r="AD9" i="1"/>
  <c r="DA16" i="1"/>
  <c r="CZ7" i="1"/>
  <c r="CX26" i="1" l="1"/>
  <c r="AD18" i="1"/>
  <c r="AD11" i="1"/>
  <c r="DA18" i="1"/>
  <c r="CZ9" i="1"/>
  <c r="CZ11" i="1" s="1"/>
  <c r="CZ23" i="1" s="1"/>
  <c r="CZ25" i="1" s="1"/>
  <c r="DB16" i="1"/>
  <c r="DB7" i="1" s="1"/>
  <c r="DA7" i="1"/>
  <c r="CY26" i="1"/>
  <c r="CY27" i="1"/>
  <c r="CZ26" i="1" l="1"/>
  <c r="CZ27" i="1"/>
  <c r="DB18" i="1"/>
  <c r="DB9" i="1" s="1"/>
  <c r="DB11" i="1" s="1"/>
  <c r="DB23" i="1" s="1"/>
  <c r="DB25" i="1" s="1"/>
  <c r="DB26" i="1" s="1"/>
  <c r="DA9" i="1"/>
  <c r="DA11" i="1" s="1"/>
  <c r="DA23" i="1" s="1"/>
  <c r="DA25" i="1" s="1"/>
  <c r="AE7" i="1"/>
  <c r="AE16" i="1" s="1"/>
  <c r="DA27" i="1" l="1"/>
  <c r="DB27" i="1"/>
  <c r="DA26" i="1"/>
  <c r="AE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1" i="1"/>
  <c r="AB24" i="1"/>
  <c r="AC24" i="1"/>
  <c r="AD24" i="1"/>
  <c r="AE24" i="1"/>
  <c r="AB37" i="1"/>
  <c r="AC37" i="1"/>
  <c r="AD37" i="1"/>
  <c r="AE37" i="1"/>
  <c r="AE36" i="1"/>
  <c r="AD36" i="1"/>
  <c r="AC36" i="1"/>
  <c r="AB36" i="1"/>
  <c r="AJ224" i="1"/>
  <c r="AD55" i="2"/>
  <c r="AF91" i="2"/>
  <c r="AE51" i="2"/>
  <c r="AB47" i="2"/>
  <c r="AA139" i="1" s="1"/>
  <c r="AC51" i="2"/>
  <c r="AD15" i="2"/>
  <c r="AD99" i="2"/>
  <c r="AF5" i="2"/>
  <c r="AF28" i="2"/>
  <c r="AE14" i="2"/>
  <c r="AF105" i="2"/>
  <c r="AB68" i="2"/>
  <c r="AA151" i="1" s="1"/>
  <c r="AC45" i="2"/>
  <c r="AB97" i="2"/>
  <c r="AC27" i="2"/>
  <c r="AE96" i="2"/>
  <c r="AF86" i="2"/>
  <c r="AE76" i="2"/>
  <c r="AD63" i="2"/>
  <c r="AF42" i="2"/>
  <c r="AB79" i="2"/>
  <c r="AA161" i="1" s="1"/>
  <c r="AE110" i="2"/>
  <c r="AB43" i="2"/>
  <c r="AA134" i="1" s="1"/>
  <c r="AE31" i="2"/>
  <c r="AD110" i="2"/>
  <c r="AC44" i="2"/>
  <c r="AF26" i="2"/>
  <c r="AF90" i="2"/>
  <c r="AE99" i="2"/>
  <c r="AC76" i="2"/>
  <c r="AE30" i="2"/>
  <c r="AC105" i="2"/>
  <c r="AE90" i="2"/>
  <c r="AB64" i="2"/>
  <c r="AA148" i="1" s="1"/>
  <c r="AD5" i="2"/>
  <c r="AC26" i="2"/>
  <c r="AE34" i="2"/>
  <c r="AD7" i="2"/>
  <c r="AD95" i="2"/>
  <c r="AC30" i="2"/>
  <c r="AE7" i="2"/>
  <c r="AE79" i="2"/>
  <c r="AD67" i="2"/>
  <c r="AC94" i="2"/>
  <c r="AE10" i="2"/>
  <c r="AF83" i="2"/>
  <c r="AF12" i="2"/>
  <c r="AC74" i="2"/>
  <c r="AC15" i="2"/>
  <c r="AF70" i="2"/>
  <c r="AB71" i="2"/>
  <c r="AA155" i="1" s="1"/>
  <c r="AC87" i="2"/>
  <c r="AB6" i="2"/>
  <c r="AA23" i="1" s="1"/>
  <c r="AD46" i="2"/>
  <c r="AE18" i="2"/>
  <c r="AD74" i="2"/>
  <c r="AD98" i="2"/>
  <c r="AF94" i="2"/>
  <c r="AC11" i="2"/>
  <c r="AF99" i="2"/>
  <c r="AB10" i="2"/>
  <c r="AE9" i="2"/>
  <c r="AC84" i="2"/>
  <c r="AD50" i="2"/>
  <c r="AE54" i="2"/>
  <c r="AF13" i="2"/>
  <c r="AF47" i="2"/>
  <c r="AE26" i="2"/>
  <c r="AC93" i="2"/>
  <c r="AB84" i="2"/>
  <c r="AB8" i="2"/>
  <c r="AD31" i="2"/>
  <c r="AC42" i="2"/>
  <c r="AB20" i="2"/>
  <c r="AF106" i="2"/>
  <c r="AB72" i="2"/>
  <c r="AA157" i="1" s="1"/>
  <c r="AC110" i="2"/>
  <c r="AF50" i="2"/>
  <c r="AB87" i="2"/>
  <c r="AA141" i="1" s="1"/>
  <c r="AF41" i="2"/>
  <c r="AB78" i="2"/>
  <c r="AA175" i="1" s="1"/>
  <c r="AD91" i="2"/>
  <c r="AE68" i="2"/>
  <c r="AC56" i="2"/>
  <c r="AD59" i="2"/>
  <c r="AC72" i="2"/>
  <c r="AD81" i="2"/>
  <c r="AC104" i="2"/>
  <c r="AE45" i="2"/>
  <c r="AB28" i="2"/>
  <c r="AD40" i="2"/>
  <c r="AE80" i="2"/>
  <c r="AF73" i="2"/>
  <c r="AF78" i="2"/>
  <c r="AE49" i="2"/>
  <c r="AD42" i="2"/>
  <c r="AC32" i="2"/>
  <c r="AC57" i="2"/>
  <c r="AB70" i="2"/>
  <c r="AF84" i="2"/>
  <c r="AE56" i="2"/>
  <c r="AC95" i="2"/>
  <c r="AD30" i="2"/>
  <c r="AB73" i="2"/>
  <c r="AA158" i="1" s="1"/>
  <c r="AF95" i="2"/>
  <c r="AF49" i="2"/>
  <c r="AB11" i="2"/>
  <c r="AA28" i="1" s="1"/>
  <c r="AF57" i="2"/>
  <c r="AB65" i="2"/>
  <c r="AC75" i="2"/>
  <c r="AE32" i="2"/>
  <c r="AB99" i="2"/>
  <c r="AC8" i="2"/>
  <c r="AC23" i="2"/>
  <c r="AB5" i="2"/>
  <c r="AB111" i="2" s="1"/>
  <c r="AB26" i="2"/>
  <c r="AE33" i="2"/>
  <c r="AC20" i="2"/>
  <c r="AC10" i="2"/>
  <c r="AE87" i="2"/>
  <c r="AF21" i="2"/>
  <c r="AB61" i="2"/>
  <c r="AE41" i="2"/>
  <c r="AF18" i="2"/>
  <c r="AB104" i="2"/>
  <c r="AE95" i="2"/>
  <c r="AB19" i="2"/>
  <c r="AA37" i="1" s="1"/>
  <c r="AC54" i="2"/>
  <c r="AB55" i="2"/>
  <c r="AE67" i="2"/>
  <c r="AB88" i="2"/>
  <c r="AB27" i="2"/>
  <c r="AA47" i="1" s="1"/>
  <c r="AF58" i="2"/>
  <c r="AB95" i="2"/>
  <c r="AA186" i="1" s="1"/>
  <c r="AC12" i="2"/>
  <c r="AC89" i="2"/>
  <c r="AE75" i="2"/>
  <c r="AE85" i="2"/>
  <c r="AD17" i="2"/>
  <c r="AC18" i="2"/>
  <c r="AC24" i="2"/>
  <c r="AE27" i="2"/>
  <c r="AB66" i="2"/>
  <c r="AE57" i="2"/>
  <c r="AB60" i="2"/>
  <c r="AF81" i="2"/>
  <c r="AD10" i="2"/>
  <c r="AC109" i="2"/>
  <c r="AE107" i="2"/>
  <c r="AF8" i="2"/>
  <c r="AE5" i="2"/>
  <c r="AC80" i="2"/>
  <c r="AE70" i="2"/>
  <c r="AB86" i="2"/>
  <c r="AA150" i="1" s="1"/>
  <c r="AF113" i="2"/>
  <c r="AE82" i="2"/>
  <c r="AB106" i="2"/>
  <c r="AA92" i="1" s="1"/>
  <c r="AE65" i="2"/>
  <c r="AD85" i="2"/>
  <c r="AC85" i="2"/>
  <c r="AC48" i="2"/>
  <c r="AB83" i="2"/>
  <c r="AA179" i="1" s="1"/>
  <c r="AF67" i="2"/>
  <c r="AD41" i="2"/>
  <c r="AF55" i="2"/>
  <c r="AD35" i="2"/>
  <c r="AF15" i="2"/>
  <c r="AD93" i="2"/>
  <c r="AF80" i="2"/>
  <c r="AB96" i="2"/>
  <c r="AE24" i="2"/>
  <c r="AF85" i="2"/>
  <c r="AE66" i="2"/>
  <c r="AC98" i="2"/>
  <c r="AC17" i="2"/>
  <c r="AD75" i="2"/>
  <c r="AC7" i="2"/>
  <c r="AF45" i="2"/>
  <c r="AB12" i="2"/>
  <c r="AA30" i="1" s="1"/>
  <c r="AF65" i="2"/>
  <c r="AC35" i="2"/>
  <c r="AB13" i="2"/>
  <c r="AA39" i="1" s="1"/>
  <c r="AB45" i="2"/>
  <c r="AA137" i="1" s="1"/>
  <c r="AC59" i="2"/>
  <c r="AF72" i="2"/>
  <c r="AC34" i="2"/>
  <c r="AE23" i="2"/>
  <c r="AF29" i="2"/>
  <c r="AB69" i="2"/>
  <c r="AE53" i="2"/>
  <c r="AF53" i="2"/>
  <c r="AE61" i="2"/>
  <c r="AF17" i="2"/>
  <c r="AB35" i="2"/>
  <c r="AA66" i="1" s="1"/>
  <c r="AB14" i="2"/>
  <c r="AA35" i="1" s="1"/>
  <c r="AC14" i="2"/>
  <c r="AE91" i="2"/>
  <c r="AB94" i="2"/>
  <c r="AB22" i="2"/>
  <c r="AE16" i="2"/>
  <c r="AB107" i="2"/>
  <c r="AA93" i="1" s="1"/>
  <c r="AD71" i="2"/>
  <c r="AF74" i="2"/>
  <c r="AE63" i="2"/>
  <c r="AD8" i="2"/>
  <c r="AD33" i="2"/>
  <c r="AE88" i="2"/>
  <c r="AC106" i="2"/>
  <c r="AE109" i="2"/>
  <c r="AC43" i="2"/>
  <c r="AB18" i="2"/>
  <c r="AA40" i="1" s="1"/>
  <c r="AE21" i="2"/>
  <c r="AC79" i="2"/>
  <c r="AD18" i="2"/>
  <c r="AE25" i="2"/>
  <c r="AF104" i="2"/>
  <c r="AF24" i="2"/>
  <c r="AE29" i="2"/>
  <c r="AC108" i="2"/>
  <c r="AF111" i="2"/>
  <c r="AC25" i="2"/>
  <c r="AE73" i="2"/>
  <c r="AF32" i="2"/>
  <c r="AF46" i="2"/>
  <c r="AB80" i="2"/>
  <c r="AA162" i="1" s="1"/>
  <c r="AB85" i="2"/>
  <c r="AA185" i="1" s="1"/>
  <c r="AC9" i="2"/>
  <c r="AB52" i="2"/>
  <c r="AA166" i="1" s="1"/>
  <c r="AB41" i="2"/>
  <c r="AA132" i="1" s="1"/>
  <c r="AE92" i="2"/>
  <c r="AF82" i="2"/>
  <c r="AB36" i="2"/>
  <c r="AB16" i="2"/>
  <c r="AE50" i="2"/>
  <c r="AF98" i="2"/>
  <c r="AE46" i="2"/>
  <c r="AF93" i="2"/>
  <c r="AC50" i="2"/>
  <c r="AB21" i="2"/>
  <c r="AD60" i="2"/>
  <c r="AC71" i="2"/>
  <c r="AF88" i="2"/>
  <c r="AE60" i="2"/>
  <c r="AD73" i="2"/>
  <c r="AF40" i="2"/>
  <c r="AD19" i="2"/>
  <c r="AD13" i="2"/>
  <c r="AE13" i="2"/>
  <c r="AC88" i="2"/>
  <c r="AF33" i="2"/>
  <c r="AB7" i="2"/>
  <c r="AA24" i="1" s="1"/>
  <c r="AB30" i="2"/>
  <c r="AA54" i="1" s="1"/>
  <c r="AC41" i="2"/>
  <c r="AE42" i="2"/>
  <c r="AE105" i="2"/>
  <c r="AD90" i="2"/>
  <c r="AE28" i="2"/>
  <c r="AC97" i="2"/>
  <c r="AD87" i="2"/>
  <c r="AF96" i="2"/>
  <c r="AD97" i="2"/>
  <c r="AD16" i="2"/>
  <c r="AD52" i="2"/>
  <c r="AE15" i="2"/>
  <c r="AF9" i="2"/>
  <c r="AD21" i="2"/>
  <c r="AB9" i="2"/>
  <c r="AB34" i="2"/>
  <c r="AE48" i="2"/>
  <c r="AB92" i="2"/>
  <c r="AD26" i="2"/>
  <c r="AC91" i="2"/>
  <c r="AF11" i="2"/>
  <c r="AF43" i="2"/>
  <c r="AD69" i="2"/>
  <c r="AC69" i="2"/>
  <c r="AE89" i="2"/>
  <c r="AE93" i="2"/>
  <c r="AD78" i="2"/>
  <c r="AF7" i="2"/>
  <c r="AE44" i="2"/>
  <c r="AB81" i="2"/>
  <c r="AE11" i="2"/>
  <c r="AB44" i="2"/>
  <c r="AE12" i="2"/>
  <c r="AE106" i="2"/>
  <c r="AD86" i="2"/>
  <c r="AF51" i="2"/>
  <c r="AB109" i="2"/>
  <c r="AF75" i="2"/>
  <c r="AC52" i="2"/>
  <c r="AD94" i="2"/>
  <c r="AD83" i="2"/>
  <c r="AF64" i="2"/>
  <c r="AB89" i="2"/>
  <c r="AE64" i="2"/>
  <c r="AC29" i="2"/>
  <c r="AB76" i="2"/>
  <c r="AA159" i="1" s="1"/>
  <c r="AD9" i="2"/>
  <c r="AB29" i="2"/>
  <c r="AA62" i="1" s="1"/>
  <c r="AD68" i="2"/>
  <c r="AC83" i="2"/>
  <c r="AF108" i="2"/>
  <c r="AE72" i="2"/>
  <c r="AD89" i="2"/>
  <c r="AF48" i="2"/>
  <c r="AD6" i="2"/>
  <c r="AD29" i="2"/>
  <c r="AE40" i="2"/>
  <c r="AC36" i="2"/>
  <c r="AF44" i="2"/>
  <c r="AB15" i="2"/>
  <c r="AA38" i="1" s="1"/>
  <c r="AB49" i="2"/>
  <c r="AA178" i="1" s="1"/>
  <c r="AE62" i="2"/>
  <c r="AF76" i="2"/>
  <c r="AD11" i="2"/>
  <c r="AD54" i="2"/>
  <c r="AE43" i="2"/>
  <c r="AD23" i="2"/>
  <c r="AD107" i="2"/>
  <c r="AF25" i="2"/>
  <c r="AE81" i="2"/>
  <c r="AD24" i="2"/>
  <c r="AF63" i="2"/>
  <c r="AB108" i="2"/>
  <c r="AA94" i="1" s="1"/>
  <c r="AC31" i="2"/>
  <c r="AF89" i="2"/>
  <c r="AB17" i="2"/>
  <c r="AA36" i="1" s="1"/>
  <c r="AB53" i="2"/>
  <c r="AC65" i="2"/>
  <c r="AB82" i="2"/>
  <c r="AD34" i="2"/>
  <c r="AB51" i="2"/>
  <c r="AA165" i="1" s="1"/>
  <c r="AF19" i="2"/>
  <c r="AB59" i="2"/>
  <c r="AB24" i="2"/>
  <c r="AF30" i="2"/>
  <c r="AF20" i="2"/>
  <c r="AD80" i="2"/>
  <c r="AC86" i="2"/>
  <c r="AD28" i="2"/>
  <c r="AB62" i="2"/>
  <c r="AC40" i="2"/>
  <c r="AC63" i="2"/>
  <c r="AD88" i="2"/>
  <c r="AE20" i="2"/>
  <c r="AF10" i="2"/>
  <c r="AB113" i="2"/>
  <c r="AA89" i="1" s="1"/>
  <c r="AB32" i="2"/>
  <c r="AA60" i="1" s="1"/>
  <c r="AD65" i="2"/>
  <c r="AF23" i="2"/>
  <c r="AC33" i="2"/>
  <c r="AC77" i="2"/>
  <c r="AE6" i="2"/>
  <c r="AD66" i="2"/>
  <c r="AE35" i="2"/>
  <c r="AE36" i="2"/>
  <c r="AD57" i="2"/>
  <c r="AF14" i="2"/>
  <c r="AD108" i="2"/>
  <c r="AE47" i="2"/>
  <c r="AC6" i="2"/>
  <c r="AD25" i="2"/>
  <c r="AB40" i="2"/>
  <c r="AD76" i="2"/>
  <c r="AE98" i="2"/>
  <c r="AC66" i="2"/>
  <c r="AE84" i="2"/>
  <c r="AD109" i="2"/>
  <c r="AF56" i="2"/>
  <c r="AD14" i="2"/>
  <c r="AD48" i="2"/>
  <c r="AC61" i="2"/>
  <c r="AB74" i="2"/>
  <c r="AC19" i="2"/>
  <c r="AB23" i="2"/>
  <c r="AA50" i="1" s="1"/>
  <c r="AD62" i="2"/>
  <c r="AE74" i="2"/>
  <c r="AF92" i="2"/>
  <c r="AC28" i="2"/>
  <c r="AE19" i="2"/>
  <c r="AE55" i="2"/>
  <c r="AD58" i="2"/>
  <c r="AC68" i="2"/>
  <c r="AF52" i="2"/>
  <c r="AD56" i="2"/>
  <c r="AD32" i="2"/>
  <c r="AF71" i="2"/>
  <c r="AE71" i="2"/>
  <c r="AE108" i="2"/>
  <c r="AF97" i="2"/>
  <c r="AB25" i="2"/>
  <c r="AA51" i="1" s="1"/>
  <c r="AD64" i="2"/>
  <c r="AF110" i="2"/>
  <c r="AB54" i="2"/>
  <c r="AA168" i="1" s="1"/>
  <c r="AD45" i="2"/>
  <c r="AC47" i="2"/>
  <c r="AF27" i="2"/>
  <c r="AB67" i="2"/>
  <c r="AA152" i="1" s="1"/>
  <c r="AC81" i="2"/>
  <c r="AD105" i="2"/>
  <c r="AF60" i="2"/>
  <c r="AD82" i="2"/>
  <c r="AC64" i="2"/>
  <c r="AF59" i="2"/>
  <c r="AB56" i="2"/>
  <c r="AA142" i="1" s="1"/>
  <c r="AF69" i="2"/>
  <c r="AB42" i="2"/>
  <c r="AA133" i="1" s="1"/>
  <c r="AC46" i="2"/>
  <c r="AD77" i="2"/>
  <c r="AB98" i="2"/>
  <c r="AD51" i="2"/>
  <c r="AE78" i="2"/>
  <c r="AC60" i="2"/>
  <c r="AC82" i="2"/>
  <c r="AD104" i="2"/>
  <c r="AF77" i="2"/>
  <c r="AE77" i="2"/>
  <c r="AB91" i="2"/>
  <c r="AB93" i="2"/>
  <c r="AA187" i="1" s="1"/>
  <c r="AB58" i="2"/>
  <c r="AC55" i="2"/>
  <c r="AB63" i="2"/>
  <c r="AA147" i="1" s="1"/>
  <c r="AF107" i="2"/>
  <c r="AD96" i="2"/>
  <c r="AB46" i="2"/>
  <c r="AE59" i="2"/>
  <c r="AD47" i="2"/>
  <c r="AD106" i="2"/>
  <c r="AF31" i="2"/>
  <c r="AC49" i="2"/>
  <c r="AE22" i="2"/>
  <c r="AD79" i="2"/>
  <c r="AE83" i="2"/>
  <c r="AD12" i="2"/>
  <c r="AD44" i="2"/>
  <c r="AB48" i="2"/>
  <c r="AA140" i="1" s="1"/>
  <c r="AD84" i="2"/>
  <c r="AD27" i="2"/>
  <c r="AC90" i="2"/>
  <c r="AC99" i="2"/>
  <c r="AE69" i="2"/>
  <c r="AC13" i="2"/>
  <c r="AD22" i="2"/>
  <c r="AF61" i="2"/>
  <c r="AC73" i="2"/>
  <c r="AB90" i="2"/>
  <c r="AC58" i="2"/>
  <c r="AB31" i="2"/>
  <c r="AD70" i="2"/>
  <c r="AE86" i="2"/>
  <c r="AC78" i="2"/>
  <c r="AF68" i="2"/>
  <c r="AF16" i="2"/>
  <c r="AE17" i="2"/>
  <c r="AC92" i="2"/>
  <c r="AF36" i="2"/>
  <c r="AE52" i="2"/>
  <c r="AD43" i="2"/>
  <c r="AF79" i="2"/>
  <c r="AE58" i="2"/>
  <c r="AC22" i="2"/>
  <c r="AF109" i="2"/>
  <c r="AB33" i="2"/>
  <c r="AA61" i="1" s="1"/>
  <c r="AD72" i="2"/>
  <c r="AC96" i="2"/>
  <c r="AC21" i="2"/>
  <c r="AD53" i="2"/>
  <c r="AC16" i="2"/>
  <c r="AF35" i="2"/>
  <c r="AB75" i="2"/>
  <c r="AA174" i="1" s="1"/>
  <c r="AE94" i="2"/>
  <c r="AC62" i="2"/>
  <c r="AF6" i="2"/>
  <c r="AD20" i="2"/>
  <c r="AD92" i="2"/>
  <c r="AD61" i="2"/>
  <c r="AB77" i="2"/>
  <c r="AA160" i="1" s="1"/>
  <c r="AB110" i="2"/>
  <c r="AA82" i="1" s="1"/>
  <c r="AC107" i="2"/>
  <c r="AF87" i="2"/>
  <c r="AF34" i="2"/>
  <c r="AE8" i="2"/>
  <c r="AF22" i="2"/>
  <c r="AC53" i="2"/>
  <c r="AF66" i="2"/>
  <c r="AB57" i="2"/>
  <c r="AA170" i="1" s="1"/>
  <c r="AC70" i="2"/>
  <c r="AB50" i="2"/>
  <c r="AA164" i="1" s="1"/>
  <c r="AE97" i="2"/>
  <c r="AC5" i="2"/>
  <c r="AC67" i="2"/>
  <c r="AF54" i="2"/>
  <c r="AD36" i="2"/>
  <c r="AD49" i="2"/>
  <c r="AF62" i="2"/>
  <c r="AB105" i="2"/>
  <c r="AE104" i="2"/>
  <c r="AA169" i="1" l="1"/>
  <c r="AA171" i="1" s="1"/>
  <c r="AF112" i="2"/>
  <c r="AA246" i="1"/>
  <c r="AA25" i="1"/>
  <c r="AA200" i="1"/>
  <c r="AA209" i="1"/>
  <c r="AA268" i="1"/>
  <c r="AA188" i="1"/>
  <c r="AA267" i="1"/>
  <c r="AA135" i="1"/>
  <c r="AA194" i="1"/>
  <c r="AA146" i="1"/>
  <c r="AA149" i="1" s="1"/>
  <c r="AA153" i="1" s="1"/>
  <c r="AA198" i="1"/>
  <c r="AA143" i="1"/>
  <c r="AA176" i="1"/>
  <c r="AA195" i="1"/>
  <c r="AA163" i="1"/>
  <c r="AA41" i="1"/>
  <c r="AB112" i="2"/>
  <c r="AA88" i="1" s="1"/>
  <c r="AE18" i="1"/>
  <c r="AE11" i="1"/>
  <c r="B1" i="9"/>
  <c r="AD112" i="2"/>
  <c r="AE112" i="2"/>
  <c r="AE113" i="2"/>
  <c r="AE111" i="2"/>
  <c r="AC111" i="2"/>
  <c r="AC113" i="2"/>
  <c r="A1" i="9"/>
  <c r="AC112" i="2"/>
  <c r="L1" i="9"/>
  <c r="AD111" i="2"/>
  <c r="AD113" i="2"/>
  <c r="AA42" i="1" l="1"/>
  <c r="AA113" i="1"/>
  <c r="AA31" i="1"/>
  <c r="AA259" i="1"/>
  <c r="AA183" i="1"/>
  <c r="AA124" i="1" s="1"/>
  <c r="AA144" i="1"/>
  <c r="AA263" i="1"/>
  <c r="AA261" i="1"/>
  <c r="AA172" i="1"/>
  <c r="AA197" i="1"/>
  <c r="AA199" i="1"/>
  <c r="AA48" i="1"/>
  <c r="AA190" i="1"/>
  <c r="AA52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K254" i="1"/>
  <c r="CK151" i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H167" i="1"/>
  <c r="CJ254" i="1"/>
  <c r="Z254" i="1"/>
  <c r="AA32" i="1" l="1"/>
  <c r="AA43" i="1"/>
  <c r="AA196" i="1"/>
  <c r="AA201" i="1"/>
  <c r="AA180" i="1"/>
  <c r="AA181" i="1" s="1"/>
  <c r="CI254" i="1"/>
  <c r="CG151" i="1"/>
  <c r="CG254" i="1"/>
  <c r="CH254" i="1"/>
  <c r="AB28" i="1"/>
  <c r="AC28" i="1"/>
  <c r="AD28" i="1"/>
  <c r="AE28" i="1"/>
  <c r="AB29" i="1"/>
  <c r="AC29" i="1"/>
  <c r="AD29" i="1"/>
  <c r="AE29" i="1"/>
  <c r="AB39" i="1"/>
  <c r="AC39" i="1"/>
  <c r="AD39" i="1"/>
  <c r="AE39" i="1"/>
  <c r="AB40" i="1"/>
  <c r="AC40" i="1"/>
  <c r="AD40" i="1"/>
  <c r="AE40" i="1"/>
  <c r="AB62" i="1"/>
  <c r="AC62" i="1"/>
  <c r="AD62" i="1"/>
  <c r="AE62" i="1"/>
  <c r="AB174" i="1"/>
  <c r="AC174" i="1"/>
  <c r="AD174" i="1"/>
  <c r="AE174" i="1"/>
  <c r="AB188" i="1"/>
  <c r="AC188" i="1"/>
  <c r="AD188" i="1"/>
  <c r="AE188" i="1"/>
  <c r="CE151" i="1"/>
  <c r="CE254" i="1"/>
  <c r="CF254" i="1"/>
  <c r="AI212" i="1"/>
  <c r="AI217" i="1"/>
  <c r="AI221" i="1"/>
  <c r="AI224" i="1"/>
  <c r="AI254" i="1"/>
  <c r="Y254" i="1"/>
  <c r="AM151" i="1"/>
  <c r="AO151" i="1"/>
  <c r="AQ151" i="1"/>
  <c r="AS151" i="1"/>
  <c r="AU151" i="1"/>
  <c r="AW151" i="1"/>
  <c r="AY151" i="1"/>
  <c r="BA151" i="1"/>
  <c r="BC151" i="1"/>
  <c r="BE151" i="1"/>
  <c r="BG151" i="1"/>
  <c r="BI151" i="1"/>
  <c r="BK151" i="1"/>
  <c r="BM151" i="1"/>
  <c r="BO151" i="1"/>
  <c r="BQ151" i="1"/>
  <c r="BS151" i="1"/>
  <c r="BU151" i="1"/>
  <c r="BW151" i="1"/>
  <c r="BY151" i="1"/>
  <c r="CA151" i="1"/>
  <c r="CC151" i="1"/>
  <c r="CD254" i="1"/>
  <c r="CC254" i="1"/>
  <c r="AJ254" i="1"/>
  <c r="AK254" i="1"/>
  <c r="AL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7" i="1" l="1"/>
  <c r="AA248" i="1" s="1"/>
  <c r="AA127" i="1"/>
  <c r="AA49" i="1"/>
  <c r="AA44" i="1"/>
  <c r="Y1" i="1"/>
  <c r="Z1" i="1" s="1"/>
  <c r="AA70" i="1" l="1"/>
  <c r="AA53" i="1"/>
  <c r="AA1" i="1"/>
  <c r="AB1" i="1" s="1"/>
  <c r="AC1" i="1" s="1"/>
  <c r="AD1" i="1" s="1"/>
  <c r="AE1" i="1" s="1"/>
  <c r="AA55" i="1" l="1"/>
  <c r="AA56" i="1"/>
  <c r="A1" i="3"/>
  <c r="AA249" i="1" l="1"/>
  <c r="AA63" i="1"/>
  <c r="AA57" i="1"/>
  <c r="AA260" i="1" s="1"/>
  <c r="A1" i="6"/>
  <c r="A1" i="4"/>
  <c r="AA67" i="1" l="1"/>
  <c r="AA208" i="1"/>
  <c r="AA210" i="1" s="1"/>
  <c r="AA69" i="1"/>
  <c r="AB50" i="1"/>
  <c r="BN5" i="3"/>
  <c r="BS17" i="3"/>
  <c r="BP41" i="3"/>
  <c r="BL15" i="3"/>
  <c r="BH29" i="3"/>
  <c r="Y42" i="2"/>
  <c r="AA84" i="2"/>
  <c r="BA30" i="3"/>
  <c r="Y44" i="2"/>
  <c r="BM8" i="3"/>
  <c r="BO30" i="3"/>
  <c r="BI13" i="3"/>
  <c r="BF24" i="3"/>
  <c r="AA77" i="2"/>
  <c r="Z19" i="2"/>
  <c r="BQ16" i="3"/>
  <c r="BI10" i="3"/>
  <c r="BS30" i="3"/>
  <c r="BE9" i="3"/>
  <c r="BJ38" i="3"/>
  <c r="Y88" i="2"/>
  <c r="Y62" i="2"/>
  <c r="AA21" i="2"/>
  <c r="AA57" i="2"/>
  <c r="AA46" i="2"/>
  <c r="Y105" i="2"/>
  <c r="BV11" i="3"/>
  <c r="BR35" i="3"/>
  <c r="BI12" i="3"/>
  <c r="BJ39" i="3"/>
  <c r="BJ27" i="3"/>
  <c r="BC18" i="3"/>
  <c r="BC29" i="3"/>
  <c r="BO45" i="3"/>
  <c r="BV41" i="3"/>
  <c r="BM34" i="3"/>
  <c r="BK21" i="3"/>
  <c r="BI6" i="3"/>
  <c r="BB32" i="3"/>
  <c r="AA88" i="2"/>
  <c r="BC5" i="3"/>
  <c r="BT34" i="3"/>
  <c r="BO8" i="3"/>
  <c r="BF12" i="3"/>
  <c r="CL29" i="1" s="1"/>
  <c r="BN6" i="3"/>
  <c r="BK23" i="3"/>
  <c r="BA16" i="3"/>
  <c r="AA42" i="2"/>
  <c r="Z52" i="2"/>
  <c r="FC13" i="4" a="1"/>
  <c r="BL45" i="3"/>
  <c r="BR13" i="3"/>
  <c r="BV36" i="3"/>
  <c r="BK10" i="3"/>
  <c r="BU20" i="3"/>
  <c r="BE26" i="3"/>
  <c r="BO35" i="3"/>
  <c r="BK12" i="3"/>
  <c r="Z55" i="2"/>
  <c r="BO21" i="3"/>
  <c r="BJ8" i="3"/>
  <c r="AA12" i="2"/>
  <c r="FB9" i="4" a="1"/>
  <c r="BQ7" i="3"/>
  <c r="BP19" i="3"/>
  <c r="BD26" i="3"/>
  <c r="BA13" i="3"/>
  <c r="BD19" i="3"/>
  <c r="BC26" i="3"/>
  <c r="FD7" i="4" a="1"/>
  <c r="BN19" i="3"/>
  <c r="Z36" i="2"/>
  <c r="BJ25" i="3"/>
  <c r="BS23" i="3"/>
  <c r="BP13" i="3"/>
  <c r="BN34" i="3"/>
  <c r="AA55" i="2"/>
  <c r="AA36" i="2"/>
  <c r="Y77" i="2"/>
  <c r="Z7" i="2"/>
  <c r="BU9" i="3"/>
  <c r="BK29" i="3"/>
  <c r="BO37" i="3"/>
  <c r="BG18" i="3"/>
  <c r="BT9" i="3"/>
  <c r="Y10" i="2"/>
  <c r="Y78" i="2"/>
  <c r="BQ22" i="3"/>
  <c r="BG31" i="3"/>
  <c r="BS38" i="3"/>
  <c r="BM13" i="3"/>
  <c r="BN36" i="3"/>
  <c r="Y28" i="2"/>
  <c r="Z61" i="2"/>
  <c r="BB33" i="3"/>
  <c r="FE5" i="4" a="1"/>
  <c r="Y90" i="2"/>
  <c r="Y63" i="2"/>
  <c r="BS42" i="3"/>
  <c r="BR41" i="3"/>
  <c r="BI32" i="3"/>
  <c r="BE20" i="3"/>
  <c r="BK5" i="3"/>
  <c r="BD22" i="3"/>
  <c r="BB46" i="3"/>
  <c r="BT26" i="3"/>
  <c r="BS7" i="3"/>
  <c r="BL5" i="3"/>
  <c r="BE42" i="3"/>
  <c r="BE22" i="3"/>
  <c r="BD39" i="3"/>
  <c r="AA20" i="2"/>
  <c r="Y52" i="2"/>
  <c r="BM33" i="3"/>
  <c r="BO14" i="3"/>
  <c r="BT36" i="3"/>
  <c r="BJ29" i="3"/>
  <c r="BE40" i="3"/>
  <c r="BD29" i="3"/>
  <c r="Z92" i="2"/>
  <c r="BA25" i="3"/>
  <c r="FF7" i="4" a="1"/>
  <c r="BN20" i="3"/>
  <c r="BT5" i="3"/>
  <c r="BV42" i="3"/>
  <c r="BG20" i="3"/>
  <c r="BU26" i="3"/>
  <c r="BL19" i="3"/>
  <c r="BT17" i="3"/>
  <c r="BI17" i="3"/>
  <c r="BG45" i="3"/>
  <c r="AA53" i="2"/>
  <c r="BS45" i="3"/>
  <c r="Y73" i="2"/>
  <c r="Y34" i="2"/>
  <c r="EY15" i="4" a="1"/>
  <c r="BQ25" i="3"/>
  <c r="BG16" i="3"/>
  <c r="BB41" i="3"/>
  <c r="BA18" i="3"/>
  <c r="Z99" i="2"/>
  <c r="BD40" i="3"/>
  <c r="BQ19" i="3"/>
  <c r="BH5" i="3"/>
  <c r="Z62" i="2"/>
  <c r="Z88" i="2"/>
  <c r="EY6" i="4" a="1"/>
  <c r="AA69" i="2"/>
  <c r="Y75" i="2"/>
  <c r="BT11" i="3"/>
  <c r="Y22" i="2"/>
  <c r="BN32" i="3"/>
  <c r="Y24" i="2"/>
  <c r="AA28" i="2"/>
  <c r="Z45" i="2"/>
  <c r="FD5" i="4" a="1"/>
  <c r="BR38" i="3"/>
  <c r="BS9" i="3"/>
  <c r="BG25" i="3"/>
  <c r="Z32" i="2"/>
  <c r="BE39" i="3"/>
  <c r="BB14" i="3"/>
  <c r="BN45" i="3"/>
  <c r="AA7" i="2"/>
  <c r="BC9" i="3"/>
  <c r="FF5" i="4" a="1"/>
  <c r="BI46" i="3"/>
  <c r="BB5" i="3"/>
  <c r="BS35" i="3"/>
  <c r="Z15" i="2"/>
  <c r="BR19" i="3"/>
  <c r="Y36" i="2"/>
  <c r="BS37" i="3"/>
  <c r="BK11" i="3"/>
  <c r="Y33" i="2"/>
  <c r="AA75" i="2"/>
  <c r="BQ37" i="3"/>
  <c r="AA62" i="2"/>
  <c r="Y43" i="2"/>
  <c r="Y5" i="2"/>
  <c r="BB28" i="3"/>
  <c r="BS32" i="3"/>
  <c r="BT37" i="3"/>
  <c r="BP12" i="3"/>
  <c r="BS8" i="3"/>
  <c r="BU32" i="3"/>
  <c r="BN15" i="3"/>
  <c r="BD46" i="3"/>
  <c r="BQ45" i="3"/>
  <c r="BH8" i="3"/>
  <c r="Z8" i="2"/>
  <c r="BB26" i="3"/>
  <c r="Z110" i="2"/>
  <c r="BJ21" i="3"/>
  <c r="BC11" i="3"/>
  <c r="AA65" i="2"/>
  <c r="BM20" i="3"/>
  <c r="BS27" i="3"/>
  <c r="BQ9" i="3"/>
  <c r="BG7" i="3"/>
  <c r="BS29" i="3"/>
  <c r="BG8" i="3"/>
  <c r="BL25" i="3"/>
  <c r="AA24" i="2"/>
  <c r="Z96" i="2"/>
  <c r="AA52" i="2"/>
  <c r="BB29" i="3"/>
  <c r="BU15" i="3"/>
  <c r="BJ32" i="3"/>
  <c r="BT27" i="3"/>
  <c r="BE23" i="3"/>
  <c r="BP14" i="3"/>
  <c r="Y72" i="2"/>
  <c r="BD6" i="3"/>
  <c r="BQ28" i="3"/>
  <c r="BN38" i="3"/>
  <c r="BT33" i="3"/>
  <c r="BK18" i="3"/>
  <c r="BT13" i="3"/>
  <c r="C4" i="2"/>
  <c r="AA58" i="2"/>
  <c r="BB8" i="3"/>
  <c r="EY7" i="4" a="1"/>
  <c r="Z105" i="2"/>
  <c r="Y53" i="2"/>
  <c r="BT14" i="3"/>
  <c r="BO7" i="3"/>
  <c r="BN46" i="3"/>
  <c r="BI40" i="3"/>
  <c r="BG21" i="3"/>
  <c r="BC27" i="3"/>
  <c r="Y96" i="2"/>
  <c r="BK32" i="3"/>
  <c r="BS13" i="3"/>
  <c r="BT32" i="3"/>
  <c r="BJ42" i="3"/>
  <c r="BI38" i="3"/>
  <c r="BB37" i="3"/>
  <c r="Y47" i="2"/>
  <c r="BU5" i="3"/>
  <c r="BL14" i="3"/>
  <c r="BO20" i="3"/>
  <c r="BP39" i="3"/>
  <c r="BL23" i="3"/>
  <c r="BL13" i="3"/>
  <c r="BF5" i="3"/>
  <c r="BR15" i="3"/>
  <c r="BP36" i="3"/>
  <c r="BG22" i="3"/>
  <c r="BT42" i="3"/>
  <c r="AA68" i="2"/>
  <c r="Z89" i="2"/>
  <c r="FC6" i="4" a="1"/>
  <c r="Y9" i="2"/>
  <c r="FD14" i="4" a="1"/>
  <c r="BU7" i="3"/>
  <c r="BP27" i="3"/>
  <c r="BA26" i="3"/>
  <c r="BB6" i="3"/>
  <c r="BC23" i="3"/>
  <c r="Y18" i="2"/>
  <c r="Z104" i="2"/>
  <c r="BR31" i="3"/>
  <c r="FA5" i="4" a="1"/>
  <c r="Y16" i="2"/>
  <c r="BQ15" i="3"/>
  <c r="BG27" i="3"/>
  <c r="BO36" i="3"/>
  <c r="BE13" i="3"/>
  <c r="BL17" i="3"/>
  <c r="AA72" i="2"/>
  <c r="Y98" i="2"/>
  <c r="BC31" i="3"/>
  <c r="FF13" i="4" a="1"/>
  <c r="BU21" i="3"/>
  <c r="BR16" i="3"/>
  <c r="BH6" i="3"/>
  <c r="BG38" i="3"/>
  <c r="BG32" i="3"/>
  <c r="Y32" i="2"/>
  <c r="BA42" i="3"/>
  <c r="BQ34" i="3"/>
  <c r="BV16" i="3"/>
  <c r="BG26" i="3"/>
  <c r="BI23" i="3"/>
  <c r="BP20" i="3"/>
  <c r="AA29" i="2"/>
  <c r="BA15" i="3"/>
  <c r="AA97" i="2"/>
  <c r="FC8" i="4" a="1"/>
  <c r="BA8" i="3"/>
  <c r="FC14" i="4" a="1"/>
  <c r="BM31" i="3"/>
  <c r="BO13" i="3"/>
  <c r="BT28" i="3"/>
  <c r="BF36" i="3"/>
  <c r="BG37" i="3"/>
  <c r="BB15" i="3"/>
  <c r="BQ5" i="3"/>
  <c r="BH12" i="3"/>
  <c r="BS19" i="3"/>
  <c r="BP31" i="3"/>
  <c r="BF22" i="3"/>
  <c r="BH7" i="3"/>
  <c r="Z20" i="2"/>
  <c r="Z94" i="2"/>
  <c r="BU11" i="3"/>
  <c r="BJ33" i="3"/>
  <c r="BO26" i="3"/>
  <c r="BI5" i="3"/>
  <c r="BN42" i="3"/>
  <c r="Z66" i="2"/>
  <c r="W6" i="2"/>
  <c r="AA99" i="2"/>
  <c r="Z43" i="2"/>
  <c r="BL38" i="3"/>
  <c r="BH32" i="3"/>
  <c r="BI35" i="3"/>
  <c r="BS14" i="3"/>
  <c r="BL24" i="3"/>
  <c r="BU38" i="3"/>
  <c r="BR21" i="3"/>
  <c r="BE41" i="3"/>
  <c r="BE35" i="3"/>
  <c r="BG30" i="3"/>
  <c r="AA44" i="2"/>
  <c r="BG39" i="3"/>
  <c r="Y12" i="2"/>
  <c r="Y93" i="2"/>
  <c r="FD9" i="4" a="1"/>
  <c r="BT15" i="3"/>
  <c r="BI28" i="3"/>
  <c r="Z11" i="2"/>
  <c r="Y89" i="2"/>
  <c r="AA67" i="2"/>
  <c r="FE14" i="4" a="1"/>
  <c r="BU25" i="3"/>
  <c r="BK16" i="3"/>
  <c r="BC10" i="3"/>
  <c r="BB10" i="3"/>
  <c r="Y50" i="2"/>
  <c r="Y59" i="2"/>
  <c r="FA16" i="4" a="1"/>
  <c r="BL11" i="3"/>
  <c r="Z9" i="2"/>
  <c r="BO9" i="3"/>
  <c r="Z91" i="2"/>
  <c r="BD7" i="3"/>
  <c r="FF6" i="4" a="1"/>
  <c r="BP9" i="3"/>
  <c r="AA83" i="2"/>
  <c r="BP16" i="3"/>
  <c r="Y76" i="2"/>
  <c r="FB5" i="4" a="1"/>
  <c r="BG36" i="3"/>
  <c r="BU13" i="3"/>
  <c r="BE7" i="3"/>
  <c r="BC16" i="3"/>
  <c r="BD12" i="3"/>
  <c r="BQ32" i="3"/>
  <c r="BM21" i="3"/>
  <c r="Y54" i="2"/>
  <c r="AA16" i="2"/>
  <c r="Y56" i="2"/>
  <c r="BO15" i="3"/>
  <c r="BD36" i="3"/>
  <c r="Z98" i="2"/>
  <c r="BI24" i="3"/>
  <c r="BM46" i="3"/>
  <c r="BQ21" i="3"/>
  <c r="BJ24" i="3"/>
  <c r="BT21" i="3"/>
  <c r="BM17" i="3"/>
  <c r="BP6" i="3"/>
  <c r="Y68" i="2"/>
  <c r="Y15" i="2"/>
  <c r="BB12" i="3"/>
  <c r="FF16" i="4" a="1"/>
  <c r="BU27" i="3"/>
  <c r="BR22" i="3"/>
  <c r="BF29" i="3"/>
  <c r="CL54" i="1" s="1"/>
  <c r="BL16" i="3"/>
  <c r="BL8" i="3"/>
  <c r="BD33" i="3"/>
  <c r="BA35" i="3"/>
  <c r="BQ40" i="3"/>
  <c r="BV22" i="3"/>
  <c r="BN7" i="3"/>
  <c r="BM39" i="3"/>
  <c r="BI33" i="3"/>
  <c r="Z13" i="2"/>
  <c r="BA32" i="3"/>
  <c r="Y66" i="2"/>
  <c r="FA11" i="4" a="1"/>
  <c r="BA33" i="3"/>
  <c r="FA7" i="4" a="1"/>
  <c r="BL10" i="3"/>
  <c r="BO19" i="3"/>
  <c r="BP15" i="3"/>
  <c r="BJ20" i="3"/>
  <c r="BH45" i="3"/>
  <c r="Z107" i="2"/>
  <c r="BQ11" i="3"/>
  <c r="BN31" i="3"/>
  <c r="BS25" i="3"/>
  <c r="BE5" i="3"/>
  <c r="BH41" i="3"/>
  <c r="AA40" i="2"/>
  <c r="Y19" i="2"/>
  <c r="AA13" i="2"/>
  <c r="BU17" i="3"/>
  <c r="BG15" i="3"/>
  <c r="BO32" i="3"/>
  <c r="BG10" i="3"/>
  <c r="BJ14" i="3"/>
  <c r="Z76" i="2"/>
  <c r="Y80" i="2"/>
  <c r="AA89" i="2"/>
  <c r="Y29" i="2"/>
  <c r="BK37" i="3"/>
  <c r="BQ6" i="3"/>
  <c r="BH16" i="3"/>
  <c r="BS20" i="3"/>
  <c r="BN14" i="3"/>
  <c r="BU46" i="3"/>
  <c r="BR27" i="3"/>
  <c r="BF23" i="3"/>
  <c r="CL50" i="1" s="1"/>
  <c r="BJ13" i="3"/>
  <c r="BJ5" i="3"/>
  <c r="BU6" i="3"/>
  <c r="BP11" i="3"/>
  <c r="BA20" i="3"/>
  <c r="BB42" i="3"/>
  <c r="AA71" i="2"/>
  <c r="BF19" i="3"/>
  <c r="BJ28" i="3"/>
  <c r="Z80" i="2"/>
  <c r="Z17" i="2"/>
  <c r="Y40" i="2"/>
  <c r="FB11" i="4" a="1"/>
  <c r="BU45" i="3"/>
  <c r="BH10" i="3"/>
  <c r="AA106" i="2"/>
  <c r="BB23" i="3"/>
  <c r="AA5" i="2"/>
  <c r="BV19" i="3"/>
  <c r="BQ8" i="3"/>
  <c r="BP35" i="3"/>
  <c r="BB9" i="3"/>
  <c r="BO27" i="3"/>
  <c r="BA27" i="3"/>
  <c r="BA34" i="3"/>
  <c r="FB15" i="4" a="1"/>
  <c r="BE27" i="3"/>
  <c r="FC9" i="4" a="1"/>
  <c r="BJ41" i="3"/>
  <c r="Y26" i="2"/>
  <c r="EX12" i="4" a="1"/>
  <c r="Y6" i="2"/>
  <c r="BU31" i="3"/>
  <c r="BI21" i="3"/>
  <c r="BC15" i="3"/>
  <c r="AA49" i="2"/>
  <c r="BR9" i="3"/>
  <c r="BJ31" i="3"/>
  <c r="BD34" i="3"/>
  <c r="Z34" i="2"/>
  <c r="BA11" i="3"/>
  <c r="BO33" i="3"/>
  <c r="Y25" i="2"/>
  <c r="BD5" i="3"/>
  <c r="BV20" i="3"/>
  <c r="BE29" i="3"/>
  <c r="BA5" i="3"/>
  <c r="EZ12" i="4" a="1"/>
  <c r="FC15" i="4" a="1"/>
  <c r="EX5" i="4" a="1"/>
  <c r="Z60" i="2"/>
  <c r="BQ27" i="3"/>
  <c r="BV15" i="3"/>
  <c r="BP42" i="3"/>
  <c r="BK22" i="3"/>
  <c r="BP8" i="3"/>
  <c r="Z109" i="2"/>
  <c r="Z68" i="2"/>
  <c r="AA31" i="2"/>
  <c r="FD15" i="4" a="1"/>
  <c r="BU33" i="3"/>
  <c r="BR28" i="3"/>
  <c r="BI8" i="3"/>
  <c r="BN35" i="3"/>
  <c r="BF25" i="3"/>
  <c r="CL51" i="1" s="1"/>
  <c r="BB17" i="3"/>
  <c r="Z57" i="2"/>
  <c r="BR5" i="3"/>
  <c r="BV28" i="3"/>
  <c r="BF31" i="3"/>
  <c r="BH18" i="3"/>
  <c r="BN9" i="3"/>
  <c r="BA45" i="3"/>
  <c r="BA41" i="3"/>
  <c r="BC22" i="3"/>
  <c r="FE9" i="4" a="1"/>
  <c r="Z65" i="2"/>
  <c r="BU10" i="3"/>
  <c r="BH30" i="3"/>
  <c r="BO25" i="3"/>
  <c r="BP23" i="3"/>
  <c r="BL39" i="3"/>
  <c r="AB39" i="3"/>
  <c r="AA9" i="2"/>
  <c r="BQ17" i="3"/>
  <c r="BK13" i="3"/>
  <c r="BS31" i="3"/>
  <c r="BM9" i="3"/>
  <c r="BF8" i="3"/>
  <c r="Y94" i="2"/>
  <c r="Z5" i="2"/>
  <c r="AA32" i="2"/>
  <c r="BU23" i="3"/>
  <c r="BI36" i="3"/>
  <c r="BO41" i="3"/>
  <c r="BE15" i="3"/>
  <c r="BJ22" i="3"/>
  <c r="Y104" i="2"/>
  <c r="AA81" i="2"/>
  <c r="X6" i="2"/>
  <c r="Y97" i="2"/>
  <c r="BJ18" i="3"/>
  <c r="BQ12" i="3"/>
  <c r="BJ35" i="3"/>
  <c r="BS26" i="3"/>
  <c r="BH25" i="3"/>
  <c r="BV9" i="3"/>
  <c r="BR33" i="3"/>
  <c r="BG5" i="3"/>
  <c r="BG79" i="3" s="1"/>
  <c r="BL32" i="3"/>
  <c r="BH22" i="3"/>
  <c r="BU24" i="3"/>
  <c r="BM15" i="3"/>
  <c r="BD37" i="3"/>
  <c r="BD24" i="3"/>
  <c r="Z58" i="2"/>
  <c r="BG41" i="3"/>
  <c r="BL41" i="3"/>
  <c r="BD10" i="3"/>
  <c r="BB11" i="3"/>
  <c r="BC24" i="3"/>
  <c r="AA33" i="2"/>
  <c r="BT23" i="3"/>
  <c r="BE30" i="3"/>
  <c r="Y65" i="2"/>
  <c r="BD15" i="3"/>
  <c r="BI11" i="3"/>
  <c r="BQ26" i="3"/>
  <c r="BQ33" i="3"/>
  <c r="BV21" i="3"/>
  <c r="BE45" i="3"/>
  <c r="BK36" i="3"/>
  <c r="BE31" i="3"/>
  <c r="AA93" i="2"/>
  <c r="BC14" i="3"/>
  <c r="Z87" i="2"/>
  <c r="FD8" i="4" a="1"/>
  <c r="BU39" i="3"/>
  <c r="BR34" i="3"/>
  <c r="BG29" i="3"/>
  <c r="BI16" i="3"/>
  <c r="BH42" i="3"/>
  <c r="BB25" i="3"/>
  <c r="AA104" i="2"/>
  <c r="BR11" i="3"/>
  <c r="BV34" i="3"/>
  <c r="BK9" i="3"/>
  <c r="BN37" i="3"/>
  <c r="BH26" i="3"/>
  <c r="BD18" i="3"/>
  <c r="BC45" i="3"/>
  <c r="Z71" i="2"/>
  <c r="FA9" i="4" a="1"/>
  <c r="BD16" i="3"/>
  <c r="BU16" i="3"/>
  <c r="BE12" i="3"/>
  <c r="BO31" i="3"/>
  <c r="BI9" i="3"/>
  <c r="BE46" i="3"/>
  <c r="AA61" i="2"/>
  <c r="AA79" i="2"/>
  <c r="BQ23" i="3"/>
  <c r="BE34" i="3"/>
  <c r="BO40" i="3"/>
  <c r="BK14" i="3"/>
  <c r="BF16" i="3"/>
  <c r="CL35" i="1" s="1"/>
  <c r="Z48" i="2"/>
  <c r="AA50" i="2"/>
  <c r="AA82" i="2"/>
  <c r="BU29" i="3"/>
  <c r="BF20" i="3"/>
  <c r="CL24" i="1" s="1"/>
  <c r="BT22" i="3"/>
  <c r="BM19" i="3"/>
  <c r="BT31" i="3"/>
  <c r="Y64" i="2"/>
  <c r="AA26" i="2"/>
  <c r="BD9" i="3"/>
  <c r="FA8" i="4" a="1"/>
  <c r="BT40" i="3"/>
  <c r="BQ18" i="3"/>
  <c r="BG17" i="3"/>
  <c r="BO42" i="3"/>
  <c r="BN28" i="3"/>
  <c r="BO38" i="3"/>
  <c r="BR39" i="3"/>
  <c r="BK25" i="3"/>
  <c r="BG13" i="3"/>
  <c r="BF39" i="3"/>
  <c r="BU42" i="3"/>
  <c r="BL6" i="3"/>
  <c r="Y20" i="2"/>
  <c r="Y107" i="2"/>
  <c r="BA21" i="3"/>
  <c r="BV25" i="3"/>
  <c r="BI41" i="3"/>
  <c r="BB21" i="3"/>
  <c r="EZ8" i="4" a="1"/>
  <c r="EX16" i="4" a="1"/>
  <c r="Z93" i="2"/>
  <c r="BF21" i="3"/>
  <c r="CL37" i="1" s="1"/>
  <c r="BF30" i="3"/>
  <c r="Y106" i="2"/>
  <c r="BQ39" i="3"/>
  <c r="BV27" i="3"/>
  <c r="BF27" i="3"/>
  <c r="BF15" i="3"/>
  <c r="CL39" i="1" s="1"/>
  <c r="BF7" i="3"/>
  <c r="BD32" i="3"/>
  <c r="BA40" i="3"/>
  <c r="BB35" i="3"/>
  <c r="EZ16" i="4" a="1"/>
  <c r="BV10" i="3"/>
  <c r="BR40" i="3"/>
  <c r="BN30" i="3"/>
  <c r="BM36" i="3"/>
  <c r="BE18" i="3"/>
  <c r="BD23" i="3"/>
  <c r="Z46" i="2"/>
  <c r="BS41" i="3"/>
  <c r="BV40" i="3"/>
  <c r="BM30" i="3"/>
  <c r="BI18" i="3"/>
  <c r="BF45" i="3"/>
  <c r="CL78" i="1" s="1"/>
  <c r="BB30" i="3"/>
  <c r="Z23" i="2"/>
  <c r="Z26" i="2"/>
  <c r="FA13" i="4" a="1"/>
  <c r="BD38" i="3"/>
  <c r="BU22" i="3"/>
  <c r="BM32" i="3"/>
  <c r="BS39" i="3"/>
  <c r="BG14" i="3"/>
  <c r="BL9" i="3"/>
  <c r="AA17" i="2"/>
  <c r="AA86" i="2"/>
  <c r="BQ29" i="3"/>
  <c r="BJ10" i="3"/>
  <c r="BT10" i="3"/>
  <c r="BI19" i="3"/>
  <c r="BT25" i="3"/>
  <c r="AA14" i="2"/>
  <c r="Z70" i="2"/>
  <c r="AV10" i="3"/>
  <c r="BU35" i="3"/>
  <c r="BR10" i="3"/>
  <c r="BV33" i="3"/>
  <c r="BM6" i="3"/>
  <c r="BH34" i="3"/>
  <c r="BN23" i="3"/>
  <c r="BA31" i="3"/>
  <c r="BD45" i="3"/>
  <c r="Z24" i="2"/>
  <c r="EX15" i="4" a="1"/>
  <c r="BS40" i="3"/>
  <c r="BO6" i="3"/>
  <c r="BT20" i="3"/>
  <c r="BL21" i="3"/>
  <c r="BI34" i="3"/>
  <c r="Z25" i="2"/>
  <c r="AA96" i="2"/>
  <c r="BT6" i="3"/>
  <c r="BS6" i="3"/>
  <c r="BH37" i="3"/>
  <c r="BM38" i="3"/>
  <c r="BK19" i="3"/>
  <c r="BC12" i="3"/>
  <c r="Z35" i="2"/>
  <c r="Z56" i="2"/>
  <c r="EZ9" i="4" a="1"/>
  <c r="Z27" i="2"/>
  <c r="BU28" i="3"/>
  <c r="BF46" i="3"/>
  <c r="CL79" i="1" s="1"/>
  <c r="BT39" i="3"/>
  <c r="BE19" i="3"/>
  <c r="BT19" i="3"/>
  <c r="Y46" i="2"/>
  <c r="AA63" i="2"/>
  <c r="BQ35" i="3"/>
  <c r="BV17" i="3"/>
  <c r="BI29" i="3"/>
  <c r="BK26" i="3"/>
  <c r="BS11" i="3"/>
  <c r="BT16" i="3"/>
  <c r="BH15" i="3"/>
  <c r="BG33" i="3"/>
  <c r="Z47" i="2"/>
  <c r="Y11" i="2"/>
  <c r="BB36" i="3"/>
  <c r="FB16" i="4" a="1"/>
  <c r="BL26" i="3"/>
  <c r="BO24" i="3"/>
  <c r="BK8" i="3"/>
  <c r="BF32" i="3"/>
  <c r="AA19" i="2"/>
  <c r="Z79" i="2"/>
  <c r="BQ10" i="3"/>
  <c r="BH28" i="3"/>
  <c r="BS24" i="3"/>
  <c r="BP7" i="3"/>
  <c r="BF38" i="3"/>
  <c r="Y83" i="2"/>
  <c r="AA30" i="2"/>
  <c r="Y81" i="2"/>
  <c r="Y41" i="2"/>
  <c r="AA98" i="2"/>
  <c r="BC40" i="3"/>
  <c r="BV5" i="3"/>
  <c r="BR29" i="3"/>
  <c r="BF33" i="3"/>
  <c r="BH20" i="3"/>
  <c r="BJ11" i="3"/>
  <c r="Z64" i="2"/>
  <c r="BC7" i="3"/>
  <c r="BR12" i="3"/>
  <c r="BV35" i="3"/>
  <c r="BE14" i="3"/>
  <c r="BF41" i="3"/>
  <c r="BL28" i="3"/>
  <c r="BC37" i="3"/>
  <c r="BC42" i="3"/>
  <c r="BA10" i="3"/>
  <c r="BO46" i="3"/>
  <c r="BR42" i="3"/>
  <c r="BE36" i="3"/>
  <c r="BG23" i="3"/>
  <c r="BK7" i="3"/>
  <c r="BD21" i="3"/>
  <c r="Z6" i="2"/>
  <c r="BD31" i="3"/>
  <c r="FB6" i="4" a="1"/>
  <c r="BF6" i="3"/>
  <c r="CL23" i="1" s="1"/>
  <c r="CL12" i="1" s="1"/>
  <c r="BR7" i="3"/>
  <c r="BV30" i="3"/>
  <c r="BM5" i="3"/>
  <c r="BU14" i="3"/>
  <c r="BJ45" i="3"/>
  <c r="BO29" i="3"/>
  <c r="BM7" i="3"/>
  <c r="BH19" i="3"/>
  <c r="Y14" i="2"/>
  <c r="BR45" i="3"/>
  <c r="BG9" i="3"/>
  <c r="Y109" i="2"/>
  <c r="FF14" i="4" a="1"/>
  <c r="Z67" i="2"/>
  <c r="BK41" i="3"/>
  <c r="AA94" i="2"/>
  <c r="Y7" i="2"/>
  <c r="FE13" i="4" a="1"/>
  <c r="BC21" i="3"/>
  <c r="Z33" i="2"/>
  <c r="BP5" i="3"/>
  <c r="BP50" i="3" s="1"/>
  <c r="Y60" i="2"/>
  <c r="Y82" i="2"/>
  <c r="EX6" i="4" a="1"/>
  <c r="BC19" i="3"/>
  <c r="AA15" i="2"/>
  <c r="BV46" i="3"/>
  <c r="BM12" i="3"/>
  <c r="BP18" i="3"/>
  <c r="BF17" i="3"/>
  <c r="CL36" i="1" s="1"/>
  <c r="FA12" i="4" a="1"/>
  <c r="Z86" i="2"/>
  <c r="BA38" i="3"/>
  <c r="BA12" i="3"/>
  <c r="BH39" i="3"/>
  <c r="BT8" i="3"/>
  <c r="BB19" i="3"/>
  <c r="Y51" i="2"/>
  <c r="BD42" i="3"/>
  <c r="BO28" i="3"/>
  <c r="BJ34" i="3"/>
  <c r="Y57" i="2"/>
  <c r="FF12" i="4" a="1"/>
  <c r="BP32" i="3"/>
  <c r="AA110" i="2"/>
  <c r="BB40" i="3"/>
  <c r="BN10" i="3"/>
  <c r="BI37" i="3"/>
  <c r="BL7" i="3"/>
  <c r="BL33" i="3"/>
  <c r="BQ20" i="3"/>
  <c r="BG12" i="3"/>
  <c r="BA29" i="3"/>
  <c r="BD17" i="3"/>
  <c r="FB13" i="4" a="1"/>
  <c r="BH36" i="3"/>
  <c r="BB27" i="3"/>
  <c r="EX8" i="4" a="1"/>
  <c r="BO39" i="3"/>
  <c r="AA108" i="2"/>
  <c r="BH17" i="3"/>
  <c r="BT24" i="3"/>
  <c r="FE16" i="4" a="1"/>
  <c r="BP26" i="3"/>
  <c r="BG24" i="3"/>
  <c r="BC36" i="3"/>
  <c r="BL36" i="3"/>
  <c r="Y35" i="2"/>
  <c r="FE8" i="4" a="1"/>
  <c r="BV18" i="3"/>
  <c r="BG46" i="3"/>
  <c r="BF14" i="3"/>
  <c r="CL38" i="1" s="1"/>
  <c r="BH35" i="3"/>
  <c r="BH21" i="3"/>
  <c r="Y30" i="2"/>
  <c r="BD13" i="3"/>
  <c r="AA74" i="2"/>
  <c r="BA23" i="3"/>
  <c r="BS22" i="3"/>
  <c r="BU30" i="3"/>
  <c r="AA60" i="2"/>
  <c r="BN33" i="3"/>
  <c r="Z10" i="2"/>
  <c r="BN27" i="3"/>
  <c r="FE12" i="4" a="1"/>
  <c r="BK28" i="3"/>
  <c r="BL37" i="3"/>
  <c r="BC39" i="3"/>
  <c r="BQ14" i="3"/>
  <c r="BL20" i="3"/>
  <c r="BM25" i="3"/>
  <c r="BU18" i="3"/>
  <c r="BM28" i="3"/>
  <c r="BC25" i="3"/>
  <c r="BJ12" i="3"/>
  <c r="AA92" i="2"/>
  <c r="FB8" i="4" a="1"/>
  <c r="AA43" i="2"/>
  <c r="FD11" i="4" a="1"/>
  <c r="AA27" i="2"/>
  <c r="BV14" i="3"/>
  <c r="FE15" i="4" a="1"/>
  <c r="BG19" i="3"/>
  <c r="BB31" i="3"/>
  <c r="BU66" i="3"/>
  <c r="BA24" i="3"/>
  <c r="AA23" i="2"/>
  <c r="BC30" i="3"/>
  <c r="BK42" i="3"/>
  <c r="Z97" i="2"/>
  <c r="BU19" i="3"/>
  <c r="BR8" i="3"/>
  <c r="BJ19" i="3"/>
  <c r="BS10" i="3"/>
  <c r="FD6" i="4" a="1"/>
  <c r="BO16" i="3"/>
  <c r="Z50" i="2"/>
  <c r="BP24" i="3"/>
  <c r="BI26" i="3"/>
  <c r="BM18" i="3"/>
  <c r="Y87" i="2"/>
  <c r="BP57" i="3"/>
  <c r="BG42" i="3"/>
  <c r="BH38" i="3"/>
  <c r="BC8" i="3"/>
  <c r="Y17" i="2"/>
  <c r="BM27" i="3"/>
  <c r="AA47" i="2"/>
  <c r="BR30" i="3"/>
  <c r="BJ15" i="3"/>
  <c r="BK39" i="3"/>
  <c r="BT29" i="3"/>
  <c r="BB20" i="3"/>
  <c r="BS15" i="3"/>
  <c r="BR14" i="3"/>
  <c r="BI7" i="3"/>
  <c r="C5" i="2"/>
  <c r="EY5" i="4" a="1"/>
  <c r="BN8" i="3"/>
  <c r="FB7" i="4" a="1"/>
  <c r="BV26" i="3"/>
  <c r="BE21" i="3"/>
  <c r="BP22" i="3"/>
  <c r="BT30" i="3"/>
  <c r="BH27" i="3"/>
  <c r="BK30" i="3"/>
  <c r="BD28" i="3"/>
  <c r="BT41" i="3"/>
  <c r="Z18" i="2"/>
  <c r="BJ36" i="3"/>
  <c r="BP37" i="3"/>
  <c r="Y8" i="2"/>
  <c r="BK34" i="3"/>
  <c r="BI45" i="3"/>
  <c r="Z83" i="2"/>
  <c r="BE16" i="3"/>
  <c r="BB45" i="3"/>
  <c r="FB12" i="4" a="1"/>
  <c r="BV24" i="3"/>
  <c r="BH24" i="3"/>
  <c r="BH33" i="3"/>
  <c r="BG40" i="3"/>
  <c r="BI14" i="3"/>
  <c r="BA7" i="3"/>
  <c r="BB13" i="3"/>
  <c r="Z74" i="2"/>
  <c r="BE8" i="3"/>
  <c r="BE17" i="3"/>
  <c r="BV7" i="3"/>
  <c r="Z16" i="2"/>
  <c r="Z30" i="2"/>
  <c r="Z51" i="2"/>
  <c r="BL27" i="3"/>
  <c r="BC32" i="3"/>
  <c r="BI27" i="3"/>
  <c r="BN29" i="3"/>
  <c r="Z73" i="2"/>
  <c r="BP38" i="3"/>
  <c r="BE28" i="3"/>
  <c r="FA6" i="4" a="1"/>
  <c r="BU36" i="3"/>
  <c r="AA73" i="2"/>
  <c r="AA11" i="2"/>
  <c r="BJ37" i="3"/>
  <c r="BA14" i="3"/>
  <c r="BQ62" i="3"/>
  <c r="EZ15" i="4" a="1"/>
  <c r="BV13" i="3"/>
  <c r="BD41" i="3"/>
  <c r="AA107" i="2"/>
  <c r="BI42" i="3"/>
  <c r="BD25" i="3"/>
  <c r="BQ56" i="3"/>
  <c r="Y92" i="2"/>
  <c r="Z14" i="2"/>
  <c r="BJ6" i="3"/>
  <c r="Y74" i="2"/>
  <c r="Z22" i="2"/>
  <c r="Z63" i="2"/>
  <c r="BQ38" i="3"/>
  <c r="Y85" i="2"/>
  <c r="EX13" i="4" a="1"/>
  <c r="BF28" i="3"/>
  <c r="CL47" i="1" s="1"/>
  <c r="AA22" i="2"/>
  <c r="BV32" i="3"/>
  <c r="BU37" i="3"/>
  <c r="BG59" i="3"/>
  <c r="Y95" i="2"/>
  <c r="Z72" i="2"/>
  <c r="Z84" i="2"/>
  <c r="BV8" i="3"/>
  <c r="BA46" i="3"/>
  <c r="BS33" i="3"/>
  <c r="BV38" i="3"/>
  <c r="AA95" i="2"/>
  <c r="BI22" i="3"/>
  <c r="BP60" i="3"/>
  <c r="BP30" i="3"/>
  <c r="Z82" i="2"/>
  <c r="EY8" i="4" a="1"/>
  <c r="BA17" i="3"/>
  <c r="BH13" i="3"/>
  <c r="BH9" i="3"/>
  <c r="BB38" i="3"/>
  <c r="BN39" i="3"/>
  <c r="BC20" i="3"/>
  <c r="BQ36" i="3"/>
  <c r="BT45" i="3"/>
  <c r="FD16" i="4" a="1"/>
  <c r="BJ46" i="3"/>
  <c r="Z81" i="2"/>
  <c r="Y49" i="2"/>
  <c r="AA76" i="2"/>
  <c r="BM11" i="3"/>
  <c r="BF42" i="3"/>
  <c r="CL66" i="1" s="1"/>
  <c r="AA45" i="2"/>
  <c r="FC11" i="4" a="1"/>
  <c r="Z40" i="2"/>
  <c r="BV39" i="3"/>
  <c r="Z28" i="2"/>
  <c r="BL35" i="3"/>
  <c r="BL29" i="3"/>
  <c r="Y27" i="2"/>
  <c r="Y23" i="2"/>
  <c r="BN21" i="3"/>
  <c r="BC33" i="3"/>
  <c r="BK24" i="3"/>
  <c r="Z12" i="2"/>
  <c r="BI15" i="3"/>
  <c r="BT38" i="3"/>
  <c r="BO5" i="3"/>
  <c r="BK15" i="3"/>
  <c r="Z49" i="2"/>
  <c r="BV45" i="3"/>
  <c r="FF11" i="4" a="1"/>
  <c r="BM42" i="3"/>
  <c r="Z42" i="2"/>
  <c r="BI30" i="3"/>
  <c r="BN11" i="3"/>
  <c r="BF37" i="3"/>
  <c r="AA59" i="2"/>
  <c r="AA10" i="2"/>
  <c r="EX14" i="4" a="1"/>
  <c r="BH62" i="3"/>
  <c r="Y91" i="2"/>
  <c r="BM40" i="3"/>
  <c r="BF34" i="3"/>
  <c r="CL60" i="1" s="1"/>
  <c r="Z85" i="2"/>
  <c r="BN41" i="3"/>
  <c r="BN40" i="3"/>
  <c r="BS5" i="3"/>
  <c r="AA25" i="2"/>
  <c r="Y13" i="2"/>
  <c r="BN18" i="3"/>
  <c r="Y79" i="2"/>
  <c r="AA105" i="2"/>
  <c r="BP28" i="3"/>
  <c r="BU41" i="3"/>
  <c r="BK46" i="3"/>
  <c r="BB16" i="3"/>
  <c r="BE25" i="3"/>
  <c r="BE33" i="3"/>
  <c r="BO11" i="3"/>
  <c r="BK31" i="3"/>
  <c r="Z95" i="2"/>
  <c r="BS21" i="3"/>
  <c r="FB14" i="4" a="1"/>
  <c r="BR26" i="3"/>
  <c r="BB34" i="3"/>
  <c r="Z54" i="2"/>
  <c r="BE32" i="3"/>
  <c r="BP10" i="3"/>
  <c r="FC7" i="4" a="1"/>
  <c r="BD30" i="3"/>
  <c r="BQ13" i="3"/>
  <c r="BL18" i="3"/>
  <c r="BK27" i="3"/>
  <c r="EY9" i="4" a="1"/>
  <c r="AA8" i="2"/>
  <c r="BK35" i="3"/>
  <c r="BU34" i="3"/>
  <c r="Y71" i="2"/>
  <c r="BM35" i="3"/>
  <c r="BV6" i="3"/>
  <c r="BJ23" i="3"/>
  <c r="BD8" i="3"/>
  <c r="BH46" i="3"/>
  <c r="BH14" i="3"/>
  <c r="BO17" i="3"/>
  <c r="BN22" i="3"/>
  <c r="BA6" i="3"/>
  <c r="BS46" i="3"/>
  <c r="FF8" i="4" a="1"/>
  <c r="BR46" i="3"/>
  <c r="FF15" i="4" a="1"/>
  <c r="Y48" i="2"/>
  <c r="BL31" i="3"/>
  <c r="BH40" i="3"/>
  <c r="EZ5" i="4" a="1"/>
  <c r="Z106" i="2"/>
  <c r="BQ31" i="3"/>
  <c r="BT18" i="3"/>
  <c r="BR37" i="3"/>
  <c r="BV37" i="3"/>
  <c r="V6" i="2"/>
  <c r="BC41" i="3"/>
  <c r="BS28" i="3"/>
  <c r="BM37" i="3"/>
  <c r="BI20" i="3"/>
  <c r="BR20" i="3"/>
  <c r="BQ46" i="3"/>
  <c r="Y110" i="2"/>
  <c r="AA18" i="2"/>
  <c r="BV23" i="3"/>
  <c r="Y108" i="2"/>
  <c r="BF26" i="3"/>
  <c r="CL62" i="1" s="1"/>
  <c r="EZ13" i="4" a="1"/>
  <c r="Z44" i="2"/>
  <c r="BJ40" i="3"/>
  <c r="BU40" i="3"/>
  <c r="BC28" i="3"/>
  <c r="BF13" i="3"/>
  <c r="BV12" i="3"/>
  <c r="BL42" i="3"/>
  <c r="BA28" i="3"/>
  <c r="BM24" i="3"/>
  <c r="BK17" i="3"/>
  <c r="BO23" i="3"/>
  <c r="BK45" i="3"/>
  <c r="BD35" i="3"/>
  <c r="BJ17" i="3"/>
  <c r="EY16" i="4" a="1"/>
  <c r="BO22" i="3"/>
  <c r="FC5" i="4" a="1"/>
  <c r="Y70" i="2"/>
  <c r="BJ30" i="3"/>
  <c r="BJ26" i="3"/>
  <c r="Y69" i="2"/>
  <c r="BG34" i="3"/>
  <c r="BN25" i="3"/>
  <c r="BN16" i="3"/>
  <c r="BL46" i="3"/>
  <c r="BT46" i="3"/>
  <c r="BS34" i="3"/>
  <c r="BM22" i="3"/>
  <c r="Z90" i="2"/>
  <c r="BV31" i="3"/>
  <c r="BE24" i="3"/>
  <c r="BE10" i="3"/>
  <c r="BP46" i="3"/>
  <c r="Y55" i="2"/>
  <c r="BB18" i="3"/>
  <c r="AA64" i="2"/>
  <c r="AA85" i="2"/>
  <c r="FD13" i="4" a="1"/>
  <c r="BM14" i="3"/>
  <c r="BG28" i="3"/>
  <c r="Y84" i="2"/>
  <c r="AA87" i="2"/>
  <c r="BR17" i="3"/>
  <c r="BQ41" i="3"/>
  <c r="Z108" i="2"/>
  <c r="BR18" i="3"/>
  <c r="BP34" i="3"/>
  <c r="BB7" i="3"/>
  <c r="BQ24" i="3"/>
  <c r="BP40" i="3"/>
  <c r="BF18" i="3"/>
  <c r="CL40" i="1" s="1"/>
  <c r="BT7" i="3"/>
  <c r="Z78" i="2"/>
  <c r="BM10" i="3"/>
  <c r="FD12" i="4" a="1"/>
  <c r="BH11" i="3"/>
  <c r="FE6" i="4" a="1"/>
  <c r="BO34" i="3"/>
  <c r="BM45" i="3"/>
  <c r="BG6" i="3"/>
  <c r="BB39" i="3"/>
  <c r="EY14" i="4" a="1"/>
  <c r="BD14" i="3"/>
  <c r="BS16" i="3"/>
  <c r="Z41" i="2"/>
  <c r="EX9" i="4" a="1"/>
  <c r="BK20" i="3"/>
  <c r="BD20" i="3"/>
  <c r="AA109" i="2"/>
  <c r="BF35" i="3"/>
  <c r="CL61" i="1" s="1"/>
  <c r="EY13" i="4" a="1"/>
  <c r="BM29" i="3"/>
  <c r="BC34" i="3"/>
  <c r="BC46" i="3"/>
  <c r="AA54" i="2"/>
  <c r="BG11" i="3"/>
  <c r="BC38" i="3"/>
  <c r="EY11" i="4" a="1"/>
  <c r="BE11" i="3"/>
  <c r="EX7" i="4" a="1"/>
  <c r="AA56" i="2"/>
  <c r="BP17" i="3"/>
  <c r="FE7" i="4" a="1"/>
  <c r="BF40" i="3"/>
  <c r="Y31" i="2"/>
  <c r="BG35" i="3"/>
  <c r="BJ7" i="3"/>
  <c r="AA34" i="2"/>
  <c r="AA66" i="2"/>
  <c r="BR23" i="3"/>
  <c r="BR6" i="3"/>
  <c r="AA78" i="2"/>
  <c r="BR24" i="3"/>
  <c r="BE37" i="3"/>
  <c r="Y67" i="2"/>
  <c r="BQ30" i="3"/>
  <c r="BK38" i="3"/>
  <c r="BT12" i="3"/>
  <c r="BN17" i="3"/>
  <c r="BL40" i="3"/>
  <c r="BO12" i="3"/>
  <c r="BN13" i="3"/>
  <c r="BP33" i="3"/>
  <c r="BA19" i="3"/>
  <c r="EY12" i="4" a="1"/>
  <c r="BI39" i="3"/>
  <c r="AA70" i="2"/>
  <c r="BI25" i="3"/>
  <c r="BM16" i="3"/>
  <c r="BO18" i="3"/>
  <c r="BF9" i="3"/>
  <c r="Y45" i="2"/>
  <c r="BJ9" i="3"/>
  <c r="BV29" i="3"/>
  <c r="Y61" i="2"/>
  <c r="BR36" i="3"/>
  <c r="BL30" i="3"/>
  <c r="BC6" i="3"/>
  <c r="BQ42" i="3"/>
  <c r="BU8" i="3"/>
  <c r="BP45" i="3"/>
  <c r="BR25" i="3"/>
  <c r="EX11" i="4" a="1"/>
  <c r="AA80" i="2"/>
  <c r="AA91" i="2"/>
  <c r="BJ16" i="3"/>
  <c r="BH23" i="3"/>
  <c r="BL22" i="3"/>
  <c r="Z53" i="2"/>
  <c r="Y21" i="2"/>
  <c r="BB24" i="3"/>
  <c r="BB22" i="3"/>
  <c r="BH31" i="3"/>
  <c r="AA35" i="2"/>
  <c r="BA37" i="3"/>
  <c r="BR32" i="3"/>
  <c r="Y58" i="2"/>
  <c r="EZ14" i="4" a="1"/>
  <c r="FF9" i="4" a="1"/>
  <c r="BC17" i="3"/>
  <c r="BN26" i="3"/>
  <c r="BU12" i="3"/>
  <c r="AA41" i="2"/>
  <c r="Z29" i="2"/>
  <c r="FA14" i="4" a="1"/>
  <c r="EZ6" i="4" a="1"/>
  <c r="BA9" i="3"/>
  <c r="BP21" i="3"/>
  <c r="BS12" i="3"/>
  <c r="BD27" i="3"/>
  <c r="BM23" i="3"/>
  <c r="BF11" i="3"/>
  <c r="CL30" i="1" s="1"/>
  <c r="BC13" i="3"/>
  <c r="BI31" i="3"/>
  <c r="AA51" i="2"/>
  <c r="EZ11" i="4" a="1"/>
  <c r="BE38" i="3"/>
  <c r="BT35" i="3"/>
  <c r="BK33" i="3"/>
  <c r="BM26" i="3"/>
  <c r="Z69" i="2"/>
  <c r="Z31" i="2"/>
  <c r="FC12" i="4" a="1"/>
  <c r="BA39" i="3"/>
  <c r="AY29" i="3"/>
  <c r="BF10" i="3"/>
  <c r="CL28" i="1" s="1"/>
  <c r="BD11" i="3"/>
  <c r="Z75" i="2"/>
  <c r="AA48" i="2"/>
  <c r="AA6" i="2"/>
  <c r="BK6" i="3"/>
  <c r="Z21" i="2"/>
  <c r="BS36" i="3"/>
  <c r="BO10" i="3"/>
  <c r="Z77" i="2"/>
  <c r="FC16" i="4" a="1"/>
  <c r="BN12" i="3"/>
  <c r="Y86" i="2"/>
  <c r="EZ7" i="4" a="1"/>
  <c r="BE6" i="3"/>
  <c r="BM41" i="3"/>
  <c r="BP25" i="3"/>
  <c r="Z59" i="2"/>
  <c r="FE11" i="4" a="1"/>
  <c r="AA90" i="2"/>
  <c r="BA22" i="3"/>
  <c r="BP29" i="3"/>
  <c r="BS18" i="3"/>
  <c r="BC35" i="3"/>
  <c r="BK40" i="3"/>
  <c r="BL34" i="3"/>
  <c r="BA36" i="3"/>
  <c r="BL12" i="3"/>
  <c r="Y99" i="2"/>
  <c r="FA15" i="4" a="1"/>
  <c r="BN24" i="3"/>
  <c r="BQ59" i="3"/>
  <c r="BB66" i="3"/>
  <c r="BH83" i="3"/>
  <c r="BQ96" i="3"/>
  <c r="BU97" i="3"/>
  <c r="BN83" i="3"/>
  <c r="BQ49" i="3"/>
  <c r="BB48" i="3"/>
  <c r="BH73" i="3"/>
  <c r="BQ95" i="3"/>
  <c r="BU65" i="3"/>
  <c r="BN85" i="3"/>
  <c r="HC5" i="4" a="1"/>
  <c r="BG67" i="3"/>
  <c r="BP68" i="3"/>
  <c r="BE71" i="3"/>
  <c r="BT71" i="3"/>
  <c r="BL73" i="3"/>
  <c r="FX6" i="4" a="1"/>
  <c r="GY13" i="4" a="1"/>
  <c r="GL13" i="4" a="1"/>
  <c r="HB15" i="4" a="1"/>
  <c r="BK68" i="3"/>
  <c r="BH55" i="3"/>
  <c r="BL47" i="3"/>
  <c r="BR80" i="3"/>
  <c r="BK77" i="3"/>
  <c r="FW15" i="4" a="1"/>
  <c r="FP14" i="4" a="1"/>
  <c r="GG14" i="4" a="1"/>
  <c r="BP83" i="3"/>
  <c r="BM49" i="3"/>
  <c r="BB80" i="3"/>
  <c r="BF71" i="3"/>
  <c r="BS78" i="3"/>
  <c r="BT54" i="3"/>
  <c r="BC49" i="3"/>
  <c r="BH64" i="3"/>
  <c r="BL64" i="3"/>
  <c r="BN84" i="3"/>
  <c r="BH86" i="3"/>
  <c r="BG93" i="3"/>
  <c r="BH84" i="3"/>
  <c r="BR57" i="3"/>
  <c r="BR60" i="3"/>
  <c r="BF55" i="3"/>
  <c r="BH75" i="3"/>
  <c r="BB64" i="3"/>
  <c r="BH50" i="3"/>
  <c r="BR65" i="3"/>
  <c r="BR49" i="3"/>
  <c r="BP79" i="3"/>
  <c r="FM9" i="4" a="1"/>
  <c r="GG7" i="4" a="1"/>
  <c r="FW13" i="4" a="1"/>
  <c r="BF60" i="3"/>
  <c r="CL137" i="1" s="1"/>
  <c r="GO9" i="4" a="1"/>
  <c r="FP9" i="4" a="1"/>
  <c r="FG14" i="4" a="1"/>
  <c r="BC83" i="3"/>
  <c r="FO7" i="4" a="1"/>
  <c r="GH16" i="4" a="1"/>
  <c r="BI93" i="3"/>
  <c r="FM5" i="4" a="1"/>
  <c r="FI9" i="4" a="1"/>
  <c r="HE14" i="4" a="1"/>
  <c r="HC16" i="4" a="1"/>
  <c r="GH7" i="4" a="1"/>
  <c r="BH47" i="3"/>
  <c r="BB83" i="3"/>
  <c r="BH94" i="3"/>
  <c r="BR92" i="3"/>
  <c r="BR78" i="3"/>
  <c r="BP82" i="3"/>
  <c r="BH78" i="3"/>
  <c r="BG74" i="3"/>
  <c r="BH88" i="3"/>
  <c r="BR93" i="3"/>
  <c r="BR76" i="3"/>
  <c r="BP85" i="3"/>
  <c r="HB9" i="4" a="1"/>
  <c r="BG54" i="3"/>
  <c r="BI88" i="3"/>
  <c r="BI58" i="3"/>
  <c r="BT70" i="3"/>
  <c r="BE69" i="3"/>
  <c r="FY8" i="4" a="1"/>
  <c r="GT5" i="4" a="1"/>
  <c r="FS11" i="4" a="1"/>
  <c r="FX16" i="4" a="1"/>
  <c r="BU63" i="3"/>
  <c r="BM88" i="3"/>
  <c r="BL96" i="3"/>
  <c r="BT92" i="3"/>
  <c r="BK60" i="3"/>
  <c r="FW7" i="4" a="1"/>
  <c r="FU6" i="4" a="1"/>
  <c r="FQ9" i="4" a="1"/>
  <c r="BM76" i="3"/>
  <c r="BF80" i="3"/>
  <c r="CL174" i="1" s="1"/>
  <c r="BS64" i="3"/>
  <c r="BN79" i="3"/>
  <c r="BR56" i="3"/>
  <c r="BF86" i="3"/>
  <c r="BL80" i="3"/>
  <c r="BT80" i="3"/>
  <c r="BG78" i="3"/>
  <c r="BC47" i="3"/>
  <c r="BH76" i="3"/>
  <c r="BL66" i="3"/>
  <c r="BR90" i="3"/>
  <c r="BK75" i="3"/>
  <c r="BL88" i="3"/>
  <c r="BG73" i="3"/>
  <c r="BL83" i="3"/>
  <c r="BR85" i="3"/>
  <c r="BK73" i="3"/>
  <c r="GI13" i="4" a="1"/>
  <c r="FY12" i="4" a="1"/>
  <c r="FQ14" i="4" a="1"/>
  <c r="BB67" i="3"/>
  <c r="BU89" i="3"/>
  <c r="HD7" i="4" a="1"/>
  <c r="BL86" i="3"/>
  <c r="BG95" i="3"/>
  <c r="BL58" i="3"/>
  <c r="BR66" i="3"/>
  <c r="BK81" i="3"/>
  <c r="BL90" i="3"/>
  <c r="BG57" i="3"/>
  <c r="BL55" i="3"/>
  <c r="BR84" i="3"/>
  <c r="Y112" i="2"/>
  <c r="BK69" i="3"/>
  <c r="BP48" i="3"/>
  <c r="BM68" i="3"/>
  <c r="BB61" i="3"/>
  <c r="BI67" i="3"/>
  <c r="BS60" i="3"/>
  <c r="BT86" i="3"/>
  <c r="BI87" i="3"/>
  <c r="HH7" i="4" a="1"/>
  <c r="GG8" i="4" a="1"/>
  <c r="FO12" i="4" a="1"/>
  <c r="GV16" i="4" a="1"/>
  <c r="BM73" i="3"/>
  <c r="BL59" i="3"/>
  <c r="BS87" i="3"/>
  <c r="BK54" i="3"/>
  <c r="GX5" i="4" a="1"/>
  <c r="HA8" i="4" a="1"/>
  <c r="HA13" i="4" a="1"/>
  <c r="BB79" i="3"/>
  <c r="BC85" i="3"/>
  <c r="BQ76" i="3"/>
  <c r="BU60" i="3"/>
  <c r="BN55" i="3"/>
  <c r="BN49" i="3"/>
  <c r="BL87" i="3"/>
  <c r="BO55" i="3"/>
  <c r="BG65" i="3"/>
  <c r="BM91" i="3"/>
  <c r="BF90" i="3"/>
  <c r="CL141" i="1" s="1"/>
  <c r="BL92" i="3"/>
  <c r="BT91" i="3"/>
  <c r="BK86" i="3"/>
  <c r="BC50" i="3"/>
  <c r="BE96" i="3"/>
  <c r="BL78" i="3"/>
  <c r="BT61" i="3"/>
  <c r="BR79" i="3"/>
  <c r="BO61" i="3"/>
  <c r="BK48" i="3"/>
  <c r="GL5" i="4" a="1"/>
  <c r="FJ5" i="4" a="1"/>
  <c r="FO6" i="4" a="1"/>
  <c r="BP86" i="3"/>
  <c r="BR75" i="3"/>
  <c r="BK62" i="3"/>
  <c r="HF9" i="4" a="1"/>
  <c r="GU13" i="4" a="1"/>
  <c r="HG15" i="4" a="1"/>
  <c r="BB97" i="3"/>
  <c r="FT9" i="4" a="1"/>
  <c r="GY15" i="4" a="1"/>
  <c r="BH49" i="3"/>
  <c r="BC82" i="3"/>
  <c r="BM81" i="3"/>
  <c r="BL60" i="3"/>
  <c r="BT50" i="3"/>
  <c r="BR83" i="3"/>
  <c r="BK85" i="3"/>
  <c r="BC65" i="3"/>
  <c r="BM97" i="3"/>
  <c r="BL62" i="3"/>
  <c r="BT94" i="3"/>
  <c r="BR87" i="3"/>
  <c r="BO64" i="3"/>
  <c r="BK80" i="3"/>
  <c r="BM94" i="3"/>
  <c r="BF54" i="3"/>
  <c r="BN82" i="3"/>
  <c r="BM63" i="3"/>
  <c r="GI9" i="4" a="1"/>
  <c r="HD8" i="4" a="1"/>
  <c r="FI13" i="4" a="1"/>
  <c r="GD14" i="4" a="1"/>
  <c r="BP89" i="3"/>
  <c r="BE84" i="3"/>
  <c r="BG62" i="3"/>
  <c r="GT14" i="4" a="1"/>
  <c r="GZ9" i="4" a="1"/>
  <c r="GV9" i="4" a="1"/>
  <c r="GF15" i="4" a="1"/>
  <c r="BB56" i="3"/>
  <c r="BQ54" i="3"/>
  <c r="BQ80" i="3"/>
  <c r="BU85" i="3"/>
  <c r="BN66" i="3"/>
  <c r="BU48" i="3"/>
  <c r="BE72" i="3"/>
  <c r="BE56" i="3"/>
  <c r="BP70" i="3"/>
  <c r="BL69" i="3"/>
  <c r="BK47" i="3"/>
  <c r="BP96" i="3"/>
  <c r="BL48" i="3"/>
  <c r="BN78" i="3"/>
  <c r="BS74" i="3"/>
  <c r="BK94" i="3"/>
  <c r="FQ8" i="4" a="1"/>
  <c r="GN7" i="4" a="1"/>
  <c r="GQ12" i="4" a="1"/>
  <c r="BI89" i="3"/>
  <c r="BM60" i="3"/>
  <c r="BP97" i="3"/>
  <c r="BL91" i="3"/>
  <c r="BN92" i="3"/>
  <c r="BK56" i="3"/>
  <c r="BM56" i="3"/>
  <c r="BP47" i="3"/>
  <c r="BL75" i="3"/>
  <c r="BN65" i="3"/>
  <c r="BK95" i="3"/>
  <c r="BB96" i="3"/>
  <c r="BQ84" i="3"/>
  <c r="BU57" i="3"/>
  <c r="BN64" i="3"/>
  <c r="BF56" i="3"/>
  <c r="CL132" i="1" s="1"/>
  <c r="CL135" i="1" s="1"/>
  <c r="GH8" i="4" a="1"/>
  <c r="HH12" i="4" a="1"/>
  <c r="HE6" i="4" a="1"/>
  <c r="HE11" i="4" a="1"/>
  <c r="BG96" i="3"/>
  <c r="BP59" i="3"/>
  <c r="BE61" i="3"/>
  <c r="BO74" i="3"/>
  <c r="BT68" i="3"/>
  <c r="BL50" i="3"/>
  <c r="GN6" i="4" a="1"/>
  <c r="FU14" i="4" a="1"/>
  <c r="FM14" i="4" a="1"/>
  <c r="HD15" i="4" a="1"/>
  <c r="BQ58" i="3"/>
  <c r="BB90" i="3"/>
  <c r="BH79" i="3"/>
  <c r="BU74" i="3"/>
  <c r="BU88" i="3"/>
  <c r="BP76" i="3"/>
  <c r="BE83" i="3"/>
  <c r="BO76" i="3"/>
  <c r="BG82" i="3"/>
  <c r="BK89" i="3"/>
  <c r="BP78" i="3"/>
  <c r="BE86" i="3"/>
  <c r="BO80" i="3"/>
  <c r="BG68" i="3"/>
  <c r="BK93" i="3"/>
  <c r="BB59" i="3"/>
  <c r="BQ48" i="3"/>
  <c r="BQ66" i="3"/>
  <c r="BU96" i="3"/>
  <c r="BN47" i="3"/>
  <c r="GX7" i="4" a="1"/>
  <c r="GJ5" i="4" a="1"/>
  <c r="GT11" i="4" a="1"/>
  <c r="BU58" i="3"/>
  <c r="BE82" i="3"/>
  <c r="BI92" i="3"/>
  <c r="BI90" i="3"/>
  <c r="BT57" i="3"/>
  <c r="BE73" i="3"/>
  <c r="GK8" i="4" a="1"/>
  <c r="FP6" i="4" a="1"/>
  <c r="FW11" i="4" a="1"/>
  <c r="FZ16" i="4" a="1"/>
  <c r="BH72" i="3"/>
  <c r="BG72" i="3"/>
  <c r="BH90" i="3"/>
  <c r="BR58" i="3"/>
  <c r="BH59" i="3"/>
  <c r="BE62" i="3"/>
  <c r="BI74" i="3"/>
  <c r="BI47" i="3"/>
  <c r="BG85" i="3"/>
  <c r="BI83" i="3"/>
  <c r="BE92" i="3"/>
  <c r="BO87" i="3"/>
  <c r="BT67" i="3"/>
  <c r="BE54" i="3"/>
  <c r="GR5" i="4" a="1"/>
  <c r="BP62" i="3"/>
  <c r="BE68" i="3"/>
  <c r="BL54" i="3"/>
  <c r="GB5" i="4" a="1"/>
  <c r="GB12" i="4" a="1"/>
  <c r="FL12" i="4" a="1"/>
  <c r="GV15" i="4" a="1"/>
  <c r="BH67" i="3"/>
  <c r="BT95" i="3"/>
  <c r="FR11" i="4" a="1"/>
  <c r="FN11" i="4" a="1"/>
  <c r="GJ15" i="4" a="1"/>
  <c r="BC55" i="3"/>
  <c r="FW14" i="4" a="1"/>
  <c r="BI78" i="3"/>
  <c r="GD16" i="4" a="1"/>
  <c r="BG66" i="3"/>
  <c r="BQ91" i="3"/>
  <c r="FX9" i="4" a="1"/>
  <c r="BG76" i="3"/>
  <c r="BP58" i="3"/>
  <c r="BE87" i="3"/>
  <c r="BO67" i="3"/>
  <c r="BL95" i="3"/>
  <c r="GQ5" i="4" a="1"/>
  <c r="BG71" i="3"/>
  <c r="BE57" i="3"/>
  <c r="BL85" i="3"/>
  <c r="HG5" i="4" a="1"/>
  <c r="BQ85" i="3"/>
  <c r="BB88" i="3"/>
  <c r="BH57" i="3"/>
  <c r="BU78" i="3"/>
  <c r="BU84" i="3"/>
  <c r="BN87" i="3"/>
  <c r="FY6" i="4" a="1"/>
  <c r="FW8" i="4" a="1"/>
  <c r="GN12" i="4" a="1"/>
  <c r="BP80" i="3"/>
  <c r="BB77" i="3"/>
  <c r="BF89" i="3"/>
  <c r="CL168" i="1" s="1"/>
  <c r="BT87" i="3"/>
  <c r="BI91" i="3"/>
  <c r="GB8" i="4" a="1"/>
  <c r="GS8" i="4" a="1"/>
  <c r="FR12" i="4" a="1"/>
  <c r="GX16" i="4" a="1"/>
  <c r="BK50" i="3"/>
  <c r="BH54" i="3"/>
  <c r="BL71" i="3"/>
  <c r="BR77" i="3"/>
  <c r="BG86" i="3"/>
  <c r="BM48" i="3"/>
  <c r="BB82" i="3"/>
  <c r="BF65" i="3"/>
  <c r="CL165" i="1" s="1"/>
  <c r="BK64" i="3"/>
  <c r="BM93" i="3"/>
  <c r="BI84" i="3"/>
  <c r="BI54" i="3"/>
  <c r="BS88" i="3"/>
  <c r="BT78" i="3"/>
  <c r="BI65" i="3"/>
  <c r="BT49" i="3"/>
  <c r="BG80" i="3"/>
  <c r="BI72" i="3"/>
  <c r="BI62" i="3"/>
  <c r="BS71" i="3"/>
  <c r="BT96" i="3"/>
  <c r="BE59" i="3"/>
  <c r="GS7" i="4" a="1"/>
  <c r="BG92" i="3"/>
  <c r="BI80" i="3"/>
  <c r="BI70" i="3"/>
  <c r="BS80" i="3"/>
  <c r="BT64" i="3"/>
  <c r="BE67" i="3"/>
  <c r="FO8" i="4" a="1"/>
  <c r="BH81" i="3"/>
  <c r="BG58" i="3"/>
  <c r="BH74" i="3"/>
  <c r="BR91" i="3"/>
  <c r="BR55" i="3"/>
  <c r="BF81" i="3"/>
  <c r="CL159" i="1" s="1"/>
  <c r="FL11" i="4" a="1"/>
  <c r="FU9" i="4" a="1"/>
  <c r="GH13" i="4" a="1"/>
  <c r="BF66" i="3"/>
  <c r="CL166" i="1" s="1"/>
  <c r="BS69" i="3"/>
  <c r="BN77" i="3"/>
  <c r="BP77" i="3"/>
  <c r="BM95" i="3"/>
  <c r="BB81" i="3"/>
  <c r="BI85" i="3"/>
  <c r="BS65" i="3"/>
  <c r="BT83" i="3"/>
  <c r="BI77" i="3"/>
  <c r="BP87" i="3"/>
  <c r="BM74" i="3"/>
  <c r="BB91" i="3"/>
  <c r="BI76" i="3"/>
  <c r="BS95" i="3"/>
  <c r="BT85" i="3"/>
  <c r="BI60" i="3"/>
  <c r="FQ7" i="4" a="1"/>
  <c r="BL97" i="3"/>
  <c r="BH77" i="3"/>
  <c r="BL49" i="3"/>
  <c r="BR82" i="3"/>
  <c r="Y111" i="2"/>
  <c r="BK82" i="3"/>
  <c r="BM62" i="3"/>
  <c r="BF78" i="3"/>
  <c r="CL157" i="1" s="1"/>
  <c r="BS86" i="3"/>
  <c r="BN57" i="3"/>
  <c r="BM58" i="3"/>
  <c r="BM90" i="3"/>
  <c r="BF49" i="3"/>
  <c r="CL88" i="1" s="1"/>
  <c r="BS82" i="3"/>
  <c r="BN86" i="3"/>
  <c r="BM83" i="3"/>
  <c r="HE8" i="4" a="1"/>
  <c r="BU50" i="3"/>
  <c r="BM96" i="3"/>
  <c r="BL70" i="3"/>
  <c r="BT93" i="3"/>
  <c r="BR68" i="3"/>
  <c r="BK66" i="3"/>
  <c r="HA6" i="4" a="1"/>
  <c r="GY5" i="4" a="1"/>
  <c r="GT8" i="4" a="1"/>
  <c r="BB71" i="3"/>
  <c r="BQ50" i="3"/>
  <c r="BQ71" i="3"/>
  <c r="BU77" i="3"/>
  <c r="BN56" i="3"/>
  <c r="GW5" i="4" a="1"/>
  <c r="BB58" i="3"/>
  <c r="BQ67" i="3"/>
  <c r="BU86" i="3"/>
  <c r="BN71" i="3"/>
  <c r="BB70" i="3"/>
  <c r="BQ47" i="3"/>
  <c r="BQ64" i="3"/>
  <c r="BU83" i="3"/>
  <c r="BN96" i="3"/>
  <c r="BJ70" i="3"/>
  <c r="GE7" i="4" a="1"/>
  <c r="BP84" i="3"/>
  <c r="BE95" i="3"/>
  <c r="BF72" i="3"/>
  <c r="CL150" i="1" s="1"/>
  <c r="BN76" i="3"/>
  <c r="GO8" i="4" a="1"/>
  <c r="BH60" i="3"/>
  <c r="BF50" i="3"/>
  <c r="CL89" i="1" s="1"/>
  <c r="FL13" i="4" a="1"/>
  <c r="BG70" i="3"/>
  <c r="BI94" i="3"/>
  <c r="BM61" i="3"/>
  <c r="BF92" i="3"/>
  <c r="CL170" i="1" s="1"/>
  <c r="BT89" i="3"/>
  <c r="BP61" i="3"/>
  <c r="BI64" i="3"/>
  <c r="BQ87" i="3"/>
  <c r="BN54" i="3"/>
  <c r="GE9" i="4" a="1"/>
  <c r="FK8" i="4" a="1"/>
  <c r="BL63" i="3"/>
  <c r="BF73" i="3"/>
  <c r="FV11" i="4" a="1"/>
  <c r="FL16" i="4" a="1"/>
  <c r="BM78" i="3"/>
  <c r="HG9" i="4" a="1"/>
  <c r="BK74" i="3"/>
  <c r="BT72" i="3"/>
  <c r="GA5" i="4" a="1"/>
  <c r="GD11" i="4" a="1"/>
  <c r="GS13" i="4" a="1"/>
  <c r="BE47" i="3"/>
  <c r="GW13" i="4" a="1"/>
  <c r="BH85" i="3"/>
  <c r="BN89" i="3"/>
  <c r="FZ6" i="4" a="1"/>
  <c r="GZ6" i="4" a="1"/>
  <c r="GN15" i="4" a="1"/>
  <c r="BB65" i="3"/>
  <c r="BS57" i="3"/>
  <c r="FT5" i="4" a="1"/>
  <c r="GL11" i="4" a="1"/>
  <c r="GH14" i="4" a="1"/>
  <c r="Y113" i="2"/>
  <c r="BB95" i="3"/>
  <c r="BS50" i="3"/>
  <c r="GF5" i="4" a="1"/>
  <c r="GQ11" i="4" a="1"/>
  <c r="GM14" i="4" a="1"/>
  <c r="BM70" i="3"/>
  <c r="BS73" i="3"/>
  <c r="HF11" i="4" a="1"/>
  <c r="GO13" i="4" a="1"/>
  <c r="BC67" i="3"/>
  <c r="GE11" i="4" a="1"/>
  <c r="BQ77" i="3"/>
  <c r="BE79" i="3"/>
  <c r="FK6" i="4" a="1"/>
  <c r="GK11" i="4" a="1"/>
  <c r="GQ14" i="4" a="1"/>
  <c r="FR9" i="4" a="1"/>
  <c r="GJ11" i="4" a="1"/>
  <c r="BQ69" i="3"/>
  <c r="GI6" i="4" a="1"/>
  <c r="BE75" i="3"/>
  <c r="BR48" i="3"/>
  <c r="BK67" i="3"/>
  <c r="GW7" i="4" a="1"/>
  <c r="FZ13" i="4" a="1"/>
  <c r="HA15" i="4" a="1"/>
  <c r="FS15" i="4" a="1"/>
  <c r="HH16" i="4" a="1"/>
  <c r="BH65" i="3"/>
  <c r="BT62" i="3"/>
  <c r="GX9" i="4" a="1"/>
  <c r="GV8" i="4" a="1"/>
  <c r="FZ8" i="4" a="1"/>
  <c r="FL7" i="4" a="1"/>
  <c r="BH58" i="3"/>
  <c r="BT48" i="3"/>
  <c r="HH9" i="4" a="1"/>
  <c r="FP7" i="4" a="1"/>
  <c r="BK63" i="3"/>
  <c r="GC9" i="4" a="1"/>
  <c r="BH92" i="3"/>
  <c r="FN7" i="4" a="1"/>
  <c r="BG89" i="3"/>
  <c r="BT75" i="3"/>
  <c r="BC57" i="3"/>
  <c r="BF63" i="3"/>
  <c r="CL140" i="1" s="1"/>
  <c r="BF85" i="3"/>
  <c r="CL162" i="1" s="1"/>
  <c r="BN95" i="3"/>
  <c r="BB76" i="3"/>
  <c r="BN94" i="3"/>
  <c r="FW6" i="4" a="1"/>
  <c r="FG11" i="4" a="1"/>
  <c r="BG87" i="3"/>
  <c r="GZ7" i="4" a="1"/>
  <c r="GR16" i="4" a="1"/>
  <c r="HE13" i="4" a="1"/>
  <c r="BB72" i="3"/>
  <c r="BT97" i="3"/>
  <c r="GE8" i="4" a="1"/>
  <c r="GW9" i="4" a="1"/>
  <c r="GA15" i="4" a="1"/>
  <c r="BM50" i="3"/>
  <c r="BI50" i="3"/>
  <c r="GO11" i="4" a="1"/>
  <c r="BL89" i="3"/>
  <c r="BN63" i="3"/>
  <c r="FH5" i="4" a="1"/>
  <c r="FW5" i="4" a="1"/>
  <c r="FP16" i="4" a="1"/>
  <c r="BG77" i="3"/>
  <c r="BU93" i="3"/>
  <c r="BJ83" i="3"/>
  <c r="FL6" i="4" a="1"/>
  <c r="HA12" i="4" a="1"/>
  <c r="GO15" i="4" a="1"/>
  <c r="GA12" i="4" a="1"/>
  <c r="BG97" i="3"/>
  <c r="BU94" i="3"/>
  <c r="FR6" i="4" a="1"/>
  <c r="HD12" i="4" a="1"/>
  <c r="GQ15" i="4" a="1"/>
  <c r="BB49" i="3"/>
  <c r="BF95" i="3"/>
  <c r="CL179" i="1" s="1"/>
  <c r="GV6" i="4" a="1"/>
  <c r="HB11" i="4" a="1"/>
  <c r="BC68" i="3"/>
  <c r="FJ13" i="4" a="1"/>
  <c r="BM66" i="3"/>
  <c r="BM69" i="3"/>
  <c r="GM6" i="4" a="1"/>
  <c r="GP12" i="4" a="1"/>
  <c r="FH15" i="4" a="1"/>
  <c r="FH14" i="4" a="1"/>
  <c r="BL84" i="3"/>
  <c r="FJ6" i="4" a="1"/>
  <c r="BU68" i="3"/>
  <c r="FX14" i="4" a="1"/>
  <c r="BB84" i="3"/>
  <c r="GB14" i="4" a="1"/>
  <c r="BQ79" i="3"/>
  <c r="GY11" i="4" a="1"/>
  <c r="BE74" i="3"/>
  <c r="BA63" i="3"/>
  <c r="BQ55" i="3"/>
  <c r="BH70" i="3"/>
  <c r="BB92" i="3"/>
  <c r="BQ74" i="3"/>
  <c r="BN58" i="3"/>
  <c r="BN81" i="3"/>
  <c r="HA14" i="4" a="1"/>
  <c r="HD11" i="4" a="1"/>
  <c r="BG84" i="3"/>
  <c r="GF7" i="4" a="1"/>
  <c r="GP6" i="4" a="1"/>
  <c r="FI11" i="4" a="1"/>
  <c r="HC14" i="4" a="1"/>
  <c r="BN70" i="3"/>
  <c r="GG5" i="4" a="1"/>
  <c r="FJ12" i="4" a="1"/>
  <c r="FR14" i="4" a="1"/>
  <c r="BE94" i="3"/>
  <c r="FQ15" i="4" a="1"/>
  <c r="BI82" i="3"/>
  <c r="BF48" i="3"/>
  <c r="HC8" i="4" a="1"/>
  <c r="HF5" i="4" a="1"/>
  <c r="GZ16" i="4" a="1"/>
  <c r="BR69" i="3"/>
  <c r="BK57" i="3"/>
  <c r="HD5" i="4" a="1"/>
  <c r="HF13" i="4" a="1"/>
  <c r="FK16" i="4" a="1"/>
  <c r="GX14" i="4" a="1"/>
  <c r="BR96" i="3"/>
  <c r="BK92" i="3"/>
  <c r="GU6" i="4" a="1"/>
  <c r="FI14" i="4" a="1"/>
  <c r="FM16" i="4" a="1"/>
  <c r="BU64" i="3"/>
  <c r="BK55" i="3"/>
  <c r="FK7" i="4" a="1"/>
  <c r="FG13" i="4" a="1"/>
  <c r="FT14" i="4" a="1"/>
  <c r="BM72" i="3"/>
  <c r="BJ82" i="3"/>
  <c r="FS13" i="4" a="1"/>
  <c r="GZ13" i="4" a="1"/>
  <c r="HG12" i="4" a="1"/>
  <c r="BE60" i="3"/>
  <c r="GQ6" i="4" a="1"/>
  <c r="BP64" i="3"/>
  <c r="BO57" i="3"/>
  <c r="GU12" i="4" a="1"/>
  <c r="BB86" i="3"/>
  <c r="GL6" i="4" a="1"/>
  <c r="GZ5" i="4" a="1"/>
  <c r="GR11" i="4" a="1"/>
  <c r="GU16" i="4" a="1"/>
  <c r="GL16" i="4" a="1"/>
  <c r="BE76" i="3"/>
  <c r="GC7" i="4" a="1"/>
  <c r="GA6" i="4" a="1"/>
  <c r="HA11" i="4" a="1"/>
  <c r="FY15" i="4" a="1"/>
  <c r="BE88" i="3"/>
  <c r="BF77" i="3"/>
  <c r="CL155" i="1" s="1"/>
  <c r="HA7" i="4" a="1"/>
  <c r="FQ13" i="4" a="1"/>
  <c r="HG14" i="4" a="1"/>
  <c r="GW15" i="4" a="1"/>
  <c r="GB7" i="4" a="1"/>
  <c r="BU71" i="3"/>
  <c r="BL57" i="3"/>
  <c r="BA57" i="3"/>
  <c r="BV89" i="3"/>
  <c r="GF13" i="4" a="1"/>
  <c r="BU72" i="3"/>
  <c r="GX11" i="4" a="1"/>
  <c r="GS12" i="4" a="1"/>
  <c r="BM92" i="3"/>
  <c r="BP56" i="3"/>
  <c r="BH71" i="3"/>
  <c r="BC71" i="3"/>
  <c r="BB85" i="3"/>
  <c r="BQ83" i="3"/>
  <c r="BN72" i="3"/>
  <c r="BA95" i="3"/>
  <c r="BP65" i="3"/>
  <c r="GC6" i="4" a="1"/>
  <c r="GX12" i="4" a="1"/>
  <c r="BL94" i="3"/>
  <c r="BE81" i="3"/>
  <c r="GD9" i="4" a="1"/>
  <c r="FX13" i="4" a="1"/>
  <c r="GO16" i="4" a="1"/>
  <c r="BF69" i="3"/>
  <c r="GM8" i="4" a="1"/>
  <c r="FY13" i="4" a="1"/>
  <c r="GK15" i="4" a="1"/>
  <c r="BI59" i="3"/>
  <c r="BK88" i="3"/>
  <c r="BC75" i="3"/>
  <c r="BQ68" i="3"/>
  <c r="GU11" i="4" a="1"/>
  <c r="GO6" i="4" a="1"/>
  <c r="FV8" i="4" a="1"/>
  <c r="BI97" i="3"/>
  <c r="FL5" i="4" a="1"/>
  <c r="FN5" i="4" a="1"/>
  <c r="FY7" i="4" a="1"/>
  <c r="GI16" i="4" a="1"/>
  <c r="GS15" i="4" a="1"/>
  <c r="BI96" i="3"/>
  <c r="BV61" i="3"/>
  <c r="FP5" i="4" a="1"/>
  <c r="FZ5" i="4" a="1"/>
  <c r="FN8" i="4" a="1"/>
  <c r="GK16" i="4" a="1"/>
  <c r="BK49" i="3"/>
  <c r="FH9" i="4" a="1"/>
  <c r="FL14" i="4" a="1"/>
  <c r="BN50" i="3"/>
  <c r="GP14" i="4" a="1"/>
  <c r="BB74" i="3"/>
  <c r="BU62" i="3"/>
  <c r="GP7" i="4" a="1"/>
  <c r="FH12" i="4" a="1"/>
  <c r="FN15" i="4" a="1"/>
  <c r="BR86" i="3"/>
  <c r="GO7" i="4" a="1"/>
  <c r="BS75" i="3"/>
  <c r="FR13" i="4" a="1"/>
  <c r="BQ88" i="3"/>
  <c r="BT60" i="3"/>
  <c r="GH9" i="4" a="1"/>
  <c r="FX8" i="4" a="1"/>
  <c r="FP15" i="4" a="1"/>
  <c r="GY12" i="4" a="1"/>
  <c r="FN14" i="4" a="1"/>
  <c r="GT6" i="4" a="1"/>
  <c r="GG11" i="4" a="1"/>
  <c r="BF61" i="3"/>
  <c r="GP9" i="4" a="1"/>
  <c r="HG8" i="4" a="1"/>
  <c r="FK9" i="4" a="1"/>
  <c r="GZ11" i="4" a="1"/>
  <c r="BF93" i="3"/>
  <c r="BO91" i="3"/>
  <c r="GJ6" i="4" a="1"/>
  <c r="FX12" i="4" a="1"/>
  <c r="HD6" i="4" a="1"/>
  <c r="BR89" i="3"/>
  <c r="FX5" i="4" a="1"/>
  <c r="HE9" i="4" a="1"/>
  <c r="HH13" i="4" a="1"/>
  <c r="BC60" i="3"/>
  <c r="BT77" i="3"/>
  <c r="HH6" i="4" a="1"/>
  <c r="GU5" i="4" a="1"/>
  <c r="FO14" i="4" a="1"/>
  <c r="HG16" i="4" a="1"/>
  <c r="FO16" i="4" a="1"/>
  <c r="BT56" i="3"/>
  <c r="GQ7" i="4" a="1"/>
  <c r="FT6" i="4" a="1"/>
  <c r="FZ14" i="4" a="1"/>
  <c r="GL8" i="4" a="1"/>
  <c r="BI48" i="3"/>
  <c r="FJ7" i="4" a="1"/>
  <c r="GK6" i="4" a="1"/>
  <c r="GL9" i="4" a="1"/>
  <c r="GX15" i="4" a="1"/>
  <c r="BH68" i="3"/>
  <c r="BK83" i="3"/>
  <c r="FW9" i="4" a="1"/>
  <c r="FO13" i="4" a="1"/>
  <c r="GJ14" i="4" a="1"/>
  <c r="BQ86" i="3"/>
  <c r="GC15" i="4" a="1"/>
  <c r="FY9" i="4" a="1"/>
  <c r="GM13" i="4" a="1"/>
  <c r="BH96" i="3"/>
  <c r="BH80" i="3"/>
  <c r="BR61" i="3"/>
  <c r="BB89" i="3"/>
  <c r="BU87" i="3"/>
  <c r="BP95" i="3"/>
  <c r="BQ65" i="3"/>
  <c r="BS91" i="3"/>
  <c r="BE65" i="3"/>
  <c r="GQ8" i="4" a="1"/>
  <c r="GR13" i="4" a="1"/>
  <c r="BE97" i="3"/>
  <c r="BF68" i="3"/>
  <c r="CL149" i="1" s="1"/>
  <c r="FJ8" i="4" a="1"/>
  <c r="FX15" i="4" a="1"/>
  <c r="BL77" i="3"/>
  <c r="BC76" i="3"/>
  <c r="BL67" i="3"/>
  <c r="GS5" i="4" a="1"/>
  <c r="GA9" i="4" a="1"/>
  <c r="FG16" i="4" a="1"/>
  <c r="BQ92" i="3"/>
  <c r="BH93" i="3"/>
  <c r="BU56" i="3"/>
  <c r="BU59" i="3"/>
  <c r="GG6" i="4" a="1"/>
  <c r="GY14" i="4" a="1"/>
  <c r="BU47" i="3"/>
  <c r="BS84" i="3"/>
  <c r="BE70" i="3"/>
  <c r="BM59" i="3"/>
  <c r="BU55" i="3"/>
  <c r="BO50" i="3"/>
  <c r="BH97" i="3"/>
  <c r="BP72" i="3"/>
  <c r="BH95" i="3"/>
  <c r="BF97" i="3"/>
  <c r="BI79" i="3"/>
  <c r="FP8" i="4" a="1"/>
  <c r="GI11" i="4" a="1"/>
  <c r="BQ93" i="3"/>
  <c r="GE15" i="4" a="1"/>
  <c r="FT11" i="4" a="1"/>
  <c r="GU9" i="4" a="1"/>
  <c r="GD15" i="4" a="1"/>
  <c r="GI7" i="4" a="1"/>
  <c r="BE64" i="3"/>
  <c r="BI63" i="3"/>
  <c r="FI5" i="4" a="1"/>
  <c r="GK12" i="4" a="1"/>
  <c r="GE16" i="4" a="1"/>
  <c r="GX6" i="4" a="1"/>
  <c r="BC72" i="3"/>
  <c r="BN88" i="3"/>
  <c r="BI71" i="3"/>
  <c r="FQ6" i="4" a="1"/>
  <c r="FW12" i="4" a="1"/>
  <c r="BH82" i="3"/>
  <c r="BN67" i="3"/>
  <c r="FT12" i="4" a="1"/>
  <c r="GY7" i="4" a="1"/>
  <c r="GP15" i="4" a="1"/>
  <c r="BC90" i="3"/>
  <c r="GM16" i="4" a="1"/>
  <c r="BH48" i="3"/>
  <c r="BN59" i="3"/>
  <c r="GJ12" i="4" a="1"/>
  <c r="GN9" i="4" a="1"/>
  <c r="GR15" i="4" a="1"/>
  <c r="BC70" i="3"/>
  <c r="BT55" i="3"/>
  <c r="FG9" i="4" a="1"/>
  <c r="GR6" i="4" a="1"/>
  <c r="GE14" i="4" a="1"/>
  <c r="BK65" i="3"/>
  <c r="GL12" i="4" a="1"/>
  <c r="BU54" i="3"/>
  <c r="BR73" i="3"/>
  <c r="BK97" i="3"/>
  <c r="GG12" i="4" a="1"/>
  <c r="FY14" i="4" a="1"/>
  <c r="FS16" i="4" a="1"/>
  <c r="BT82" i="3"/>
  <c r="GS14" i="4" a="1"/>
  <c r="BB63" i="3"/>
  <c r="HF15" i="4" a="1"/>
  <c r="BE50" i="3"/>
  <c r="BP75" i="3"/>
  <c r="HG6" i="4" a="1"/>
  <c r="HH5" i="4" a="1"/>
  <c r="GJ16" i="4" a="1"/>
  <c r="BC89" i="3"/>
  <c r="GD8" i="4" a="1"/>
  <c r="GH15" i="4" a="1"/>
  <c r="BH87" i="3"/>
  <c r="BT69" i="3"/>
  <c r="BE91" i="3"/>
  <c r="FX7" i="4" a="1"/>
  <c r="BN75" i="3"/>
  <c r="BK91" i="3"/>
  <c r="BQ61" i="3"/>
  <c r="BU81" i="3"/>
  <c r="GB11" i="4" a="1"/>
  <c r="FN12" i="4" a="1"/>
  <c r="BI49" i="3"/>
  <c r="BF84" i="3"/>
  <c r="CL161" i="1" s="1"/>
  <c r="BF82" i="3"/>
  <c r="CL160" i="1" s="1"/>
  <c r="BL81" i="3"/>
  <c r="BB75" i="3"/>
  <c r="BM80" i="3"/>
  <c r="BE63" i="3"/>
  <c r="BU73" i="3"/>
  <c r="BM87" i="3"/>
  <c r="GI5" i="4" a="1"/>
  <c r="GC12" i="4" a="1"/>
  <c r="BR62" i="3"/>
  <c r="GM5" i="4" a="1"/>
  <c r="FN9" i="4" a="1"/>
  <c r="GI15" i="4" a="1"/>
  <c r="GM15" i="4" a="1"/>
  <c r="BU70" i="3"/>
  <c r="FP13" i="4" a="1"/>
  <c r="BR70" i="3"/>
  <c r="BF74" i="3"/>
  <c r="CL152" i="1" s="1"/>
  <c r="FU8" i="4" a="1"/>
  <c r="GX13" i="4" a="1"/>
  <c r="BC54" i="3"/>
  <c r="BF91" i="3"/>
  <c r="CL169" i="1" s="1"/>
  <c r="HG13" i="4" a="1"/>
  <c r="BG91" i="3"/>
  <c r="BO92" i="3"/>
  <c r="BF64" i="3"/>
  <c r="CL164" i="1" s="1"/>
  <c r="GK5" i="4" a="1"/>
  <c r="GB13" i="4" a="1"/>
  <c r="FM12" i="4" a="1"/>
  <c r="BL79" i="3"/>
  <c r="BN69" i="3"/>
  <c r="FV5" i="4" a="1"/>
  <c r="FR5" i="4" a="1"/>
  <c r="FT16" i="4" a="1"/>
  <c r="BC88" i="3"/>
  <c r="GG9" i="4" a="1"/>
  <c r="BL61" i="3"/>
  <c r="BN73" i="3"/>
  <c r="GH5" i="4" a="1"/>
  <c r="GD5" i="4" a="1"/>
  <c r="FV16" i="4" a="1"/>
  <c r="BC81" i="3"/>
  <c r="BH56" i="3"/>
  <c r="BN80" i="3"/>
  <c r="HE12" i="4" a="1"/>
  <c r="HC11" i="4" a="1"/>
  <c r="GT15" i="4" a="1"/>
  <c r="GA13" i="4" a="1"/>
  <c r="GU15" i="4" a="1"/>
  <c r="BB57" i="3"/>
  <c r="BV63" i="3"/>
  <c r="HF7" i="4" a="1"/>
  <c r="FZ7" i="4" a="1"/>
  <c r="FQ11" i="4" a="1"/>
  <c r="GQ16" i="4" a="1"/>
  <c r="BN48" i="3"/>
  <c r="FI8" i="4" a="1"/>
  <c r="BE55" i="3"/>
  <c r="BK84" i="3"/>
  <c r="BF76" i="3"/>
  <c r="GR8" i="4" a="1"/>
  <c r="GJ8" i="4" a="1"/>
  <c r="FH13" i="4" a="1"/>
  <c r="BC80" i="3"/>
  <c r="GV13" i="4" a="1"/>
  <c r="Z111" i="2"/>
  <c r="BF70" i="3"/>
  <c r="CL148" i="1" s="1"/>
  <c r="BK61" i="3"/>
  <c r="BH63" i="3"/>
  <c r="BR64" i="3"/>
  <c r="FZ9" i="4" a="1"/>
  <c r="HB14" i="4" a="1"/>
  <c r="BI86" i="3"/>
  <c r="BB55" i="3"/>
  <c r="BQ72" i="3"/>
  <c r="BS56" i="3"/>
  <c r="BF58" i="3"/>
  <c r="CL134" i="1" s="1"/>
  <c r="BM79" i="3"/>
  <c r="BI68" i="3"/>
  <c r="BU95" i="3"/>
  <c r="BF96" i="3"/>
  <c r="CL178" i="1" s="1"/>
  <c r="GK7" i="4" a="1"/>
  <c r="FL15" i="4" a="1"/>
  <c r="BT90" i="3"/>
  <c r="FO5" i="4" a="1"/>
  <c r="FG12" i="4" a="1"/>
  <c r="GC16" i="4" a="1"/>
  <c r="HE16" i="4" a="1"/>
  <c r="GS16" i="4" a="1"/>
  <c r="BT73" i="3"/>
  <c r="FP11" i="4" a="1"/>
  <c r="FU13" i="4" a="1"/>
  <c r="BC74" i="3"/>
  <c r="BR97" i="3"/>
  <c r="GO5" i="4" a="1"/>
  <c r="BK72" i="3"/>
  <c r="BS61" i="3"/>
  <c r="FY5" i="4" a="1"/>
  <c r="GF9" i="4" a="1"/>
  <c r="FU16" i="4" a="1"/>
  <c r="BI57" i="3"/>
  <c r="BF75" i="3"/>
  <c r="GA7" i="4" a="1"/>
  <c r="GN5" i="4" a="1"/>
  <c r="HB16" i="4" a="1"/>
  <c r="BC93" i="3"/>
  <c r="BC77" i="3"/>
  <c r="BI81" i="3"/>
  <c r="FL9" i="4" a="1"/>
  <c r="GW6" i="4" a="1"/>
  <c r="HD16" i="4" a="1"/>
  <c r="BC91" i="3"/>
  <c r="BE66" i="3"/>
  <c r="BN97" i="3"/>
  <c r="HB5" i="4" a="1"/>
  <c r="GS6" i="4" a="1"/>
  <c r="GB16" i="4" a="1"/>
  <c r="GB9" i="4" a="1"/>
  <c r="BC61" i="3"/>
  <c r="BQ57" i="3"/>
  <c r="BT81" i="3"/>
  <c r="GZ8" i="4" a="1"/>
  <c r="FO9" i="4" a="1"/>
  <c r="GU14" i="4" a="1"/>
  <c r="GC11" i="4" a="1"/>
  <c r="BP90" i="3"/>
  <c r="HA5" i="4" a="1"/>
  <c r="BU61" i="3"/>
  <c r="BM47" i="3"/>
  <c r="BF87" i="3"/>
  <c r="CL167" i="1" s="1"/>
  <c r="BQ75" i="3"/>
  <c r="BP55" i="3"/>
  <c r="GX8" i="4" a="1"/>
  <c r="FG15" i="4" a="1"/>
  <c r="GI12" i="4" a="1"/>
  <c r="GB15" i="4" a="1"/>
  <c r="HD13" i="4" a="1"/>
  <c r="BM67" i="3"/>
  <c r="BS77" i="3"/>
  <c r="FT7" i="4" a="1"/>
  <c r="HD14" i="4" a="1"/>
  <c r="BB50" i="3"/>
  <c r="BN61" i="3"/>
  <c r="GD13" i="4" a="1"/>
  <c r="GI14" i="4" a="1"/>
  <c r="BL74" i="3"/>
  <c r="BB69" i="3"/>
  <c r="BQ81" i="3"/>
  <c r="BU67" i="3"/>
  <c r="Z113" i="2"/>
  <c r="BI66" i="3"/>
  <c r="HC6" i="4" a="1"/>
  <c r="FR16" i="4" a="1"/>
  <c r="BO82" i="3"/>
  <c r="FS8" i="4" a="1"/>
  <c r="FT13" i="4" a="1"/>
  <c r="HA16" i="4" a="1"/>
  <c r="BC78" i="3"/>
  <c r="GH6" i="4" a="1"/>
  <c r="BC66" i="3"/>
  <c r="BO90" i="3"/>
  <c r="FG8" i="4" a="1"/>
  <c r="GL15" i="4" a="1"/>
  <c r="FY11" i="4" a="1"/>
  <c r="BT79" i="3"/>
  <c r="BQ70" i="3"/>
  <c r="BM65" i="3"/>
  <c r="GY8" i="4" a="1"/>
  <c r="BB94" i="3"/>
  <c r="BN91" i="3"/>
  <c r="FM6" i="4" a="1"/>
  <c r="BH61" i="3"/>
  <c r="BL56" i="3"/>
  <c r="BT63" i="3"/>
  <c r="BB87" i="3"/>
  <c r="BU75" i="3"/>
  <c r="BQ60" i="3"/>
  <c r="BU91" i="3"/>
  <c r="BB62" i="3"/>
  <c r="BF59" i="3"/>
  <c r="BT88" i="3"/>
  <c r="GM11" i="4" a="1"/>
  <c r="GP16" i="4" a="1"/>
  <c r="GD7" i="4" a="1"/>
  <c r="GF12" i="4" a="1"/>
  <c r="BC84" i="3"/>
  <c r="BC87" i="3"/>
  <c r="FG7" i="4" a="1"/>
  <c r="BS92" i="3"/>
  <c r="BK76" i="3"/>
  <c r="GF11" i="4" a="1"/>
  <c r="FN16" i="4" a="1"/>
  <c r="FI16" i="4" a="1"/>
  <c r="BP54" i="3"/>
  <c r="GL7" i="4" a="1"/>
  <c r="BP93" i="3"/>
  <c r="BR95" i="3"/>
  <c r="BK90" i="3"/>
  <c r="FX11" i="4" a="1"/>
  <c r="HC13" i="4" a="1"/>
  <c r="BR54" i="3"/>
  <c r="BH91" i="3"/>
  <c r="FH6" i="4" a="1"/>
  <c r="FK11" i="4" a="1"/>
  <c r="FK14" i="4" a="1"/>
  <c r="BN93" i="3"/>
  <c r="BL65" i="3"/>
  <c r="GT13" i="4" a="1"/>
  <c r="BC56" i="3"/>
  <c r="BM89" i="3"/>
  <c r="GR9" i="4" a="1"/>
  <c r="BM77" i="3"/>
  <c r="BE48" i="3"/>
  <c r="BE85" i="3"/>
  <c r="BI69" i="3"/>
  <c r="BG63" i="3"/>
  <c r="BG88" i="3"/>
  <c r="BE93" i="3"/>
  <c r="FS5" i="4" a="1"/>
  <c r="BQ90" i="3"/>
  <c r="BT66" i="3"/>
  <c r="FU7" i="4" a="1"/>
  <c r="FM7" i="4" a="1"/>
  <c r="BN68" i="3"/>
  <c r="GC8" i="4" a="1"/>
  <c r="HB12" i="4" a="1"/>
  <c r="BB93" i="3"/>
  <c r="HC9" i="4" a="1"/>
  <c r="BG61" i="3"/>
  <c r="BR47" i="3"/>
  <c r="FZ11" i="4" a="1"/>
  <c r="GA8" i="4" a="1"/>
  <c r="GJ7" i="4" a="1"/>
  <c r="BC96" i="3"/>
  <c r="BS49" i="3"/>
  <c r="GM12" i="4" a="1"/>
  <c r="BT76" i="3"/>
  <c r="FG6" i="4" a="1"/>
  <c r="GW8" i="4" a="1"/>
  <c r="FJ14" i="4" a="1"/>
  <c r="BG49" i="3"/>
  <c r="BO95" i="3"/>
  <c r="BF62" i="3"/>
  <c r="CL139" i="1" s="1"/>
  <c r="FH8" i="4" a="1"/>
  <c r="GG13" i="4" a="1"/>
  <c r="GW11" i="4" a="1"/>
  <c r="BG81" i="3"/>
  <c r="BS85" i="3"/>
  <c r="BF57" i="3"/>
  <c r="CL133" i="1" s="1"/>
  <c r="GH11" i="4" a="1"/>
  <c r="GJ13" i="4" a="1"/>
  <c r="HH11" i="4" a="1"/>
  <c r="BM64" i="3"/>
  <c r="BO68" i="3"/>
  <c r="BI61" i="3"/>
  <c r="HF8" i="4" a="1"/>
  <c r="GH12" i="4" a="1"/>
  <c r="GC13" i="4" a="1"/>
  <c r="FR7" i="4" a="1"/>
  <c r="BP67" i="3"/>
  <c r="BQ82" i="3"/>
  <c r="BS54" i="3"/>
  <c r="GC14" i="4" a="1"/>
  <c r="FN13" i="4" a="1"/>
  <c r="FU11" i="4" a="1"/>
  <c r="BK96" i="3"/>
  <c r="FL8" i="4" a="1"/>
  <c r="BF94" i="3"/>
  <c r="FT8" i="4" a="1"/>
  <c r="BB73" i="3"/>
  <c r="BU69" i="3"/>
  <c r="HE5" i="4" a="1"/>
  <c r="FP12" i="4" a="1"/>
  <c r="FU15" i="4" a="1"/>
  <c r="FK12" i="4" a="1"/>
  <c r="BC63" i="3"/>
  <c r="GY6" i="4" a="1"/>
  <c r="FV6" i="4" a="1"/>
  <c r="BC86" i="3"/>
  <c r="BC95" i="3"/>
  <c r="BR63" i="3"/>
  <c r="FU5" i="4" a="1"/>
  <c r="GW12" i="4" a="1"/>
  <c r="BC62" i="3"/>
  <c r="GO12" i="4" a="1"/>
  <c r="BI55" i="3"/>
  <c r="HF16" i="4" a="1"/>
  <c r="BN90" i="3"/>
  <c r="BC92" i="3"/>
  <c r="HF6" i="4" a="1"/>
  <c r="BL76" i="3"/>
  <c r="FR15" i="4" a="1"/>
  <c r="GE13" i="4" a="1"/>
  <c r="BS96" i="3"/>
  <c r="FK15" i="4" a="1"/>
  <c r="GW14" i="4" a="1"/>
  <c r="GU8" i="4" a="1"/>
  <c r="BO62" i="3"/>
  <c r="BR59" i="3"/>
  <c r="HA9" i="4" a="1"/>
  <c r="BS47" i="3"/>
  <c r="BL82" i="3"/>
  <c r="GT9" i="4" a="1"/>
  <c r="HF12" i="4" a="1"/>
  <c r="BP88" i="3"/>
  <c r="GZ14" i="4" a="1"/>
  <c r="GR12" i="4" a="1"/>
  <c r="BC94" i="3"/>
  <c r="GF6" i="4" a="1"/>
  <c r="BQ94" i="3"/>
  <c r="GQ9" i="4" a="1"/>
  <c r="BP69" i="3"/>
  <c r="BC59" i="3"/>
  <c r="BK59" i="3"/>
  <c r="GF14" i="4" a="1"/>
  <c r="GK13" i="4" a="1"/>
  <c r="GP13" i="4" a="1"/>
  <c r="BQ78" i="3"/>
  <c r="GS9" i="4" a="1"/>
  <c r="FM15" i="4" a="1"/>
  <c r="BH66" i="3"/>
  <c r="BU80" i="3"/>
  <c r="FV12" i="4" a="1"/>
  <c r="HB6" i="4" a="1"/>
  <c r="FW16" i="4" a="1"/>
  <c r="FV15" i="4" a="1"/>
  <c r="FJ9" i="4" a="1"/>
  <c r="GN13" i="4" a="1"/>
  <c r="BG50" i="3"/>
  <c r="HH8" i="4" a="1"/>
  <c r="HE15" i="4" a="1"/>
  <c r="BP94" i="3"/>
  <c r="BM55" i="3"/>
  <c r="BE58" i="3"/>
  <c r="FM8" i="4" a="1"/>
  <c r="BU49" i="3"/>
  <c r="BH69" i="3"/>
  <c r="BC69" i="3"/>
  <c r="BB60" i="3"/>
  <c r="BQ63" i="3"/>
  <c r="BC48" i="3"/>
  <c r="FV7" i="4" a="1"/>
  <c r="GA14" i="4" a="1"/>
  <c r="BO54" i="3"/>
  <c r="BC97" i="3"/>
  <c r="FN6" i="4" a="1"/>
  <c r="BQ73" i="3"/>
  <c r="FY16" i="4" a="1"/>
  <c r="BK87" i="3"/>
  <c r="BR81" i="3"/>
  <c r="BI95" i="3"/>
  <c r="BO59" i="3"/>
  <c r="FS9" i="4" a="1"/>
  <c r="BO48" i="3"/>
  <c r="HG7" i="4" a="1"/>
  <c r="GQ13" i="4" a="1"/>
  <c r="BO56" i="3"/>
  <c r="BP81" i="3"/>
  <c r="GN8" i="4" a="1"/>
  <c r="BC73" i="3"/>
  <c r="GA16" i="4" a="1"/>
  <c r="BU82" i="3"/>
  <c r="FI7" i="4" a="1"/>
  <c r="FR8" i="4" a="1"/>
  <c r="BF83" i="3"/>
  <c r="CL175" i="1" s="1"/>
  <c r="FG5" i="4" a="1"/>
  <c r="GG15" i="4" a="1"/>
  <c r="BS67" i="3"/>
  <c r="FO11" i="4" a="1"/>
  <c r="BS89" i="3"/>
  <c r="FI12" i="4" a="1"/>
  <c r="FS6" i="4" a="1"/>
  <c r="BE89" i="3"/>
  <c r="BP66" i="3"/>
  <c r="FO15" i="4" a="1"/>
  <c r="BC64" i="3"/>
  <c r="BR72" i="3"/>
  <c r="GD6" i="4" a="1"/>
  <c r="FJ16" i="4" a="1"/>
  <c r="BB78" i="3"/>
  <c r="GV7" i="4" a="1"/>
  <c r="BK58" i="3"/>
  <c r="BK71" i="3"/>
  <c r="GK9" i="4" a="1"/>
  <c r="HG11" i="4" a="1"/>
  <c r="BU92" i="3"/>
  <c r="BT58" i="3"/>
  <c r="GT12" i="4" a="1"/>
  <c r="BG64" i="3"/>
  <c r="BB68" i="3"/>
  <c r="BL72" i="3"/>
  <c r="BI56" i="3"/>
  <c r="BC58" i="3"/>
  <c r="GE12" i="4" a="1"/>
  <c r="BE49" i="3"/>
  <c r="GZ12" i="4" a="1"/>
  <c r="GR7" i="4" a="1"/>
  <c r="BM86" i="3"/>
  <c r="FJ15" i="4" a="1"/>
  <c r="FU12" i="4" a="1"/>
  <c r="BC79" i="3"/>
  <c r="GF8" i="4" a="1"/>
  <c r="GN16" i="4" a="1"/>
  <c r="BF88" i="3"/>
  <c r="CL142" i="1" s="1"/>
  <c r="BN74" i="3"/>
  <c r="FJ11" i="4" a="1"/>
  <c r="GY9" i="4" a="1"/>
  <c r="GV14" i="4" a="1"/>
  <c r="FM13" i="4" a="1"/>
  <c r="BI73" i="3"/>
  <c r="BG47" i="3"/>
  <c r="GL14" i="4" a="1"/>
  <c r="FT15" i="4" a="1"/>
  <c r="BE77" i="3"/>
  <c r="FH7" i="4" a="1"/>
  <c r="GU7" i="4" a="1"/>
  <c r="BK70" i="3"/>
  <c r="GY16" i="4" a="1"/>
  <c r="GN11" i="4" a="1"/>
  <c r="GF16" i="4" a="1"/>
  <c r="HD9" i="4" a="1"/>
  <c r="HF14" i="4" a="1"/>
  <c r="BF67" i="3"/>
  <c r="BQ89" i="3"/>
  <c r="BU90" i="3"/>
  <c r="FQ12" i="4" a="1"/>
  <c r="BQ97" i="3"/>
  <c r="FV9" i="4" a="1"/>
  <c r="GJ9" i="4" a="1"/>
  <c r="GK14" i="4" a="1"/>
  <c r="FV13" i="4" a="1"/>
  <c r="HB13" i="4" a="1"/>
  <c r="BT74" i="3"/>
  <c r="GS11" i="4" a="1"/>
  <c r="GR14" i="4" a="1"/>
  <c r="BN62" i="3"/>
  <c r="GP8" i="4" a="1"/>
  <c r="FQ16" i="4" a="1"/>
  <c r="GN14" i="4" a="1"/>
  <c r="BM85" i="3"/>
  <c r="GI8" i="4" a="1"/>
  <c r="BT65" i="3"/>
  <c r="FI6" i="4" a="1"/>
  <c r="GC5" i="4" a="1"/>
  <c r="GB6" i="4" a="1"/>
  <c r="FV14" i="4" a="1"/>
  <c r="FK13" i="4" a="1"/>
  <c r="GM7" i="4" a="1"/>
  <c r="HC7" i="4" a="1"/>
  <c r="BO58" i="3"/>
  <c r="HC12" i="4" a="1"/>
  <c r="FH16" i="4" a="1"/>
  <c r="BF79" i="3"/>
  <c r="CL158" i="1" s="1"/>
  <c r="BP63" i="3"/>
  <c r="GE6" i="4" a="1"/>
  <c r="BE80" i="3"/>
  <c r="BR71" i="3"/>
  <c r="BK79" i="3"/>
  <c r="FK5" i="4" a="1"/>
  <c r="GP5" i="4" a="1"/>
  <c r="FS7" i="4" a="1"/>
  <c r="BO66" i="3"/>
  <c r="GD12" i="4" a="1"/>
  <c r="GM9" i="4" a="1"/>
  <c r="GT7" i="4" a="1"/>
  <c r="GV5" i="4" a="1"/>
  <c r="BT84" i="3"/>
  <c r="BO79" i="3"/>
  <c r="FH11" i="4" a="1"/>
  <c r="BE78" i="3"/>
  <c r="GE5" i="4" a="1"/>
  <c r="GT16" i="4" a="1"/>
  <c r="FQ5" i="4" a="1"/>
  <c r="FZ12" i="4" a="1"/>
  <c r="BS70" i="3"/>
  <c r="HB7" i="4" a="1"/>
  <c r="BL93" i="3"/>
  <c r="GZ15" i="4" a="1"/>
  <c r="BB54" i="3"/>
  <c r="BN60" i="3"/>
  <c r="GO14" i="4" a="1"/>
  <c r="HC15" i="4" a="1"/>
  <c r="BB47" i="3"/>
  <c r="GV11" i="4" a="1"/>
  <c r="FS14" i="4" a="1"/>
  <c r="BU76" i="3"/>
  <c r="FZ15" i="4" a="1"/>
  <c r="BT47" i="3"/>
  <c r="FS12" i="4" a="1"/>
  <c r="GG16" i="4" a="1"/>
  <c r="GV12" i="4" a="1"/>
  <c r="HB8" i="4" a="1"/>
  <c r="BH89" i="3"/>
  <c r="BK78" i="3"/>
  <c r="GP11" i="4" a="1"/>
  <c r="HH15" i="4" a="1"/>
  <c r="BE90" i="3"/>
  <c r="BG94" i="3"/>
  <c r="BT59" i="3"/>
  <c r="BO69" i="3"/>
  <c r="HH14" i="4" a="1"/>
  <c r="FM11" i="4" a="1"/>
  <c r="BI75" i="3"/>
  <c r="GA11" i="4" a="1"/>
  <c r="BF47" i="3"/>
  <c r="HE7" i="4" a="1"/>
  <c r="BL68" i="3"/>
  <c r="BM54" i="3"/>
  <c r="FI15" i="4" a="1"/>
  <c r="GW16" i="4" a="1"/>
  <c r="BU79" i="3"/>
  <c r="BS72" i="3" l="1"/>
  <c r="BG55" i="3"/>
  <c r="BO89" i="3"/>
  <c r="BO63" i="3"/>
  <c r="BM82" i="3"/>
  <c r="BS79" i="3"/>
  <c r="BS83" i="3"/>
  <c r="BR74" i="3"/>
  <c r="BP92" i="3"/>
  <c r="BG69" i="3"/>
  <c r="BO65" i="3"/>
  <c r="BP49" i="3"/>
  <c r="BM84" i="3"/>
  <c r="BG75" i="3"/>
  <c r="BM57" i="3"/>
  <c r="BO83" i="3"/>
  <c r="BP73" i="3"/>
  <c r="Z112" i="2"/>
  <c r="BJ71" i="3"/>
  <c r="BP91" i="3"/>
  <c r="BJ64" i="3"/>
  <c r="BP74" i="3"/>
  <c r="BO88" i="3"/>
  <c r="BV58" i="3"/>
  <c r="BR94" i="3"/>
  <c r="BR88" i="3"/>
  <c r="BG90" i="3"/>
  <c r="BO73" i="3"/>
  <c r="BJ91" i="3"/>
  <c r="BJ54" i="3"/>
  <c r="BJ79" i="3"/>
  <c r="BS93" i="3"/>
  <c r="BJ80" i="3"/>
  <c r="BJ65" i="3"/>
  <c r="BJ67" i="3"/>
  <c r="BS63" i="3"/>
  <c r="BO97" i="3"/>
  <c r="BS62" i="3"/>
  <c r="BO86" i="3"/>
  <c r="BJ86" i="3"/>
  <c r="BO84" i="3"/>
  <c r="BS94" i="3"/>
  <c r="BS76" i="3"/>
  <c r="BO96" i="3"/>
  <c r="BO70" i="3"/>
  <c r="BS55" i="3"/>
  <c r="BJ69" i="3"/>
  <c r="BJ76" i="3"/>
  <c r="BO81" i="3"/>
  <c r="BO93" i="3"/>
  <c r="BS90" i="3"/>
  <c r="BS81" i="3"/>
  <c r="BO77" i="3"/>
  <c r="BS68" i="3"/>
  <c r="BJ63" i="3"/>
  <c r="BJ75" i="3"/>
  <c r="BJ72" i="3"/>
  <c r="BJ68" i="3"/>
  <c r="BJ93" i="3"/>
  <c r="BJ97" i="3"/>
  <c r="BJ55" i="3"/>
  <c r="BJ90" i="3"/>
  <c r="BJ62" i="3"/>
  <c r="BJ92" i="3"/>
  <c r="BJ74" i="3"/>
  <c r="BJ48" i="3"/>
  <c r="BJ88" i="3"/>
  <c r="BJ56" i="3"/>
  <c r="BJ59" i="3"/>
  <c r="BJ49" i="3"/>
  <c r="BJ85" i="3"/>
  <c r="BJ96" i="3"/>
  <c r="BJ89" i="3"/>
  <c r="BJ60" i="3"/>
  <c r="BJ84" i="3"/>
  <c r="BJ66" i="3"/>
  <c r="BJ77" i="3"/>
  <c r="BJ95" i="3"/>
  <c r="BJ87" i="3"/>
  <c r="BJ57" i="3"/>
  <c r="BJ50" i="3"/>
  <c r="BJ58" i="3"/>
  <c r="BJ73" i="3"/>
  <c r="BJ94" i="3"/>
  <c r="BJ47" i="3"/>
  <c r="BJ81" i="3"/>
  <c r="BJ61" i="3"/>
  <c r="BJ78" i="3"/>
  <c r="CL198" i="1"/>
  <c r="CL194" i="1"/>
  <c r="BR67" i="3"/>
  <c r="BO75" i="3"/>
  <c r="BG60" i="3"/>
  <c r="BV79" i="3"/>
  <c r="BP71" i="3"/>
  <c r="BR50" i="3"/>
  <c r="BA58" i="3"/>
  <c r="BG48" i="3"/>
  <c r="BG83" i="3"/>
  <c r="BO94" i="3"/>
  <c r="BS59" i="3"/>
  <c r="BS66" i="3"/>
  <c r="BV70" i="3"/>
  <c r="BV47" i="3"/>
  <c r="BV81" i="3"/>
  <c r="BV84" i="3"/>
  <c r="BV85" i="3"/>
  <c r="BV91" i="3"/>
  <c r="BV74" i="3"/>
  <c r="BV50" i="3"/>
  <c r="BV59" i="3"/>
  <c r="BV83" i="3"/>
  <c r="BV75" i="3"/>
  <c r="BV56" i="3"/>
  <c r="BV90" i="3"/>
  <c r="BV54" i="3"/>
  <c r="BV92" i="3"/>
  <c r="BV76" i="3"/>
  <c r="BV67" i="3"/>
  <c r="BV93" i="3"/>
  <c r="BV68" i="3"/>
  <c r="BV82" i="3"/>
  <c r="BV86" i="3"/>
  <c r="BV73" i="3"/>
  <c r="BV87" i="3"/>
  <c r="BV66" i="3"/>
  <c r="BV65" i="3"/>
  <c r="BV48" i="3"/>
  <c r="BV49" i="3"/>
  <c r="BV60" i="3"/>
  <c r="BV69" i="3"/>
  <c r="BV88" i="3"/>
  <c r="BV96" i="3"/>
  <c r="BV94" i="3"/>
  <c r="BV78" i="3"/>
  <c r="BV72" i="3"/>
  <c r="BV55" i="3"/>
  <c r="BV97" i="3"/>
  <c r="BV71" i="3"/>
  <c r="BV95" i="3"/>
  <c r="BV80" i="3"/>
  <c r="BV57" i="3"/>
  <c r="BV64" i="3"/>
  <c r="AA113" i="2"/>
  <c r="BV77" i="3"/>
  <c r="BO49" i="3"/>
  <c r="BA56" i="3"/>
  <c r="BG56" i="3"/>
  <c r="BM71" i="3"/>
  <c r="BA86" i="3"/>
  <c r="BO60" i="3"/>
  <c r="BA72" i="3"/>
  <c r="BV62" i="3"/>
  <c r="BM75" i="3"/>
  <c r="BS48" i="3"/>
  <c r="BA65" i="3"/>
  <c r="BA96" i="3"/>
  <c r="BS97" i="3"/>
  <c r="BS58" i="3"/>
  <c r="BA75" i="3"/>
  <c r="BA81" i="3"/>
  <c r="BA77" i="3"/>
  <c r="AA111" i="2"/>
  <c r="BA83" i="3"/>
  <c r="BA69" i="3"/>
  <c r="BA94" i="3"/>
  <c r="BA84" i="3"/>
  <c r="BA59" i="3"/>
  <c r="BA88" i="3"/>
  <c r="BA85" i="3"/>
  <c r="BA48" i="3"/>
  <c r="BA50" i="3"/>
  <c r="BA66" i="3"/>
  <c r="BA76" i="3"/>
  <c r="BA80" i="3"/>
  <c r="BA71" i="3"/>
  <c r="BA91" i="3"/>
  <c r="BA89" i="3"/>
  <c r="BA67" i="3"/>
  <c r="BA78" i="3"/>
  <c r="BA55" i="3"/>
  <c r="BA90" i="3"/>
  <c r="BA70" i="3"/>
  <c r="BA54" i="3"/>
  <c r="BA47" i="3"/>
  <c r="BA49" i="3"/>
  <c r="BA79" i="3"/>
  <c r="AA112" i="2"/>
  <c r="BA61" i="3"/>
  <c r="BA82" i="3"/>
  <c r="BA92" i="3"/>
  <c r="BA87" i="3"/>
  <c r="BA62" i="3"/>
  <c r="BA73" i="3"/>
  <c r="BA97" i="3"/>
  <c r="BA64" i="3"/>
  <c r="BA68" i="3"/>
  <c r="BA93" i="3"/>
  <c r="BA74" i="3"/>
  <c r="BA60" i="3"/>
  <c r="BO72" i="3"/>
  <c r="BO47" i="3"/>
  <c r="BO71" i="3"/>
  <c r="BO78" i="3"/>
  <c r="BO85" i="3"/>
  <c r="CL195" i="1"/>
  <c r="CL171" i="1"/>
  <c r="CL200" i="1" s="1"/>
  <c r="CL199" i="1" s="1"/>
  <c r="BD67" i="3"/>
  <c r="BD93" i="3"/>
  <c r="BD62" i="3"/>
  <c r="CJ139" i="1" s="1"/>
  <c r="BD89" i="3"/>
  <c r="CJ168" i="1" s="1"/>
  <c r="BD55" i="3"/>
  <c r="BD73" i="3"/>
  <c r="BD54" i="3"/>
  <c r="BD58" i="3"/>
  <c r="CJ134" i="1" s="1"/>
  <c r="BD60" i="3"/>
  <c r="CJ137" i="1" s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BD77" i="3"/>
  <c r="CJ155" i="1" s="1"/>
  <c r="BD47" i="3"/>
  <c r="BD95" i="3"/>
  <c r="CJ179" i="1" s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BD83" i="3"/>
  <c r="CJ175" i="1" s="1"/>
  <c r="BD49" i="3"/>
  <c r="CJ88" i="1" s="1"/>
  <c r="BD94" i="3"/>
  <c r="BD79" i="3"/>
  <c r="CJ158" i="1" s="1"/>
  <c r="BD68" i="3"/>
  <c r="CJ149" i="1" s="1"/>
  <c r="BD72" i="3"/>
  <c r="CJ150" i="1" s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BD61" i="3"/>
  <c r="BD78" i="3"/>
  <c r="CJ157" i="1" s="1"/>
  <c r="BD80" i="3"/>
  <c r="CJ174" i="1" s="1"/>
  <c r="BD50" i="3"/>
  <c r="CJ89" i="1" s="1"/>
  <c r="BD88" i="3"/>
  <c r="CJ142" i="1" s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BD85" i="3"/>
  <c r="CJ162" i="1" s="1"/>
  <c r="BD90" i="3"/>
  <c r="CJ141" i="1" s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BD97" i="3"/>
  <c r="BD86" i="3"/>
  <c r="BD64" i="3"/>
  <c r="CJ164" i="1" s="1"/>
  <c r="BD92" i="3"/>
  <c r="CJ170" i="1" s="1"/>
  <c r="BD76" i="3"/>
  <c r="BD84" i="3"/>
  <c r="CJ161" i="1" s="1"/>
  <c r="BD71" i="3"/>
  <c r="BD56" i="3"/>
  <c r="CJ132" i="1" s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BD81" i="3"/>
  <c r="CJ159" i="1" s="1"/>
  <c r="BD74" i="3"/>
  <c r="CJ152" i="1" s="1"/>
  <c r="CK152" i="1" s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BD91" i="3"/>
  <c r="CJ169" i="1" s="1"/>
  <c r="BD48" i="3"/>
  <c r="BD96" i="3"/>
  <c r="CJ178" i="1" s="1"/>
  <c r="CK178" i="1" s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BD75" i="3"/>
  <c r="BD63" i="3"/>
  <c r="CJ140" i="1" s="1"/>
  <c r="CK140" i="1" s="1"/>
  <c r="CM140" i="1" s="1"/>
  <c r="CN140" i="1" s="1"/>
  <c r="CO140" i="1" s="1"/>
  <c r="CP140" i="1" s="1"/>
  <c r="BD59" i="3"/>
  <c r="BD69" i="3"/>
  <c r="BD57" i="3"/>
  <c r="CJ133" i="1" s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BD65" i="3"/>
  <c r="CJ165" i="1" s="1"/>
  <c r="BD87" i="3"/>
  <c r="CJ167" i="1" s="1"/>
  <c r="BD66" i="3"/>
  <c r="CJ166" i="1" s="1"/>
  <c r="BD82" i="3"/>
  <c r="CJ160" i="1" s="1"/>
  <c r="BD70" i="3"/>
  <c r="CJ148" i="1" s="1"/>
  <c r="CK148" i="1" s="1"/>
  <c r="CL267" i="1"/>
  <c r="CL25" i="1"/>
  <c r="CL246" i="1"/>
  <c r="CL268" i="1"/>
  <c r="CL209" i="1"/>
  <c r="CL176" i="1"/>
  <c r="CL163" i="1"/>
  <c r="CL143" i="1"/>
  <c r="CL41" i="1"/>
  <c r="CL42" i="1" s="1"/>
  <c r="CL80" i="1"/>
  <c r="CL107" i="1" s="1"/>
  <c r="CL153" i="1"/>
  <c r="JY16" i="4" s="1"/>
  <c r="KA9" i="4" s="1"/>
  <c r="JZ9" i="4" s="1"/>
  <c r="KE16" i="4" s="1"/>
  <c r="KE9" i="4" s="1"/>
  <c r="CK88" i="1"/>
  <c r="JW16" i="4" s="1"/>
  <c r="KC9" i="4" s="1"/>
  <c r="JQ16" i="4" s="1"/>
  <c r="KB16" i="4" s="1"/>
  <c r="JT16" i="4" s="1"/>
  <c r="Y89" i="1"/>
  <c r="CH89" i="1"/>
  <c r="JS9" i="4" s="1"/>
  <c r="JR9" i="4" s="1"/>
  <c r="CK89" i="1"/>
  <c r="KA16" i="4" s="1"/>
  <c r="KA21" i="4" s="1"/>
  <c r="JW9" i="4" s="1"/>
  <c r="JW21" i="4" s="1"/>
  <c r="JS16" i="4" s="1"/>
  <c r="KG9" i="4" s="1"/>
  <c r="KB9" i="4" s="1"/>
  <c r="JX9" i="4" s="1"/>
  <c r="CH88" i="1"/>
  <c r="KH9" i="4" s="1"/>
  <c r="KH16" i="4" s="1"/>
  <c r="KH21" i="4" s="1"/>
  <c r="JT9" i="4" s="1"/>
  <c r="X89" i="1"/>
  <c r="JR16" i="4" s="1"/>
  <c r="JU9" i="4" s="1"/>
  <c r="CI89" i="1"/>
  <c r="KD16" i="4" s="1"/>
  <c r="X88" i="1"/>
  <c r="CI88" i="1"/>
  <c r="CI61" i="1"/>
  <c r="CK23" i="1"/>
  <c r="X150" i="1"/>
  <c r="X146" i="1" s="1"/>
  <c r="JO16" i="4" s="1"/>
  <c r="Y160" i="1"/>
  <c r="Z23" i="1"/>
  <c r="Z140" i="1"/>
  <c r="CH140" i="1" s="1"/>
  <c r="CI140" i="1" s="1"/>
  <c r="Y174" i="1"/>
  <c r="CJ30" i="1"/>
  <c r="CE54" i="1"/>
  <c r="Z165" i="1"/>
  <c r="CH165" i="1" s="1"/>
  <c r="Y62" i="1"/>
  <c r="Z132" i="1"/>
  <c r="CI36" i="1"/>
  <c r="JP9" i="4" s="1"/>
  <c r="Z66" i="1"/>
  <c r="Z162" i="1"/>
  <c r="CH162" i="1" s="1"/>
  <c r="CI23" i="1"/>
  <c r="X137" i="1"/>
  <c r="X152" i="1"/>
  <c r="Z175" i="1"/>
  <c r="CH175" i="1" s="1"/>
  <c r="Z142" i="1"/>
  <c r="CH142" i="1" s="1"/>
  <c r="CI142" i="1" s="1"/>
  <c r="CK30" i="1"/>
  <c r="Z168" i="1"/>
  <c r="CI60" i="1"/>
  <c r="CJ24" i="1"/>
  <c r="Y132" i="1"/>
  <c r="CJ38" i="1"/>
  <c r="Y175" i="1"/>
  <c r="Y94" i="1"/>
  <c r="Z141" i="1"/>
  <c r="CH141" i="1" s="1"/>
  <c r="CI141" i="1" s="1"/>
  <c r="Z185" i="1"/>
  <c r="Z148" i="1"/>
  <c r="CH148" i="1" s="1"/>
  <c r="CI148" i="1" s="1"/>
  <c r="CH40" i="1"/>
  <c r="CK28" i="1"/>
  <c r="CJ61" i="1"/>
  <c r="CG47" i="1"/>
  <c r="CI47" i="1"/>
  <c r="X94" i="1"/>
  <c r="Z40" i="1"/>
  <c r="X82" i="1"/>
  <c r="Y92" i="1"/>
  <c r="X140" i="1"/>
  <c r="CG23" i="1"/>
  <c r="X155" i="1"/>
  <c r="Y168" i="1"/>
  <c r="CH60" i="1"/>
  <c r="Y186" i="1"/>
  <c r="CK51" i="1"/>
  <c r="CH35" i="1"/>
  <c r="X161" i="1"/>
  <c r="X39" i="1"/>
  <c r="Z51" i="1"/>
  <c r="Y185" i="1"/>
  <c r="Y133" i="1"/>
  <c r="Y178" i="1"/>
  <c r="Y30" i="1"/>
  <c r="X50" i="1"/>
  <c r="X47" i="1"/>
  <c r="Z137" i="1"/>
  <c r="CH137" i="1" s="1"/>
  <c r="CI137" i="1" s="1"/>
  <c r="Z159" i="1"/>
  <c r="X178" i="1"/>
  <c r="CI24" i="1"/>
  <c r="CG36" i="1"/>
  <c r="Z186" i="1"/>
  <c r="Y157" i="1"/>
  <c r="X186" i="1"/>
  <c r="X185" i="1"/>
  <c r="Y147" i="1"/>
  <c r="Y35" i="1"/>
  <c r="CJ51" i="1"/>
  <c r="Z93" i="1"/>
  <c r="CG38" i="1"/>
  <c r="Z28" i="1"/>
  <c r="Z158" i="1"/>
  <c r="CH158" i="1" s="1"/>
  <c r="CK47" i="1"/>
  <c r="Y158" i="1"/>
  <c r="Y165" i="1"/>
  <c r="Y54" i="1"/>
  <c r="CK36" i="1"/>
  <c r="CK35" i="1"/>
  <c r="Y179" i="1"/>
  <c r="Y40" i="1"/>
  <c r="CJ47" i="1"/>
  <c r="CK37" i="1"/>
  <c r="CH24" i="1"/>
  <c r="Z139" i="1"/>
  <c r="X36" i="1"/>
  <c r="X141" i="1"/>
  <c r="X169" i="1" s="1"/>
  <c r="Y164" i="1"/>
  <c r="Z50" i="1"/>
  <c r="AF50" i="1" s="1"/>
  <c r="Z47" i="1"/>
  <c r="Z134" i="1"/>
  <c r="CH134" i="1" s="1"/>
  <c r="CI51" i="1"/>
  <c r="CG50" i="1"/>
  <c r="X54" i="1"/>
  <c r="X66" i="1"/>
  <c r="Z94" i="1"/>
  <c r="CJ36" i="1"/>
  <c r="CG54" i="1"/>
  <c r="Z82" i="1"/>
  <c r="X170" i="1"/>
  <c r="CJ66" i="1"/>
  <c r="X165" i="1"/>
  <c r="CG29" i="1"/>
  <c r="Y150" i="1"/>
  <c r="Y146" i="1" s="1"/>
  <c r="Z38" i="1"/>
  <c r="Y61" i="1"/>
  <c r="CI37" i="1"/>
  <c r="X24" i="1"/>
  <c r="Y152" i="1"/>
  <c r="X35" i="1"/>
  <c r="Y23" i="1"/>
  <c r="CJ37" i="1"/>
  <c r="CG28" i="1"/>
  <c r="CI66" i="1"/>
  <c r="CK38" i="1"/>
  <c r="Y148" i="1"/>
  <c r="X132" i="1"/>
  <c r="Z54" i="1"/>
  <c r="X179" i="1"/>
  <c r="Y161" i="1"/>
  <c r="Z37" i="1"/>
  <c r="X28" i="1"/>
  <c r="Y139" i="1"/>
  <c r="Z147" i="1"/>
  <c r="CH147" i="1" s="1"/>
  <c r="Y47" i="1"/>
  <c r="JN9" i="4" s="1"/>
  <c r="Y142" i="1"/>
  <c r="Y66" i="1"/>
  <c r="CI29" i="1"/>
  <c r="Y51" i="1"/>
  <c r="CJ78" i="1"/>
  <c r="CB28" i="1"/>
  <c r="Z35" i="1"/>
  <c r="Z150" i="1"/>
  <c r="CH150" i="1" s="1"/>
  <c r="CI150" i="1" s="1"/>
  <c r="Z36" i="1"/>
  <c r="Y50" i="1"/>
  <c r="CJ50" i="1"/>
  <c r="CK40" i="1"/>
  <c r="JN16" i="4" s="1"/>
  <c r="JN21" i="4" s="1"/>
  <c r="CH92" i="1" s="1"/>
  <c r="CH61" i="1"/>
  <c r="X92" i="1"/>
  <c r="Y187" i="1"/>
  <c r="CH37" i="1"/>
  <c r="CG37" i="1"/>
  <c r="X93" i="1"/>
  <c r="X148" i="1"/>
  <c r="Z164" i="1"/>
  <c r="Y140" i="1"/>
  <c r="CK60" i="1"/>
  <c r="CM60" i="1" s="1"/>
  <c r="Z161" i="1"/>
  <c r="CH161" i="1" s="1"/>
  <c r="CK79" i="1"/>
  <c r="CK29" i="1"/>
  <c r="CJ35" i="1"/>
  <c r="Y155" i="1"/>
  <c r="CJ40" i="1"/>
  <c r="CH51" i="1"/>
  <c r="Y141" i="1"/>
  <c r="Y169" i="1" s="1"/>
  <c r="CI38" i="1"/>
  <c r="Z187" i="1"/>
  <c r="CK78" i="1"/>
  <c r="CK80" i="1" s="1"/>
  <c r="CJ39" i="1"/>
  <c r="Z61" i="1"/>
  <c r="CH30" i="1"/>
  <c r="CJ28" i="1"/>
  <c r="CK39" i="1"/>
  <c r="Z60" i="1"/>
  <c r="Y170" i="1"/>
  <c r="CH36" i="1"/>
  <c r="Y151" i="1"/>
  <c r="CK54" i="1"/>
  <c r="X51" i="1"/>
  <c r="CG30" i="1"/>
  <c r="CJ60" i="1"/>
  <c r="Z178" i="1"/>
  <c r="CH178" i="1" s="1"/>
  <c r="CI39" i="1"/>
  <c r="X23" i="1"/>
  <c r="JO9" i="4" s="1"/>
  <c r="CG60" i="1"/>
  <c r="CH50" i="1"/>
  <c r="Z92" i="1"/>
  <c r="Y36" i="1"/>
  <c r="Y162" i="1"/>
  <c r="Z155" i="1"/>
  <c r="CH66" i="1"/>
  <c r="CG24" i="1"/>
  <c r="X62" i="1"/>
  <c r="X162" i="1"/>
  <c r="Y159" i="1"/>
  <c r="Y194" i="1" s="1"/>
  <c r="Z39" i="1"/>
  <c r="X37" i="1"/>
  <c r="Y93" i="1"/>
  <c r="Y39" i="1"/>
  <c r="CG61" i="1"/>
  <c r="JP16" i="4" s="1"/>
  <c r="JP21" i="4" s="1"/>
  <c r="CJ92" i="1" s="1"/>
  <c r="CH29" i="1"/>
  <c r="X38" i="1"/>
  <c r="X151" i="1"/>
  <c r="X142" i="1"/>
  <c r="X168" i="1"/>
  <c r="CJ29" i="1"/>
  <c r="CI35" i="1"/>
  <c r="X159" i="1"/>
  <c r="Z179" i="1"/>
  <c r="CH179" i="1" s="1"/>
  <c r="CI179" i="1" s="1"/>
  <c r="X164" i="1"/>
  <c r="CH28" i="1"/>
  <c r="CI28" i="1"/>
  <c r="Z152" i="1"/>
  <c r="CH152" i="1" s="1"/>
  <c r="CI152" i="1" s="1"/>
  <c r="Y28" i="1"/>
  <c r="X187" i="1"/>
  <c r="X30" i="1"/>
  <c r="CK61" i="1"/>
  <c r="CM61" i="1" s="1"/>
  <c r="Y134" i="1"/>
  <c r="CH39" i="1"/>
  <c r="CG39" i="1"/>
  <c r="Z62" i="1"/>
  <c r="CG66" i="1"/>
  <c r="X60" i="1"/>
  <c r="Z157" i="1"/>
  <c r="X40" i="1"/>
  <c r="CI50" i="1"/>
  <c r="CH23" i="1"/>
  <c r="CG62" i="1"/>
  <c r="Z151" i="1"/>
  <c r="CH151" i="1" s="1"/>
  <c r="CI151" i="1" s="1"/>
  <c r="X139" i="1"/>
  <c r="CJ23" i="1"/>
  <c r="X157" i="1"/>
  <c r="CK50" i="1"/>
  <c r="CH54" i="1"/>
  <c r="Z166" i="1"/>
  <c r="CH166" i="1" s="1"/>
  <c r="CI30" i="1"/>
  <c r="Y82" i="1"/>
  <c r="CH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H47" i="1"/>
  <c r="X134" i="1"/>
  <c r="Z174" i="1"/>
  <c r="X61" i="1"/>
  <c r="Y38" i="1"/>
  <c r="Z24" i="1"/>
  <c r="CH38" i="1"/>
  <c r="Y60" i="1"/>
  <c r="Y137" i="1"/>
  <c r="X174" i="1"/>
  <c r="CG40" i="1"/>
  <c r="X158" i="1"/>
  <c r="CG51" i="1"/>
  <c r="CJ54" i="1"/>
  <c r="X166" i="1"/>
  <c r="CK66" i="1"/>
  <c r="CK24" i="1"/>
  <c r="X147" i="1"/>
  <c r="X175" i="1"/>
  <c r="Y24" i="1"/>
  <c r="X160" i="1"/>
  <c r="CI62" i="1"/>
  <c r="CJ62" i="1"/>
  <c r="Z30" i="1"/>
  <c r="CK62" i="1"/>
  <c r="Y166" i="1"/>
  <c r="Z133" i="1"/>
  <c r="CH133" i="1" s="1"/>
  <c r="CI133" i="1" s="1"/>
  <c r="CG35" i="1"/>
  <c r="CI54" i="1"/>
  <c r="CI40" i="1"/>
  <c r="Z170" i="1"/>
  <c r="CH170" i="1" s="1"/>
  <c r="Y37" i="1"/>
  <c r="Z160" i="1"/>
  <c r="X133" i="1"/>
  <c r="AC50" i="1"/>
  <c r="AT8" i="3"/>
  <c r="AX31" i="3"/>
  <c r="AU20" i="3"/>
  <c r="AW15" i="3"/>
  <c r="EM6" i="4" a="1"/>
  <c r="AW5" i="6" a="1"/>
  <c r="AU15" i="3"/>
  <c r="AQ6" i="6" a="1"/>
  <c r="AY42" i="3"/>
  <c r="ES13" i="4" a="1"/>
  <c r="EW5" i="4" a="1"/>
  <c r="AU33" i="3"/>
  <c r="AY31" i="3"/>
  <c r="AE6" i="6" a="1"/>
  <c r="AW13" i="3"/>
  <c r="AS25" i="3"/>
  <c r="O5" i="6" a="1"/>
  <c r="AY6" i="3"/>
  <c r="AO6" i="6" a="1"/>
  <c r="AF17" i="3"/>
  <c r="AS12" i="3"/>
  <c r="AZ20" i="3"/>
  <c r="AF28" i="3"/>
  <c r="EP5" i="4" a="1"/>
  <c r="AY32" i="3"/>
  <c r="AT15" i="3"/>
  <c r="AX16" i="3"/>
  <c r="EP13" i="4" a="1"/>
  <c r="AW11" i="3"/>
  <c r="S5" i="6" a="1"/>
  <c r="AT9" i="3"/>
  <c r="Y6" i="6" a="1"/>
  <c r="EL5" i="4" a="1"/>
  <c r="AF7" i="3"/>
  <c r="EN12" i="4" a="1"/>
  <c r="AY33" i="3"/>
  <c r="AW36" i="3"/>
  <c r="AW9" i="3"/>
  <c r="EP7" i="4" a="1"/>
  <c r="EV14" i="4" a="1"/>
  <c r="AV39" i="3"/>
  <c r="AE5" i="6" a="1"/>
  <c r="EW7" i="4" a="1"/>
  <c r="AF40" i="3"/>
  <c r="AS41" i="3"/>
  <c r="AV13" i="3"/>
  <c r="AY40" i="3"/>
  <c r="AR6" i="6" a="1"/>
  <c r="J5" i="6" a="1"/>
  <c r="AC6" i="6" a="1"/>
  <c r="EU6" i="4" a="1"/>
  <c r="AU22" i="3"/>
  <c r="O6" i="6" a="1"/>
  <c r="AN5" i="6" a="1"/>
  <c r="EN5" i="4" a="1"/>
  <c r="AF20" i="3"/>
  <c r="AY6" i="6" a="1"/>
  <c r="AT11" i="3"/>
  <c r="AX29" i="3"/>
  <c r="EP15" i="4" a="1"/>
  <c r="AS16" i="3"/>
  <c r="AW5" i="3"/>
  <c r="AW18" i="3"/>
  <c r="AW7" i="3"/>
  <c r="AX36" i="3"/>
  <c r="AW21" i="3"/>
  <c r="AF15" i="3"/>
  <c r="ET7" i="4" a="1"/>
  <c r="EV16" i="4" a="1"/>
  <c r="AT30" i="3"/>
  <c r="AF22" i="3"/>
  <c r="ES15" i="4" a="1"/>
  <c r="AS40" i="3"/>
  <c r="AD6" i="6" a="1"/>
  <c r="AY5" i="6" a="1"/>
  <c r="EM9" i="4" a="1"/>
  <c r="EV5" i="4" a="1"/>
  <c r="ES7" i="4" a="1"/>
  <c r="AF9" i="3"/>
  <c r="AS38" i="3"/>
  <c r="EN16" i="4" a="1"/>
  <c r="AS31" i="3"/>
  <c r="AU18" i="3"/>
  <c r="AT46" i="3"/>
  <c r="AF25" i="3"/>
  <c r="AF46" i="3"/>
  <c r="AU5" i="6" a="1"/>
  <c r="AV32" i="3"/>
  <c r="AS17" i="3"/>
  <c r="AV34" i="3"/>
  <c r="AZ17" i="3"/>
  <c r="M6" i="6" a="1"/>
  <c r="AV18" i="3"/>
  <c r="AX13" i="3"/>
  <c r="EV11" i="4" a="1"/>
  <c r="AT10" i="3"/>
  <c r="AJ5" i="6" a="1"/>
  <c r="AZ11" i="3"/>
  <c r="AY37" i="3"/>
  <c r="AF16" i="3"/>
  <c r="ET9" i="4" a="1"/>
  <c r="AU32" i="3"/>
  <c r="AN6" i="6" a="1"/>
  <c r="AW6" i="3"/>
  <c r="AU23" i="3"/>
  <c r="AV23" i="3"/>
  <c r="AU41" i="3"/>
  <c r="AW17" i="3"/>
  <c r="AT32" i="3"/>
  <c r="EQ12" i="4" a="1"/>
  <c r="AW16" i="3"/>
  <c r="AU13" i="3"/>
  <c r="AH5" i="6" a="1"/>
  <c r="ER13" i="4" a="1"/>
  <c r="AW27" i="3"/>
  <c r="AX15" i="3"/>
  <c r="AT21" i="3"/>
  <c r="EW15" i="4" a="1"/>
  <c r="P5" i="6" a="1"/>
  <c r="AY22" i="3"/>
  <c r="AU35" i="3"/>
  <c r="AS5" i="3"/>
  <c r="ET13" i="4" a="1"/>
  <c r="AF6" i="3"/>
  <c r="AV21" i="3"/>
  <c r="AW35" i="3"/>
  <c r="AS32" i="3"/>
  <c r="AW25" i="3"/>
  <c r="EM16" i="4" a="1"/>
  <c r="AT14" i="3"/>
  <c r="AY9" i="3"/>
  <c r="EW11" i="4" a="1"/>
  <c r="AS6" i="3"/>
  <c r="EQ16" i="4" a="1"/>
  <c r="AW19" i="3"/>
  <c r="AU6" i="3"/>
  <c r="AU34" i="3"/>
  <c r="AW10" i="3"/>
  <c r="AF38" i="3"/>
  <c r="AS22" i="3"/>
  <c r="I5" i="6" a="1"/>
  <c r="AY17" i="3"/>
  <c r="EN6" i="4" a="1"/>
  <c r="AS26" i="3"/>
  <c r="AV28" i="3"/>
  <c r="EL11" i="4" a="1"/>
  <c r="AV46" i="3"/>
  <c r="AF37" i="3"/>
  <c r="AV20" i="3"/>
  <c r="AY28" i="3"/>
  <c r="EL7" i="4" a="1"/>
  <c r="AF12" i="3"/>
  <c r="AV41" i="3"/>
  <c r="AX22" i="3"/>
  <c r="EW16" i="4" a="1"/>
  <c r="AT5" i="6" a="1"/>
  <c r="AV7" i="3"/>
  <c r="AY15" i="3"/>
  <c r="AF26" i="3"/>
  <c r="AF6" i="6" a="1"/>
  <c r="AY27" i="3"/>
  <c r="AU9" i="3"/>
  <c r="EQ8" i="4" a="1"/>
  <c r="AZ10" i="3"/>
  <c r="AC5" i="6" a="1"/>
  <c r="ES14" i="4" a="1"/>
  <c r="AB5" i="6" a="1"/>
  <c r="D5" i="6" a="1"/>
  <c r="AB6" i="6" a="1"/>
  <c r="AW40" i="3"/>
  <c r="AW29" i="3"/>
  <c r="AT33" i="3"/>
  <c r="AF8" i="3"/>
  <c r="AF10" i="3"/>
  <c r="AV40" i="3"/>
  <c r="AZ24" i="3"/>
  <c r="ET12" i="4" a="1"/>
  <c r="AF31" i="3"/>
  <c r="EP16" i="4" a="1"/>
  <c r="AU31" i="3"/>
  <c r="AW34" i="3"/>
  <c r="AV38" i="3"/>
  <c r="AU6" i="6" a="1"/>
  <c r="AY8" i="3"/>
  <c r="AT28" i="3"/>
  <c r="Z5" i="6" a="1"/>
  <c r="AA6" i="6" a="1"/>
  <c r="ER16" i="4" a="1"/>
  <c r="AS7" i="3"/>
  <c r="AU29" i="3"/>
  <c r="AY16" i="3"/>
  <c r="EN14" i="4" a="1"/>
  <c r="AY20" i="3"/>
  <c r="AV37" i="3"/>
  <c r="V5" i="6" a="1"/>
  <c r="ER8" i="4" a="1"/>
  <c r="AV22" i="3"/>
  <c r="AZ35" i="3"/>
  <c r="EP14" i="4" a="1"/>
  <c r="AX25" i="3"/>
  <c r="AX5" i="3"/>
  <c r="AP7" i="3"/>
  <c r="AI6" i="6" a="1"/>
  <c r="ER14" i="4" a="1"/>
  <c r="AS36" i="3"/>
  <c r="AV30" i="3"/>
  <c r="AT39" i="3"/>
  <c r="AX35" i="3"/>
  <c r="AS23" i="3"/>
  <c r="C6" i="6" a="1"/>
  <c r="EN8" i="4" a="1"/>
  <c r="W6" i="6" a="1"/>
  <c r="AT37" i="3"/>
  <c r="EO8" i="4" a="1"/>
  <c r="AU27" i="3"/>
  <c r="EW13" i="4" a="1"/>
  <c r="AU10" i="3"/>
  <c r="AX28" i="3"/>
  <c r="AZ36" i="3"/>
  <c r="AS34" i="3"/>
  <c r="AX39" i="3"/>
  <c r="AT34" i="3"/>
  <c r="AY14" i="3"/>
  <c r="AF45" i="3"/>
  <c r="AR6" i="3"/>
  <c r="F45" i="3"/>
  <c r="AS29" i="3"/>
  <c r="AM5" i="6" a="1"/>
  <c r="AX37" i="3"/>
  <c r="AF21" i="3"/>
  <c r="AZ29" i="3"/>
  <c r="AZ37" i="3"/>
  <c r="Y5" i="6" a="1"/>
  <c r="AT17" i="3"/>
  <c r="AS11" i="3"/>
  <c r="ES5" i="4" a="1"/>
  <c r="V6" i="6" a="1"/>
  <c r="L6" i="6" a="1"/>
  <c r="AV26" i="3"/>
  <c r="AT35" i="3"/>
  <c r="ER11" i="4" a="1"/>
  <c r="AX27" i="3"/>
  <c r="ES16" i="4" a="1"/>
  <c r="AZ40" i="3"/>
  <c r="AK6" i="6" a="1"/>
  <c r="AV25" i="3"/>
  <c r="AI5" i="6" a="1"/>
  <c r="AZ33" i="3"/>
  <c r="AT38" i="3"/>
  <c r="AF5" i="3"/>
  <c r="L5" i="6" a="1"/>
  <c r="EP12" i="4" a="1"/>
  <c r="AF32" i="3"/>
  <c r="AT23" i="3"/>
  <c r="AX11" i="3"/>
  <c r="EW12" i="4" a="1"/>
  <c r="AG5" i="6" a="1"/>
  <c r="AS14" i="3"/>
  <c r="AS20" i="3"/>
  <c r="ER5" i="4" a="1"/>
  <c r="AY45" i="3"/>
  <c r="AX19" i="3"/>
  <c r="AP5" i="6" a="1"/>
  <c r="EQ9" i="4" a="1"/>
  <c r="AX10" i="3"/>
  <c r="AT36" i="3"/>
  <c r="AT13" i="3"/>
  <c r="AV14" i="3"/>
  <c r="AV36" i="3"/>
  <c r="EM15" i="4" a="1"/>
  <c r="AS39" i="3"/>
  <c r="AV5" i="6" a="1"/>
  <c r="AY5" i="3"/>
  <c r="AS33" i="3"/>
  <c r="AY30" i="3"/>
  <c r="AX21" i="3"/>
  <c r="AF34" i="3"/>
  <c r="AZ34" i="3"/>
  <c r="AV42" i="3"/>
  <c r="AW20" i="3"/>
  <c r="AV35" i="3"/>
  <c r="ET6" i="4" a="1"/>
  <c r="EM5" i="4" a="1"/>
  <c r="AF39" i="3"/>
  <c r="AZ39" i="3"/>
  <c r="AR5" i="3"/>
  <c r="EQ5" i="4" a="1"/>
  <c r="AU39" i="3"/>
  <c r="AT22" i="3"/>
  <c r="AZ30" i="3"/>
  <c r="AP6" i="3"/>
  <c r="EU12" i="4" a="1"/>
  <c r="AV24" i="3"/>
  <c r="EQ15" i="4" a="1"/>
  <c r="AW6" i="6" a="1"/>
  <c r="AV16" i="3"/>
  <c r="ET16" i="4" a="1"/>
  <c r="AS35" i="3"/>
  <c r="AF5" i="6" a="1"/>
  <c r="EW8" i="4" a="1"/>
  <c r="AS13" i="3"/>
  <c r="F46" i="3"/>
  <c r="AZ18" i="3"/>
  <c r="AS18" i="3"/>
  <c r="AX6" i="6" a="1"/>
  <c r="AZ22" i="3"/>
  <c r="EO6" i="4" a="1"/>
  <c r="AV31" i="3"/>
  <c r="AT25" i="3"/>
  <c r="AZ14" i="3"/>
  <c r="AZ25" i="3"/>
  <c r="ES11" i="4" a="1"/>
  <c r="AY36" i="3"/>
  <c r="EP6" i="4" a="1"/>
  <c r="AZ42" i="3"/>
  <c r="AF19" i="3"/>
  <c r="AZ21" i="3"/>
  <c r="AT26" i="3"/>
  <c r="EO12" i="4" a="1"/>
  <c r="AS6" i="6" a="1"/>
  <c r="R6" i="6" a="1"/>
  <c r="AW28" i="3"/>
  <c r="AX9" i="3"/>
  <c r="EM14" i="4" a="1"/>
  <c r="EP8" i="4" a="1"/>
  <c r="AV17" i="3"/>
  <c r="AW45" i="3"/>
  <c r="AT27" i="3"/>
  <c r="D6" i="6" a="1"/>
  <c r="AY12" i="3"/>
  <c r="EM11" i="4" a="1"/>
  <c r="AF41" i="3"/>
  <c r="E6" i="6" a="1"/>
  <c r="AF33" i="3"/>
  <c r="AT5" i="3"/>
  <c r="U5" i="6" a="1"/>
  <c r="EM12" i="4" a="1"/>
  <c r="AU38" i="3"/>
  <c r="G6" i="6" a="1"/>
  <c r="AH6" i="6" a="1"/>
  <c r="AZ28" i="3"/>
  <c r="EO7" i="4" a="1"/>
  <c r="Z6" i="6" a="1"/>
  <c r="EQ7" i="4" a="1"/>
  <c r="AS5" i="6" a="1"/>
  <c r="AV29" i="3"/>
  <c r="AS46" i="3"/>
  <c r="AU24" i="3"/>
  <c r="AZ13" i="3"/>
  <c r="AW24" i="3"/>
  <c r="EL8" i="4" a="1"/>
  <c r="AX6" i="3"/>
  <c r="W5" i="6" a="1"/>
  <c r="AX20" i="3"/>
  <c r="AX34" i="3"/>
  <c r="AU45" i="3"/>
  <c r="EL6" i="4" a="1"/>
  <c r="AW26" i="3"/>
  <c r="T5" i="6" a="1"/>
  <c r="AU16" i="3"/>
  <c r="J6" i="6" a="1"/>
  <c r="EN7" i="4" a="1"/>
  <c r="AZ19" i="3"/>
  <c r="EM13" i="4" a="1"/>
  <c r="EN15" i="4" a="1"/>
  <c r="AY38" i="3"/>
  <c r="E5" i="6" a="1"/>
  <c r="AY13" i="3"/>
  <c r="ET11" i="4" a="1"/>
  <c r="AS24" i="3"/>
  <c r="AY21" i="3"/>
  <c r="AZ32" i="3"/>
  <c r="T6" i="6" a="1"/>
  <c r="AU36" i="3"/>
  <c r="AY18" i="3"/>
  <c r="AT6" i="3"/>
  <c r="EU16" i="4" a="1"/>
  <c r="AR7" i="3"/>
  <c r="EQ11" i="4" a="1"/>
  <c r="AU21" i="3"/>
  <c r="EN11" i="4" a="1"/>
  <c r="AV6" i="3"/>
  <c r="AY10" i="3"/>
  <c r="AT18" i="3"/>
  <c r="EO14" i="4" a="1"/>
  <c r="AQ5" i="6" a="1"/>
  <c r="EL9" i="4" a="1"/>
  <c r="AS15" i="3"/>
  <c r="U6" i="6" a="1"/>
  <c r="EU9" i="4" a="1"/>
  <c r="Q6" i="6" a="1"/>
  <c r="AD5" i="6" a="1"/>
  <c r="AT7" i="3"/>
  <c r="EW14" i="4" a="1"/>
  <c r="AX8" i="3"/>
  <c r="AF18" i="3"/>
  <c r="AF11" i="3"/>
  <c r="AZ7" i="3"/>
  <c r="EO9" i="4" a="1"/>
  <c r="ER7" i="4" a="1"/>
  <c r="EO16" i="4" a="1"/>
  <c r="AX30" i="3"/>
  <c r="AT16" i="3"/>
  <c r="AT12" i="3"/>
  <c r="AX12" i="3"/>
  <c r="AX14" i="3"/>
  <c r="AU8" i="3"/>
  <c r="K5" i="6" a="1"/>
  <c r="AU17" i="3"/>
  <c r="EO15" i="4" a="1"/>
  <c r="ES12" i="4" a="1"/>
  <c r="AX46" i="3"/>
  <c r="AV45" i="3"/>
  <c r="X6" i="6" a="1"/>
  <c r="AY26" i="3"/>
  <c r="AW33" i="3"/>
  <c r="EO11" i="4" a="1"/>
  <c r="AU28" i="3"/>
  <c r="AX32" i="3"/>
  <c r="AF42" i="3"/>
  <c r="EP11" i="4" a="1"/>
  <c r="EU8" i="4" a="1"/>
  <c r="AU42" i="3"/>
  <c r="AU19" i="3"/>
  <c r="AU12" i="3"/>
  <c r="EV13" i="4" a="1"/>
  <c r="AU37" i="3"/>
  <c r="EV9" i="4" a="1"/>
  <c r="EL15" i="4" a="1"/>
  <c r="AW32" i="3"/>
  <c r="AX38" i="3"/>
  <c r="AY35" i="3"/>
  <c r="ES8" i="4" a="1"/>
  <c r="I6" i="6" a="1"/>
  <c r="AZ12" i="3"/>
  <c r="AZ27" i="3"/>
  <c r="AS21" i="3"/>
  <c r="Q5" i="6" a="1"/>
  <c r="AY19" i="3"/>
  <c r="AV15" i="3"/>
  <c r="EU15" i="4" a="1"/>
  <c r="AW41" i="3"/>
  <c r="EL16" i="4" a="1"/>
  <c r="AZ45" i="3"/>
  <c r="EV12" i="4" a="1"/>
  <c r="H6" i="6" a="1"/>
  <c r="AP5" i="3"/>
  <c r="AF14" i="3"/>
  <c r="C5" i="4" a="1"/>
  <c r="EQ13" i="4" a="1"/>
  <c r="EV8" i="4" a="1"/>
  <c r="P6" i="6" a="1"/>
  <c r="AS19" i="3"/>
  <c r="AW8" i="3"/>
  <c r="EP9" i="4" a="1"/>
  <c r="AX33" i="3"/>
  <c r="AK5" i="6" a="1"/>
  <c r="N6" i="6" a="1"/>
  <c r="AL6" i="6" a="1"/>
  <c r="AW39" i="3"/>
  <c r="AT29" i="3"/>
  <c r="AU40" i="3"/>
  <c r="EU14" i="4" a="1"/>
  <c r="AS45" i="3"/>
  <c r="AW31" i="3"/>
  <c r="AX18" i="3"/>
  <c r="EQ6" i="4" a="1"/>
  <c r="AX26" i="3"/>
  <c r="AF24" i="3"/>
  <c r="AS28" i="3"/>
  <c r="EU7" i="4" a="1"/>
  <c r="EO5" i="4" a="1"/>
  <c r="AZ41" i="3"/>
  <c r="AS8" i="3"/>
  <c r="AX42" i="3"/>
  <c r="ET15" i="4" a="1"/>
  <c r="EV15" i="4" a="1"/>
  <c r="EL14" i="4" a="1"/>
  <c r="AZ6" i="3"/>
  <c r="AV6" i="6" a="1"/>
  <c r="AZ31" i="3"/>
  <c r="AZ23" i="3"/>
  <c r="ET14" i="4" a="1"/>
  <c r="AF29" i="3"/>
  <c r="AF27" i="3"/>
  <c r="AZ26" i="3"/>
  <c r="AR5" i="6" a="1"/>
  <c r="AP6" i="6" a="1"/>
  <c r="AY11" i="3"/>
  <c r="S6" i="6" a="1"/>
  <c r="EO13" i="4" a="1"/>
  <c r="AB5" i="3"/>
  <c r="M5" i="6" a="1"/>
  <c r="AW23" i="3"/>
  <c r="AZ46" i="3"/>
  <c r="F5" i="6" a="1"/>
  <c r="AF23" i="3"/>
  <c r="AF35" i="3"/>
  <c r="AX7" i="3"/>
  <c r="ES6" i="4" a="1"/>
  <c r="AT19" i="3"/>
  <c r="AY25" i="3"/>
  <c r="EV7" i="4" a="1"/>
  <c r="AF36" i="3"/>
  <c r="AZ38" i="3"/>
  <c r="EV6" i="4" a="1"/>
  <c r="AT6" i="6" a="1"/>
  <c r="AM6" i="6" a="1"/>
  <c r="ER12" i="4" a="1"/>
  <c r="C6" i="4" a="1"/>
  <c r="AF30" i="3"/>
  <c r="AU25" i="3"/>
  <c r="AV11" i="3"/>
  <c r="AZ15" i="3"/>
  <c r="AX5" i="6" a="1"/>
  <c r="EL12" i="4" a="1"/>
  <c r="AW12" i="3"/>
  <c r="AT24" i="3"/>
  <c r="C5" i="3"/>
  <c r="AU7" i="3"/>
  <c r="EW9" i="4" a="1"/>
  <c r="EM7" i="4" a="1"/>
  <c r="AT41" i="3"/>
  <c r="AX40" i="3"/>
  <c r="AT31" i="3"/>
  <c r="AW46" i="3"/>
  <c r="AX45" i="3"/>
  <c r="AV8" i="3"/>
  <c r="AX24" i="3"/>
  <c r="AZ9" i="3"/>
  <c r="X5" i="6" a="1"/>
  <c r="AA5" i="6" a="1"/>
  <c r="AV33" i="3"/>
  <c r="AW38" i="3"/>
  <c r="AS42" i="3"/>
  <c r="K6" i="6" a="1"/>
  <c r="AU11" i="3"/>
  <c r="AG6" i="6" a="1"/>
  <c r="AS10" i="3"/>
  <c r="ER15" i="4" a="1"/>
  <c r="AO5" i="6" a="1"/>
  <c r="AY34" i="3"/>
  <c r="AY41" i="3"/>
  <c r="EQ14" i="4" a="1"/>
  <c r="AJ6" i="6" a="1"/>
  <c r="EM8" i="4" a="1"/>
  <c r="AX17" i="3"/>
  <c r="AT45" i="3"/>
  <c r="AF13" i="3"/>
  <c r="ET5" i="4" a="1"/>
  <c r="EN13" i="4" a="1"/>
  <c r="AT40" i="3"/>
  <c r="F6" i="6" a="1"/>
  <c r="EU13" i="4" a="1"/>
  <c r="AW30" i="3"/>
  <c r="AY23" i="3"/>
  <c r="AV27" i="3"/>
  <c r="AY24" i="3"/>
  <c r="C5" i="6" a="1"/>
  <c r="G5" i="6" a="1"/>
  <c r="AY39" i="3"/>
  <c r="ES9" i="4" a="1"/>
  <c r="AV12" i="3"/>
  <c r="AL5" i="6" a="1"/>
  <c r="AY46" i="3"/>
  <c r="R5" i="6" a="1"/>
  <c r="AS27" i="3"/>
  <c r="EU5" i="4" a="1"/>
  <c r="AV9" i="3"/>
  <c r="AX23" i="3"/>
  <c r="AT20" i="3"/>
  <c r="AU14" i="3"/>
  <c r="AZ8" i="3"/>
  <c r="AW37" i="3"/>
  <c r="AS9" i="3"/>
  <c r="ER9" i="4" a="1"/>
  <c r="AT42" i="3"/>
  <c r="N5" i="6" a="1"/>
  <c r="AU26" i="3"/>
  <c r="AX41" i="3"/>
  <c r="EL13" i="4" a="1"/>
  <c r="ET8" i="4" a="1"/>
  <c r="EN9" i="4" a="1"/>
  <c r="AS30" i="3"/>
  <c r="AV19" i="3"/>
  <c r="AY7" i="3"/>
  <c r="ER6" i="4" a="1"/>
  <c r="AU30" i="3"/>
  <c r="AW14" i="3"/>
  <c r="AS37" i="3"/>
  <c r="AZ16" i="3"/>
  <c r="AZ5" i="3"/>
  <c r="AU5" i="3"/>
  <c r="AU46" i="3"/>
  <c r="AW22" i="3"/>
  <c r="H5" i="6" a="1"/>
  <c r="AV5" i="3"/>
  <c r="EU11" i="4" a="1"/>
  <c r="AW42" i="3"/>
  <c r="EW6" i="4" a="1"/>
  <c r="Y88" i="1" l="1"/>
  <c r="CH155" i="1"/>
  <c r="AA217" i="1"/>
  <c r="CG89" i="1"/>
  <c r="JV9" i="4" s="1"/>
  <c r="JX16" i="4" s="1"/>
  <c r="JZ8" i="4" s="1"/>
  <c r="KD9" i="4" s="1"/>
  <c r="Z88" i="1"/>
  <c r="KF16" i="4" s="1"/>
  <c r="JU16" i="4" s="1"/>
  <c r="KC16" i="4" s="1"/>
  <c r="KG16" i="4" s="1"/>
  <c r="CG88" i="1"/>
  <c r="JY9" i="4" s="1"/>
  <c r="JZ16" i="4" s="1"/>
  <c r="JZ21" i="4" s="1"/>
  <c r="Z89" i="1"/>
  <c r="JV16" i="4" s="1"/>
  <c r="KF9" i="4" s="1"/>
  <c r="JQ9" i="4" s="1"/>
  <c r="CG267" i="1"/>
  <c r="JU7" i="4"/>
  <c r="JW15" i="4"/>
  <c r="CL113" i="1"/>
  <c r="CL114" i="1" s="1"/>
  <c r="CP26" i="1"/>
  <c r="CM27" i="1"/>
  <c r="CL31" i="1"/>
  <c r="CL263" i="1"/>
  <c r="CL261" i="1"/>
  <c r="CL197" i="1"/>
  <c r="CL172" i="1"/>
  <c r="CL180" i="1" s="1"/>
  <c r="CL144" i="1"/>
  <c r="CL183" i="1"/>
  <c r="CL124" i="1" s="1"/>
  <c r="KG7" i="4"/>
  <c r="KH14" i="4"/>
  <c r="KE21" i="4"/>
  <c r="KF21" i="4"/>
  <c r="KC21" i="4"/>
  <c r="JR15" i="4"/>
  <c r="KH15" i="4"/>
  <c r="JO14" i="4"/>
  <c r="KF7" i="4"/>
  <c r="KE7" i="4"/>
  <c r="KE15" i="4"/>
  <c r="KG14" i="4"/>
  <c r="JT14" i="4"/>
  <c r="Y135" i="1"/>
  <c r="X188" i="1"/>
  <c r="X176" i="1"/>
  <c r="CN61" i="1"/>
  <c r="CO61" i="1" s="1"/>
  <c r="CP61" i="1" s="1"/>
  <c r="JW7" i="4"/>
  <c r="X135" i="1"/>
  <c r="JT21" i="4"/>
  <c r="Z217" i="1"/>
  <c r="KB14" i="4"/>
  <c r="KD8" i="4"/>
  <c r="JO7" i="4"/>
  <c r="JP14" i="4"/>
  <c r="KF15" i="4"/>
  <c r="JP8" i="4"/>
  <c r="JS21" i="4"/>
  <c r="JX14" i="4"/>
  <c r="JR14" i="4"/>
  <c r="Z146" i="1"/>
  <c r="Y217" i="1"/>
  <c r="JX8" i="4"/>
  <c r="JT7" i="4"/>
  <c r="JT19" i="4" s="1"/>
  <c r="KD21" i="4"/>
  <c r="JV8" i="4"/>
  <c r="JY21" i="4"/>
  <c r="X263" i="1"/>
  <c r="Y224" i="1"/>
  <c r="CH209" i="1"/>
  <c r="CH268" i="1"/>
  <c r="JN15" i="4"/>
  <c r="Y41" i="1"/>
  <c r="CH159" i="1"/>
  <c r="CH194" i="1" s="1"/>
  <c r="CI194" i="1" s="1"/>
  <c r="Z194" i="1"/>
  <c r="CH132" i="1"/>
  <c r="Z135" i="1"/>
  <c r="Y195" i="1"/>
  <c r="CJ195" i="1"/>
  <c r="CK195" i="1" s="1"/>
  <c r="CM195" i="1" s="1"/>
  <c r="CN195" i="1" s="1"/>
  <c r="CO195" i="1" s="1"/>
  <c r="CP195" i="1" s="1"/>
  <c r="CQ195" i="1" s="1"/>
  <c r="CR195" i="1" s="1"/>
  <c r="KB7" i="4"/>
  <c r="KB19" i="4" s="1"/>
  <c r="JR8" i="4"/>
  <c r="JR20" i="4" s="1"/>
  <c r="CL94" i="1" s="1"/>
  <c r="KG19" i="4"/>
  <c r="CN60" i="1"/>
  <c r="CO60" i="1" s="1"/>
  <c r="CP60" i="1" s="1"/>
  <c r="CQ60" i="1" s="1"/>
  <c r="X149" i="1"/>
  <c r="X153" i="1" s="1"/>
  <c r="X246" i="1"/>
  <c r="X25" i="1"/>
  <c r="CH12" i="1"/>
  <c r="CH246" i="1"/>
  <c r="CK113" i="1"/>
  <c r="CK114" i="1" s="1"/>
  <c r="CH25" i="1"/>
  <c r="CL26" i="1" s="1"/>
  <c r="CK48" i="1"/>
  <c r="CK209" i="1"/>
  <c r="CK12" i="1"/>
  <c r="CK25" i="1"/>
  <c r="CM148" i="1"/>
  <c r="CN148" i="1" s="1"/>
  <c r="CO148" i="1" s="1"/>
  <c r="CP148" i="1" s="1"/>
  <c r="KH8" i="4"/>
  <c r="KH20" i="4" s="1"/>
  <c r="CH160" i="1"/>
  <c r="CH195" i="1" s="1"/>
  <c r="CI195" i="1" s="1"/>
  <c r="Z195" i="1"/>
  <c r="CI155" i="1"/>
  <c r="CJ217" i="1" s="1"/>
  <c r="CI178" i="1"/>
  <c r="CH267" i="1"/>
  <c r="JO8" i="4"/>
  <c r="Y163" i="1"/>
  <c r="Z188" i="1"/>
  <c r="CI12" i="1"/>
  <c r="CI246" i="1"/>
  <c r="CI25" i="1"/>
  <c r="JZ7" i="4"/>
  <c r="KB15" i="4"/>
  <c r="JQ15" i="4"/>
  <c r="KB21" i="4"/>
  <c r="JV15" i="4"/>
  <c r="CH139" i="1"/>
  <c r="Z143" i="1"/>
  <c r="CI267" i="1"/>
  <c r="Y268" i="1"/>
  <c r="Y209" i="1"/>
  <c r="JY7" i="4"/>
  <c r="KD14" i="4"/>
  <c r="KC7" i="4"/>
  <c r="JY14" i="4"/>
  <c r="JZ15" i="4"/>
  <c r="JZ20" i="4" s="1"/>
  <c r="JX7" i="4"/>
  <c r="JX19" i="4" s="1"/>
  <c r="CJ194" i="1"/>
  <c r="CK194" i="1" s="1"/>
  <c r="JS8" i="4"/>
  <c r="JP15" i="4"/>
  <c r="JP20" i="4" s="1"/>
  <c r="CJ94" i="1" s="1"/>
  <c r="JP7" i="4"/>
  <c r="X194" i="1"/>
  <c r="CI147" i="1"/>
  <c r="CJ147" i="1" s="1"/>
  <c r="JN8" i="4"/>
  <c r="Z209" i="1"/>
  <c r="Z268" i="1"/>
  <c r="CJ268" i="1"/>
  <c r="CJ209" i="1"/>
  <c r="Y198" i="1"/>
  <c r="CH168" i="1"/>
  <c r="CH198" i="1" s="1"/>
  <c r="CI198" i="1" s="1"/>
  <c r="Z198" i="1"/>
  <c r="JO15" i="4"/>
  <c r="JW8" i="4"/>
  <c r="KC14" i="4"/>
  <c r="CJ176" i="1"/>
  <c r="CJ171" i="1"/>
  <c r="CJ200" i="1" s="1"/>
  <c r="JU8" i="4"/>
  <c r="KE14" i="4"/>
  <c r="JV7" i="4"/>
  <c r="CH164" i="1"/>
  <c r="JX21" i="4"/>
  <c r="KB8" i="4"/>
  <c r="Z169" i="1"/>
  <c r="CH169" i="1" s="1"/>
  <c r="CH171" i="1" s="1"/>
  <c r="CH200" i="1" s="1"/>
  <c r="CH199" i="1" s="1"/>
  <c r="CI199" i="1" s="1"/>
  <c r="X163" i="1"/>
  <c r="CH157" i="1"/>
  <c r="Z163" i="1"/>
  <c r="AA211" i="1" s="1"/>
  <c r="X267" i="1"/>
  <c r="Y143" i="1"/>
  <c r="Y52" i="1" s="1"/>
  <c r="JS14" i="4"/>
  <c r="JR21" i="4"/>
  <c r="CL92" i="1" s="1"/>
  <c r="CK155" i="1"/>
  <c r="KA15" i="4"/>
  <c r="JT15" i="4"/>
  <c r="JT8" i="4"/>
  <c r="JT20" i="4" s="1"/>
  <c r="KD15" i="4"/>
  <c r="JX15" i="4"/>
  <c r="JQ7" i="4"/>
  <c r="KE8" i="4"/>
  <c r="JW14" i="4"/>
  <c r="JY15" i="4"/>
  <c r="KA14" i="4"/>
  <c r="JV14" i="4"/>
  <c r="KG15" i="4"/>
  <c r="Y267" i="1"/>
  <c r="CP35" i="1"/>
  <c r="CT35" i="1" s="1"/>
  <c r="CX35" i="1" s="1"/>
  <c r="DB35" i="1" s="1"/>
  <c r="CH41" i="1"/>
  <c r="X195" i="1"/>
  <c r="CH174" i="1"/>
  <c r="CH176" i="1" s="1"/>
  <c r="Z176" i="1"/>
  <c r="AA224" i="1" s="1"/>
  <c r="CJ12" i="1"/>
  <c r="CJ246" i="1"/>
  <c r="CJ25" i="1"/>
  <c r="CM35" i="1"/>
  <c r="CQ35" i="1" s="1"/>
  <c r="CU35" i="1" s="1"/>
  <c r="CY35" i="1" s="1"/>
  <c r="CI41" i="1"/>
  <c r="CN35" i="1"/>
  <c r="CR35" i="1" s="1"/>
  <c r="CV35" i="1" s="1"/>
  <c r="CZ35" i="1" s="1"/>
  <c r="CJ41" i="1"/>
  <c r="CJ42" i="1" s="1"/>
  <c r="Z41" i="1"/>
  <c r="Y246" i="1"/>
  <c r="Y25" i="1"/>
  <c r="Y149" i="1"/>
  <c r="Y153" i="1" s="1"/>
  <c r="JN14" i="4"/>
  <c r="CI209" i="1"/>
  <c r="CI268" i="1"/>
  <c r="Y176" i="1"/>
  <c r="JY8" i="4"/>
  <c r="CJ135" i="1"/>
  <c r="JZ14" i="4"/>
  <c r="KC15" i="4"/>
  <c r="CJ163" i="1"/>
  <c r="KA8" i="4"/>
  <c r="KF14" i="4"/>
  <c r="KF19" i="4" s="1"/>
  <c r="JS15" i="4"/>
  <c r="JU15" i="4"/>
  <c r="KD7" i="4"/>
  <c r="CG41" i="1"/>
  <c r="CH146" i="1"/>
  <c r="Z149" i="1"/>
  <c r="Z153" i="1" s="1"/>
  <c r="AA218" i="1" s="1"/>
  <c r="AA216" i="1" s="1"/>
  <c r="CK41" i="1"/>
  <c r="CO35" i="1"/>
  <c r="CS35" i="1" s="1"/>
  <c r="CW35" i="1" s="1"/>
  <c r="DA35" i="1" s="1"/>
  <c r="Y188" i="1"/>
  <c r="Y190" i="1"/>
  <c r="CG268" i="1"/>
  <c r="CG209" i="1"/>
  <c r="JN7" i="4"/>
  <c r="JQ14" i="4"/>
  <c r="JV21" i="4"/>
  <c r="CK139" i="1"/>
  <c r="CJ143" i="1"/>
  <c r="CJ198" i="1"/>
  <c r="CK198" i="1" s="1"/>
  <c r="KG8" i="4"/>
  <c r="KG21" i="4"/>
  <c r="JR7" i="4"/>
  <c r="JR19" i="4" s="1"/>
  <c r="CL93" i="1" s="1"/>
  <c r="JU14" i="4"/>
  <c r="JU19" i="4" s="1"/>
  <c r="JO21" i="4"/>
  <c r="CI92" i="1" s="1"/>
  <c r="X171" i="1"/>
  <c r="X190" i="1"/>
  <c r="X209" i="1"/>
  <c r="X268" i="1"/>
  <c r="X48" i="1"/>
  <c r="X143" i="1"/>
  <c r="X198" i="1"/>
  <c r="CI78" i="1"/>
  <c r="CJ80" i="1"/>
  <c r="X41" i="1"/>
  <c r="Y171" i="1"/>
  <c r="CJ267" i="1"/>
  <c r="Z267" i="1"/>
  <c r="CG246" i="1"/>
  <c r="CG12" i="1"/>
  <c r="CJ113" i="1"/>
  <c r="CG25" i="1"/>
  <c r="Z25" i="1"/>
  <c r="Z246" i="1"/>
  <c r="JS7" i="4"/>
  <c r="KC8" i="4"/>
  <c r="CJ153" i="1"/>
  <c r="KH7" i="4"/>
  <c r="KH19" i="4" s="1"/>
  <c r="KA7" i="4"/>
  <c r="JU21" i="4"/>
  <c r="KF8" i="4"/>
  <c r="JQ8" i="4"/>
  <c r="JQ21" i="4"/>
  <c r="CK92" i="1" s="1"/>
  <c r="CQ140" i="1"/>
  <c r="BY37" i="1"/>
  <c r="CA24" i="1"/>
  <c r="CE37" i="1"/>
  <c r="CA37" i="1"/>
  <c r="CF37" i="1"/>
  <c r="CD37" i="1"/>
  <c r="BZ37" i="1"/>
  <c r="BL37" i="1"/>
  <c r="CC37" i="1"/>
  <c r="CB37" i="1"/>
  <c r="CF24" i="1"/>
  <c r="CD24" i="1"/>
  <c r="BY24" i="1"/>
  <c r="CE24" i="1"/>
  <c r="BZ24" i="1"/>
  <c r="CC24" i="1"/>
  <c r="CB24" i="1"/>
  <c r="BL24" i="1"/>
  <c r="CD40" i="1"/>
  <c r="CC60" i="1"/>
  <c r="CA23" i="1"/>
  <c r="CD54" i="1"/>
  <c r="AH7" i="6" s="1"/>
  <c r="CD50" i="1"/>
  <c r="CF51" i="1"/>
  <c r="BY60" i="1"/>
  <c r="BL60" i="1"/>
  <c r="CD61" i="1"/>
  <c r="AV7" i="6" s="1"/>
  <c r="CB35" i="1"/>
  <c r="R7" i="6" s="1"/>
  <c r="X7" i="6" s="1"/>
  <c r="CD60" i="1"/>
  <c r="CD30" i="1"/>
  <c r="V7" i="6" s="1"/>
  <c r="BY30" i="1"/>
  <c r="CB23" i="1"/>
  <c r="BY66" i="1"/>
  <c r="BL23" i="1"/>
  <c r="BL12" i="1" s="1"/>
  <c r="AW7" i="6" s="1"/>
  <c r="BY36" i="1"/>
  <c r="CA28" i="1"/>
  <c r="CB38" i="1"/>
  <c r="BZ51" i="1"/>
  <c r="O7" i="6" s="1"/>
  <c r="BL62" i="1"/>
  <c r="AQ7" i="6" s="1"/>
  <c r="CF23" i="1"/>
  <c r="CF12" i="1" s="1"/>
  <c r="JJ9" i="4" s="1"/>
  <c r="BY61" i="1"/>
  <c r="AM7" i="6" s="1"/>
  <c r="JM16" i="4" s="1"/>
  <c r="CF62" i="1"/>
  <c r="CA39" i="1"/>
  <c r="BL38" i="1"/>
  <c r="BL61" i="1"/>
  <c r="CF50" i="1"/>
  <c r="BL51" i="1"/>
  <c r="BZ60" i="1"/>
  <c r="CC40" i="1"/>
  <c r="CC36" i="1"/>
  <c r="JM9" i="4" s="1"/>
  <c r="CA36" i="1"/>
  <c r="JL16" i="4" s="1"/>
  <c r="BZ39" i="1"/>
  <c r="CB36" i="1"/>
  <c r="CC28" i="1"/>
  <c r="JK16" i="4" s="1"/>
  <c r="CA66" i="1"/>
  <c r="BZ29" i="1"/>
  <c r="CE30" i="1"/>
  <c r="CC29" i="1"/>
  <c r="C7" i="6" s="1"/>
  <c r="T7" i="6" s="1"/>
  <c r="BY39" i="1"/>
  <c r="CC61" i="1"/>
  <c r="CC23" i="1"/>
  <c r="CB50" i="1"/>
  <c r="JL9" i="4" s="1"/>
  <c r="CF54" i="1"/>
  <c r="AL7" i="6" s="1"/>
  <c r="BZ47" i="1"/>
  <c r="BZ209" i="1" s="1"/>
  <c r="BZ50" i="1"/>
  <c r="J7" i="6" s="1"/>
  <c r="BY62" i="1"/>
  <c r="Z7" i="6" s="1"/>
  <c r="BL35" i="1"/>
  <c r="CF28" i="1"/>
  <c r="CF38" i="1"/>
  <c r="BZ28" i="1"/>
  <c r="CA30" i="1"/>
  <c r="CD29" i="1"/>
  <c r="BL36" i="1"/>
  <c r="BY29" i="1"/>
  <c r="CE47" i="1"/>
  <c r="CE209" i="1" s="1"/>
  <c r="AD7" i="6" s="1"/>
  <c r="CF40" i="1"/>
  <c r="CE35" i="1"/>
  <c r="CA62" i="1"/>
  <c r="CD51" i="1"/>
  <c r="CB39" i="1"/>
  <c r="CD62" i="1"/>
  <c r="AP7" i="6" s="1"/>
  <c r="Y7" i="6" s="1"/>
  <c r="CA40" i="1"/>
  <c r="AA7" i="6" s="1"/>
  <c r="AJ7" i="6" s="1"/>
  <c r="BY23" i="1"/>
  <c r="BY12" i="1" s="1"/>
  <c r="BY38" i="1"/>
  <c r="CB54" i="1"/>
  <c r="CE40" i="1"/>
  <c r="I7" i="6" s="1"/>
  <c r="AK7" i="6" s="1"/>
  <c r="CE29" i="1"/>
  <c r="K7" i="6" s="1"/>
  <c r="F7" i="6" s="1"/>
  <c r="CB60" i="1"/>
  <c r="CF39" i="1"/>
  <c r="AC7" i="6" s="1"/>
  <c r="AE7" i="6" s="1"/>
  <c r="M7" i="6" s="1"/>
  <c r="Q7" i="6" s="1"/>
  <c r="CA61" i="1"/>
  <c r="BZ61" i="1"/>
  <c r="CA51" i="1"/>
  <c r="CF61" i="1"/>
  <c r="AU7" i="6" s="1"/>
  <c r="BL30" i="1"/>
  <c r="CE39" i="1"/>
  <c r="CB47" i="1"/>
  <c r="CB209" i="1" s="1"/>
  <c r="CC62" i="1"/>
  <c r="CC66" i="1"/>
  <c r="AX7" i="6" s="1"/>
  <c r="BZ38" i="1"/>
  <c r="AT7" i="6" s="1"/>
  <c r="S7" i="6" s="1"/>
  <c r="BY28" i="1"/>
  <c r="CE50" i="1"/>
  <c r="CA60" i="1"/>
  <c r="CB62" i="1"/>
  <c r="CA50" i="1"/>
  <c r="CF66" i="1"/>
  <c r="CF36" i="1"/>
  <c r="CA35" i="1"/>
  <c r="AN7" i="6" s="1"/>
  <c r="CE61" i="1"/>
  <c r="CC30" i="1"/>
  <c r="CE66" i="1"/>
  <c r="CF30" i="1"/>
  <c r="G7" i="6" s="1"/>
  <c r="BL47" i="1"/>
  <c r="AF7" i="6" s="1"/>
  <c r="CC35" i="1"/>
  <c r="CD35" i="1"/>
  <c r="JJ16" i="4" s="1"/>
  <c r="BY40" i="1"/>
  <c r="CB61" i="1"/>
  <c r="CE23" i="1"/>
  <c r="CE12" i="1" s="1"/>
  <c r="AB7" i="6" s="1"/>
  <c r="BL29" i="1"/>
  <c r="CD66" i="1"/>
  <c r="BY35" i="1"/>
  <c r="BZ30" i="1"/>
  <c r="CD36" i="1"/>
  <c r="L7" i="6" s="1"/>
  <c r="BL54" i="1"/>
  <c r="BZ23" i="1"/>
  <c r="CA47" i="1"/>
  <c r="BZ54" i="1"/>
  <c r="BY47" i="1"/>
  <c r="BY209" i="1" s="1"/>
  <c r="AI7" i="6" s="1"/>
  <c r="CC54" i="1"/>
  <c r="D7" i="6" s="1"/>
  <c r="BZ36" i="1"/>
  <c r="AG7" i="6" s="1"/>
  <c r="BZ35" i="1"/>
  <c r="BL66" i="1"/>
  <c r="W7" i="6" s="1"/>
  <c r="CB66" i="1"/>
  <c r="CE62" i="1"/>
  <c r="CF35" i="1"/>
  <c r="CC38" i="1"/>
  <c r="CD38" i="1"/>
  <c r="CE28" i="1"/>
  <c r="BY50" i="1"/>
  <c r="CC50" i="1"/>
  <c r="BZ66" i="1"/>
  <c r="AS7" i="6" s="1"/>
  <c r="BZ62" i="1"/>
  <c r="CE51" i="1"/>
  <c r="CD28" i="1"/>
  <c r="BL50" i="1"/>
  <c r="CB29" i="1"/>
  <c r="CC47" i="1"/>
  <c r="CC209" i="1" s="1"/>
  <c r="BY54" i="1"/>
  <c r="H7" i="6" s="1"/>
  <c r="CA38" i="1"/>
  <c r="BZ40" i="1"/>
  <c r="CD23" i="1"/>
  <c r="AR7" i="6" s="1"/>
  <c r="CF29" i="1"/>
  <c r="BL28" i="1"/>
  <c r="BL39" i="1"/>
  <c r="JK9" i="4" s="1"/>
  <c r="AO7" i="6" s="1"/>
  <c r="CA54" i="1"/>
  <c r="BL40" i="1"/>
  <c r="CA29" i="1"/>
  <c r="CE60" i="1"/>
  <c r="CD39" i="1"/>
  <c r="P7" i="6" s="1"/>
  <c r="E7" i="6" s="1"/>
  <c r="U7" i="6" s="1"/>
  <c r="CC39" i="1"/>
  <c r="AY7" i="6" s="1"/>
  <c r="CD47" i="1"/>
  <c r="CB30" i="1"/>
  <c r="CC51" i="1"/>
  <c r="CB51" i="1"/>
  <c r="CE38" i="1"/>
  <c r="CE36" i="1"/>
  <c r="CF47" i="1"/>
  <c r="CF209" i="1" s="1"/>
  <c r="CB40" i="1"/>
  <c r="BY51" i="1"/>
  <c r="CF60" i="1"/>
  <c r="N7" i="6" s="1"/>
  <c r="AD50" i="1"/>
  <c r="C93" i="3"/>
  <c r="AX66" i="3"/>
  <c r="AV76" i="3"/>
  <c r="AW94" i="3"/>
  <c r="AX48" i="3"/>
  <c r="AW59" i="3"/>
  <c r="AS60" i="3"/>
  <c r="AW91" i="3"/>
  <c r="AU47" i="3"/>
  <c r="C90" i="3"/>
  <c r="C67" i="3"/>
  <c r="AF82" i="3"/>
  <c r="AT48" i="3"/>
  <c r="AU89" i="3"/>
  <c r="AS78" i="3"/>
  <c r="AS93" i="3"/>
  <c r="AX79" i="3"/>
  <c r="AU78" i="3"/>
  <c r="AS61" i="3"/>
  <c r="AX56" i="3"/>
  <c r="C61" i="3"/>
  <c r="AZ55" i="3"/>
  <c r="AS81" i="3"/>
  <c r="AS72" i="3"/>
  <c r="C79" i="3"/>
  <c r="AF62" i="3"/>
  <c r="AF96" i="3"/>
  <c r="C96" i="3"/>
  <c r="AV92" i="3"/>
  <c r="AF83" i="3"/>
  <c r="AX60" i="3"/>
  <c r="AW81" i="3"/>
  <c r="AV79" i="3"/>
  <c r="AX91" i="3"/>
  <c r="AT82" i="3"/>
  <c r="AY89" i="3"/>
  <c r="AU60" i="3"/>
  <c r="AW96" i="3"/>
  <c r="AW80" i="3"/>
  <c r="AW63" i="3"/>
  <c r="C65" i="3"/>
  <c r="AV57" i="3"/>
  <c r="AY90" i="3"/>
  <c r="AF69" i="3"/>
  <c r="AZ71" i="3"/>
  <c r="AV95" i="3"/>
  <c r="AZ89" i="3"/>
  <c r="AS90" i="3"/>
  <c r="AF70" i="3"/>
  <c r="AU59" i="3"/>
  <c r="AW90" i="3"/>
  <c r="AW95" i="3"/>
  <c r="AX94" i="3"/>
  <c r="AF47" i="3"/>
  <c r="AZ68" i="3"/>
  <c r="AS63" i="3"/>
  <c r="AU64" i="3"/>
  <c r="AX80" i="3"/>
  <c r="AX93" i="3"/>
  <c r="AY78" i="3"/>
  <c r="AS97" i="3"/>
  <c r="AS68" i="3"/>
  <c r="AT94" i="3"/>
  <c r="C73" i="3"/>
  <c r="AU55" i="3"/>
  <c r="AU71" i="3"/>
  <c r="AY83" i="3"/>
  <c r="AZ82" i="3"/>
  <c r="AT93" i="3"/>
  <c r="AV70" i="3"/>
  <c r="AS79" i="3"/>
  <c r="AY79" i="3"/>
  <c r="AT69" i="3"/>
  <c r="AV84" i="3"/>
  <c r="AY50" i="3"/>
  <c r="AV94" i="3"/>
  <c r="AZ77" i="3"/>
  <c r="AU76" i="3"/>
  <c r="AZ75" i="3"/>
  <c r="C76" i="3"/>
  <c r="AS58" i="3"/>
  <c r="AY67" i="3"/>
  <c r="AT63" i="3"/>
  <c r="AS95" i="3"/>
  <c r="AF61" i="3"/>
  <c r="AZ69" i="3"/>
  <c r="AY59" i="3"/>
  <c r="AX97" i="3"/>
  <c r="C88" i="3"/>
  <c r="AS91" i="3"/>
  <c r="AV91" i="3"/>
  <c r="AY95" i="3"/>
  <c r="AU97" i="3"/>
  <c r="AS85" i="3"/>
  <c r="AV69" i="3"/>
  <c r="AX49" i="3"/>
  <c r="AY55" i="3"/>
  <c r="AW56" i="3"/>
  <c r="AV75" i="3"/>
  <c r="AW97" i="3"/>
  <c r="AW48" i="3"/>
  <c r="AT81" i="3"/>
  <c r="AV78" i="3"/>
  <c r="AT84" i="3"/>
  <c r="AU58" i="3"/>
  <c r="AZ49" i="3"/>
  <c r="AU74" i="3"/>
  <c r="C82" i="3"/>
  <c r="AT66" i="3"/>
  <c r="AU88" i="3"/>
  <c r="AU63" i="3"/>
  <c r="AZ62" i="3"/>
  <c r="AF63" i="3"/>
  <c r="AU83" i="3"/>
  <c r="AZ63" i="3"/>
  <c r="AZ90" i="3"/>
  <c r="AF97" i="3"/>
  <c r="AX87" i="3"/>
  <c r="AS87" i="3"/>
  <c r="AY69" i="3"/>
  <c r="AT54" i="3"/>
  <c r="AW83" i="3"/>
  <c r="AS59" i="3"/>
  <c r="AU81" i="3"/>
  <c r="AW67" i="3"/>
  <c r="AV67" i="3"/>
  <c r="AZ91" i="3"/>
  <c r="AT85" i="3"/>
  <c r="AY65" i="3"/>
  <c r="AW72" i="3"/>
  <c r="C66" i="3"/>
  <c r="AT89" i="3"/>
  <c r="AU72" i="3"/>
  <c r="AU79" i="3"/>
  <c r="AZ76" i="3"/>
  <c r="AT50" i="3"/>
  <c r="C87" i="3"/>
  <c r="AF56" i="3"/>
  <c r="AF94" i="3"/>
  <c r="AT56" i="3"/>
  <c r="AW70" i="3"/>
  <c r="AZ80" i="3"/>
  <c r="AZ94" i="3"/>
  <c r="AT78" i="3"/>
  <c r="AT57" i="3"/>
  <c r="AF64" i="3"/>
  <c r="AX78" i="3"/>
  <c r="AV65" i="3"/>
  <c r="AT67" i="3"/>
  <c r="AT71" i="3"/>
  <c r="AW58" i="3"/>
  <c r="AT49" i="3"/>
  <c r="C89" i="3"/>
  <c r="AU85" i="3"/>
  <c r="AY49" i="3"/>
  <c r="AZ59" i="3"/>
  <c r="AF73" i="3"/>
  <c r="AX57" i="3"/>
  <c r="AT91" i="3"/>
  <c r="AY62" i="3"/>
  <c r="AZ61" i="3"/>
  <c r="C50" i="3"/>
  <c r="C75" i="3"/>
  <c r="AF66" i="3"/>
  <c r="AW75" i="3"/>
  <c r="AX69" i="3"/>
  <c r="AW61" i="3"/>
  <c r="C71" i="3"/>
  <c r="C62" i="3"/>
  <c r="AY94" i="3"/>
  <c r="AY61" i="3"/>
  <c r="AZ88" i="3"/>
  <c r="AZ93" i="3"/>
  <c r="AV50" i="3"/>
  <c r="AZ50" i="3"/>
  <c r="AF80" i="3"/>
  <c r="AY68" i="3"/>
  <c r="AZ84" i="3"/>
  <c r="AX90" i="3"/>
  <c r="AZ92" i="3"/>
  <c r="C91" i="3"/>
  <c r="AX50" i="3"/>
  <c r="AU67" i="3"/>
  <c r="AW57" i="3"/>
  <c r="C94" i="3"/>
  <c r="AY56" i="3"/>
  <c r="AU77" i="3"/>
  <c r="AY77" i="3"/>
  <c r="AT74" i="3"/>
  <c r="AF54" i="3"/>
  <c r="AT68" i="3"/>
  <c r="AF60" i="3"/>
  <c r="AU84" i="3"/>
  <c r="AY54" i="3"/>
  <c r="C64" i="3"/>
  <c r="AU70" i="3"/>
  <c r="AW55" i="3"/>
  <c r="AW68" i="3"/>
  <c r="AS69" i="3"/>
  <c r="AV93" i="3"/>
  <c r="C83" i="3"/>
  <c r="C69" i="3"/>
  <c r="AV63" i="3"/>
  <c r="AV80" i="3"/>
  <c r="AF92" i="3"/>
  <c r="AU69" i="3"/>
  <c r="AZ64" i="3"/>
  <c r="AV88" i="3"/>
  <c r="AY71" i="3"/>
  <c r="AS86" i="3"/>
  <c r="AX89" i="3"/>
  <c r="AU82" i="3"/>
  <c r="AV64" i="3"/>
  <c r="AT60" i="3"/>
  <c r="AT97" i="3"/>
  <c r="AF58" i="3"/>
  <c r="AT92" i="3"/>
  <c r="AY86" i="3"/>
  <c r="C68" i="3"/>
  <c r="AT86" i="3"/>
  <c r="AZ87" i="3"/>
  <c r="AU93" i="3"/>
  <c r="AU65" i="3"/>
  <c r="AY92" i="3"/>
  <c r="AX75" i="3"/>
  <c r="AX54" i="3"/>
  <c r="AX83" i="3"/>
  <c r="AU91" i="3"/>
  <c r="AV86" i="3"/>
  <c r="AY81" i="3"/>
  <c r="AS92" i="3"/>
  <c r="AT88" i="3"/>
  <c r="AS70" i="3"/>
  <c r="C78" i="3"/>
  <c r="AS74" i="3"/>
  <c r="AS71" i="3"/>
  <c r="AY58" i="3"/>
  <c r="C92" i="3"/>
  <c r="C77" i="3"/>
  <c r="C55" i="3"/>
  <c r="AF78" i="3"/>
  <c r="AX61" i="3"/>
  <c r="AY64" i="3"/>
  <c r="AW79" i="3"/>
  <c r="AZ54" i="3"/>
  <c r="AX85" i="3"/>
  <c r="C54" i="3"/>
  <c r="AZ58" i="3"/>
  <c r="AZ60" i="3"/>
  <c r="AY84" i="3"/>
  <c r="AY80" i="3"/>
  <c r="AW60" i="3"/>
  <c r="AX81" i="3"/>
  <c r="AV77" i="3"/>
  <c r="AV56" i="3"/>
  <c r="AF87" i="3"/>
  <c r="AT77" i="3"/>
  <c r="AU54" i="3"/>
  <c r="AZ73" i="3"/>
  <c r="AF90" i="3"/>
  <c r="AY87" i="3"/>
  <c r="AV85" i="3"/>
  <c r="AW77" i="3"/>
  <c r="AY85" i="3"/>
  <c r="AT95" i="3"/>
  <c r="AF57" i="3"/>
  <c r="AZ85" i="3"/>
  <c r="AV82" i="3"/>
  <c r="AV87" i="3"/>
  <c r="AS75" i="3"/>
  <c r="AU94" i="3"/>
  <c r="AU50" i="3"/>
  <c r="AT73" i="3"/>
  <c r="AS89" i="3"/>
  <c r="C80" i="3"/>
  <c r="AY57" i="3"/>
  <c r="AZ72" i="3"/>
  <c r="AV49" i="3"/>
  <c r="AY96" i="3"/>
  <c r="AU61" i="3"/>
  <c r="AT55" i="3"/>
  <c r="AS48" i="3"/>
  <c r="AT62" i="3"/>
  <c r="AF74" i="3"/>
  <c r="AF71" i="3"/>
  <c r="AZ95" i="3"/>
  <c r="AX76" i="3"/>
  <c r="AS84" i="3"/>
  <c r="AF91" i="3"/>
  <c r="AU56" i="3"/>
  <c r="AW89" i="3"/>
  <c r="AV73" i="3"/>
  <c r="C60" i="3"/>
  <c r="AU73" i="3"/>
  <c r="C70" i="3"/>
  <c r="AV61" i="3"/>
  <c r="AV58" i="3"/>
  <c r="AW65" i="3"/>
  <c r="AS96" i="3"/>
  <c r="AZ74" i="3"/>
  <c r="AY91" i="3"/>
  <c r="AX92" i="3"/>
  <c r="AF49" i="3"/>
  <c r="AS67" i="3"/>
  <c r="AT70" i="3"/>
  <c r="AY75" i="3"/>
  <c r="AX71" i="3"/>
  <c r="AY97" i="3"/>
  <c r="AF75" i="3"/>
  <c r="AF55" i="3"/>
  <c r="AV96" i="3"/>
  <c r="AF84" i="3"/>
  <c r="AS55" i="3"/>
  <c r="C57" i="3"/>
  <c r="AS66" i="3"/>
  <c r="AY63" i="3"/>
  <c r="AW69" i="3"/>
  <c r="AV68" i="3"/>
  <c r="AT83" i="3"/>
  <c r="AZ65" i="3"/>
  <c r="AU80" i="3"/>
  <c r="AT59" i="3"/>
  <c r="C81" i="3"/>
  <c r="AW49" i="3"/>
  <c r="AF72" i="3"/>
  <c r="AT80" i="3"/>
  <c r="AS76" i="3"/>
  <c r="AU86" i="3"/>
  <c r="C56" i="3"/>
  <c r="AV89" i="3"/>
  <c r="AX67" i="3"/>
  <c r="AZ96" i="3"/>
  <c r="AU87" i="3"/>
  <c r="AS77" i="3"/>
  <c r="AW47" i="3"/>
  <c r="AV71" i="3"/>
  <c r="AW93" i="3"/>
  <c r="AF67" i="3"/>
  <c r="C59" i="3"/>
  <c r="AZ47" i="3"/>
  <c r="AW92" i="3"/>
  <c r="AF76" i="3"/>
  <c r="AS88" i="3"/>
  <c r="AZ83" i="3"/>
  <c r="AU68" i="3"/>
  <c r="AF89" i="3"/>
  <c r="AF65" i="3"/>
  <c r="C58" i="3"/>
  <c r="C84" i="3"/>
  <c r="AZ66" i="3"/>
  <c r="AS65" i="3"/>
  <c r="AT75" i="3"/>
  <c r="AW84" i="3"/>
  <c r="AU96" i="3"/>
  <c r="AU66" i="3"/>
  <c r="AV47" i="3"/>
  <c r="C85" i="3"/>
  <c r="AX74" i="3"/>
  <c r="C63" i="3"/>
  <c r="AX84" i="3"/>
  <c r="AX72" i="3"/>
  <c r="AS62" i="3"/>
  <c r="AW76" i="3"/>
  <c r="AX47" i="3"/>
  <c r="AZ78" i="3"/>
  <c r="AU57" i="3"/>
  <c r="AY47" i="3"/>
  <c r="AW85" i="3"/>
  <c r="AV81" i="3"/>
  <c r="AV48" i="3"/>
  <c r="AZ79" i="3"/>
  <c r="AV72" i="3"/>
  <c r="AX64" i="3"/>
  <c r="AY76" i="3"/>
  <c r="AS64" i="3"/>
  <c r="AX58" i="3"/>
  <c r="AY74" i="3"/>
  <c r="AZ97" i="3"/>
  <c r="C97" i="3"/>
  <c r="AY60" i="3"/>
  <c r="AF95" i="3"/>
  <c r="AX86" i="3"/>
  <c r="AT87" i="3"/>
  <c r="AF86" i="3"/>
  <c r="AS80" i="3"/>
  <c r="AX73" i="3"/>
  <c r="AV83" i="3"/>
  <c r="AY82" i="3"/>
  <c r="AF93" i="3"/>
  <c r="AX77" i="3"/>
  <c r="AV55" i="3"/>
  <c r="AY48" i="3"/>
  <c r="AW74" i="3"/>
  <c r="AW73" i="3"/>
  <c r="AS82" i="3"/>
  <c r="AW82" i="3"/>
  <c r="AX96" i="3"/>
  <c r="AW62" i="3"/>
  <c r="AX88" i="3"/>
  <c r="AT90" i="3"/>
  <c r="AF79" i="3"/>
  <c r="AF88" i="3"/>
  <c r="AU48" i="3"/>
  <c r="AX70" i="3"/>
  <c r="AV62" i="3"/>
  <c r="AZ86" i="3"/>
  <c r="AT64" i="3"/>
  <c r="AT61" i="3"/>
  <c r="AU90" i="3"/>
  <c r="AW71" i="3"/>
  <c r="AV66" i="3"/>
  <c r="AW88" i="3"/>
  <c r="AZ67" i="3"/>
  <c r="AX95" i="3"/>
  <c r="AZ56" i="3"/>
  <c r="AV60" i="3"/>
  <c r="AY93" i="3"/>
  <c r="AU92" i="3"/>
  <c r="AZ70" i="3"/>
  <c r="AT96" i="3"/>
  <c r="AU49" i="3"/>
  <c r="AX63" i="3"/>
  <c r="AX55" i="3"/>
  <c r="AX68" i="3"/>
  <c r="AT58" i="3"/>
  <c r="AV97" i="3"/>
  <c r="AV54" i="3"/>
  <c r="AF68" i="3"/>
  <c r="AW87" i="3"/>
  <c r="AV90" i="3"/>
  <c r="AX59" i="3"/>
  <c r="C74" i="3"/>
  <c r="AT79" i="3"/>
  <c r="AS50" i="3"/>
  <c r="AZ57" i="3"/>
  <c r="AT76" i="3"/>
  <c r="AS73" i="3"/>
  <c r="AT65" i="3"/>
  <c r="C72" i="3"/>
  <c r="AW66" i="3"/>
  <c r="AF81" i="3"/>
  <c r="AX82" i="3"/>
  <c r="AS54" i="3"/>
  <c r="AZ81" i="3"/>
  <c r="C86" i="3"/>
  <c r="AW78" i="3"/>
  <c r="AZ48" i="3"/>
  <c r="AY70" i="3"/>
  <c r="AY72" i="3"/>
  <c r="AU62" i="3"/>
  <c r="AT72" i="3"/>
  <c r="AX62" i="3"/>
  <c r="AX65" i="3"/>
  <c r="AU75" i="3"/>
  <c r="AS57" i="3"/>
  <c r="AV74" i="3"/>
  <c r="AF85" i="3"/>
  <c r="AS94" i="3"/>
  <c r="AW50" i="3"/>
  <c r="AS56" i="3"/>
  <c r="AU95" i="3"/>
  <c r="AW86" i="3"/>
  <c r="AW54" i="3"/>
  <c r="AY73" i="3"/>
  <c r="AW64" i="3"/>
  <c r="AF59" i="3"/>
  <c r="AV59" i="3"/>
  <c r="AY66" i="3"/>
  <c r="AF77" i="3"/>
  <c r="AT47" i="3"/>
  <c r="C95" i="3"/>
  <c r="AY88" i="3"/>
  <c r="AS83" i="3"/>
  <c r="KD19" i="4" l="1"/>
  <c r="Z190" i="1"/>
  <c r="AA222" i="1"/>
  <c r="AA264" i="1"/>
  <c r="AA221" i="1"/>
  <c r="AA203" i="1"/>
  <c r="AA26" i="1"/>
  <c r="JW20" i="4"/>
  <c r="JU20" i="4"/>
  <c r="KE19" i="4"/>
  <c r="CH163" i="1"/>
  <c r="JS19" i="4"/>
  <c r="CJ199" i="1"/>
  <c r="CK199" i="1" s="1"/>
  <c r="CM199" i="1" s="1"/>
  <c r="CN199" i="1" s="1"/>
  <c r="CO199" i="1" s="1"/>
  <c r="CP199" i="1" s="1"/>
  <c r="KE20" i="4"/>
  <c r="CQ61" i="1"/>
  <c r="AB61" i="1"/>
  <c r="CL32" i="1"/>
  <c r="CL43" i="1"/>
  <c r="CL201" i="1"/>
  <c r="CL196" i="1"/>
  <c r="CL181" i="1"/>
  <c r="JO19" i="4"/>
  <c r="CI93" i="1" s="1"/>
  <c r="JP19" i="4"/>
  <c r="CJ93" i="1" s="1"/>
  <c r="KD20" i="4"/>
  <c r="JX20" i="4"/>
  <c r="JW19" i="4"/>
  <c r="Z42" i="1"/>
  <c r="CL119" i="1"/>
  <c r="CL111" i="1"/>
  <c r="CL123" i="1"/>
  <c r="CL126" i="1" s="1"/>
  <c r="CL203" i="1"/>
  <c r="CL27" i="1"/>
  <c r="CL259" i="1"/>
  <c r="CL240" i="1"/>
  <c r="X197" i="1"/>
  <c r="X261" i="1"/>
  <c r="CL117" i="1"/>
  <c r="CL109" i="1"/>
  <c r="CK217" i="1"/>
  <c r="CL217" i="1"/>
  <c r="CL118" i="1"/>
  <c r="CL110" i="1"/>
  <c r="CL122" i="1"/>
  <c r="CL125" i="1" s="1"/>
  <c r="CJ107" i="1"/>
  <c r="CJ109" i="1" s="1"/>
  <c r="CJ114" i="1"/>
  <c r="CJ117" i="1" s="1"/>
  <c r="KA20" i="4"/>
  <c r="JZ19" i="4"/>
  <c r="CI42" i="1"/>
  <c r="KF20" i="4"/>
  <c r="KG20" i="4"/>
  <c r="CH42" i="1"/>
  <c r="CG42" i="1"/>
  <c r="Z171" i="1"/>
  <c r="AB60" i="1"/>
  <c r="JV20" i="4"/>
  <c r="CA246" i="1"/>
  <c r="CA12" i="1"/>
  <c r="CK224" i="1"/>
  <c r="CJ259" i="1"/>
  <c r="CJ263" i="1"/>
  <c r="CJ261" i="1"/>
  <c r="CK42" i="1"/>
  <c r="KC20" i="4"/>
  <c r="Y183" i="1"/>
  <c r="Y124" i="1" s="1"/>
  <c r="Y264" i="1"/>
  <c r="Y144" i="1"/>
  <c r="Y221" i="1"/>
  <c r="CI27" i="1"/>
  <c r="CH31" i="1"/>
  <c r="CL33" i="1" s="1"/>
  <c r="Y211" i="1"/>
  <c r="Y197" i="1"/>
  <c r="Z211" i="1"/>
  <c r="Y172" i="1"/>
  <c r="Y180" i="1" s="1"/>
  <c r="Y181" i="1" s="1"/>
  <c r="BZ246" i="1"/>
  <c r="BZ12" i="1"/>
  <c r="CK26" i="1"/>
  <c r="CH27" i="1"/>
  <c r="CJ240" i="1"/>
  <c r="CG31" i="1"/>
  <c r="X144" i="1"/>
  <c r="X183" i="1"/>
  <c r="X124" i="1" s="1"/>
  <c r="CK200" i="1"/>
  <c r="X52" i="1"/>
  <c r="Z48" i="1"/>
  <c r="JY19" i="4"/>
  <c r="CK117" i="1"/>
  <c r="Z144" i="1"/>
  <c r="Z264" i="1"/>
  <c r="Z221" i="1"/>
  <c r="Z183" i="1"/>
  <c r="Z124" i="1" s="1"/>
  <c r="X172" i="1"/>
  <c r="X180" i="1" s="1"/>
  <c r="X200" i="1"/>
  <c r="Y212" i="1"/>
  <c r="AB148" i="1"/>
  <c r="CQ148" i="1"/>
  <c r="CR148" i="1" s="1"/>
  <c r="CS148" i="1" s="1"/>
  <c r="CT148" i="1" s="1"/>
  <c r="Y218" i="1"/>
  <c r="Y216" i="1" s="1"/>
  <c r="CH135" i="1"/>
  <c r="CI132" i="1"/>
  <c r="Z197" i="1"/>
  <c r="Z224" i="1"/>
  <c r="Y263" i="1"/>
  <c r="Y261" i="1"/>
  <c r="CI139" i="1"/>
  <c r="CI143" i="1" s="1"/>
  <c r="CJ221" i="1" s="1"/>
  <c r="CH143" i="1"/>
  <c r="JQ19" i="4"/>
  <c r="CK93" i="1" s="1"/>
  <c r="CC246" i="1"/>
  <c r="CC12" i="1"/>
  <c r="CB246" i="1"/>
  <c r="CB12" i="1"/>
  <c r="Y200" i="1"/>
  <c r="Y199" i="1" s="1"/>
  <c r="JN19" i="4"/>
  <c r="CH93" i="1" s="1"/>
  <c r="CJ123" i="1"/>
  <c r="Y48" i="1"/>
  <c r="KB20" i="4"/>
  <c r="CI146" i="1"/>
  <c r="CI149" i="1" s="1"/>
  <c r="CH149" i="1"/>
  <c r="CH197" i="1"/>
  <c r="CH172" i="1"/>
  <c r="X113" i="1"/>
  <c r="X31" i="1"/>
  <c r="X259" i="1"/>
  <c r="Z52" i="1"/>
  <c r="CJ146" i="1"/>
  <c r="CK146" i="1" s="1"/>
  <c r="CK147" i="1"/>
  <c r="CL147" i="1" s="1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N26" i="1"/>
  <c r="CJ31" i="1"/>
  <c r="CK27" i="1"/>
  <c r="JO20" i="4"/>
  <c r="CI94" i="1" s="1"/>
  <c r="JQ20" i="4"/>
  <c r="CK94" i="1" s="1"/>
  <c r="CK31" i="1"/>
  <c r="CL34" i="1" s="1"/>
  <c r="CO26" i="1"/>
  <c r="CD246" i="1"/>
  <c r="CD12" i="1"/>
  <c r="X42" i="1"/>
  <c r="JV19" i="4"/>
  <c r="CI200" i="1"/>
  <c r="JS20" i="4"/>
  <c r="CI217" i="1"/>
  <c r="CR60" i="1"/>
  <c r="CS60" i="1" s="1"/>
  <c r="CT60" i="1" s="1"/>
  <c r="CU60" i="1" s="1"/>
  <c r="Y42" i="1"/>
  <c r="CI31" i="1"/>
  <c r="CM26" i="1"/>
  <c r="CJ27" i="1"/>
  <c r="CI167" i="1"/>
  <c r="CJ144" i="1"/>
  <c r="CK143" i="1"/>
  <c r="KC19" i="4"/>
  <c r="CJ197" i="1"/>
  <c r="CJ172" i="1"/>
  <c r="CJ180" i="1" s="1"/>
  <c r="Y259" i="1"/>
  <c r="Z218" i="1"/>
  <c r="Z216" i="1" s="1"/>
  <c r="Z263" i="1"/>
  <c r="Z261" i="1"/>
  <c r="KA19" i="4"/>
  <c r="Z203" i="1"/>
  <c r="Z26" i="1"/>
  <c r="Z31" i="1"/>
  <c r="AA33" i="1" s="1"/>
  <c r="Z113" i="1"/>
  <c r="Z259" i="1"/>
  <c r="CH78" i="1"/>
  <c r="CI80" i="1"/>
  <c r="CI122" i="1" s="1"/>
  <c r="Y203" i="1"/>
  <c r="Y26" i="1"/>
  <c r="Y31" i="1"/>
  <c r="Y113" i="1"/>
  <c r="CI224" i="1"/>
  <c r="JY20" i="4"/>
  <c r="JN20" i="4"/>
  <c r="CH94" i="1" s="1"/>
  <c r="CQ199" i="1"/>
  <c r="CR140" i="1"/>
  <c r="BZ140" i="1"/>
  <c r="CA140" i="1" s="1"/>
  <c r="BL88" i="1"/>
  <c r="CF89" i="1"/>
  <c r="CB161" i="1"/>
  <c r="CC161" i="1" s="1"/>
  <c r="CD168" i="1"/>
  <c r="CD198" i="1" s="1"/>
  <c r="CE198" i="1" s="1"/>
  <c r="CB179" i="1"/>
  <c r="CC179" i="1" s="1"/>
  <c r="BL139" i="1"/>
  <c r="BM139" i="1" s="1"/>
  <c r="CD148" i="1"/>
  <c r="CD139" i="1"/>
  <c r="CE139" i="1" s="1"/>
  <c r="CF142" i="1"/>
  <c r="CG142" i="1" s="1"/>
  <c r="CB142" i="1"/>
  <c r="CC142" i="1" s="1"/>
  <c r="CB167" i="1"/>
  <c r="CC167" i="1" s="1"/>
  <c r="CB159" i="1"/>
  <c r="CB194" i="1" s="1"/>
  <c r="CC194" i="1" s="1"/>
  <c r="BZ168" i="1"/>
  <c r="BZ198" i="1" s="1"/>
  <c r="CA198" i="1" s="1"/>
  <c r="BZ179" i="1"/>
  <c r="CA179" i="1" s="1"/>
  <c r="BZ169" i="1"/>
  <c r="CA169" i="1" s="1"/>
  <c r="BZ175" i="1"/>
  <c r="BZ165" i="1"/>
  <c r="CA165" i="1" s="1"/>
  <c r="BZ147" i="1"/>
  <c r="BL160" i="1"/>
  <c r="BL195" i="1" s="1"/>
  <c r="BM195" i="1" s="1"/>
  <c r="BL168" i="1"/>
  <c r="BL198" i="1" s="1"/>
  <c r="BM198" i="1" s="1"/>
  <c r="BL137" i="1"/>
  <c r="BM137" i="1" s="1"/>
  <c r="CA88" i="1"/>
  <c r="CF88" i="1"/>
  <c r="CF161" i="1"/>
  <c r="CG161" i="1" s="1"/>
  <c r="CF148" i="1"/>
  <c r="CB89" i="1"/>
  <c r="CF159" i="1"/>
  <c r="CF194" i="1" s="1"/>
  <c r="CG194" i="1" s="1"/>
  <c r="CG159" i="1" s="1"/>
  <c r="CF137" i="1"/>
  <c r="CG137" i="1" s="1"/>
  <c r="CB164" i="1"/>
  <c r="CC164" i="1" s="1"/>
  <c r="CF179" i="1"/>
  <c r="CG179" i="1" s="1"/>
  <c r="CB140" i="1"/>
  <c r="CC140" i="1" s="1"/>
  <c r="CB178" i="1"/>
  <c r="CC178" i="1" s="1"/>
  <c r="CD89" i="1"/>
  <c r="CB174" i="1"/>
  <c r="CD160" i="1"/>
  <c r="CD195" i="1" s="1"/>
  <c r="CE195" i="1" s="1"/>
  <c r="CD137" i="1"/>
  <c r="CE137" i="1" s="1"/>
  <c r="BL140" i="1"/>
  <c r="CD146" i="1"/>
  <c r="CD166" i="1"/>
  <c r="CE166" i="1" s="1"/>
  <c r="CD174" i="1"/>
  <c r="CD157" i="1"/>
  <c r="CE157" i="1" s="1"/>
  <c r="CF155" i="1"/>
  <c r="CF141" i="1"/>
  <c r="CG141" i="1" s="1"/>
  <c r="CB157" i="1"/>
  <c r="CC157" i="1" s="1"/>
  <c r="BL169" i="1"/>
  <c r="BM169" i="1" s="1"/>
  <c r="BL178" i="1"/>
  <c r="BM178" i="1" s="1"/>
  <c r="BL179" i="1"/>
  <c r="CB141" i="1"/>
  <c r="CC141" i="1" s="1"/>
  <c r="CE89" i="1"/>
  <c r="BZ174" i="1"/>
  <c r="BZ178" i="1"/>
  <c r="CA178" i="1" s="1"/>
  <c r="BZ134" i="1"/>
  <c r="BZ142" i="1"/>
  <c r="CA142" i="1" s="1"/>
  <c r="CF160" i="1"/>
  <c r="CF195" i="1" s="1"/>
  <c r="CG195" i="1" s="1"/>
  <c r="CG160" i="1" s="1"/>
  <c r="CF147" i="1"/>
  <c r="CF164" i="1"/>
  <c r="CB134" i="1"/>
  <c r="CB160" i="1"/>
  <c r="CB195" i="1" s="1"/>
  <c r="CC195" i="1" s="1"/>
  <c r="CD175" i="1"/>
  <c r="CD167" i="1"/>
  <c r="CE167" i="1" s="1"/>
  <c r="CB88" i="1"/>
  <c r="BZ170" i="1"/>
  <c r="CA170" i="1" s="1"/>
  <c r="BZ148" i="1"/>
  <c r="BZ132" i="1"/>
  <c r="BZ162" i="1"/>
  <c r="CA162" i="1" s="1"/>
  <c r="BZ89" i="1"/>
  <c r="BZ139" i="1"/>
  <c r="CA139" i="1" s="1"/>
  <c r="BZ141" i="1"/>
  <c r="CA141" i="1" s="1"/>
  <c r="BZ157" i="1"/>
  <c r="CA157" i="1" s="1"/>
  <c r="BZ146" i="1"/>
  <c r="BL148" i="1"/>
  <c r="BL164" i="1"/>
  <c r="BM164" i="1" s="1"/>
  <c r="CF139" i="1"/>
  <c r="CF168" i="1"/>
  <c r="CF198" i="1" s="1"/>
  <c r="CG198" i="1" s="1"/>
  <c r="CG168" i="1" s="1"/>
  <c r="CD169" i="1"/>
  <c r="CE169" i="1" s="1"/>
  <c r="CF169" i="1"/>
  <c r="CG169" i="1" s="1"/>
  <c r="CB146" i="1"/>
  <c r="CB169" i="1"/>
  <c r="CC169" i="1" s="1"/>
  <c r="BY89" i="1"/>
  <c r="CD178" i="1"/>
  <c r="CE178" i="1" s="1"/>
  <c r="CD150" i="1"/>
  <c r="CE150" i="1" s="1"/>
  <c r="BL175" i="1"/>
  <c r="CB168" i="1"/>
  <c r="CB198" i="1" s="1"/>
  <c r="CC198" i="1" s="1"/>
  <c r="CB133" i="1"/>
  <c r="CC133" i="1" s="1"/>
  <c r="BL165" i="1"/>
  <c r="BM165" i="1" s="1"/>
  <c r="CD142" i="1"/>
  <c r="CE142" i="1" s="1"/>
  <c r="CD162" i="1"/>
  <c r="CE162" i="1" s="1"/>
  <c r="CD134" i="1"/>
  <c r="CD161" i="1"/>
  <c r="CE161" i="1" s="1"/>
  <c r="CD170" i="1"/>
  <c r="CE170" i="1" s="1"/>
  <c r="CD155" i="1"/>
  <c r="CE155" i="1" s="1"/>
  <c r="CF132" i="1"/>
  <c r="CF133" i="1"/>
  <c r="CG133" i="1" s="1"/>
  <c r="CF166" i="1"/>
  <c r="CG166" i="1" s="1"/>
  <c r="CF178" i="1"/>
  <c r="CG178" i="1" s="1"/>
  <c r="CB175" i="1"/>
  <c r="CB155" i="1"/>
  <c r="AI89" i="1"/>
  <c r="BL162" i="1"/>
  <c r="BM162" i="1" s="1"/>
  <c r="BL150" i="1"/>
  <c r="BM150" i="1" s="1"/>
  <c r="BL141" i="1"/>
  <c r="BM141" i="1" s="1"/>
  <c r="CB139" i="1"/>
  <c r="CC139" i="1" s="1"/>
  <c r="BL161" i="1"/>
  <c r="BM161" i="1" s="1"/>
  <c r="BZ150" i="1"/>
  <c r="CA150" i="1" s="1"/>
  <c r="BZ88" i="1"/>
  <c r="BL167" i="1"/>
  <c r="BM167" i="1" s="1"/>
  <c r="CB147" i="1"/>
  <c r="CF162" i="1"/>
  <c r="CG162" i="1" s="1"/>
  <c r="CB162" i="1"/>
  <c r="CC162" i="1" s="1"/>
  <c r="CD88" i="1"/>
  <c r="CC89" i="1"/>
  <c r="CD133" i="1"/>
  <c r="CE133" i="1" s="1"/>
  <c r="BL134" i="1"/>
  <c r="CD140" i="1"/>
  <c r="CE140" i="1" s="1"/>
  <c r="CF174" i="1"/>
  <c r="CF167" i="1"/>
  <c r="CG167" i="1" s="1"/>
  <c r="CE88" i="1"/>
  <c r="BZ160" i="1"/>
  <c r="BZ195" i="1" s="1"/>
  <c r="CA195" i="1" s="1"/>
  <c r="BZ137" i="1"/>
  <c r="CA137" i="1" s="1"/>
  <c r="BZ159" i="1"/>
  <c r="BZ194" i="1" s="1"/>
  <c r="CA194" i="1" s="1"/>
  <c r="BZ133" i="1"/>
  <c r="CA133" i="1" s="1"/>
  <c r="BZ164" i="1"/>
  <c r="BZ166" i="1"/>
  <c r="CA166" i="1" s="1"/>
  <c r="BZ161" i="1"/>
  <c r="CA161" i="1" s="1"/>
  <c r="BZ155" i="1"/>
  <c r="CA155" i="1" s="1"/>
  <c r="BZ167" i="1"/>
  <c r="CA167" i="1" s="1"/>
  <c r="BL170" i="1"/>
  <c r="BM170" i="1" s="1"/>
  <c r="BL159" i="1"/>
  <c r="BL194" i="1" s="1"/>
  <c r="BM194" i="1" s="1"/>
  <c r="BL146" i="1"/>
  <c r="BL147" i="1"/>
  <c r="CA89" i="1"/>
  <c r="CF170" i="1"/>
  <c r="CG170" i="1" s="1"/>
  <c r="CF165" i="1"/>
  <c r="CG165" i="1" s="1"/>
  <c r="CF175" i="1"/>
  <c r="CB132" i="1"/>
  <c r="CC132" i="1" s="1"/>
  <c r="CF146" i="1"/>
  <c r="CF134" i="1"/>
  <c r="CF140" i="1"/>
  <c r="CG140" i="1" s="1"/>
  <c r="CD141" i="1"/>
  <c r="CE141" i="1" s="1"/>
  <c r="CB170" i="1"/>
  <c r="CC170" i="1" s="1"/>
  <c r="CB150" i="1"/>
  <c r="CC150" i="1" s="1"/>
  <c r="CB166" i="1"/>
  <c r="CC166" i="1" s="1"/>
  <c r="CD132" i="1"/>
  <c r="BL155" i="1"/>
  <c r="CB148" i="1"/>
  <c r="BL142" i="1"/>
  <c r="BM142" i="1" s="1"/>
  <c r="CD147" i="1"/>
  <c r="CD159" i="1"/>
  <c r="CD194" i="1" s="1"/>
  <c r="CE194" i="1" s="1"/>
  <c r="CD165" i="1"/>
  <c r="CE165" i="1" s="1"/>
  <c r="CD164" i="1"/>
  <c r="CE164" i="1" s="1"/>
  <c r="CD179" i="1"/>
  <c r="CE179" i="1" s="1"/>
  <c r="CF150" i="1"/>
  <c r="CG150" i="1" s="1"/>
  <c r="CF157" i="1"/>
  <c r="CG157" i="1" s="1"/>
  <c r="CC88" i="1"/>
  <c r="CB165" i="1"/>
  <c r="CC165" i="1" s="1"/>
  <c r="CB137" i="1"/>
  <c r="CC137" i="1" s="1"/>
  <c r="BL174" i="1"/>
  <c r="BL132" i="1"/>
  <c r="BM132" i="1" s="1"/>
  <c r="BL166" i="1"/>
  <c r="BM166" i="1" s="1"/>
  <c r="BL157" i="1"/>
  <c r="BM157" i="1" s="1"/>
  <c r="BL133" i="1"/>
  <c r="BM133" i="1" s="1"/>
  <c r="BL268" i="1"/>
  <c r="CH113" i="1"/>
  <c r="CB152" i="1"/>
  <c r="CC152" i="1" s="1"/>
  <c r="CF152" i="1"/>
  <c r="CG152" i="1" s="1"/>
  <c r="CD152" i="1"/>
  <c r="CE152" i="1" s="1"/>
  <c r="BL152" i="1"/>
  <c r="BM152" i="1" s="1"/>
  <c r="BZ152" i="1"/>
  <c r="CA152" i="1" s="1"/>
  <c r="BL158" i="1"/>
  <c r="CD158" i="1"/>
  <c r="CB158" i="1"/>
  <c r="CF158" i="1"/>
  <c r="BZ158" i="1"/>
  <c r="CA267" i="1"/>
  <c r="JJ21" i="4"/>
  <c r="CD92" i="1" s="1"/>
  <c r="CA25" i="1"/>
  <c r="CA31" i="1" s="1"/>
  <c r="CA32" i="1" s="1"/>
  <c r="JK14" i="4"/>
  <c r="BL25" i="1"/>
  <c r="BL31" i="1" s="1"/>
  <c r="BY25" i="1"/>
  <c r="BY31" i="1" s="1"/>
  <c r="BL209" i="1"/>
  <c r="CF25" i="1"/>
  <c r="AA73" i="1" s="1"/>
  <c r="CF267" i="1"/>
  <c r="JL21" i="4"/>
  <c r="CF92" i="1" s="1"/>
  <c r="CF113" i="1"/>
  <c r="CB41" i="1"/>
  <c r="CE246" i="1"/>
  <c r="CC268" i="1"/>
  <c r="CA41" i="1"/>
  <c r="CE267" i="1"/>
  <c r="CC267" i="1"/>
  <c r="JM7" i="4"/>
  <c r="CA268" i="1"/>
  <c r="JJ8" i="4"/>
  <c r="CF41" i="1"/>
  <c r="BZ267" i="1"/>
  <c r="BZ25" i="1"/>
  <c r="CA209" i="1"/>
  <c r="CD268" i="1"/>
  <c r="CB113" i="1"/>
  <c r="JK21" i="4"/>
  <c r="CE92" i="1" s="1"/>
  <c r="JK15" i="4"/>
  <c r="CD267" i="1"/>
  <c r="JL14" i="4"/>
  <c r="CC41" i="1"/>
  <c r="BY41" i="1"/>
  <c r="CI113" i="1"/>
  <c r="CF246" i="1"/>
  <c r="BY268" i="1"/>
  <c r="JL8" i="4"/>
  <c r="CE41" i="1"/>
  <c r="BL267" i="1"/>
  <c r="CE113" i="1"/>
  <c r="CD25" i="1"/>
  <c r="CD31" i="1" s="1"/>
  <c r="CC25" i="1"/>
  <c r="CD209" i="1"/>
  <c r="CE25" i="1"/>
  <c r="CG113" i="1"/>
  <c r="CD113" i="1"/>
  <c r="CB25" i="1"/>
  <c r="CB31" i="1" s="1"/>
  <c r="CB267" i="1"/>
  <c r="CC113" i="1"/>
  <c r="JJ15" i="4"/>
  <c r="CB268" i="1"/>
  <c r="BY267" i="1"/>
  <c r="CD41" i="1"/>
  <c r="JM8" i="4"/>
  <c r="JL7" i="4"/>
  <c r="CF268" i="1"/>
  <c r="JJ7" i="4"/>
  <c r="JK8" i="4"/>
  <c r="JM21" i="4"/>
  <c r="CG92" i="1" s="1"/>
  <c r="BZ268" i="1"/>
  <c r="CE268" i="1"/>
  <c r="JK7" i="4"/>
  <c r="BL41" i="1"/>
  <c r="JL15" i="4"/>
  <c r="BZ41" i="1"/>
  <c r="JM14" i="4"/>
  <c r="JM15" i="4"/>
  <c r="JJ14" i="4"/>
  <c r="CS195" i="1"/>
  <c r="AE50" i="1"/>
  <c r="U23" i="1"/>
  <c r="V23" i="1"/>
  <c r="W23" i="1"/>
  <c r="CJ122" i="1" l="1"/>
  <c r="CJ118" i="1"/>
  <c r="X196" i="1"/>
  <c r="CJ111" i="1"/>
  <c r="CJ119" i="1"/>
  <c r="CJ110" i="1"/>
  <c r="AA220" i="1"/>
  <c r="CM42" i="1"/>
  <c r="CJ264" i="1"/>
  <c r="Z200" i="1"/>
  <c r="Z199" i="1" s="1"/>
  <c r="AA212" i="1"/>
  <c r="AA213" i="1" s="1"/>
  <c r="AA214" i="1" s="1"/>
  <c r="AA228" i="1" s="1"/>
  <c r="CR61" i="1"/>
  <c r="CS61" i="1" s="1"/>
  <c r="CT61" i="1" s="1"/>
  <c r="CU61" i="1" s="1"/>
  <c r="CV61" i="1" s="1"/>
  <c r="AC61" i="1"/>
  <c r="X199" i="1"/>
  <c r="X201" i="1"/>
  <c r="CL247" i="1"/>
  <c r="CL248" i="1" s="1"/>
  <c r="CL49" i="1"/>
  <c r="CL53" i="1" s="1"/>
  <c r="CL44" i="1"/>
  <c r="CI114" i="1"/>
  <c r="CI117" i="1" s="1"/>
  <c r="CL264" i="1"/>
  <c r="CL221" i="1"/>
  <c r="CK149" i="1"/>
  <c r="CL48" i="1" s="1"/>
  <c r="Z212" i="1"/>
  <c r="Z172" i="1"/>
  <c r="Z180" i="1" s="1"/>
  <c r="CJ181" i="1"/>
  <c r="Z213" i="1"/>
  <c r="CH33" i="1"/>
  <c r="CM198" i="1"/>
  <c r="CH263" i="1"/>
  <c r="CJ48" i="1"/>
  <c r="CN48" i="1" s="1"/>
  <c r="CO48" i="1" s="1"/>
  <c r="CP48" i="1" s="1"/>
  <c r="CR48" i="1" s="1"/>
  <c r="CS48" i="1" s="1"/>
  <c r="CT48" i="1" s="1"/>
  <c r="CV48" i="1" s="1"/>
  <c r="CW48" i="1" s="1"/>
  <c r="CX48" i="1" s="1"/>
  <c r="CY48" i="1" s="1"/>
  <c r="CZ48" i="1" s="1"/>
  <c r="DA48" i="1" s="1"/>
  <c r="DB48" i="1" s="1"/>
  <c r="CI153" i="1"/>
  <c r="CJ218" i="1" s="1"/>
  <c r="CJ216" i="1" s="1"/>
  <c r="X181" i="1"/>
  <c r="CK33" i="1"/>
  <c r="CH34" i="1"/>
  <c r="CG43" i="1"/>
  <c r="CG32" i="1"/>
  <c r="AC60" i="1"/>
  <c r="CK122" i="1"/>
  <c r="CK118" i="1"/>
  <c r="CU148" i="1"/>
  <c r="CV148" i="1" s="1"/>
  <c r="CW148" i="1" s="1"/>
  <c r="CX148" i="1" s="1"/>
  <c r="AC148" i="1"/>
  <c r="Z32" i="1"/>
  <c r="Z43" i="1"/>
  <c r="CM139" i="1"/>
  <c r="CH153" i="1"/>
  <c r="CH180" i="1" s="1"/>
  <c r="CI48" i="1"/>
  <c r="Y33" i="1"/>
  <c r="Y32" i="1"/>
  <c r="Z33" i="1"/>
  <c r="Y43" i="1"/>
  <c r="CV60" i="1"/>
  <c r="CW60" i="1" s="1"/>
  <c r="CX60" i="1" s="1"/>
  <c r="CY60" i="1" s="1"/>
  <c r="CZ60" i="1" s="1"/>
  <c r="DA60" i="1" s="1"/>
  <c r="DB60" i="1" s="1"/>
  <c r="AE60" i="1" s="1"/>
  <c r="CK43" i="1"/>
  <c r="CK32" i="1"/>
  <c r="CH183" i="1"/>
  <c r="CH144" i="1"/>
  <c r="CK123" i="1"/>
  <c r="CK119" i="1"/>
  <c r="CI221" i="1"/>
  <c r="CI264" i="1"/>
  <c r="Y213" i="1"/>
  <c r="Y196" i="1"/>
  <c r="Y201" i="1"/>
  <c r="CM194" i="1"/>
  <c r="CH196" i="1"/>
  <c r="CI196" i="1" s="1"/>
  <c r="CH201" i="1"/>
  <c r="CL204" i="1" s="1"/>
  <c r="CH43" i="1"/>
  <c r="CL45" i="1" s="1"/>
  <c r="CH32" i="1"/>
  <c r="CI34" i="1"/>
  <c r="CK264" i="1"/>
  <c r="CK221" i="1"/>
  <c r="CI123" i="1"/>
  <c r="Z196" i="1"/>
  <c r="Z201" i="1"/>
  <c r="AA204" i="1" s="1"/>
  <c r="AA205" i="1" s="1"/>
  <c r="X43" i="1"/>
  <c r="X32" i="1"/>
  <c r="CG78" i="1"/>
  <c r="CH80" i="1"/>
  <c r="CJ196" i="1"/>
  <c r="CK196" i="1" s="1"/>
  <c r="CJ201" i="1"/>
  <c r="CI43" i="1"/>
  <c r="CI32" i="1"/>
  <c r="CJ34" i="1"/>
  <c r="CM155" i="1"/>
  <c r="CM217" i="1" s="1"/>
  <c r="CK34" i="1"/>
  <c r="CJ43" i="1"/>
  <c r="CJ32" i="1"/>
  <c r="CR199" i="1"/>
  <c r="CS140" i="1"/>
  <c r="BZ176" i="1"/>
  <c r="BL176" i="1"/>
  <c r="CB217" i="1"/>
  <c r="CA132" i="1"/>
  <c r="BZ135" i="1"/>
  <c r="BL135" i="1"/>
  <c r="CB176" i="1"/>
  <c r="CC224" i="1" s="1"/>
  <c r="CG139" i="1"/>
  <c r="CG143" i="1" s="1"/>
  <c r="CF143" i="1"/>
  <c r="CD149" i="1"/>
  <c r="CE48" i="1" s="1"/>
  <c r="CC155" i="1"/>
  <c r="CD217" i="1" s="1"/>
  <c r="CE132" i="1"/>
  <c r="CD135" i="1"/>
  <c r="BM155" i="1"/>
  <c r="BM217" i="1" s="1"/>
  <c r="CD176" i="1"/>
  <c r="CF217" i="1"/>
  <c r="CE143" i="1"/>
  <c r="BM140" i="1"/>
  <c r="BM143" i="1" s="1"/>
  <c r="BL143" i="1"/>
  <c r="CG155" i="1"/>
  <c r="CG164" i="1"/>
  <c r="CG171" i="1" s="1"/>
  <c r="CF171" i="1"/>
  <c r="CF200" i="1" s="1"/>
  <c r="CF199" i="1" s="1"/>
  <c r="CG132" i="1"/>
  <c r="CF135" i="1"/>
  <c r="CA164" i="1"/>
  <c r="BZ171" i="1"/>
  <c r="BZ200" i="1" s="1"/>
  <c r="BZ199" i="1" s="1"/>
  <c r="BZ149" i="1"/>
  <c r="BZ153" i="1" s="1"/>
  <c r="CA143" i="1"/>
  <c r="CB149" i="1"/>
  <c r="CF176" i="1"/>
  <c r="BL149" i="1"/>
  <c r="CF149" i="1"/>
  <c r="CF153" i="1" s="1"/>
  <c r="CC143" i="1"/>
  <c r="CB143" i="1"/>
  <c r="CE217" i="1"/>
  <c r="BZ143" i="1"/>
  <c r="CB171" i="1"/>
  <c r="CB200" i="1" s="1"/>
  <c r="CB199" i="1" s="1"/>
  <c r="BL171" i="1"/>
  <c r="BL200" i="1" s="1"/>
  <c r="BL199" i="1" s="1"/>
  <c r="CD171" i="1"/>
  <c r="CD200" i="1" s="1"/>
  <c r="CD199" i="1" s="1"/>
  <c r="CB135" i="1"/>
  <c r="CD143" i="1"/>
  <c r="BM158" i="1"/>
  <c r="BL163" i="1"/>
  <c r="CE158" i="1"/>
  <c r="CD163" i="1"/>
  <c r="CC158" i="1"/>
  <c r="CB163" i="1"/>
  <c r="CG158" i="1"/>
  <c r="CG163" i="1" s="1"/>
  <c r="CG197" i="1" s="1"/>
  <c r="CG196" i="1" s="1"/>
  <c r="CF163" i="1"/>
  <c r="CA158" i="1"/>
  <c r="BZ163" i="1"/>
  <c r="CA42" i="1"/>
  <c r="CA27" i="1"/>
  <c r="JK19" i="4"/>
  <c r="CE93" i="1" s="1"/>
  <c r="BL42" i="1"/>
  <c r="CC26" i="1"/>
  <c r="CC42" i="1"/>
  <c r="CI240" i="1"/>
  <c r="CF31" i="1"/>
  <c r="CG27" i="1"/>
  <c r="CJ26" i="1"/>
  <c r="BY42" i="1"/>
  <c r="JL20" i="4"/>
  <c r="CF94" i="1" s="1"/>
  <c r="BZ31" i="1"/>
  <c r="CD33" i="1" s="1"/>
  <c r="CF42" i="1"/>
  <c r="Y73" i="1"/>
  <c r="JJ19" i="4"/>
  <c r="CD93" i="1" s="1"/>
  <c r="JM20" i="4"/>
  <c r="CG94" i="1" s="1"/>
  <c r="CD42" i="1"/>
  <c r="JM19" i="4"/>
  <c r="CG93" i="1" s="1"/>
  <c r="CE168" i="1"/>
  <c r="CE171" i="1" s="1"/>
  <c r="CE200" i="1" s="1"/>
  <c r="CE199" i="1" s="1"/>
  <c r="JJ20" i="4"/>
  <c r="CD94" i="1" s="1"/>
  <c r="JL19" i="4"/>
  <c r="CF93" i="1" s="1"/>
  <c r="JK20" i="4"/>
  <c r="CE94" i="1" s="1"/>
  <c r="CA43" i="1"/>
  <c r="CA247" i="1" s="1"/>
  <c r="CA248" i="1" s="1"/>
  <c r="CD203" i="1"/>
  <c r="CD26" i="1"/>
  <c r="BZ27" i="1"/>
  <c r="CD240" i="1"/>
  <c r="BZ42" i="1"/>
  <c r="CE159" i="1"/>
  <c r="CE203" i="1"/>
  <c r="CG203" i="1"/>
  <c r="CF26" i="1"/>
  <c r="CH240" i="1"/>
  <c r="CJ203" i="1"/>
  <c r="CE42" i="1"/>
  <c r="CC31" i="1"/>
  <c r="CC34" i="1" s="1"/>
  <c r="CF240" i="1"/>
  <c r="CB27" i="1"/>
  <c r="Z73" i="1"/>
  <c r="CE26" i="1"/>
  <c r="CG240" i="1"/>
  <c r="CF27" i="1"/>
  <c r="CF203" i="1"/>
  <c r="CE240" i="1"/>
  <c r="CC27" i="1"/>
  <c r="CC240" i="1"/>
  <c r="CE160" i="1"/>
  <c r="CB42" i="1"/>
  <c r="CB32" i="1"/>
  <c r="CB43" i="1"/>
  <c r="CB34" i="1"/>
  <c r="CD43" i="1"/>
  <c r="CD27" i="1"/>
  <c r="CH26" i="1"/>
  <c r="CI203" i="1"/>
  <c r="CE31" i="1"/>
  <c r="CE34" i="1" s="1"/>
  <c r="CI26" i="1"/>
  <c r="CD32" i="1"/>
  <c r="CI119" i="1"/>
  <c r="CG26" i="1"/>
  <c r="CE27" i="1"/>
  <c r="CH203" i="1"/>
  <c r="CA217" i="1"/>
  <c r="BL32" i="1"/>
  <c r="BL43" i="1"/>
  <c r="BY32" i="1"/>
  <c r="BY43" i="1"/>
  <c r="CT195" i="1"/>
  <c r="V246" i="1"/>
  <c r="W246" i="1"/>
  <c r="U246" i="1"/>
  <c r="Z181" i="1" l="1"/>
  <c r="CI118" i="1"/>
  <c r="Y204" i="1"/>
  <c r="Y205" i="1" s="1"/>
  <c r="CN42" i="1"/>
  <c r="CO42" i="1"/>
  <c r="AA225" i="1"/>
  <c r="AA226" i="1" s="1"/>
  <c r="AA45" i="1"/>
  <c r="AA265" i="1"/>
  <c r="AA266" i="1" s="1"/>
  <c r="CF43" i="1"/>
  <c r="AA75" i="1" s="1"/>
  <c r="AA74" i="1"/>
  <c r="CW61" i="1"/>
  <c r="CX61" i="1" s="1"/>
  <c r="CY61" i="1" s="1"/>
  <c r="AD60" i="1"/>
  <c r="CH181" i="1"/>
  <c r="CL55" i="1"/>
  <c r="CL56" i="1"/>
  <c r="Z204" i="1"/>
  <c r="Z205" i="1" s="1"/>
  <c r="CL265" i="1"/>
  <c r="CL266" i="1" s="1"/>
  <c r="CL46" i="1"/>
  <c r="CH123" i="1"/>
  <c r="CH107" i="1"/>
  <c r="CL127" i="1"/>
  <c r="CL241" i="1"/>
  <c r="CK153" i="1"/>
  <c r="CH114" i="1"/>
  <c r="CM32" i="1"/>
  <c r="CI161" i="1"/>
  <c r="CI197" i="1"/>
  <c r="CY148" i="1"/>
  <c r="CZ148" i="1" s="1"/>
  <c r="DA148" i="1" s="1"/>
  <c r="DB148" i="1" s="1"/>
  <c r="AE148" i="1" s="1"/>
  <c r="AD148" i="1"/>
  <c r="AB146" i="1"/>
  <c r="CH45" i="1"/>
  <c r="CN198" i="1"/>
  <c r="CM200" i="1"/>
  <c r="CN155" i="1"/>
  <c r="CN217" i="1" s="1"/>
  <c r="X247" i="1"/>
  <c r="X248" i="1" s="1"/>
  <c r="X127" i="1"/>
  <c r="X44" i="1"/>
  <c r="X49" i="1"/>
  <c r="Y45" i="1"/>
  <c r="CH44" i="1"/>
  <c r="CH49" i="1"/>
  <c r="CH53" i="1" s="1"/>
  <c r="CH265" i="1"/>
  <c r="CI46" i="1"/>
  <c r="CH247" i="1"/>
  <c r="CH248" i="1" s="1"/>
  <c r="CK127" i="1"/>
  <c r="CH122" i="1"/>
  <c r="CH124" i="1"/>
  <c r="CI52" i="1"/>
  <c r="CN139" i="1"/>
  <c r="CM143" i="1"/>
  <c r="Y127" i="1"/>
  <c r="Y247" i="1"/>
  <c r="Y248" i="1" s="1"/>
  <c r="Y44" i="1"/>
  <c r="Y265" i="1"/>
  <c r="Y266" i="1" s="1"/>
  <c r="Z45" i="1"/>
  <c r="Y49" i="1"/>
  <c r="CI49" i="1"/>
  <c r="CI247" i="1"/>
  <c r="CI248" i="1" s="1"/>
  <c r="CI44" i="1"/>
  <c r="CJ46" i="1"/>
  <c r="CI265" i="1"/>
  <c r="CI266" i="1" s="1"/>
  <c r="CK197" i="1"/>
  <c r="CK201" i="1" s="1"/>
  <c r="CN194" i="1"/>
  <c r="CI218" i="1"/>
  <c r="CI216" i="1" s="1"/>
  <c r="CH261" i="1"/>
  <c r="CK46" i="1"/>
  <c r="CJ49" i="1"/>
  <c r="CJ53" i="1" s="1"/>
  <c r="CJ265" i="1"/>
  <c r="CJ266" i="1" s="1"/>
  <c r="CJ44" i="1"/>
  <c r="CJ247" i="1"/>
  <c r="CJ248" i="1" s="1"/>
  <c r="Z127" i="1"/>
  <c r="Z247" i="1"/>
  <c r="Z248" i="1" s="1"/>
  <c r="Z44" i="1"/>
  <c r="Z265" i="1"/>
  <c r="Z266" i="1" s="1"/>
  <c r="Z49" i="1"/>
  <c r="CH259" i="1"/>
  <c r="CF78" i="1"/>
  <c r="CG80" i="1"/>
  <c r="CG114" i="1" s="1"/>
  <c r="CG117" i="1" s="1"/>
  <c r="CK44" i="1"/>
  <c r="CK49" i="1"/>
  <c r="CK53" i="1" s="1"/>
  <c r="CK45" i="1"/>
  <c r="CG44" i="1"/>
  <c r="CG49" i="1"/>
  <c r="CG247" i="1"/>
  <c r="CG248" i="1" s="1"/>
  <c r="CH46" i="1"/>
  <c r="CJ127" i="1"/>
  <c r="CJ241" i="1"/>
  <c r="CC217" i="1"/>
  <c r="CS199" i="1"/>
  <c r="CG264" i="1"/>
  <c r="CH217" i="1"/>
  <c r="CG217" i="1"/>
  <c r="CA224" i="1"/>
  <c r="BZ263" i="1"/>
  <c r="CT140" i="1"/>
  <c r="CD221" i="1"/>
  <c r="CF264" i="1"/>
  <c r="BM224" i="1"/>
  <c r="BL263" i="1"/>
  <c r="CF221" i="1"/>
  <c r="CF144" i="1"/>
  <c r="BL144" i="1"/>
  <c r="BL183" i="1"/>
  <c r="BL124" i="1" s="1"/>
  <c r="CA48" i="1"/>
  <c r="CA149" i="1"/>
  <c r="CB153" i="1"/>
  <c r="CC48" i="1"/>
  <c r="CC149" i="1"/>
  <c r="BZ183" i="1"/>
  <c r="BZ144" i="1"/>
  <c r="CD153" i="1"/>
  <c r="CE149" i="1"/>
  <c r="CE224" i="1"/>
  <c r="CD263" i="1"/>
  <c r="CA264" i="1"/>
  <c r="CA221" i="1"/>
  <c r="BM221" i="1"/>
  <c r="BM264" i="1"/>
  <c r="CG224" i="1"/>
  <c r="CF183" i="1"/>
  <c r="CF263" i="1"/>
  <c r="BM149" i="1"/>
  <c r="BM153" i="1" s="1"/>
  <c r="BL153" i="1"/>
  <c r="BL261" i="1" s="1"/>
  <c r="CG48" i="1"/>
  <c r="CG149" i="1"/>
  <c r="CH264" i="1"/>
  <c r="CH221" i="1"/>
  <c r="CG221" i="1"/>
  <c r="CB264" i="1"/>
  <c r="CB144" i="1"/>
  <c r="CB183" i="1"/>
  <c r="CB221" i="1"/>
  <c r="CB263" i="1"/>
  <c r="CC264" i="1"/>
  <c r="CC221" i="1"/>
  <c r="CE221" i="1"/>
  <c r="CD264" i="1"/>
  <c r="CD144" i="1"/>
  <c r="CD183" i="1"/>
  <c r="CE264" i="1"/>
  <c r="BL197" i="1"/>
  <c r="BL172" i="1"/>
  <c r="CD197" i="1"/>
  <c r="CD172" i="1"/>
  <c r="CB197" i="1"/>
  <c r="CB172" i="1"/>
  <c r="CF197" i="1"/>
  <c r="CF172" i="1"/>
  <c r="CF180" i="1" s="1"/>
  <c r="BZ197" i="1"/>
  <c r="BZ172" i="1"/>
  <c r="BZ180" i="1" s="1"/>
  <c r="BZ34" i="1"/>
  <c r="BZ43" i="1"/>
  <c r="BZ32" i="1"/>
  <c r="CA34" i="1"/>
  <c r="CG200" i="1"/>
  <c r="CH212" i="1"/>
  <c r="CG212" i="1"/>
  <c r="CJ33" i="1"/>
  <c r="CF32" i="1"/>
  <c r="CG34" i="1"/>
  <c r="CF33" i="1"/>
  <c r="BZ261" i="1"/>
  <c r="CF261" i="1"/>
  <c r="CF259" i="1"/>
  <c r="CG33" i="1"/>
  <c r="CC32" i="1"/>
  <c r="Y74" i="1"/>
  <c r="CC43" i="1"/>
  <c r="CC49" i="1" s="1"/>
  <c r="CC53" i="1" s="1"/>
  <c r="CD34" i="1"/>
  <c r="CC33" i="1"/>
  <c r="CE163" i="1"/>
  <c r="CE212" i="1"/>
  <c r="CG211" i="1"/>
  <c r="CF212" i="1"/>
  <c r="CA49" i="1"/>
  <c r="CA53" i="1" s="1"/>
  <c r="CA56" i="1" s="1"/>
  <c r="CA63" i="1" s="1"/>
  <c r="CA208" i="1" s="1"/>
  <c r="CA210" i="1" s="1"/>
  <c r="CA44" i="1"/>
  <c r="CG172" i="1"/>
  <c r="CH211" i="1"/>
  <c r="CD44" i="1"/>
  <c r="CB44" i="1"/>
  <c r="CB247" i="1"/>
  <c r="CB248" i="1" s="1"/>
  <c r="CB49" i="1"/>
  <c r="CB53" i="1" s="1"/>
  <c r="CB46" i="1"/>
  <c r="CB265" i="1"/>
  <c r="CD247" i="1"/>
  <c r="CD248" i="1" s="1"/>
  <c r="CD49" i="1"/>
  <c r="CD53" i="1" s="1"/>
  <c r="CD56" i="1" s="1"/>
  <c r="CD249" i="1" s="1"/>
  <c r="CF34" i="1"/>
  <c r="CE33" i="1"/>
  <c r="CI33" i="1"/>
  <c r="Z74" i="1"/>
  <c r="CE43" i="1"/>
  <c r="CE32" i="1"/>
  <c r="BY49" i="1"/>
  <c r="BY53" i="1" s="1"/>
  <c r="BY44" i="1"/>
  <c r="BL49" i="1"/>
  <c r="BL53" i="1" s="1"/>
  <c r="BL44" i="1"/>
  <c r="CU195" i="1"/>
  <c r="AB165" i="1"/>
  <c r="A1" i="1"/>
  <c r="CI127" i="1" l="1"/>
  <c r="CG46" i="1"/>
  <c r="CI241" i="1"/>
  <c r="CG265" i="1"/>
  <c r="CF44" i="1"/>
  <c r="CF247" i="1"/>
  <c r="CF248" i="1" s="1"/>
  <c r="CJ45" i="1"/>
  <c r="CF49" i="1"/>
  <c r="CF45" i="1"/>
  <c r="CG241" i="1"/>
  <c r="CP42" i="1"/>
  <c r="CH110" i="1"/>
  <c r="CH126" i="1"/>
  <c r="CZ61" i="1"/>
  <c r="DA61" i="1" s="1"/>
  <c r="DB61" i="1" s="1"/>
  <c r="AD61" i="1"/>
  <c r="CL63" i="1"/>
  <c r="CL57" i="1"/>
  <c r="CL260" i="1" s="1"/>
  <c r="CL249" i="1"/>
  <c r="CL128" i="1"/>
  <c r="CL129" i="1"/>
  <c r="CH109" i="1"/>
  <c r="CH111" i="1"/>
  <c r="CK218" i="1"/>
  <c r="CK216" i="1" s="1"/>
  <c r="CL218" i="1"/>
  <c r="CL216" i="1" s="1"/>
  <c r="CI53" i="1"/>
  <c r="CL70" i="1"/>
  <c r="CN32" i="1"/>
  <c r="CG118" i="1"/>
  <c r="CG119" i="1"/>
  <c r="CH119" i="1"/>
  <c r="CH117" i="1"/>
  <c r="CH118" i="1"/>
  <c r="Y70" i="1"/>
  <c r="Y53" i="1"/>
  <c r="CG53" i="1"/>
  <c r="CJ70" i="1"/>
  <c r="CO194" i="1"/>
  <c r="CM264" i="1"/>
  <c r="CM221" i="1"/>
  <c r="CH56" i="1"/>
  <c r="CL58" i="1" s="1"/>
  <c r="CH55" i="1"/>
  <c r="CO155" i="1"/>
  <c r="CO217" i="1"/>
  <c r="CH266" i="1"/>
  <c r="AC146" i="1"/>
  <c r="CM196" i="1"/>
  <c r="CO139" i="1"/>
  <c r="CN143" i="1"/>
  <c r="CG122" i="1"/>
  <c r="CE78" i="1"/>
  <c r="CF80" i="1"/>
  <c r="CJ56" i="1"/>
  <c r="CJ55" i="1"/>
  <c r="Z53" i="1"/>
  <c r="Z70" i="1"/>
  <c r="CO198" i="1"/>
  <c r="CN200" i="1"/>
  <c r="X53" i="1"/>
  <c r="X70" i="1"/>
  <c r="CK56" i="1"/>
  <c r="CL59" i="1" s="1"/>
  <c r="CK55" i="1"/>
  <c r="CG123" i="1"/>
  <c r="CH125" i="1"/>
  <c r="CT199" i="1"/>
  <c r="CF181" i="1"/>
  <c r="CA153" i="1"/>
  <c r="CB48" i="1"/>
  <c r="CB180" i="1"/>
  <c r="CB181" i="1" s="1"/>
  <c r="CD180" i="1"/>
  <c r="CD181" i="1" s="1"/>
  <c r="CU140" i="1"/>
  <c r="CB261" i="1"/>
  <c r="CB259" i="1"/>
  <c r="CE153" i="1"/>
  <c r="CF48" i="1"/>
  <c r="CB266" i="1"/>
  <c r="BZ181" i="1"/>
  <c r="CD48" i="1"/>
  <c r="CC153" i="1"/>
  <c r="BZ124" i="1"/>
  <c r="CA52" i="1"/>
  <c r="CD259" i="1"/>
  <c r="CD261" i="1"/>
  <c r="CF124" i="1"/>
  <c r="CG52" i="1"/>
  <c r="CH48" i="1"/>
  <c r="CG153" i="1"/>
  <c r="CB124" i="1"/>
  <c r="CC52" i="1"/>
  <c r="CD124" i="1"/>
  <c r="CE52" i="1"/>
  <c r="CF196" i="1"/>
  <c r="CF201" i="1"/>
  <c r="CJ204" i="1" s="1"/>
  <c r="BL201" i="1"/>
  <c r="BL196" i="1"/>
  <c r="CD201" i="1"/>
  <c r="CD196" i="1"/>
  <c r="CB201" i="1"/>
  <c r="CB196" i="1"/>
  <c r="BZ196" i="1"/>
  <c r="BZ201" i="1"/>
  <c r="CG213" i="1"/>
  <c r="BZ44" i="1"/>
  <c r="BZ49" i="1"/>
  <c r="CA265" i="1"/>
  <c r="CA266" i="1" s="1"/>
  <c r="CA46" i="1"/>
  <c r="BZ247" i="1"/>
  <c r="BZ248" i="1" s="1"/>
  <c r="CD45" i="1"/>
  <c r="BZ46" i="1"/>
  <c r="BZ265" i="1"/>
  <c r="CB127" i="1"/>
  <c r="CH213" i="1"/>
  <c r="CD127" i="1"/>
  <c r="CC265" i="1"/>
  <c r="CC266" i="1" s="1"/>
  <c r="CE211" i="1"/>
  <c r="CE213" i="1" s="1"/>
  <c r="CE172" i="1"/>
  <c r="CG199" i="1"/>
  <c r="CG201" i="1"/>
  <c r="CC247" i="1"/>
  <c r="CC248" i="1" s="1"/>
  <c r="CG45" i="1"/>
  <c r="Y75" i="1"/>
  <c r="CC44" i="1"/>
  <c r="CC241" i="1"/>
  <c r="CD265" i="1"/>
  <c r="CD266" i="1" s="1"/>
  <c r="CC127" i="1"/>
  <c r="CD241" i="1"/>
  <c r="CC46" i="1"/>
  <c r="CD46" i="1"/>
  <c r="CC45" i="1"/>
  <c r="CC56" i="1"/>
  <c r="CC55" i="1"/>
  <c r="CF53" i="1"/>
  <c r="CE197" i="1"/>
  <c r="CF211" i="1"/>
  <c r="CF213" i="1" s="1"/>
  <c r="CA55" i="1"/>
  <c r="CA134" i="1"/>
  <c r="CA135" i="1" s="1"/>
  <c r="CD55" i="1"/>
  <c r="CA67" i="1"/>
  <c r="CA249" i="1"/>
  <c r="CA57" i="1"/>
  <c r="CA260" i="1" s="1"/>
  <c r="CD57" i="1"/>
  <c r="CD260" i="1" s="1"/>
  <c r="CF127" i="1"/>
  <c r="CD70" i="1"/>
  <c r="CD63" i="1"/>
  <c r="CD67" i="1" s="1"/>
  <c r="CE46" i="1"/>
  <c r="CE127" i="1"/>
  <c r="CE241" i="1"/>
  <c r="CB55" i="1"/>
  <c r="CB56" i="1"/>
  <c r="CE265" i="1"/>
  <c r="CE266" i="1" s="1"/>
  <c r="CF265" i="1"/>
  <c r="CF266" i="1" s="1"/>
  <c r="CE247" i="1"/>
  <c r="CE248" i="1" s="1"/>
  <c r="Z75" i="1"/>
  <c r="CE45" i="1"/>
  <c r="CH127" i="1"/>
  <c r="CE44" i="1"/>
  <c r="CG127" i="1"/>
  <c r="CE49" i="1"/>
  <c r="CH241" i="1"/>
  <c r="CF46" i="1"/>
  <c r="CI45" i="1"/>
  <c r="CF241" i="1"/>
  <c r="BL56" i="1"/>
  <c r="BL55" i="1"/>
  <c r="BY55" i="1"/>
  <c r="BY56" i="1"/>
  <c r="CV195" i="1"/>
  <c r="AC165" i="1"/>
  <c r="CG266" i="1" l="1"/>
  <c r="CO32" i="1"/>
  <c r="CQ42" i="1"/>
  <c r="CR42" i="1"/>
  <c r="AE61" i="1"/>
  <c r="CI56" i="1"/>
  <c r="CI55" i="1"/>
  <c r="CM55" i="1" s="1"/>
  <c r="CL242" i="1"/>
  <c r="CL67" i="1"/>
  <c r="CL81" i="1"/>
  <c r="CL208" i="1"/>
  <c r="CL210" i="1" s="1"/>
  <c r="CP32" i="1"/>
  <c r="CK63" i="1"/>
  <c r="CK57" i="1"/>
  <c r="CK59" i="1"/>
  <c r="CJ57" i="1"/>
  <c r="CJ260" i="1" s="1"/>
  <c r="CJ249" i="1"/>
  <c r="CJ63" i="1"/>
  <c r="CP194" i="1"/>
  <c r="CH57" i="1"/>
  <c r="CH260" i="1" s="1"/>
  <c r="CH63" i="1"/>
  <c r="CH249" i="1"/>
  <c r="CN264" i="1"/>
  <c r="CN221" i="1"/>
  <c r="CP155" i="1"/>
  <c r="CP217" i="1"/>
  <c r="CF114" i="1"/>
  <c r="CF107" i="1"/>
  <c r="CF122" i="1"/>
  <c r="CF125" i="1" s="1"/>
  <c r="CF128" i="1" s="1"/>
  <c r="CF123" i="1"/>
  <c r="CF126" i="1" s="1"/>
  <c r="CF129" i="1" s="1"/>
  <c r="CN196" i="1"/>
  <c r="CM197" i="1"/>
  <c r="CM201" i="1" s="1"/>
  <c r="CP198" i="1"/>
  <c r="CO200" i="1"/>
  <c r="AD146" i="1"/>
  <c r="AE146" i="1"/>
  <c r="CG56" i="1"/>
  <c r="CG58" i="1" s="1"/>
  <c r="CG55" i="1"/>
  <c r="X56" i="1"/>
  <c r="X55" i="1"/>
  <c r="Y56" i="1"/>
  <c r="Y55" i="1"/>
  <c r="CD78" i="1"/>
  <c r="CE80" i="1"/>
  <c r="CP139" i="1"/>
  <c r="CO143" i="1"/>
  <c r="CH58" i="1"/>
  <c r="Z56" i="1"/>
  <c r="AA58" i="1" s="1"/>
  <c r="Z55" i="1"/>
  <c r="CU199" i="1"/>
  <c r="CA218" i="1"/>
  <c r="CA216" i="1" s="1"/>
  <c r="CB218" i="1"/>
  <c r="CB216" i="1" s="1"/>
  <c r="CE218" i="1"/>
  <c r="CE216" i="1" s="1"/>
  <c r="CF218" i="1"/>
  <c r="CF216" i="1" s="1"/>
  <c r="CH218" i="1"/>
  <c r="CH216" i="1" s="1"/>
  <c r="CG218" i="1"/>
  <c r="CG216" i="1" s="1"/>
  <c r="CV140" i="1"/>
  <c r="CD218" i="1"/>
  <c r="CD216" i="1" s="1"/>
  <c r="CC218" i="1"/>
  <c r="CC216" i="1" s="1"/>
  <c r="CF204" i="1"/>
  <c r="CD204" i="1"/>
  <c r="CH204" i="1"/>
  <c r="BZ53" i="1"/>
  <c r="CB70" i="1"/>
  <c r="CD242" i="1"/>
  <c r="CF56" i="1"/>
  <c r="CF55" i="1"/>
  <c r="CC58" i="1"/>
  <c r="CC249" i="1"/>
  <c r="CC63" i="1"/>
  <c r="CC57" i="1"/>
  <c r="CC260" i="1" s="1"/>
  <c r="CD59" i="1"/>
  <c r="CE196" i="1"/>
  <c r="CE201" i="1"/>
  <c r="CA222" i="1"/>
  <c r="CA220" i="1" s="1"/>
  <c r="CA144" i="1"/>
  <c r="CC59" i="1"/>
  <c r="CD208" i="1"/>
  <c r="CD210" i="1" s="1"/>
  <c r="Y76" i="1"/>
  <c r="CH128" i="1"/>
  <c r="CH129" i="1"/>
  <c r="CF70" i="1"/>
  <c r="CH70" i="1"/>
  <c r="CE53" i="1"/>
  <c r="CB63" i="1"/>
  <c r="CB59" i="1"/>
  <c r="CB249" i="1"/>
  <c r="CB57" i="1"/>
  <c r="CB260" i="1" s="1"/>
  <c r="BL63" i="1"/>
  <c r="BL57" i="1"/>
  <c r="BL260" i="1" s="1"/>
  <c r="CM79" i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BY57" i="1"/>
  <c r="BY260" i="1" s="1"/>
  <c r="BY63" i="1"/>
  <c r="CW195" i="1"/>
  <c r="AE165" i="1"/>
  <c r="AD165" i="1"/>
  <c r="CS42" i="1" l="1"/>
  <c r="CN55" i="1"/>
  <c r="CI57" i="1"/>
  <c r="CI260" i="1" s="1"/>
  <c r="CI249" i="1"/>
  <c r="CI63" i="1"/>
  <c r="CL69" i="1" s="1"/>
  <c r="CJ59" i="1"/>
  <c r="CI59" i="1"/>
  <c r="CO55" i="1"/>
  <c r="CF249" i="1"/>
  <c r="AA76" i="1"/>
  <c r="CQ32" i="1"/>
  <c r="CF117" i="1"/>
  <c r="CF119" i="1"/>
  <c r="CF118" i="1"/>
  <c r="CQ139" i="1"/>
  <c r="CP143" i="1"/>
  <c r="CE114" i="1"/>
  <c r="CE123" i="1"/>
  <c r="CE122" i="1"/>
  <c r="CQ198" i="1"/>
  <c r="CP200" i="1"/>
  <c r="CH81" i="1"/>
  <c r="CH67" i="1"/>
  <c r="CH208" i="1"/>
  <c r="CH210" i="1" s="1"/>
  <c r="CH214" i="1" s="1"/>
  <c r="CH228" i="1" s="1"/>
  <c r="Z63" i="1"/>
  <c r="Z249" i="1"/>
  <c r="Z57" i="1"/>
  <c r="Z260" i="1" s="1"/>
  <c r="CQ155" i="1"/>
  <c r="CQ217" i="1" s="1"/>
  <c r="CJ81" i="1"/>
  <c r="CJ67" i="1"/>
  <c r="CJ208" i="1"/>
  <c r="CJ210" i="1" s="1"/>
  <c r="CC78" i="1"/>
  <c r="CD80" i="1"/>
  <c r="CO196" i="1"/>
  <c r="CN197" i="1"/>
  <c r="CN201" i="1" s="1"/>
  <c r="CF109" i="1"/>
  <c r="CF111" i="1"/>
  <c r="CF110" i="1"/>
  <c r="X249" i="1"/>
  <c r="X57" i="1"/>
  <c r="X260" i="1" s="1"/>
  <c r="Y58" i="1"/>
  <c r="X63" i="1"/>
  <c r="CK58" i="1"/>
  <c r="CG57" i="1"/>
  <c r="CG260" i="1" s="1"/>
  <c r="CH59" i="1"/>
  <c r="CG63" i="1"/>
  <c r="CJ242" i="1"/>
  <c r="CG249" i="1"/>
  <c r="CO264" i="1"/>
  <c r="CO221" i="1"/>
  <c r="Y249" i="1"/>
  <c r="Z58" i="1"/>
  <c r="Y57" i="1"/>
  <c r="Y260" i="1" s="1"/>
  <c r="Y63" i="1"/>
  <c r="CQ194" i="1"/>
  <c r="CK81" i="1"/>
  <c r="CK67" i="1"/>
  <c r="CV199" i="1"/>
  <c r="CW140" i="1"/>
  <c r="CF58" i="1"/>
  <c r="CF57" i="1"/>
  <c r="CF260" i="1" s="1"/>
  <c r="BZ56" i="1"/>
  <c r="BZ55" i="1"/>
  <c r="CJ58" i="1"/>
  <c r="CG59" i="1"/>
  <c r="CI242" i="1"/>
  <c r="CF63" i="1"/>
  <c r="CD69" i="1"/>
  <c r="CC67" i="1"/>
  <c r="CC134" i="1"/>
  <c r="CC135" i="1" s="1"/>
  <c r="CC208" i="1"/>
  <c r="CC210" i="1" s="1"/>
  <c r="CB67" i="1"/>
  <c r="CB208" i="1"/>
  <c r="CB210" i="1" s="1"/>
  <c r="CB222" i="1"/>
  <c r="CB220" i="1" s="1"/>
  <c r="CE56" i="1"/>
  <c r="CE55" i="1"/>
  <c r="BY208" i="1"/>
  <c r="BY210" i="1" s="1"/>
  <c r="BY67" i="1"/>
  <c r="BL208" i="1"/>
  <c r="BL210" i="1" s="1"/>
  <c r="BL67" i="1"/>
  <c r="CX195" i="1"/>
  <c r="AB141" i="1"/>
  <c r="AB151" i="1"/>
  <c r="AB150" i="1"/>
  <c r="AB142" i="1"/>
  <c r="AB137" i="1"/>
  <c r="AB166" i="1"/>
  <c r="AB158" i="1"/>
  <c r="AB133" i="1"/>
  <c r="CT42" i="1" l="1"/>
  <c r="CI134" i="1"/>
  <c r="CI135" i="1" s="1"/>
  <c r="CI81" i="1"/>
  <c r="CI208" i="1"/>
  <c r="CI210" i="1" s="1"/>
  <c r="CI67" i="1"/>
  <c r="CU42" i="1"/>
  <c r="CP55" i="1"/>
  <c r="CV42" i="1"/>
  <c r="CL84" i="1"/>
  <c r="CW42" i="1"/>
  <c r="CX42" i="1"/>
  <c r="CY42" i="1"/>
  <c r="CZ42" i="1"/>
  <c r="CL102" i="1"/>
  <c r="CL100" i="1"/>
  <c r="CL101" i="1"/>
  <c r="CR32" i="1"/>
  <c r="CK84" i="1"/>
  <c r="CK102" i="1" s="1"/>
  <c r="CK101" i="1"/>
  <c r="CR194" i="1"/>
  <c r="Y222" i="1"/>
  <c r="Y220" i="1" s="1"/>
  <c r="Y208" i="1"/>
  <c r="Y210" i="1" s="1"/>
  <c r="Y214" i="1" s="1"/>
  <c r="Y228" i="1" s="1"/>
  <c r="Y67" i="1"/>
  <c r="Y69" i="1"/>
  <c r="CG208" i="1"/>
  <c r="CG210" i="1" s="1"/>
  <c r="CG214" i="1" s="1"/>
  <c r="CG228" i="1" s="1"/>
  <c r="CG67" i="1"/>
  <c r="CG81" i="1"/>
  <c r="CJ84" i="1" s="1"/>
  <c r="CJ69" i="1"/>
  <c r="CG134" i="1"/>
  <c r="CG135" i="1" s="1"/>
  <c r="CP196" i="1"/>
  <c r="CO197" i="1"/>
  <c r="CO201" i="1" s="1"/>
  <c r="CP264" i="1"/>
  <c r="CP221" i="1"/>
  <c r="Z69" i="1"/>
  <c r="Z67" i="1"/>
  <c r="Z208" i="1"/>
  <c r="Z210" i="1" s="1"/>
  <c r="Z214" i="1" s="1"/>
  <c r="Z228" i="1" s="1"/>
  <c r="Z222" i="1"/>
  <c r="Z220" i="1" s="1"/>
  <c r="CR139" i="1"/>
  <c r="CQ143" i="1"/>
  <c r="CB78" i="1"/>
  <c r="CC80" i="1"/>
  <c r="CC107" i="1" s="1"/>
  <c r="CR198" i="1"/>
  <c r="CQ200" i="1"/>
  <c r="CI107" i="1"/>
  <c r="CI222" i="1"/>
  <c r="CI220" i="1" s="1"/>
  <c r="CI144" i="1"/>
  <c r="CI70" i="1" s="1"/>
  <c r="CR155" i="1"/>
  <c r="CS155" i="1" s="1"/>
  <c r="CD114" i="1"/>
  <c r="CD107" i="1"/>
  <c r="CD123" i="1"/>
  <c r="CD126" i="1" s="1"/>
  <c r="CD129" i="1" s="1"/>
  <c r="CD122" i="1"/>
  <c r="CD125" i="1" s="1"/>
  <c r="CD128" i="1" s="1"/>
  <c r="CD81" i="1"/>
  <c r="CE117" i="1"/>
  <c r="CE119" i="1"/>
  <c r="CE118" i="1"/>
  <c r="X208" i="1"/>
  <c r="X210" i="1" s="1"/>
  <c r="X67" i="1"/>
  <c r="X69" i="1"/>
  <c r="CJ222" i="1"/>
  <c r="CJ220" i="1" s="1"/>
  <c r="CW199" i="1"/>
  <c r="CX140" i="1"/>
  <c r="BZ57" i="1"/>
  <c r="BZ260" i="1" s="1"/>
  <c r="BZ59" i="1"/>
  <c r="CC242" i="1"/>
  <c r="BZ63" i="1"/>
  <c r="CC69" i="1" s="1"/>
  <c r="BZ249" i="1"/>
  <c r="CD58" i="1"/>
  <c r="CA59" i="1"/>
  <c r="CF208" i="1"/>
  <c r="CF210" i="1" s="1"/>
  <c r="CF214" i="1" s="1"/>
  <c r="CF228" i="1" s="1"/>
  <c r="CF67" i="1"/>
  <c r="CF81" i="1"/>
  <c r="CI69" i="1"/>
  <c r="CC144" i="1"/>
  <c r="CC70" i="1" s="1"/>
  <c r="CC222" i="1"/>
  <c r="CC220" i="1" s="1"/>
  <c r="CD222" i="1"/>
  <c r="CD220" i="1" s="1"/>
  <c r="CG242" i="1"/>
  <c r="CI58" i="1"/>
  <c r="CH242" i="1"/>
  <c r="CE59" i="1"/>
  <c r="CE57" i="1"/>
  <c r="CE260" i="1" s="1"/>
  <c r="CE58" i="1"/>
  <c r="CF59" i="1"/>
  <c r="CE63" i="1"/>
  <c r="CF242" i="1"/>
  <c r="CE242" i="1"/>
  <c r="Z76" i="1"/>
  <c r="CE249" i="1"/>
  <c r="CY195" i="1"/>
  <c r="AC151" i="1"/>
  <c r="AC141" i="1"/>
  <c r="AB179" i="1"/>
  <c r="AC137" i="1"/>
  <c r="AC166" i="1"/>
  <c r="AB162" i="1"/>
  <c r="AB169" i="1"/>
  <c r="AC158" i="1"/>
  <c r="AC142" i="1"/>
  <c r="AB170" i="1"/>
  <c r="AC133" i="1"/>
  <c r="AC150" i="1"/>
  <c r="CK100" i="1" l="1"/>
  <c r="CQ55" i="1"/>
  <c r="CR55" i="1"/>
  <c r="CR217" i="1"/>
  <c r="DA42" i="1"/>
  <c r="DB42" i="1"/>
  <c r="Z225" i="1"/>
  <c r="Z226" i="1" s="1"/>
  <c r="CI84" i="1"/>
  <c r="CS32" i="1"/>
  <c r="CQ264" i="1"/>
  <c r="CQ221" i="1"/>
  <c r="CD109" i="1"/>
  <c r="CD111" i="1"/>
  <c r="CD110" i="1"/>
  <c r="CI109" i="1"/>
  <c r="CI110" i="1"/>
  <c r="CI111" i="1"/>
  <c r="CS139" i="1"/>
  <c r="CR143" i="1"/>
  <c r="CS194" i="1"/>
  <c r="CJ101" i="1"/>
  <c r="CJ102" i="1"/>
  <c r="CJ100" i="1"/>
  <c r="Y225" i="1"/>
  <c r="Y226" i="1" s="1"/>
  <c r="CS198" i="1"/>
  <c r="CR200" i="1"/>
  <c r="CQ196" i="1"/>
  <c r="CP197" i="1"/>
  <c r="CP201" i="1" s="1"/>
  <c r="CD117" i="1"/>
  <c r="CD118" i="1"/>
  <c r="CD119" i="1"/>
  <c r="CS217" i="1"/>
  <c r="CT155" i="1"/>
  <c r="CC114" i="1"/>
  <c r="CC81" i="1"/>
  <c r="CG107" i="1"/>
  <c r="CG144" i="1"/>
  <c r="CG70" i="1" s="1"/>
  <c r="CG222" i="1"/>
  <c r="CG220" i="1" s="1"/>
  <c r="CG225" i="1" s="1"/>
  <c r="CG175" i="1" s="1"/>
  <c r="CG176" i="1" s="1"/>
  <c r="CH222" i="1"/>
  <c r="CH220" i="1" s="1"/>
  <c r="CA78" i="1"/>
  <c r="CB80" i="1"/>
  <c r="CX199" i="1"/>
  <c r="CY140" i="1"/>
  <c r="CB69" i="1"/>
  <c r="BZ67" i="1"/>
  <c r="BZ208" i="1"/>
  <c r="BZ210" i="1" s="1"/>
  <c r="CE67" i="1"/>
  <c r="CE134" i="1"/>
  <c r="CE135" i="1" s="1"/>
  <c r="CE69" i="1" s="1"/>
  <c r="CE208" i="1"/>
  <c r="CE210" i="1" s="1"/>
  <c r="CE214" i="1" s="1"/>
  <c r="CE228" i="1" s="1"/>
  <c r="CE81" i="1"/>
  <c r="CF69" i="1"/>
  <c r="CG69" i="1"/>
  <c r="CH69" i="1"/>
  <c r="CZ195" i="1"/>
  <c r="AE151" i="1"/>
  <c r="AD151" i="1"/>
  <c r="AE141" i="1"/>
  <c r="AD141" i="1"/>
  <c r="AC179" i="1"/>
  <c r="AE166" i="1"/>
  <c r="AD166" i="1"/>
  <c r="AE158" i="1"/>
  <c r="AD158" i="1"/>
  <c r="AD133" i="1"/>
  <c r="AE133" i="1"/>
  <c r="AC169" i="1"/>
  <c r="AE142" i="1"/>
  <c r="AD142" i="1"/>
  <c r="AE150" i="1"/>
  <c r="AD150" i="1"/>
  <c r="AC170" i="1"/>
  <c r="AC162" i="1"/>
  <c r="AE137" i="1"/>
  <c r="AD137" i="1"/>
  <c r="CS55" i="1" l="1"/>
  <c r="CT55" i="1"/>
  <c r="CU55" i="1"/>
  <c r="CI100" i="1"/>
  <c r="CI101" i="1"/>
  <c r="CI102" i="1"/>
  <c r="CL105" i="1"/>
  <c r="CT32" i="1"/>
  <c r="CR264" i="1"/>
  <c r="CR221" i="1"/>
  <c r="CT139" i="1"/>
  <c r="CS143" i="1"/>
  <c r="CG226" i="1"/>
  <c r="CG180" i="1"/>
  <c r="CG181" i="1" s="1"/>
  <c r="CG263" i="1"/>
  <c r="CG259" i="1"/>
  <c r="CG261" i="1"/>
  <c r="CH224" i="1"/>
  <c r="CH225" i="1" s="1"/>
  <c r="CH226" i="1" s="1"/>
  <c r="CG183" i="1"/>
  <c r="CT194" i="1"/>
  <c r="CB114" i="1"/>
  <c r="CB107" i="1"/>
  <c r="CB81" i="1"/>
  <c r="CE84" i="1" s="1"/>
  <c r="BZ78" i="1"/>
  <c r="CA80" i="1"/>
  <c r="CR196" i="1"/>
  <c r="CQ197" i="1"/>
  <c r="CQ201" i="1" s="1"/>
  <c r="CT198" i="1"/>
  <c r="CS200" i="1"/>
  <c r="CG110" i="1"/>
  <c r="CG111" i="1"/>
  <c r="CG109" i="1"/>
  <c r="CT217" i="1"/>
  <c r="CU155" i="1"/>
  <c r="CY199" i="1"/>
  <c r="CZ140" i="1"/>
  <c r="CF84" i="1"/>
  <c r="CH84" i="1"/>
  <c r="CL85" i="1" s="1"/>
  <c r="CG84" i="1"/>
  <c r="CK85" i="1" s="1"/>
  <c r="CE107" i="1"/>
  <c r="CF222" i="1"/>
  <c r="CF220" i="1" s="1"/>
  <c r="CE144" i="1"/>
  <c r="CE70" i="1" s="1"/>
  <c r="CE222" i="1"/>
  <c r="CE220" i="1" s="1"/>
  <c r="CE225" i="1" s="1"/>
  <c r="CE175" i="1" s="1"/>
  <c r="CE176" i="1" s="1"/>
  <c r="CE180" i="1" s="1"/>
  <c r="DA195" i="1"/>
  <c r="AE179" i="1"/>
  <c r="AD179" i="1"/>
  <c r="AE169" i="1"/>
  <c r="AD169" i="1"/>
  <c r="AE170" i="1"/>
  <c r="AD170" i="1"/>
  <c r="AE162" i="1"/>
  <c r="AD162" i="1"/>
  <c r="BY246" i="1"/>
  <c r="CV55" i="1" l="1"/>
  <c r="CW55" i="1"/>
  <c r="CX55" i="1"/>
  <c r="CU217" i="1"/>
  <c r="CU32" i="1"/>
  <c r="CV32" i="1"/>
  <c r="CS264" i="1"/>
  <c r="CS221" i="1"/>
  <c r="CU198" i="1"/>
  <c r="CT200" i="1"/>
  <c r="CV155" i="1"/>
  <c r="CU139" i="1"/>
  <c r="CT143" i="1"/>
  <c r="CU194" i="1"/>
  <c r="CG124" i="1"/>
  <c r="CH52" i="1"/>
  <c r="BY78" i="1"/>
  <c r="BZ80" i="1"/>
  <c r="CS196" i="1"/>
  <c r="CR197" i="1"/>
  <c r="CR201" i="1" s="1"/>
  <c r="CA81" i="1"/>
  <c r="CD84" i="1" s="1"/>
  <c r="CH85" i="1" s="1"/>
  <c r="CA107" i="1"/>
  <c r="CZ199" i="1"/>
  <c r="DA140" i="1"/>
  <c r="CE109" i="1"/>
  <c r="CE110" i="1"/>
  <c r="CE111" i="1"/>
  <c r="CE259" i="1"/>
  <c r="CE100" i="1"/>
  <c r="CE101" i="1"/>
  <c r="CI85" i="1"/>
  <c r="CE102" i="1"/>
  <c r="CE263" i="1"/>
  <c r="CG100" i="1"/>
  <c r="CG102" i="1"/>
  <c r="CG101" i="1"/>
  <c r="CE183" i="1"/>
  <c r="CE124" i="1" s="1"/>
  <c r="CE126" i="1" s="1"/>
  <c r="CE129" i="1" s="1"/>
  <c r="CF224" i="1"/>
  <c r="CF225" i="1" s="1"/>
  <c r="CF226" i="1" s="1"/>
  <c r="CE261" i="1"/>
  <c r="CH101" i="1"/>
  <c r="CK105" i="1" s="1"/>
  <c r="CH100" i="1"/>
  <c r="CH102" i="1"/>
  <c r="CE226" i="1"/>
  <c r="CJ85" i="1"/>
  <c r="CF102" i="1"/>
  <c r="CF100" i="1"/>
  <c r="CF101" i="1"/>
  <c r="DB195" i="1"/>
  <c r="CE181" i="1"/>
  <c r="AB35" i="1"/>
  <c r="CY55" i="1" l="1"/>
  <c r="CZ55" i="1"/>
  <c r="DA55" i="1"/>
  <c r="CV217" i="1"/>
  <c r="CW32" i="1"/>
  <c r="CX32" i="1"/>
  <c r="CT264" i="1"/>
  <c r="CT221" i="1"/>
  <c r="CV194" i="1"/>
  <c r="CV139" i="1"/>
  <c r="CU143" i="1"/>
  <c r="CG125" i="1"/>
  <c r="CG128" i="1" s="1"/>
  <c r="CG126" i="1"/>
  <c r="CG129" i="1" s="1"/>
  <c r="CD101" i="1"/>
  <c r="CG105" i="1" s="1"/>
  <c r="CD100" i="1"/>
  <c r="CD102" i="1"/>
  <c r="CT196" i="1"/>
  <c r="CS197" i="1"/>
  <c r="CS201" i="1" s="1"/>
  <c r="BZ107" i="1"/>
  <c r="BZ81" i="1"/>
  <c r="CC84" i="1" s="1"/>
  <c r="CG85" i="1" s="1"/>
  <c r="CW155" i="1"/>
  <c r="CV198" i="1"/>
  <c r="CU200" i="1"/>
  <c r="BX78" i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Y80" i="1"/>
  <c r="BY81" i="1" s="1"/>
  <c r="DA199" i="1"/>
  <c r="DB140" i="1"/>
  <c r="CJ105" i="1"/>
  <c r="CH105" i="1"/>
  <c r="CF52" i="1"/>
  <c r="CI105" i="1"/>
  <c r="CE125" i="1"/>
  <c r="CE128" i="1" s="1"/>
  <c r="AC35" i="1"/>
  <c r="BY247" i="1"/>
  <c r="BY248" i="1" s="1"/>
  <c r="DB55" i="1" l="1"/>
  <c r="CW217" i="1"/>
  <c r="CY32" i="1"/>
  <c r="CB84" i="1"/>
  <c r="CF85" i="1" s="1"/>
  <c r="CW198" i="1"/>
  <c r="CV200" i="1"/>
  <c r="CU196" i="1"/>
  <c r="CT197" i="1"/>
  <c r="CT201" i="1" s="1"/>
  <c r="CX155" i="1"/>
  <c r="CY155" i="1" s="1"/>
  <c r="CX217" i="1"/>
  <c r="BK78" i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BL80" i="1"/>
  <c r="CU264" i="1"/>
  <c r="CU221" i="1"/>
  <c r="CW139" i="1"/>
  <c r="CV143" i="1"/>
  <c r="CW194" i="1"/>
  <c r="DB199" i="1"/>
  <c r="AD35" i="1"/>
  <c r="BY249" i="1"/>
  <c r="CZ32" i="1" l="1"/>
  <c r="DA32" i="1"/>
  <c r="DB32" i="1" s="1"/>
  <c r="CX139" i="1"/>
  <c r="CW143" i="1"/>
  <c r="BL107" i="1"/>
  <c r="BL81" i="1"/>
  <c r="CX194" i="1"/>
  <c r="AK78" i="1"/>
  <c r="AJ78" i="1" s="1"/>
  <c r="AI78" i="1" s="1"/>
  <c r="AL80" i="1"/>
  <c r="CY217" i="1"/>
  <c r="CZ155" i="1"/>
  <c r="CV196" i="1"/>
  <c r="CU197" i="1"/>
  <c r="CU201" i="1" s="1"/>
  <c r="CX198" i="1"/>
  <c r="CW200" i="1"/>
  <c r="CV264" i="1"/>
  <c r="CV221" i="1"/>
  <c r="AE35" i="1"/>
  <c r="CZ217" i="1" l="1"/>
  <c r="DA155" i="1"/>
  <c r="CY194" i="1"/>
  <c r="CW264" i="1"/>
  <c r="CW221" i="1"/>
  <c r="CW196" i="1"/>
  <c r="CV197" i="1"/>
  <c r="CV201" i="1" s="1"/>
  <c r="CY198" i="1"/>
  <c r="CX200" i="1"/>
  <c r="CY139" i="1"/>
  <c r="CX143" i="1"/>
  <c r="BI80" i="1"/>
  <c r="AT80" i="1"/>
  <c r="BT80" i="1"/>
  <c r="AV80" i="1"/>
  <c r="AX80" i="1"/>
  <c r="AR80" i="1"/>
  <c r="DB155" i="1" l="1"/>
  <c r="DB217" i="1" s="1"/>
  <c r="DA217" i="1"/>
  <c r="CX196" i="1"/>
  <c r="CW197" i="1"/>
  <c r="CW201" i="1" s="1"/>
  <c r="CZ139" i="1"/>
  <c r="CY143" i="1"/>
  <c r="CZ198" i="1"/>
  <c r="CY200" i="1"/>
  <c r="CZ194" i="1"/>
  <c r="CX264" i="1"/>
  <c r="CX221" i="1"/>
  <c r="AO80" i="1"/>
  <c r="BK80" i="1"/>
  <c r="AN80" i="1"/>
  <c r="AW80" i="1"/>
  <c r="BB80" i="1"/>
  <c r="BM80" i="1"/>
  <c r="BQ80" i="1"/>
  <c r="AJ80" i="1"/>
  <c r="BS80" i="1"/>
  <c r="BR80" i="1"/>
  <c r="BO80" i="1"/>
  <c r="AM80" i="1"/>
  <c r="AI80" i="1"/>
  <c r="AP80" i="1"/>
  <c r="AZ80" i="1"/>
  <c r="AS80" i="1"/>
  <c r="BN80" i="1"/>
  <c r="BU80" i="1"/>
  <c r="BA80" i="1"/>
  <c r="BC80" i="1"/>
  <c r="AU80" i="1"/>
  <c r="BW80" i="1"/>
  <c r="BP80" i="1"/>
  <c r="BJ80" i="1"/>
  <c r="BH80" i="1"/>
  <c r="BX80" i="1"/>
  <c r="BG80" i="1"/>
  <c r="AQ80" i="1"/>
  <c r="AY80" i="1"/>
  <c r="AK80" i="1"/>
  <c r="BE80" i="1"/>
  <c r="BD80" i="1"/>
  <c r="BV80" i="1"/>
  <c r="BF80" i="1"/>
  <c r="DA194" i="1" l="1"/>
  <c r="DA198" i="1"/>
  <c r="CZ200" i="1"/>
  <c r="CY264" i="1"/>
  <c r="CY221" i="1"/>
  <c r="DA139" i="1"/>
  <c r="CZ143" i="1"/>
  <c r="CY196" i="1"/>
  <c r="CX197" i="1"/>
  <c r="CX201" i="1" s="1"/>
  <c r="BL246" i="1"/>
  <c r="CZ221" i="1" l="1"/>
  <c r="CZ264" i="1"/>
  <c r="CZ196" i="1"/>
  <c r="CY197" i="1"/>
  <c r="CY201" i="1" s="1"/>
  <c r="DB139" i="1"/>
  <c r="DB143" i="1" s="1"/>
  <c r="DA143" i="1"/>
  <c r="DB198" i="1"/>
  <c r="DB200" i="1" s="1"/>
  <c r="DA200" i="1"/>
  <c r="DB194" i="1"/>
  <c r="CM92" i="1"/>
  <c r="AB155" i="1"/>
  <c r="DA264" i="1" l="1"/>
  <c r="DA221" i="1"/>
  <c r="DB264" i="1"/>
  <c r="DB221" i="1"/>
  <c r="DA196" i="1"/>
  <c r="CZ197" i="1"/>
  <c r="CZ201" i="1" s="1"/>
  <c r="CN92" i="1"/>
  <c r="AB217" i="1"/>
  <c r="DB196" i="1" l="1"/>
  <c r="DB197" i="1" s="1"/>
  <c r="DB201" i="1" s="1"/>
  <c r="DA197" i="1"/>
  <c r="DA201" i="1" s="1"/>
  <c r="CO92" i="1"/>
  <c r="CM78" i="1"/>
  <c r="CP92" i="1" l="1"/>
  <c r="CN78" i="1"/>
  <c r="CM80" i="1"/>
  <c r="D6" i="2"/>
  <c r="Q11" i="2"/>
  <c r="K31" i="2"/>
  <c r="Q15" i="2"/>
  <c r="E16" i="2"/>
  <c r="E40" i="3"/>
  <c r="D42" i="3"/>
  <c r="F21" i="2"/>
  <c r="M33" i="2"/>
  <c r="O5" i="2"/>
  <c r="J35" i="2"/>
  <c r="I6" i="2"/>
  <c r="F36" i="3"/>
  <c r="E36" i="3"/>
  <c r="CC11" i="4" a="1"/>
  <c r="AP9" i="4" a="1"/>
  <c r="DX13" i="4" a="1"/>
  <c r="V32" i="2"/>
  <c r="X13" i="2"/>
  <c r="M25" i="2"/>
  <c r="W26" i="2"/>
  <c r="L25" i="2"/>
  <c r="G12" i="2"/>
  <c r="D17" i="3"/>
  <c r="E45" i="3"/>
  <c r="DM6" i="4" a="1"/>
  <c r="P7" i="4" a="1"/>
  <c r="W36" i="2"/>
  <c r="K12" i="2"/>
  <c r="F11" i="2"/>
  <c r="Q10" i="2"/>
  <c r="AR56" i="3"/>
  <c r="F15" i="2"/>
  <c r="T45" i="3"/>
  <c r="D14" i="3"/>
  <c r="BZ15" i="4" a="1"/>
  <c r="DI8" i="4" a="1"/>
  <c r="X41" i="2"/>
  <c r="K29" i="2"/>
  <c r="E29" i="2"/>
  <c r="C35" i="2"/>
  <c r="AR68" i="3"/>
  <c r="AR96" i="3"/>
  <c r="F31" i="3"/>
  <c r="R16" i="4" a="1"/>
  <c r="C9" i="4" a="1"/>
  <c r="CU6" i="4" a="1"/>
  <c r="DA8" i="4" a="1"/>
  <c r="U23" i="2"/>
  <c r="Q12" i="2"/>
  <c r="W29" i="2"/>
  <c r="D13" i="2"/>
  <c r="AR48" i="3"/>
  <c r="AD17" i="3"/>
  <c r="F9" i="3"/>
  <c r="CF16" i="4" a="1"/>
  <c r="M16" i="2"/>
  <c r="P15" i="2"/>
  <c r="N17" i="2"/>
  <c r="V13" i="2"/>
  <c r="F23" i="2"/>
  <c r="S15" i="2"/>
  <c r="R7" i="2"/>
  <c r="N46" i="3"/>
  <c r="CQ14" i="4" a="1"/>
  <c r="DF13" i="4" a="1"/>
  <c r="DP7" i="4" a="1"/>
  <c r="D8" i="2"/>
  <c r="O34" i="2"/>
  <c r="H45" i="3"/>
  <c r="DO14" i="4" a="1"/>
  <c r="BH12" i="4" a="1"/>
  <c r="BB6" i="4" a="1"/>
  <c r="BS14" i="4" a="1"/>
  <c r="EE6" i="4" a="1"/>
  <c r="O22" i="2"/>
  <c r="F8" i="2"/>
  <c r="F34" i="3"/>
  <c r="CX14" i="4" a="1"/>
  <c r="DP11" i="4" a="1"/>
  <c r="CJ13" i="4" a="1"/>
  <c r="DN15" i="4" a="1"/>
  <c r="AX14" i="4" a="1"/>
  <c r="I16" i="2"/>
  <c r="M36" i="2"/>
  <c r="S46" i="3"/>
  <c r="AX8" i="4" a="1"/>
  <c r="V12" i="4" a="1"/>
  <c r="EG6" i="4" a="1"/>
  <c r="F15" i="4" a="1"/>
  <c r="BC13" i="4" a="1"/>
  <c r="DJ9" i="4" a="1"/>
  <c r="S7" i="4" a="1"/>
  <c r="DQ12" i="4" a="1"/>
  <c r="S17" i="2"/>
  <c r="R36" i="2"/>
  <c r="V45" i="3"/>
  <c r="BI13" i="4" a="1"/>
  <c r="X5" i="4" a="1"/>
  <c r="AU7" i="4" a="1"/>
  <c r="AJ13" i="4" a="1"/>
  <c r="CL11" i="4" a="1"/>
  <c r="W21" i="2"/>
  <c r="E28" i="2"/>
  <c r="AR34" i="3"/>
  <c r="DV16" i="4" a="1"/>
  <c r="BT13" i="4" a="1"/>
  <c r="DR12" i="4" a="1"/>
  <c r="AW7" i="4" a="1"/>
  <c r="CH13" i="4" a="1"/>
  <c r="AU12" i="4" a="1"/>
  <c r="DT14" i="4" a="1"/>
  <c r="BR8" i="4" a="1"/>
  <c r="D28" i="2"/>
  <c r="J5" i="2"/>
  <c r="M18" i="2"/>
  <c r="R33" i="2"/>
  <c r="I22" i="2"/>
  <c r="X46" i="3"/>
  <c r="CX7" i="4" a="1"/>
  <c r="DO12" i="4" a="1"/>
  <c r="CC16" i="4" a="1"/>
  <c r="M28" i="2"/>
  <c r="EG12" i="4" a="1"/>
  <c r="CK6" i="4" a="1"/>
  <c r="CQ5" i="4" a="1"/>
  <c r="BG6" i="4" a="1"/>
  <c r="EC16" i="4" a="1"/>
  <c r="BQ14" i="4" a="1"/>
  <c r="S6" i="4" a="1"/>
  <c r="DA5" i="4" a="1"/>
  <c r="E8" i="2"/>
  <c r="CN11" i="4" a="1"/>
  <c r="CT5" i="4" a="1"/>
  <c r="U8" i="4" a="1"/>
  <c r="U15" i="4" a="1"/>
  <c r="DK15" i="4" a="1"/>
  <c r="S16" i="4" a="1"/>
  <c r="AV13" i="4" a="1"/>
  <c r="CY9" i="4" a="1"/>
  <c r="BS8" i="4" a="1"/>
  <c r="CE7" i="4" a="1"/>
  <c r="G45" i="3"/>
  <c r="BY15" i="4" a="1"/>
  <c r="F7" i="4" a="1"/>
  <c r="AE9" i="4" a="1"/>
  <c r="CG9" i="4" a="1"/>
  <c r="CY5" i="4" a="1"/>
  <c r="BI8" i="4" a="1"/>
  <c r="BJ15" i="4" a="1"/>
  <c r="W31" i="2"/>
  <c r="AK9" i="4" a="1"/>
  <c r="CL16" i="4" a="1"/>
  <c r="G6" i="4" a="1"/>
  <c r="ED15" i="4" a="1"/>
  <c r="CN12" i="4" a="1"/>
  <c r="G23" i="2"/>
  <c r="Y46" i="3"/>
  <c r="AE12" i="4" a="1"/>
  <c r="BO15" i="4" a="1"/>
  <c r="F6" i="4" a="1"/>
  <c r="CZ11" i="4" a="1"/>
  <c r="CU7" i="4" a="1"/>
  <c r="BU15" i="4" a="1"/>
  <c r="H12" i="2"/>
  <c r="T33" i="2"/>
  <c r="X5" i="2"/>
  <c r="W28" i="2"/>
  <c r="V30" i="2"/>
  <c r="F10" i="3"/>
  <c r="H46" i="3"/>
  <c r="J13" i="2"/>
  <c r="C19" i="2"/>
  <c r="P19" i="2"/>
  <c r="P31" i="2"/>
  <c r="AR74" i="3"/>
  <c r="D36" i="3"/>
  <c r="AD9" i="3"/>
  <c r="BV14" i="4" a="1"/>
  <c r="EE14" i="4" a="1"/>
  <c r="EF13" i="4" a="1"/>
  <c r="Q22" i="2"/>
  <c r="M19" i="2"/>
  <c r="W8" i="2"/>
  <c r="X18" i="2"/>
  <c r="M23" i="2"/>
  <c r="C33" i="2"/>
  <c r="E6" i="3"/>
  <c r="AD6" i="3"/>
  <c r="BT7" i="4" a="1"/>
  <c r="CJ5" i="4" a="1"/>
  <c r="N5" i="2"/>
  <c r="L10" i="2"/>
  <c r="J6" i="2"/>
  <c r="M29" i="2"/>
  <c r="AR88" i="3"/>
  <c r="J30" i="2"/>
  <c r="AR17" i="3"/>
  <c r="AK45" i="3"/>
  <c r="I14" i="4" a="1"/>
  <c r="CZ15" i="4" a="1"/>
  <c r="D9" i="2"/>
  <c r="E14" i="2"/>
  <c r="J12" i="2"/>
  <c r="J28" i="2"/>
  <c r="U24" i="2"/>
  <c r="AF48" i="3"/>
  <c r="Q45" i="3"/>
  <c r="X13" i="4" a="1"/>
  <c r="DP9" i="4" a="1"/>
  <c r="AG9" i="4" a="1"/>
  <c r="BG11" i="4" a="1"/>
  <c r="I28" i="2"/>
  <c r="I15" i="2"/>
  <c r="P33" i="2"/>
  <c r="W14" i="2"/>
  <c r="AR83" i="3"/>
  <c r="G31" i="3"/>
  <c r="AR31" i="3"/>
  <c r="Z15" i="4" a="1"/>
  <c r="U21" i="2"/>
  <c r="U35" i="2"/>
  <c r="S22" i="2"/>
  <c r="F36" i="2"/>
  <c r="Q18" i="2"/>
  <c r="K16" i="2"/>
  <c r="N8" i="2"/>
  <c r="E12" i="3"/>
  <c r="T16" i="4" a="1"/>
  <c r="T8" i="4" a="1"/>
  <c r="AV8" i="4" a="1"/>
  <c r="I8" i="2"/>
  <c r="V9" i="2"/>
  <c r="AR36" i="3"/>
  <c r="BK8" i="4" a="1"/>
  <c r="P14" i="4" a="1"/>
  <c r="CT12" i="4" a="1"/>
  <c r="N12" i="4" a="1"/>
  <c r="F13" i="2"/>
  <c r="N19" i="2"/>
  <c r="AR87" i="3"/>
  <c r="AO6" i="3"/>
  <c r="EI14" i="4" a="1"/>
  <c r="AH5" i="4" a="1"/>
  <c r="L6" i="4" a="1"/>
  <c r="AX15" i="4" a="1"/>
  <c r="AE11" i="4" a="1"/>
  <c r="K13" i="2"/>
  <c r="G11" i="2"/>
  <c r="E41" i="3"/>
  <c r="AK11" i="4" a="1"/>
  <c r="CV6" i="4" a="1"/>
  <c r="DZ6" i="4" a="1"/>
  <c r="AZ12" i="4" a="1"/>
  <c r="U6" i="4" a="1"/>
  <c r="X14" i="4" a="1"/>
  <c r="BD9" i="4" a="1"/>
  <c r="CT16" i="4" a="1"/>
  <c r="N33" i="2"/>
  <c r="T8" i="2"/>
  <c r="K46" i="3"/>
  <c r="DL14" i="4" a="1"/>
  <c r="AD5" i="4" a="1"/>
  <c r="DW15" i="4" a="1"/>
  <c r="CB14" i="4" a="1"/>
  <c r="AI15" i="4" a="1"/>
  <c r="U30" i="2"/>
  <c r="P32" i="2"/>
  <c r="G36" i="2"/>
  <c r="I12" i="2"/>
  <c r="I5" i="2"/>
  <c r="P29" i="2"/>
  <c r="S14" i="2"/>
  <c r="E11" i="3"/>
  <c r="AN46" i="3"/>
  <c r="Q35" i="2"/>
  <c r="C27" i="2"/>
  <c r="M35" i="2"/>
  <c r="S21" i="2"/>
  <c r="AR58" i="3"/>
  <c r="C45" i="3"/>
  <c r="E16" i="3"/>
  <c r="CT11" i="4" a="1"/>
  <c r="Q14" i="4" a="1"/>
  <c r="DZ12" i="4" a="1"/>
  <c r="S32" i="2"/>
  <c r="C24" i="2"/>
  <c r="R28" i="2"/>
  <c r="F12" i="2"/>
  <c r="AR64" i="3"/>
  <c r="V27" i="2"/>
  <c r="E22" i="3"/>
  <c r="AM45" i="3"/>
  <c r="BS6" i="4" a="1"/>
  <c r="I11" i="4" a="1"/>
  <c r="I27" i="2"/>
  <c r="R18" i="2"/>
  <c r="R24" i="2"/>
  <c r="U10" i="2"/>
  <c r="AR72" i="3"/>
  <c r="AR77" i="3"/>
  <c r="F13" i="3"/>
  <c r="N9" i="4" a="1"/>
  <c r="AB13" i="4" a="1"/>
  <c r="CV12" i="4" a="1"/>
  <c r="O16" i="2"/>
  <c r="S26" i="2"/>
  <c r="O28" i="2"/>
  <c r="C25" i="2"/>
  <c r="K22" i="2"/>
  <c r="F32" i="3"/>
  <c r="AL45" i="3"/>
  <c r="DL9" i="4" a="1"/>
  <c r="BB13" i="4" a="1"/>
  <c r="J7" i="4" a="1"/>
  <c r="W12" i="4" a="1"/>
  <c r="N18" i="2"/>
  <c r="H13" i="2"/>
  <c r="T13" i="2"/>
  <c r="Q32" i="2"/>
  <c r="P12" i="2"/>
  <c r="E18" i="3"/>
  <c r="F30" i="3"/>
  <c r="BU12" i="4" a="1"/>
  <c r="U15" i="2"/>
  <c r="H22" i="2"/>
  <c r="D35" i="2"/>
  <c r="U16" i="2"/>
  <c r="G17" i="2"/>
  <c r="X20" i="2"/>
  <c r="N20" i="2"/>
  <c r="AR29" i="3"/>
  <c r="BN16" i="4" a="1"/>
  <c r="EE12" i="4" a="1"/>
  <c r="CL12" i="4" a="1"/>
  <c r="P22" i="2"/>
  <c r="E23" i="2"/>
  <c r="E20" i="3"/>
  <c r="BJ12" i="4" a="1"/>
  <c r="DE15" i="4" a="1"/>
  <c r="D7" i="4" a="1"/>
  <c r="BV11" i="4" a="1"/>
  <c r="T5" i="2"/>
  <c r="P6" i="2"/>
  <c r="S10" i="2"/>
  <c r="G19" i="3"/>
  <c r="AK14" i="4" a="1"/>
  <c r="DF11" i="4" a="1"/>
  <c r="U12" i="4" a="1"/>
  <c r="D12" i="4" a="1"/>
  <c r="AC9" i="4" a="1"/>
  <c r="T15" i="2"/>
  <c r="U5" i="2"/>
  <c r="E32" i="3"/>
  <c r="BX9" i="4" a="1"/>
  <c r="DE12" i="4" a="1"/>
  <c r="DF16" i="4" a="1"/>
  <c r="EA7" i="4" a="1"/>
  <c r="R8" i="4" a="1"/>
  <c r="DO15" i="4" a="1"/>
  <c r="EA11" i="4" a="1"/>
  <c r="AU9" i="4" a="1"/>
  <c r="N14" i="2"/>
  <c r="W70" i="2"/>
  <c r="AQ45" i="3"/>
  <c r="C15" i="4" a="1"/>
  <c r="BF12" i="4" a="1"/>
  <c r="I5" i="4" a="1"/>
  <c r="W6" i="4" a="1"/>
  <c r="DS13" i="4" a="1"/>
  <c r="J26" i="2"/>
  <c r="J20" i="2"/>
  <c r="F25" i="3"/>
  <c r="AJ12" i="4" a="1"/>
  <c r="BH6" i="4" a="1"/>
  <c r="L5" i="4" a="1"/>
  <c r="AO14" i="4" a="1"/>
  <c r="CA6" i="4" a="1"/>
  <c r="CO14" i="4" a="1"/>
  <c r="CX5" i="4" a="1"/>
  <c r="M15" i="4" a="1"/>
  <c r="S20" i="2"/>
  <c r="C23" i="2"/>
  <c r="O19" i="2"/>
  <c r="I9" i="2"/>
  <c r="M7" i="2"/>
  <c r="AC46" i="3"/>
  <c r="J27" i="2"/>
  <c r="V14" i="2"/>
  <c r="D21" i="2"/>
  <c r="I33" i="2"/>
  <c r="S29" i="2"/>
  <c r="S45" i="3"/>
  <c r="G28" i="3"/>
  <c r="H20" i="2"/>
  <c r="O18" i="2"/>
  <c r="P11" i="2"/>
  <c r="Q25" i="2"/>
  <c r="AR79" i="3"/>
  <c r="T46" i="3"/>
  <c r="G12" i="3"/>
  <c r="BW11" i="4" a="1"/>
  <c r="R6" i="4" a="1"/>
  <c r="BC5" i="4" a="1"/>
  <c r="G7" i="2"/>
  <c r="L16" i="2"/>
  <c r="W18" i="2"/>
  <c r="P24" i="2"/>
  <c r="AR76" i="3"/>
  <c r="S11" i="2"/>
  <c r="D23" i="3"/>
  <c r="D5" i="3"/>
  <c r="AI7" i="4" a="1"/>
  <c r="CO13" i="4" a="1"/>
  <c r="J18" i="2"/>
  <c r="R6" i="2"/>
  <c r="D22" i="2"/>
  <c r="P69" i="2"/>
  <c r="M34" i="2"/>
  <c r="AR78" i="3"/>
  <c r="AL46" i="3"/>
  <c r="AZ14" i="4" a="1"/>
  <c r="BC12" i="4" a="1"/>
  <c r="CK14" i="4" a="1"/>
  <c r="U6" i="2"/>
  <c r="D17" i="2"/>
  <c r="L15" i="2"/>
  <c r="X92" i="2"/>
  <c r="X32" i="2"/>
  <c r="F8" i="3"/>
  <c r="AD7" i="3"/>
  <c r="BU6" i="4" a="1"/>
  <c r="DM12" i="4" a="1"/>
  <c r="W13" i="4" a="1"/>
  <c r="V29" i="2"/>
  <c r="G29" i="2"/>
  <c r="Q55" i="2"/>
  <c r="U20" i="2"/>
  <c r="T10" i="2"/>
  <c r="C11" i="2"/>
  <c r="D40" i="3"/>
  <c r="D25" i="3"/>
  <c r="BX8" i="4" a="1"/>
  <c r="F89" i="2"/>
  <c r="F28" i="2"/>
  <c r="E26" i="2"/>
  <c r="D18" i="2"/>
  <c r="F75" i="2"/>
  <c r="R14" i="2"/>
  <c r="U9" i="2"/>
  <c r="D46" i="3"/>
  <c r="AQ12" i="4" a="1"/>
  <c r="Y6" i="4" a="1"/>
  <c r="CW9" i="4" a="1"/>
  <c r="J22" i="2"/>
  <c r="R17" i="2"/>
  <c r="W46" i="3"/>
  <c r="CM16" i="4" a="1"/>
  <c r="Y8" i="4" a="1"/>
  <c r="CP8" i="4" a="1"/>
  <c r="BD11" i="4" a="1"/>
  <c r="Q6" i="2"/>
  <c r="G35" i="2"/>
  <c r="N22" i="2"/>
  <c r="G20" i="3"/>
  <c r="BZ5" i="4" a="1"/>
  <c r="AI8" i="4" a="1"/>
  <c r="BE5" i="4" a="1"/>
  <c r="AO7" i="4" a="1"/>
  <c r="H14" i="4" a="1"/>
  <c r="K17" i="2"/>
  <c r="N21" i="2"/>
  <c r="R46" i="3"/>
  <c r="E14" i="4" a="1"/>
  <c r="AY7" i="4" a="1"/>
  <c r="BA6" i="4" a="1"/>
  <c r="EG7" i="4" a="1"/>
  <c r="DC13" i="4" a="1"/>
  <c r="DJ7" i="4" a="1"/>
  <c r="BH8" i="4" a="1"/>
  <c r="AM13" i="4" a="1"/>
  <c r="J19" i="2"/>
  <c r="R11" i="2"/>
  <c r="E13" i="3"/>
  <c r="AF16" i="4" a="1"/>
  <c r="AF8" i="4" a="1"/>
  <c r="CH6" i="4" a="1"/>
  <c r="AN9" i="4" a="1"/>
  <c r="CT13" i="4" a="1"/>
  <c r="U34" i="2"/>
  <c r="T6" i="2"/>
  <c r="F33" i="3"/>
  <c r="CF7" i="4" a="1"/>
  <c r="AI13" i="4" a="1"/>
  <c r="AP11" i="4" a="1"/>
  <c r="BV8" i="4" a="1"/>
  <c r="BT15" i="4" a="1"/>
  <c r="DW7" i="4" a="1"/>
  <c r="CJ6" i="4" a="1"/>
  <c r="Q69" i="2"/>
  <c r="G10" i="2"/>
  <c r="AR91" i="3"/>
  <c r="U25" i="2"/>
  <c r="Q14" i="2"/>
  <c r="P25" i="2"/>
  <c r="F12" i="3"/>
  <c r="AI16" i="4" a="1"/>
  <c r="BI6" i="4" a="1"/>
  <c r="CP12" i="4" a="1"/>
  <c r="AR60" i="3"/>
  <c r="DH8" i="4" a="1"/>
  <c r="I7" i="4" a="1"/>
  <c r="BN6" i="4" a="1"/>
  <c r="W9" i="4" a="1"/>
  <c r="CX9" i="4" a="1"/>
  <c r="DA15" i="4" a="1"/>
  <c r="DM7" i="4" a="1"/>
  <c r="M11" i="4" a="1"/>
  <c r="AR95" i="3"/>
  <c r="AO5" i="4" a="1"/>
  <c r="D11" i="4" a="1"/>
  <c r="DC16" i="4" a="1"/>
  <c r="AH6" i="4" a="1"/>
  <c r="AN5" i="4" a="1"/>
  <c r="CW8" i="4" a="1"/>
  <c r="D5" i="4" a="1"/>
  <c r="EE13" i="4" a="1"/>
  <c r="K5" i="4" a="1"/>
  <c r="L12" i="2"/>
  <c r="AR35" i="3"/>
  <c r="BC8" i="4" a="1"/>
  <c r="AB6" i="4" a="1"/>
  <c r="CY13" i="4" a="1"/>
  <c r="M8" i="4" a="1"/>
  <c r="O15" i="4" a="1"/>
  <c r="CG15" i="4" a="1"/>
  <c r="BY11" i="4" a="1"/>
  <c r="E12" i="2"/>
  <c r="CT8" i="4" a="1"/>
  <c r="BV9" i="4" a="1"/>
  <c r="BZ6" i="4" a="1"/>
  <c r="DI11" i="4" a="1"/>
  <c r="ED7" i="4" a="1"/>
  <c r="D10" i="2"/>
  <c r="AK8" i="4" a="1"/>
  <c r="L13" i="2"/>
  <c r="R31" i="2"/>
  <c r="I10" i="2"/>
  <c r="S5" i="2"/>
  <c r="AR63" i="3"/>
  <c r="AQ46" i="3"/>
  <c r="G16" i="3"/>
  <c r="L7" i="2"/>
  <c r="X16" i="2"/>
  <c r="K20" i="2"/>
  <c r="S18" i="2"/>
  <c r="X35" i="2"/>
  <c r="AI45" i="3"/>
  <c r="F21" i="3"/>
  <c r="DV5" i="4" a="1"/>
  <c r="BX16" i="4" a="1"/>
  <c r="X6" i="4" a="1"/>
  <c r="U17" i="2"/>
  <c r="D26" i="2"/>
  <c r="G5" i="2"/>
  <c r="W27" i="2"/>
  <c r="AR92" i="3"/>
  <c r="AR66" i="3"/>
  <c r="U45" i="3"/>
  <c r="AD9" i="4" a="1"/>
  <c r="K7" i="4" a="1"/>
  <c r="BR5" i="4" a="1"/>
  <c r="S27" i="2"/>
  <c r="W24" i="2"/>
  <c r="X15" i="2"/>
  <c r="F33" i="2"/>
  <c r="T32" i="2"/>
  <c r="E9" i="3"/>
  <c r="AP46" i="3"/>
  <c r="BY7" i="4" a="1"/>
  <c r="DQ16" i="4" a="1"/>
  <c r="AC12" i="4" a="1"/>
  <c r="T36" i="2"/>
  <c r="F34" i="2"/>
  <c r="O36" i="2"/>
  <c r="O10" i="2"/>
  <c r="Q34" i="2"/>
  <c r="AE46" i="3"/>
  <c r="E24" i="3"/>
  <c r="BL13" i="4" a="1"/>
  <c r="DG15" i="4" a="1"/>
  <c r="AK6" i="4" a="1"/>
  <c r="F24" i="2"/>
  <c r="J33" i="2"/>
  <c r="D12" i="2"/>
  <c r="H7" i="2"/>
  <c r="C7" i="2"/>
  <c r="M21" i="2"/>
  <c r="G46" i="3"/>
  <c r="E27" i="3"/>
  <c r="BE11" i="4" a="1"/>
  <c r="G19" i="2"/>
  <c r="H49" i="2"/>
  <c r="G30" i="2"/>
  <c r="W7" i="2"/>
  <c r="S25" i="2"/>
  <c r="G28" i="2"/>
  <c r="E45" i="2"/>
  <c r="F35" i="3"/>
  <c r="CX6" i="4" a="1"/>
  <c r="F8" i="4" a="1"/>
  <c r="BJ6" i="4" a="1"/>
  <c r="W12" i="2"/>
  <c r="AR49" i="3"/>
  <c r="AR32" i="3"/>
  <c r="BV5" i="4" a="1"/>
  <c r="BZ9" i="4" a="1"/>
  <c r="AW14" i="4" a="1"/>
  <c r="G11" i="4" a="1"/>
  <c r="G16" i="2"/>
  <c r="F9" i="2"/>
  <c r="C12" i="2"/>
  <c r="J45" i="3"/>
  <c r="CY16" i="4" a="1"/>
  <c r="AR12" i="4" a="1"/>
  <c r="BY14" i="4" a="1"/>
  <c r="DG7" i="4" a="1"/>
  <c r="W15" i="4" a="1"/>
  <c r="D7" i="2"/>
  <c r="C10" i="2"/>
  <c r="AR27" i="3"/>
  <c r="DK5" i="4" a="1"/>
  <c r="CI13" i="4" a="1"/>
  <c r="BM14" i="4" a="1"/>
  <c r="AS15" i="4" a="1"/>
  <c r="DX11" i="4" a="1"/>
  <c r="CC6" i="4" a="1"/>
  <c r="AG13" i="4" a="1"/>
  <c r="T35" i="2"/>
  <c r="P28" i="2"/>
  <c r="AR54" i="3"/>
  <c r="D38" i="3"/>
  <c r="DC9" i="4" a="1"/>
  <c r="BO5" i="4" a="1"/>
  <c r="BJ16" i="4" a="1"/>
  <c r="BP12" i="4" a="1"/>
  <c r="T15" i="4" a="1"/>
  <c r="I20" i="2"/>
  <c r="V11" i="2"/>
  <c r="N45" i="3"/>
  <c r="DL15" i="4" a="1"/>
  <c r="CX15" i="4" a="1"/>
  <c r="DU11" i="4" a="1"/>
  <c r="G14" i="4" a="1"/>
  <c r="DR6" i="4" a="1"/>
  <c r="CT6" i="4" a="1"/>
  <c r="BV6" i="4" a="1"/>
  <c r="O8" i="2"/>
  <c r="R9" i="2"/>
  <c r="P21" i="2"/>
  <c r="K10" i="2"/>
  <c r="R13" i="2"/>
  <c r="AR69" i="3"/>
  <c r="G14" i="3"/>
  <c r="AC11" i="4" a="1"/>
  <c r="DX6" i="4" a="1"/>
  <c r="AN11" i="4" a="1"/>
  <c r="M30" i="2"/>
  <c r="K14" i="4" a="1"/>
  <c r="AG14" i="4" a="1"/>
  <c r="CD11" i="4" a="1"/>
  <c r="DD8" i="4" a="1"/>
  <c r="H24" i="2"/>
  <c r="S23" i="2"/>
  <c r="P16" i="2"/>
  <c r="C29" i="2"/>
  <c r="E13" i="2"/>
  <c r="E10" i="3"/>
  <c r="O13" i="2"/>
  <c r="X66" i="2"/>
  <c r="F5" i="2"/>
  <c r="S31" i="2"/>
  <c r="AR70" i="3"/>
  <c r="I13" i="2"/>
  <c r="E21" i="3"/>
  <c r="F40" i="3"/>
  <c r="AN8" i="4" a="1"/>
  <c r="DL6" i="4" a="1"/>
  <c r="CE5" i="4" a="1"/>
  <c r="R35" i="2"/>
  <c r="H19" i="2"/>
  <c r="M27" i="2"/>
  <c r="X31" i="2"/>
  <c r="N34" i="2"/>
  <c r="AQ6" i="3"/>
  <c r="O46" i="3"/>
  <c r="BY8" i="4" a="1"/>
  <c r="CM8" i="4" a="1"/>
  <c r="CB9" i="4" a="1"/>
  <c r="H29" i="2"/>
  <c r="V16" i="2"/>
  <c r="W10" i="2"/>
  <c r="C32" i="2"/>
  <c r="O31" i="2"/>
  <c r="D19" i="3"/>
  <c r="G13" i="3"/>
  <c r="J8" i="4" a="1"/>
  <c r="EK15" i="4" a="1"/>
  <c r="F16" i="4" a="1"/>
  <c r="V26" i="2"/>
  <c r="K36" i="2"/>
  <c r="K24" i="2"/>
  <c r="T31" i="2"/>
  <c r="AS47" i="3"/>
  <c r="F29" i="3"/>
  <c r="AR8" i="3"/>
  <c r="DG12" i="4" a="1"/>
  <c r="M7" i="4" a="1"/>
  <c r="AB9" i="4" a="1"/>
  <c r="L34" i="2"/>
  <c r="Q21" i="2"/>
  <c r="U7" i="2"/>
  <c r="P30" i="2"/>
  <c r="AR93" i="3"/>
  <c r="E21" i="2"/>
  <c r="D11" i="3"/>
  <c r="F38" i="3"/>
  <c r="BP7" i="4" a="1"/>
  <c r="O35" i="2"/>
  <c r="P20" i="2"/>
  <c r="T18" i="2"/>
  <c r="M17" i="2"/>
  <c r="W5" i="2"/>
  <c r="H15" i="2"/>
  <c r="D24" i="3"/>
  <c r="Z8" i="4" a="1"/>
  <c r="BP11" i="4" a="1"/>
  <c r="CT7" i="4" a="1"/>
  <c r="O11" i="4" a="1"/>
  <c r="H6" i="2"/>
  <c r="C26" i="2"/>
  <c r="P45" i="3"/>
  <c r="D6" i="4" a="1"/>
  <c r="ED9" i="4" a="1"/>
  <c r="BP5" i="4" a="1"/>
  <c r="AL6" i="4" a="1"/>
  <c r="K87" i="2"/>
  <c r="X21" i="2"/>
  <c r="G27" i="3"/>
  <c r="AL12" i="4" a="1"/>
  <c r="DZ16" i="4" a="1"/>
  <c r="CE6" i="4" a="1"/>
  <c r="AA6" i="4" a="1"/>
  <c r="BN9" i="4" a="1"/>
  <c r="BX13" i="4" a="1"/>
  <c r="H36" i="2"/>
  <c r="F32" i="2"/>
  <c r="P46" i="3"/>
  <c r="CD5" i="4" a="1"/>
  <c r="CN7" i="4" a="1"/>
  <c r="EI9" i="4" a="1"/>
  <c r="L16" i="4" a="1"/>
  <c r="K12" i="4" a="1"/>
  <c r="O9" i="4" a="1"/>
  <c r="CB8" i="4" a="1"/>
  <c r="Q58" i="2"/>
  <c r="P13" i="2"/>
  <c r="H35" i="2"/>
  <c r="Y45" i="3"/>
  <c r="BY13" i="4" a="1"/>
  <c r="CF12" i="4" a="1"/>
  <c r="CJ8" i="4" a="1"/>
  <c r="E6" i="4" a="1"/>
  <c r="EC12" i="4" a="1"/>
  <c r="L19" i="2"/>
  <c r="X36" i="2"/>
  <c r="G21" i="3"/>
  <c r="L9" i="4" a="1"/>
  <c r="AY9" i="4" a="1"/>
  <c r="DT9" i="4" a="1"/>
  <c r="AJ16" i="4" a="1"/>
  <c r="BO9" i="4" a="1"/>
  <c r="CD14" i="4" a="1"/>
  <c r="H16" i="4" a="1"/>
  <c r="R10" i="2"/>
  <c r="T19" i="2"/>
  <c r="J34" i="2"/>
  <c r="P36" i="2"/>
  <c r="G32" i="2"/>
  <c r="Q57" i="2"/>
  <c r="D27" i="3"/>
  <c r="DP14" i="4" a="1"/>
  <c r="BD5" i="4" a="1"/>
  <c r="H6" i="4" a="1"/>
  <c r="AR12" i="3"/>
  <c r="O6" i="4" a="1"/>
  <c r="CD9" i="4" a="1"/>
  <c r="AQ9" i="4" a="1"/>
  <c r="AR7" i="4" a="1"/>
  <c r="BS5" i="4" a="1"/>
  <c r="DZ5" i="4" a="1"/>
  <c r="AD13" i="4" a="1"/>
  <c r="R12" i="4" a="1"/>
  <c r="D39" i="3"/>
  <c r="G12" i="4" a="1"/>
  <c r="CP9" i="4" a="1"/>
  <c r="DU16" i="4" a="1"/>
  <c r="CA16" i="4" a="1"/>
  <c r="DD7" i="4" a="1"/>
  <c r="AF6" i="4" a="1"/>
  <c r="BT11" i="4" a="1"/>
  <c r="CX12" i="4" a="1"/>
  <c r="CK12" i="4" a="1"/>
  <c r="N7" i="2"/>
  <c r="Q12" i="4" a="1"/>
  <c r="AJ9" i="4" a="1"/>
  <c r="AW12" i="4" a="1"/>
  <c r="DL12" i="4" a="1"/>
  <c r="AG8" i="4" a="1"/>
  <c r="EJ15" i="4" a="1"/>
  <c r="I8" i="4" a="1"/>
  <c r="CV15" i="4" a="1"/>
  <c r="V15" i="2"/>
  <c r="CW7" i="4" a="1"/>
  <c r="DO16" i="4" a="1"/>
  <c r="CR12" i="4" a="1"/>
  <c r="DI12" i="4" a="1"/>
  <c r="T13" i="4" a="1"/>
  <c r="F26" i="2"/>
  <c r="M5" i="4" a="1"/>
  <c r="N25" i="2"/>
  <c r="T28" i="2"/>
  <c r="F18" i="2"/>
  <c r="G34" i="2"/>
  <c r="D36" i="2"/>
  <c r="N13" i="2"/>
  <c r="AR45" i="3"/>
  <c r="V15" i="4" a="1"/>
  <c r="BJ9" i="4" a="1"/>
  <c r="N28" i="2"/>
  <c r="L14" i="2"/>
  <c r="X45" i="3"/>
  <c r="CR13" i="4" a="1"/>
  <c r="X33" i="2"/>
  <c r="J9" i="2"/>
  <c r="H32" i="2"/>
  <c r="AR42" i="3"/>
  <c r="BF7" i="4" a="1"/>
  <c r="J24" i="2"/>
  <c r="T7" i="2"/>
  <c r="AR50" i="3"/>
  <c r="AR25" i="3"/>
  <c r="DS12" i="4" a="1"/>
  <c r="AU13" i="4" a="1"/>
  <c r="S13" i="2"/>
  <c r="E15" i="2"/>
  <c r="AI46" i="3"/>
  <c r="F12" i="4" a="1"/>
  <c r="R5" i="2"/>
  <c r="Q29" i="2"/>
  <c r="H23" i="2"/>
  <c r="F11" i="3"/>
  <c r="EC11" i="4" a="1"/>
  <c r="Q56" i="2"/>
  <c r="I26" i="2"/>
  <c r="W5" i="4" a="1"/>
  <c r="BH16" i="4" a="1"/>
  <c r="C34" i="2"/>
  <c r="D9" i="3"/>
  <c r="CU9" i="4" a="1"/>
  <c r="Y12" i="4" a="1"/>
  <c r="O17" i="2"/>
  <c r="AG45" i="3"/>
  <c r="CN8" i="4" a="1"/>
  <c r="BT16" i="4" a="1"/>
  <c r="EE15" i="4" a="1"/>
  <c r="CH11" i="4" a="1"/>
  <c r="T20" i="2"/>
  <c r="EI16" i="4" a="1"/>
  <c r="BO13" i="4" a="1"/>
  <c r="CD16" i="4" a="1"/>
  <c r="L31" i="2"/>
  <c r="G8" i="3"/>
  <c r="DQ11" i="4" a="1"/>
  <c r="AL8" i="4" a="1"/>
  <c r="ED5" i="4" a="1"/>
  <c r="DJ5" i="4" a="1"/>
  <c r="T14" i="2"/>
  <c r="S12" i="2"/>
  <c r="G25" i="2"/>
  <c r="E30" i="3"/>
  <c r="R11" i="4" a="1"/>
  <c r="DF12" i="4" a="1"/>
  <c r="BL9" i="4" a="1"/>
  <c r="AS8" i="4" a="1"/>
  <c r="BB12" i="4" a="1"/>
  <c r="DV11" i="4" a="1"/>
  <c r="AJ15" i="4" a="1"/>
  <c r="BP15" i="4" a="1"/>
  <c r="D8" i="3"/>
  <c r="S34" i="2"/>
  <c r="X17" i="2"/>
  <c r="G26" i="3"/>
  <c r="H30" i="2"/>
  <c r="E25" i="2"/>
  <c r="N32" i="2"/>
  <c r="Q46" i="3"/>
  <c r="AA12" i="4" a="1"/>
  <c r="G15" i="2"/>
  <c r="H31" i="2"/>
  <c r="G21" i="2"/>
  <c r="G9" i="3"/>
  <c r="CQ6" i="4" a="1"/>
  <c r="X14" i="2"/>
  <c r="M5" i="2"/>
  <c r="J14" i="2"/>
  <c r="D45" i="3"/>
  <c r="S15" i="4" a="1"/>
  <c r="V12" i="2"/>
  <c r="S28" i="2"/>
  <c r="AR84" i="3"/>
  <c r="M45" i="3"/>
  <c r="CQ13" i="4" a="1"/>
  <c r="I23" i="2"/>
  <c r="H54" i="2"/>
  <c r="AR57" i="3"/>
  <c r="D30" i="3"/>
  <c r="DB14" i="4" a="1"/>
  <c r="F31" i="2"/>
  <c r="I7" i="2"/>
  <c r="H11" i="2"/>
  <c r="AB12" i="4" a="1"/>
  <c r="DV15" i="4" a="1"/>
  <c r="R21" i="2"/>
  <c r="AR38" i="3"/>
  <c r="DD9" i="4" a="1"/>
  <c r="CS5" i="4" a="1"/>
  <c r="D33" i="2"/>
  <c r="BO14" i="4" a="1"/>
  <c r="BP8" i="4" a="1"/>
  <c r="CL6" i="4" a="1"/>
  <c r="L32" i="2"/>
  <c r="Z45" i="3"/>
  <c r="C7" i="4" a="1"/>
  <c r="AO9" i="4" a="1"/>
  <c r="DA13" i="4" a="1"/>
  <c r="K26" i="2"/>
  <c r="I11" i="2"/>
  <c r="DI14" i="4" a="1"/>
  <c r="CT15" i="4" a="1"/>
  <c r="AT5" i="4" a="1"/>
  <c r="E7" i="2"/>
  <c r="F26" i="3"/>
  <c r="EE11" i="4" a="1"/>
  <c r="AR5" i="4" a="1"/>
  <c r="V11" i="4" a="1"/>
  <c r="CK8" i="4" a="1"/>
  <c r="F29" i="2"/>
  <c r="F35" i="2"/>
  <c r="M32" i="2"/>
  <c r="AD16" i="3"/>
  <c r="AQ15" i="4" a="1"/>
  <c r="C8" i="2"/>
  <c r="CG12" i="4" a="1"/>
  <c r="DQ7" i="4" a="1"/>
  <c r="AY13" i="4" a="1"/>
  <c r="CJ16" i="4" a="1"/>
  <c r="DN11" i="4" a="1"/>
  <c r="AR15" i="4" a="1"/>
  <c r="F15" i="3"/>
  <c r="AV15" i="4" a="1"/>
  <c r="CG6" i="4" a="1"/>
  <c r="DM14" i="4" a="1"/>
  <c r="AM16" i="4" a="1"/>
  <c r="AH14" i="4" a="1"/>
  <c r="CN6" i="4" a="1"/>
  <c r="BW7" i="4" a="1"/>
  <c r="AG7" i="4" a="1"/>
  <c r="DT6" i="4" a="1"/>
  <c r="AY16" i="4" a="1"/>
  <c r="AY8" i="4" a="1"/>
  <c r="CW15" i="4" a="1"/>
  <c r="BL16" i="4" a="1"/>
  <c r="J11" i="2"/>
  <c r="DG16" i="4" a="1"/>
  <c r="AZ9" i="4" a="1"/>
  <c r="AT11" i="4" a="1"/>
  <c r="DB9" i="4" a="1"/>
  <c r="F37" i="3"/>
  <c r="DZ11" i="4" a="1"/>
  <c r="BP9" i="4" a="1"/>
  <c r="P11" i="4" a="1"/>
  <c r="Q15" i="4" a="1"/>
  <c r="CV8" i="4" a="1"/>
  <c r="BV12" i="4" a="1"/>
  <c r="BC9" i="4" a="1"/>
  <c r="V9" i="4" a="1"/>
  <c r="E19" i="2"/>
  <c r="AG46" i="3"/>
  <c r="CL9" i="4" a="1"/>
  <c r="CA11" i="4" a="1"/>
  <c r="N9" i="2"/>
  <c r="AR23" i="3"/>
  <c r="DQ5" i="4" a="1"/>
  <c r="CB15" i="4" a="1"/>
  <c r="BL7" i="4" a="1"/>
  <c r="D7" i="3"/>
  <c r="CQ7" i="4" a="1"/>
  <c r="BA13" i="4" a="1"/>
  <c r="Q28" i="2"/>
  <c r="E35" i="2"/>
  <c r="N23" i="2"/>
  <c r="F14" i="3"/>
  <c r="I18" i="2"/>
  <c r="T16" i="2"/>
  <c r="U32" i="2"/>
  <c r="D28" i="3"/>
  <c r="AC15" i="4" a="1"/>
  <c r="K28" i="2"/>
  <c r="S30" i="2"/>
  <c r="T25" i="2"/>
  <c r="E38" i="3"/>
  <c r="EH16" i="4" a="1"/>
  <c r="V7" i="2"/>
  <c r="F25" i="2"/>
  <c r="AR94" i="3"/>
  <c r="AR39" i="3"/>
  <c r="CA15" i="4" a="1"/>
  <c r="D47" i="2"/>
  <c r="J36" i="2"/>
  <c r="AR47" i="3"/>
  <c r="E7" i="3"/>
  <c r="AE6" i="4" a="1"/>
  <c r="Q19" i="2"/>
  <c r="Q9" i="2"/>
  <c r="P18" i="2"/>
  <c r="AD14" i="3"/>
  <c r="BV13" i="4" a="1"/>
  <c r="P14" i="2"/>
  <c r="Q7" i="2"/>
  <c r="U26" i="2"/>
  <c r="AM11" i="4" a="1"/>
  <c r="AI5" i="4" a="1"/>
  <c r="S19" i="2"/>
  <c r="D6" i="3"/>
  <c r="EB8" i="4" a="1"/>
  <c r="DN6" i="4" a="1"/>
  <c r="C18" i="2"/>
  <c r="BM8" i="4" a="1"/>
  <c r="BG12" i="4" a="1"/>
  <c r="BJ7" i="4" a="1"/>
  <c r="R20" i="2"/>
  <c r="AJ45" i="3"/>
  <c r="BI7" i="4" a="1"/>
  <c r="BM9" i="4" a="1"/>
  <c r="DB6" i="4" a="1"/>
  <c r="L23" i="2"/>
  <c r="L27" i="2"/>
  <c r="AK13" i="4" a="1"/>
  <c r="BM16" i="4" a="1"/>
  <c r="BM6" i="4" a="1"/>
  <c r="R22" i="2"/>
  <c r="BF9" i="4" a="1"/>
  <c r="CR5" i="4" a="1"/>
  <c r="BI14" i="4" a="1"/>
  <c r="DZ7" i="4" a="1"/>
  <c r="EB12" i="4" a="1"/>
  <c r="G9" i="2"/>
  <c r="T29" i="2"/>
  <c r="X30" i="2"/>
  <c r="E19" i="3"/>
  <c r="BQ9" i="4" a="1"/>
  <c r="K32" i="2"/>
  <c r="BI5" i="4" a="1"/>
  <c r="DM16" i="4" a="1"/>
  <c r="M13" i="4" a="1"/>
  <c r="AG5" i="4" a="1"/>
  <c r="DD16" i="4" a="1"/>
  <c r="BM12" i="4" a="1"/>
  <c r="AD11" i="3"/>
  <c r="Q13" i="4" a="1"/>
  <c r="BZ7" i="4" a="1"/>
  <c r="DY6" i="4" a="1"/>
  <c r="R15" i="4" a="1"/>
  <c r="Y13" i="4" a="1"/>
  <c r="Z13" i="4" a="1"/>
  <c r="CY11" i="4" a="1"/>
  <c r="AH13" i="4" a="1"/>
  <c r="CI16" i="4" a="1"/>
  <c r="BT14" i="4" a="1"/>
  <c r="BU9" i="4" a="1"/>
  <c r="J6" i="4" a="1"/>
  <c r="CR16" i="4" a="1"/>
  <c r="F22" i="2"/>
  <c r="DP5" i="4" a="1"/>
  <c r="EK16" i="4" a="1"/>
  <c r="DD14" i="4" a="1"/>
  <c r="DU15" i="4" a="1"/>
  <c r="AZ15" i="4" a="1"/>
  <c r="AT15" i="4" a="1"/>
  <c r="I12" i="4" a="1"/>
  <c r="CC5" i="4" a="1"/>
  <c r="X12" i="4" a="1"/>
  <c r="CB11" i="4" a="1"/>
  <c r="T24" i="2"/>
  <c r="DN9" i="4" a="1"/>
  <c r="DR7" i="4" a="1"/>
  <c r="J25" i="2"/>
  <c r="AD12" i="3"/>
  <c r="AY12" i="4" a="1"/>
  <c r="BW6" i="4" a="1"/>
  <c r="N27" i="2"/>
  <c r="CI7" i="4" a="1"/>
  <c r="DA14" i="4" a="1"/>
  <c r="EF7" i="4" a="1"/>
  <c r="CV7" i="4" a="1"/>
  <c r="AD8" i="4" a="1"/>
  <c r="BZ14" i="4" a="1"/>
  <c r="AN6" i="4" a="1"/>
  <c r="BD7" i="4" a="1"/>
  <c r="CO9" i="4" a="1"/>
  <c r="M9" i="4" a="1"/>
  <c r="EE5" i="4" a="1"/>
  <c r="V13" i="4" a="1"/>
  <c r="BF8" i="4" a="1"/>
  <c r="BL8" i="4" a="1"/>
  <c r="AL7" i="4" a="1"/>
  <c r="CQ12" i="4" a="1"/>
  <c r="L45" i="3"/>
  <c r="AA7" i="4" a="1"/>
  <c r="BL5" i="4" a="1"/>
  <c r="R9" i="4" a="1"/>
  <c r="DH7" i="4" a="1"/>
  <c r="CJ7" i="4" a="1"/>
  <c r="EG15" i="4" a="1"/>
  <c r="BZ13" i="4" a="1"/>
  <c r="W16" i="2"/>
  <c r="K25" i="2"/>
  <c r="T23" i="2"/>
  <c r="E17" i="3"/>
  <c r="X9" i="2"/>
  <c r="N30" i="2"/>
  <c r="AR82" i="3"/>
  <c r="EH5" i="4" a="1"/>
  <c r="DY8" i="4" a="1"/>
  <c r="S33" i="2"/>
  <c r="I29" i="2"/>
  <c r="W22" i="2"/>
  <c r="AD5" i="3"/>
  <c r="AD97" i="3" s="1"/>
  <c r="DE14" i="4" a="1"/>
  <c r="P27" i="2"/>
  <c r="H34" i="2"/>
  <c r="C16" i="2"/>
  <c r="AO45" i="3"/>
  <c r="BE12" i="4" a="1"/>
  <c r="X23" i="2"/>
  <c r="M12" i="2"/>
  <c r="C15" i="2"/>
  <c r="E15" i="3"/>
  <c r="DQ13" i="4" a="1"/>
  <c r="Q5" i="2"/>
  <c r="Q24" i="2"/>
  <c r="V17" i="2"/>
  <c r="D32" i="3"/>
  <c r="X7" i="2"/>
  <c r="W32" i="2"/>
  <c r="E34" i="2"/>
  <c r="R27" i="2"/>
  <c r="AI14" i="4" a="1"/>
  <c r="EJ12" i="4" a="1"/>
  <c r="R8" i="2"/>
  <c r="E29" i="3"/>
  <c r="V5" i="4" a="1"/>
  <c r="EB16" i="4" a="1"/>
  <c r="P5" i="2"/>
  <c r="AO12" i="4" a="1"/>
  <c r="T12" i="4" a="1"/>
  <c r="DX12" i="4" a="1"/>
  <c r="X63" i="2"/>
  <c r="E46" i="3"/>
  <c r="DK13" i="4" a="1"/>
  <c r="BC16" i="4" a="1"/>
  <c r="DK9" i="4" a="1"/>
  <c r="N36" i="2"/>
  <c r="G7" i="3"/>
  <c r="BL12" i="4" a="1"/>
  <c r="DI7" i="4" a="1"/>
  <c r="H9" i="2"/>
  <c r="AR80" i="3"/>
  <c r="DG8" i="4" a="1"/>
  <c r="DS6" i="4" a="1"/>
  <c r="N14" i="4" a="1"/>
  <c r="BT6" i="4" a="1"/>
  <c r="DU13" i="4" a="1"/>
  <c r="C14" i="2"/>
  <c r="T26" i="2"/>
  <c r="K18" i="2"/>
  <c r="F28" i="3"/>
  <c r="AU11" i="4" a="1"/>
  <c r="I19" i="2"/>
  <c r="EJ7" i="4" a="1"/>
  <c r="AJ7" i="4" a="1"/>
  <c r="BN15" i="4" a="1"/>
  <c r="P15" i="4" a="1"/>
  <c r="DO7" i="4" a="1"/>
  <c r="DY9" i="4" a="1"/>
  <c r="EJ5" i="4" a="1"/>
  <c r="U11" i="4" a="1"/>
  <c r="AA8" i="4" a="1"/>
  <c r="CR7" i="4" a="1"/>
  <c r="AF15" i="4" a="1"/>
  <c r="BK16" i="4" a="1"/>
  <c r="AA15" i="4" a="1"/>
  <c r="F10" i="2"/>
  <c r="BN11" i="4" a="1"/>
  <c r="BI15" i="4" a="1"/>
  <c r="CW13" i="4" a="1"/>
  <c r="AX7" i="4" a="1"/>
  <c r="DJ15" i="4" a="1"/>
  <c r="DH13" i="4" a="1"/>
  <c r="E39" i="3"/>
  <c r="BX5" i="4" a="1"/>
  <c r="Y7" i="4" a="1"/>
  <c r="BU5" i="4" a="1"/>
  <c r="CC15" i="4" a="1"/>
  <c r="CM12" i="4" a="1"/>
  <c r="CG14" i="4" a="1"/>
  <c r="BP14" i="4" a="1"/>
  <c r="G8" i="4" a="1"/>
  <c r="BL15" i="4" a="1"/>
  <c r="AS7" i="4" a="1"/>
  <c r="F19" i="2"/>
  <c r="DP16" i="4" a="1"/>
  <c r="EH9" i="4" a="1"/>
  <c r="O6" i="2"/>
  <c r="D31" i="3"/>
  <c r="T34" i="2"/>
  <c r="P17" i="2"/>
  <c r="AR62" i="3"/>
  <c r="AR30" i="3"/>
  <c r="O33" i="2"/>
  <c r="Q13" i="2"/>
  <c r="G13" i="2"/>
  <c r="DT7" i="4" a="1"/>
  <c r="O7" i="4" a="1"/>
  <c r="R25" i="2"/>
  <c r="N26" i="2"/>
  <c r="AR85" i="3"/>
  <c r="G24" i="3"/>
  <c r="CW14" i="4" a="1"/>
  <c r="P9" i="2"/>
  <c r="T27" i="2"/>
  <c r="AR65" i="3"/>
  <c r="AR26" i="3"/>
  <c r="AD11" i="4" a="1"/>
  <c r="R54" i="2"/>
  <c r="M20" i="2"/>
  <c r="E9" i="2"/>
  <c r="AB46" i="3"/>
  <c r="DY16" i="4" a="1"/>
  <c r="L8" i="2"/>
  <c r="W11" i="2"/>
  <c r="H14" i="2"/>
  <c r="AR46" i="3"/>
  <c r="E33" i="2"/>
  <c r="W20" i="2"/>
  <c r="L5" i="2"/>
  <c r="AS49" i="3"/>
  <c r="CR8" i="4" a="1"/>
  <c r="CC13" i="4" a="1"/>
  <c r="I24" i="2"/>
  <c r="AR10" i="3"/>
  <c r="Q5" i="4" a="1"/>
  <c r="CQ11" i="4" a="1"/>
  <c r="T21" i="2"/>
  <c r="AX11" i="4" a="1"/>
  <c r="BA7" i="4" a="1"/>
  <c r="AZ5" i="4" a="1"/>
  <c r="G27" i="2"/>
  <c r="F7" i="3"/>
  <c r="DP12" i="4" a="1"/>
  <c r="BD12" i="4" a="1"/>
  <c r="BD14" i="4" a="1"/>
  <c r="F6" i="2"/>
  <c r="F22" i="3"/>
  <c r="AQ13" i="4" a="1"/>
  <c r="DT16" i="4" a="1"/>
  <c r="K11" i="2"/>
  <c r="W19" i="2"/>
  <c r="EC7" i="4" a="1"/>
  <c r="CA12" i="4" a="1"/>
  <c r="DF6" i="4" a="1"/>
  <c r="Z9" i="4" a="1"/>
  <c r="O32" i="2"/>
  <c r="Q59" i="2"/>
  <c r="D16" i="2"/>
  <c r="S24" i="2"/>
  <c r="C21" i="2"/>
  <c r="O20" i="2"/>
  <c r="J29" i="2"/>
  <c r="AD45" i="3"/>
  <c r="K21" i="2"/>
  <c r="D27" i="2"/>
  <c r="G17" i="3"/>
  <c r="DA11" i="4" a="1"/>
  <c r="DI16" i="4" a="1"/>
  <c r="R12" i="2"/>
  <c r="F7" i="2"/>
  <c r="D30" i="2"/>
  <c r="AR20" i="3"/>
  <c r="BA9" i="4" a="1"/>
  <c r="C31" i="2"/>
  <c r="P26" i="2"/>
  <c r="W34" i="2"/>
  <c r="AH45" i="3"/>
  <c r="AC14" i="4" a="1"/>
  <c r="C17" i="2"/>
  <c r="W33" i="2"/>
  <c r="T17" i="2"/>
  <c r="K45" i="3"/>
  <c r="DC7" i="4" a="1"/>
  <c r="U36" i="2"/>
  <c r="E31" i="2"/>
  <c r="J16" i="2"/>
  <c r="F24" i="3"/>
  <c r="M22" i="2"/>
  <c r="D15" i="2"/>
  <c r="AR71" i="3"/>
  <c r="U28" i="2"/>
  <c r="DR16" i="4" a="1"/>
  <c r="CS7" i="4" a="1"/>
  <c r="L18" i="2"/>
  <c r="I45" i="3"/>
  <c r="CM7" i="4" a="1"/>
  <c r="V8" i="4" a="1"/>
  <c r="AR55" i="3"/>
  <c r="DT12" i="4" a="1"/>
  <c r="AY11" i="4" a="1"/>
  <c r="BT5" i="4" a="1"/>
  <c r="K9" i="2"/>
  <c r="E8" i="3"/>
  <c r="CG8" i="4" a="1"/>
  <c r="P6" i="4" a="1"/>
  <c r="AP5" i="4" a="1"/>
  <c r="V28" i="2"/>
  <c r="F19" i="3"/>
  <c r="DA7" i="4" a="1"/>
  <c r="DE8" i="4" a="1"/>
  <c r="N11" i="2"/>
  <c r="Q54" i="2"/>
  <c r="DH15" i="4" a="1"/>
  <c r="BV16" i="4" a="1"/>
  <c r="DD12" i="4" a="1"/>
  <c r="DK6" i="4" a="1"/>
  <c r="K33" i="2"/>
  <c r="D11" i="2"/>
  <c r="Q78" i="2"/>
  <c r="V8" i="2"/>
  <c r="AI9" i="4" a="1"/>
  <c r="CS15" i="4" a="1"/>
  <c r="Q20" i="2"/>
  <c r="DE16" i="4" a="1"/>
  <c r="DX9" i="4" a="1"/>
  <c r="CU16" i="4" a="1"/>
  <c r="EI7" i="4" a="1"/>
  <c r="DT8" i="4" a="1"/>
  <c r="W17" i="2"/>
  <c r="EK5" i="4" a="1"/>
  <c r="AG11" i="4" a="1"/>
  <c r="AK16" i="4" a="1"/>
  <c r="BB7" i="4" a="1"/>
  <c r="CE12" i="4" a="1"/>
  <c r="DS14" i="4" a="1"/>
  <c r="CG13" i="4" a="1"/>
  <c r="V5" i="2"/>
  <c r="BT9" i="4" a="1"/>
  <c r="BB11" i="4" a="1"/>
  <c r="DA9" i="4" a="1"/>
  <c r="AQ14" i="4" a="1"/>
  <c r="DH11" i="4" a="1"/>
  <c r="H12" i="4" a="1"/>
  <c r="D22" i="3"/>
  <c r="BG7" i="4" a="1"/>
  <c r="DX15" i="4" a="1"/>
  <c r="CO6" i="4" a="1"/>
  <c r="I31" i="2"/>
  <c r="EG5" i="4" a="1"/>
  <c r="N29" i="2"/>
  <c r="Q26" i="2"/>
  <c r="AR59" i="3"/>
  <c r="O9" i="2"/>
  <c r="D23" i="2"/>
  <c r="W74" i="2"/>
  <c r="G6" i="3"/>
  <c r="EG14" i="4" a="1"/>
  <c r="BS15" i="4" a="1"/>
  <c r="G22" i="2"/>
  <c r="E6" i="2"/>
  <c r="AR21" i="3"/>
  <c r="BR12" i="4" a="1"/>
  <c r="V21" i="2"/>
  <c r="I32" i="2"/>
  <c r="L30" i="2"/>
  <c r="AP45" i="3"/>
  <c r="D8" i="4" a="1"/>
  <c r="K5" i="2"/>
  <c r="L9" i="2"/>
  <c r="AR90" i="3"/>
  <c r="AB45" i="3"/>
  <c r="DF15" i="4" a="1"/>
  <c r="AZ8" i="4" a="1"/>
  <c r="F17" i="2"/>
  <c r="M15" i="2"/>
  <c r="D37" i="3"/>
  <c r="Y16" i="4" a="1"/>
  <c r="T22" i="2"/>
  <c r="U8" i="2"/>
  <c r="C28" i="2"/>
  <c r="F6" i="3"/>
  <c r="BR13" i="4" a="1"/>
  <c r="Q46" i="2"/>
  <c r="C30" i="2"/>
  <c r="BM15" i="4" a="1"/>
  <c r="EI12" i="4" a="1"/>
  <c r="V23" i="2"/>
  <c r="V46" i="3"/>
  <c r="AX6" i="4" a="1"/>
  <c r="EB6" i="4" a="1"/>
  <c r="D32" i="2"/>
  <c r="U31" i="2"/>
  <c r="ED14" i="4" a="1"/>
  <c r="DX8" i="4" a="1"/>
  <c r="AF13" i="4" a="1"/>
  <c r="BJ13" i="4" a="1"/>
  <c r="V31" i="2"/>
  <c r="BF13" i="4" a="1"/>
  <c r="DP15" i="4" a="1"/>
  <c r="BA15" i="4" a="1"/>
  <c r="O11" i="2"/>
  <c r="E34" i="3"/>
  <c r="CM13" i="4" a="1"/>
  <c r="DX7" i="4" a="1"/>
  <c r="L13" i="4" a="1"/>
  <c r="E15" i="4" a="1"/>
  <c r="G24" i="2"/>
  <c r="I14" i="2"/>
  <c r="J31" i="2"/>
  <c r="G23" i="3"/>
  <c r="DF7" i="4" a="1"/>
  <c r="BI9" i="4" a="1"/>
  <c r="CK15" i="4" a="1"/>
  <c r="CI8" i="4" a="1"/>
  <c r="BT8" i="4" a="1"/>
  <c r="EF16" i="4" a="1"/>
  <c r="CJ15" i="4" a="1"/>
  <c r="BH5" i="4" a="1"/>
  <c r="G5" i="3"/>
  <c r="G81" i="3" s="1"/>
  <c r="DC15" i="4" a="1"/>
  <c r="E12" i="4" a="1"/>
  <c r="AW9" i="4" a="1"/>
  <c r="EH11" i="4" a="1"/>
  <c r="AJ6" i="4" a="1"/>
  <c r="N6" i="4" a="1"/>
  <c r="CV9" i="4" a="1"/>
  <c r="G10" i="3"/>
  <c r="AT6" i="4" a="1"/>
  <c r="BR7" i="4" a="1"/>
  <c r="V7" i="4" a="1"/>
  <c r="CO8" i="4" a="1"/>
  <c r="DK8" i="4" a="1"/>
  <c r="P8" i="2"/>
  <c r="CJ9" i="4" a="1"/>
  <c r="BG15" i="4" a="1"/>
  <c r="BM11" i="4" a="1"/>
  <c r="U7" i="4" a="1"/>
  <c r="AD15" i="3"/>
  <c r="EJ13" i="4" a="1"/>
  <c r="W25" i="2"/>
  <c r="R30" i="2"/>
  <c r="H16" i="2"/>
  <c r="AG12" i="4" a="1"/>
  <c r="R32" i="2"/>
  <c r="F23" i="3"/>
  <c r="U22" i="2"/>
  <c r="D34" i="3"/>
  <c r="O30" i="2"/>
  <c r="AE45" i="3"/>
  <c r="U14" i="2"/>
  <c r="AR81" i="3"/>
  <c r="W13" i="2"/>
  <c r="W45" i="3"/>
  <c r="V34" i="2"/>
  <c r="CH8" i="4" a="1"/>
  <c r="D16" i="3"/>
  <c r="E9" i="4" a="1"/>
  <c r="BD6" i="4" a="1"/>
  <c r="DZ13" i="4" a="1"/>
  <c r="AR33" i="3"/>
  <c r="DM11" i="4" a="1"/>
  <c r="Z46" i="3"/>
  <c r="CN9" i="4" a="1"/>
  <c r="S16" i="2"/>
  <c r="H33" i="2"/>
  <c r="EA15" i="4" a="1"/>
  <c r="BJ5" i="4" a="1"/>
  <c r="BN13" i="4" a="1"/>
  <c r="AF5" i="4" a="1"/>
  <c r="BU8" i="4" a="1"/>
  <c r="DB13" i="4" a="1"/>
  <c r="AM14" i="4" a="1"/>
  <c r="CU5" i="4" a="1"/>
  <c r="D24" i="2"/>
  <c r="AU16" i="4" a="1"/>
  <c r="DV8" i="4" a="1"/>
  <c r="EB9" i="4" a="1"/>
  <c r="L21" i="2"/>
  <c r="AQ5" i="4" a="1"/>
  <c r="T6" i="4" a="1"/>
  <c r="AM7" i="4" a="1"/>
  <c r="EH7" i="4" a="1"/>
  <c r="C11" i="4" a="1"/>
  <c r="DY12" i="4" a="1"/>
  <c r="BK7" i="4" a="1"/>
  <c r="BB8" i="4" a="1"/>
  <c r="DZ8" i="4" a="1"/>
  <c r="R16" i="2"/>
  <c r="DB16" i="4" a="1"/>
  <c r="CV5" i="4" a="1"/>
  <c r="J17" i="2"/>
  <c r="DQ8" i="4" a="1"/>
  <c r="CJ12" i="4" a="1"/>
  <c r="DI5" i="4" a="1"/>
  <c r="DN12" i="4" a="1"/>
  <c r="EH6" i="4" a="1"/>
  <c r="N16" i="4" a="1"/>
  <c r="F20" i="2"/>
  <c r="BB5" i="4" a="1"/>
  <c r="CF5" i="4" a="1"/>
  <c r="CU14" i="4" a="1"/>
  <c r="EJ8" i="4" a="1"/>
  <c r="AX13" i="4" a="1"/>
  <c r="BD16" i="4" a="1"/>
  <c r="BH13" i="4" a="1"/>
  <c r="BQ8" i="4" a="1"/>
  <c r="CP6" i="4" a="1"/>
  <c r="DA16" i="4" a="1"/>
  <c r="AU14" i="4" a="1"/>
  <c r="CM11" i="4" a="1"/>
  <c r="H15" i="4" a="1"/>
  <c r="K9" i="4" a="1"/>
  <c r="DO13" i="4" a="1"/>
  <c r="BF6" i="4" a="1"/>
  <c r="BW14" i="4" a="1"/>
  <c r="CE16" i="4" a="1"/>
  <c r="AQ11" i="4" a="1"/>
  <c r="AP12" i="4" a="1"/>
  <c r="ED8" i="4" a="1"/>
  <c r="CO15" i="4" a="1"/>
  <c r="G18" i="3"/>
  <c r="BL11" i="4" a="1"/>
  <c r="CA7" i="4" a="1"/>
  <c r="R14" i="4" a="1"/>
  <c r="DJ14" i="4" a="1"/>
  <c r="CY12" i="4" a="1"/>
  <c r="AC8" i="4" a="1"/>
  <c r="CB13" i="4" a="1"/>
  <c r="BM5" i="4" a="1"/>
  <c r="AR16" i="4" a="1"/>
  <c r="CA14" i="4" a="1"/>
  <c r="CI6" i="4" a="1"/>
  <c r="G64" i="3"/>
  <c r="AD57" i="3"/>
  <c r="G90" i="3"/>
  <c r="G66" i="3"/>
  <c r="AD78" i="3"/>
  <c r="AD63" i="3"/>
  <c r="G92" i="3"/>
  <c r="AL5" i="4" a="1"/>
  <c r="DR11" i="4" a="1"/>
  <c r="CW5" i="4" a="1"/>
  <c r="P13" i="4" a="1"/>
  <c r="AD13" i="3"/>
  <c r="DV9" i="4" a="1"/>
  <c r="N7" i="4" a="1"/>
  <c r="AC13" i="4" a="1"/>
  <c r="AL13" i="4" a="1"/>
  <c r="DY13" i="4" a="1"/>
  <c r="S14" i="4" a="1"/>
  <c r="BF16" i="4" a="1"/>
  <c r="G5" i="4" a="1"/>
  <c r="D20" i="2"/>
  <c r="AN14" i="4" a="1"/>
  <c r="EF11" i="4" a="1"/>
  <c r="G93" i="3"/>
  <c r="G86" i="3"/>
  <c r="G54" i="3"/>
  <c r="AD55" i="3"/>
  <c r="H8" i="4" a="1"/>
  <c r="O45" i="3"/>
  <c r="AD72" i="3"/>
  <c r="AD61" i="3"/>
  <c r="K30" i="2"/>
  <c r="AL15" i="4" a="1"/>
  <c r="DN14" i="4" a="1"/>
  <c r="J14" i="4" a="1"/>
  <c r="BO6" i="4" a="1"/>
  <c r="I6" i="4" a="1"/>
  <c r="CE11" i="4" a="1"/>
  <c r="AG15" i="4" a="1"/>
  <c r="DR15" i="4" a="1"/>
  <c r="AB5" i="4" a="1"/>
  <c r="BY12" i="4" a="1"/>
  <c r="DN7" i="4" a="1"/>
  <c r="EH15" i="4" a="1"/>
  <c r="CX13" i="4" a="1"/>
  <c r="CT9" i="4" a="1"/>
  <c r="AB11" i="4" a="1"/>
  <c r="AD68" i="3"/>
  <c r="G87" i="3"/>
  <c r="AD80" i="3"/>
  <c r="F42" i="3"/>
  <c r="BB14" i="4" a="1"/>
  <c r="G20" i="2"/>
  <c r="F30" i="2"/>
  <c r="I36" i="2"/>
  <c r="BZ8" i="4" a="1"/>
  <c r="E30" i="2"/>
  <c r="E16" i="4" a="1"/>
  <c r="S62" i="2"/>
  <c r="D18" i="3"/>
  <c r="M8" i="2"/>
  <c r="D21" i="3"/>
  <c r="P34" i="2"/>
  <c r="AR37" i="3"/>
  <c r="X22" i="2"/>
  <c r="D26" i="3"/>
  <c r="U29" i="2"/>
  <c r="DL5" i="4" a="1"/>
  <c r="I46" i="3"/>
  <c r="AX9" i="4" a="1"/>
  <c r="CN16" i="4" a="1"/>
  <c r="ED11" i="4" a="1"/>
  <c r="D20" i="3"/>
  <c r="AG16" i="4" a="1"/>
  <c r="DR5" i="4" a="1"/>
  <c r="BS11" i="4" a="1"/>
  <c r="R23" i="2"/>
  <c r="D25" i="2"/>
  <c r="D15" i="4" a="1"/>
  <c r="BM13" i="4" a="1"/>
  <c r="DI9" i="4" a="1"/>
  <c r="H9" i="4" a="1"/>
  <c r="C8" i="4" a="1"/>
  <c r="DJ8" i="4" a="1"/>
  <c r="J11" i="4" a="1"/>
  <c r="DF9" i="4" a="1"/>
  <c r="L6" i="2"/>
  <c r="AA16" i="4" a="1"/>
  <c r="S5" i="4" a="1"/>
  <c r="DS11" i="4" a="1"/>
  <c r="E23" i="3"/>
  <c r="EC8" i="4" a="1"/>
  <c r="AZ13" i="4" a="1"/>
  <c r="CD8" i="4" a="1"/>
  <c r="O8" i="4" a="1"/>
  <c r="BY16" i="4" a="1"/>
  <c r="H7" i="4" a="1"/>
  <c r="AW6" i="4" a="1"/>
  <c r="BK12" i="4" a="1"/>
  <c r="Z6" i="4" a="1"/>
  <c r="F14" i="2"/>
  <c r="BZ11" i="4" a="1"/>
  <c r="C16" i="4" a="1"/>
  <c r="E5" i="2"/>
  <c r="CP14" i="4" a="1"/>
  <c r="DB12" i="4" a="1"/>
  <c r="CI5" i="4" a="1"/>
  <c r="K16" i="4" a="1"/>
  <c r="DH9" i="4" a="1"/>
  <c r="Q11" i="4" a="1"/>
  <c r="C65" i="2"/>
  <c r="BQ16" i="4" a="1"/>
  <c r="DS7" i="4" a="1"/>
  <c r="DC5" i="4" a="1"/>
  <c r="DG14" i="4" a="1"/>
  <c r="DG9" i="4" a="1"/>
  <c r="DX16" i="4" a="1"/>
  <c r="AH16" i="4" a="1"/>
  <c r="BW16" i="4" a="1"/>
  <c r="DV12" i="4" a="1"/>
  <c r="AM15" i="4" a="1"/>
  <c r="BD8" i="4" a="1"/>
  <c r="CD13" i="4" a="1"/>
  <c r="CA5" i="4" a="1"/>
  <c r="BS13" i="4" a="1"/>
  <c r="CW6" i="4" a="1"/>
  <c r="DL8" i="4" a="1"/>
  <c r="DW8" i="4" a="1"/>
  <c r="CM5" i="4" a="1"/>
  <c r="CR14" i="4" a="1"/>
  <c r="DD15" i="4" a="1"/>
  <c r="BA8" i="4" a="1"/>
  <c r="CS13" i="4" a="1"/>
  <c r="CY6" i="4" a="1"/>
  <c r="AV14" i="4" a="1"/>
  <c r="BO7" i="4" a="1"/>
  <c r="BG16" i="4" a="1"/>
  <c r="DB8" i="4" a="1"/>
  <c r="BX14" i="4" a="1"/>
  <c r="CP11" i="4" a="1"/>
  <c r="AY6" i="4" a="1"/>
  <c r="C22" i="2"/>
  <c r="EA6" i="4" a="1"/>
  <c r="EJ9" i="4" a="1"/>
  <c r="AD58" i="3"/>
  <c r="AD75" i="3"/>
  <c r="G84" i="3"/>
  <c r="AD77" i="3"/>
  <c r="AD86" i="3"/>
  <c r="CL14" i="4" a="1"/>
  <c r="BE7" i="4" a="1"/>
  <c r="DR8" i="4" a="1"/>
  <c r="BA12" i="4" a="1"/>
  <c r="CG5" i="4" a="1"/>
  <c r="O21" i="2"/>
  <c r="EB5" i="4" a="1"/>
  <c r="CH12" i="4" a="1"/>
  <c r="DW16" i="4" a="1"/>
  <c r="G29" i="3"/>
  <c r="CK13" i="4" a="1"/>
  <c r="BX6" i="4" a="1"/>
  <c r="BC14" i="4" a="1"/>
  <c r="R7" i="4" a="1"/>
  <c r="Y15" i="4" a="1"/>
  <c r="DE9" i="4" a="1"/>
  <c r="DQ14" i="4" a="1"/>
  <c r="BG13" i="4" a="1"/>
  <c r="D33" i="3"/>
  <c r="BH7" i="4" a="1"/>
  <c r="CF8" i="4" a="1"/>
  <c r="I34" i="2"/>
  <c r="BR6" i="4" a="1"/>
  <c r="DK16" i="4" a="1"/>
  <c r="AT7" i="4" a="1"/>
  <c r="AB14" i="4" a="1"/>
  <c r="CP5" i="4" a="1"/>
  <c r="X11" i="4" a="1"/>
  <c r="Z14" i="4" a="1"/>
  <c r="DY7" i="4" a="1"/>
  <c r="DY15" i="4" a="1"/>
  <c r="CD15" i="4" a="1"/>
  <c r="BR11" i="4" a="1"/>
  <c r="E25" i="3"/>
  <c r="AB7" i="4" a="1"/>
  <c r="BT12" i="4" a="1"/>
  <c r="AZ7" i="4" a="1"/>
  <c r="CY7" i="4" a="1"/>
  <c r="AT9" i="4" a="1"/>
  <c r="DT15" i="4" a="1"/>
  <c r="G62" i="3"/>
  <c r="AD56" i="3"/>
  <c r="X11" i="2"/>
  <c r="CA8" i="4" a="1"/>
  <c r="BH15" i="4" a="1"/>
  <c r="DJ12" i="4" a="1"/>
  <c r="ED12" i="4" a="1"/>
  <c r="AT14" i="4" a="1"/>
  <c r="G56" i="3"/>
  <c r="AR22" i="3"/>
  <c r="CS8" i="4" a="1"/>
  <c r="W30" i="2"/>
  <c r="CQ9" i="4" a="1"/>
  <c r="DM8" i="4" a="1"/>
  <c r="L15" i="4" a="1"/>
  <c r="AF7" i="4" a="1"/>
  <c r="DJ13" i="4" a="1"/>
  <c r="BJ14" i="4" a="1"/>
  <c r="Q16" i="4" a="1"/>
  <c r="AD67" i="3"/>
  <c r="G61" i="3"/>
  <c r="DQ9" i="4" a="1"/>
  <c r="P16" i="4" a="1"/>
  <c r="T12" i="2"/>
  <c r="CM9" i="4" a="1"/>
  <c r="O26" i="2"/>
  <c r="P10" i="2"/>
  <c r="E36" i="2"/>
  <c r="DY11" i="4" a="1"/>
  <c r="X25" i="2"/>
  <c r="CI15" i="4" a="1"/>
  <c r="C9" i="2"/>
  <c r="EC15" i="4" a="1"/>
  <c r="X10" i="2"/>
  <c r="F41" i="3"/>
  <c r="J21" i="2"/>
  <c r="AR19" i="3"/>
  <c r="M26" i="2"/>
  <c r="AN45" i="3"/>
  <c r="V22" i="2"/>
  <c r="AZ6" i="4" a="1"/>
  <c r="AR11" i="3"/>
  <c r="CI11" i="4" a="1"/>
  <c r="BG8" i="4" a="1"/>
  <c r="M12" i="4" a="1"/>
  <c r="G22" i="3"/>
  <c r="L7" i="4" a="1"/>
  <c r="R13" i="4" a="1"/>
  <c r="CF15" i="4" a="1"/>
  <c r="H5" i="2"/>
  <c r="N15" i="2"/>
  <c r="AD12" i="4" a="1"/>
  <c r="DM13" i="4" a="1"/>
  <c r="CG11" i="4" a="1"/>
  <c r="BK14" i="4" a="1"/>
  <c r="L8" i="4" a="1"/>
  <c r="BC15" i="4" a="1"/>
  <c r="AL14" i="4" a="1"/>
  <c r="BF14" i="4" a="1"/>
  <c r="M11" i="2"/>
  <c r="CS6" i="4" a="1"/>
  <c r="AD81" i="3"/>
  <c r="AU15" i="4" a="1"/>
  <c r="DH16" i="4" a="1"/>
  <c r="AR41" i="3"/>
  <c r="G31" i="2"/>
  <c r="EE9" i="4" a="1"/>
  <c r="AR18" i="3"/>
  <c r="L29" i="2"/>
  <c r="C6" i="2"/>
  <c r="Z5" i="4" a="1"/>
  <c r="DG5" i="4" a="1"/>
  <c r="EC13" i="4" a="1"/>
  <c r="E22" i="2"/>
  <c r="Y9" i="4" a="1"/>
  <c r="DO11" i="4" a="1"/>
  <c r="G9" i="4" a="1"/>
  <c r="AD16" i="4" a="1"/>
  <c r="AO46" i="3"/>
  <c r="AW15" i="4" a="1"/>
  <c r="CH14" i="4" a="1"/>
  <c r="CF14" i="4" a="1"/>
  <c r="AH12" i="4" a="1"/>
  <c r="CW12" i="4" a="1"/>
  <c r="P12" i="4" a="1"/>
  <c r="E32" i="2"/>
  <c r="L11" i="2"/>
  <c r="L36" i="2"/>
  <c r="L20" i="2"/>
  <c r="AM5" i="4" a="1"/>
  <c r="AT8" i="4" a="1"/>
  <c r="G33" i="2"/>
  <c r="D15" i="3"/>
  <c r="H99" i="2"/>
  <c r="AK46" i="3"/>
  <c r="AF50" i="3"/>
  <c r="BG5" i="4" a="1"/>
  <c r="Q23" i="2"/>
  <c r="BJ11" i="4" a="1"/>
  <c r="R15" i="2"/>
  <c r="DH14" i="4" a="1"/>
  <c r="N16" i="2"/>
  <c r="AV9" i="4" a="1"/>
  <c r="U18" i="2"/>
  <c r="F27" i="3"/>
  <c r="S6" i="2"/>
  <c r="AH46" i="3"/>
  <c r="V20" i="2"/>
  <c r="D9" i="4" a="1"/>
  <c r="BQ7" i="4" a="1"/>
  <c r="X28" i="2"/>
  <c r="BA5" i="4" a="1"/>
  <c r="CX8" i="4" a="1"/>
  <c r="ED16" i="4" a="1"/>
  <c r="L17" i="2"/>
  <c r="J5" i="4" a="1"/>
  <c r="CD12" i="4" a="1"/>
  <c r="AA46" i="3"/>
  <c r="AD10" i="3"/>
  <c r="AX16" i="4" a="1"/>
  <c r="DW5" i="4" a="1"/>
  <c r="CS11" i="4" a="1"/>
  <c r="EK13" i="4" a="1"/>
  <c r="CA9" i="4" a="1"/>
  <c r="CW11" i="4" a="1"/>
  <c r="L12" i="4" a="1"/>
  <c r="AD6" i="4" a="1"/>
  <c r="E27" i="2"/>
  <c r="G7" i="4" a="1"/>
  <c r="AD15" i="4" a="1"/>
  <c r="E8" i="4" a="1"/>
  <c r="DO5" i="4" a="1"/>
  <c r="J13" i="4" a="1"/>
  <c r="DU6" i="4" a="1"/>
  <c r="CM6" i="4" a="1"/>
  <c r="DL16" i="4" a="1"/>
  <c r="T5" i="4" a="1"/>
  <c r="BU16" i="4" a="1"/>
  <c r="N8" i="4" a="1"/>
  <c r="CN15" i="4" a="1"/>
  <c r="BA11" i="4" a="1"/>
  <c r="AD18" i="3"/>
  <c r="AC6" i="4" a="1"/>
  <c r="AV5" i="4" a="1"/>
  <c r="J46" i="3"/>
  <c r="EA8" i="4" a="1"/>
  <c r="AY5" i="4" a="1"/>
  <c r="EB11" i="4" a="1"/>
  <c r="BP16" i="4" a="1"/>
  <c r="BR9" i="4" a="1"/>
  <c r="CO12" i="4" a="1"/>
  <c r="D35" i="3"/>
  <c r="P5" i="4" a="1"/>
  <c r="G16" i="4" a="1"/>
  <c r="AH11" i="4" a="1"/>
  <c r="AY14" i="4" a="1"/>
  <c r="AW8" i="4" a="1"/>
  <c r="AO6" i="4" a="1"/>
  <c r="BW5" i="4" a="1"/>
  <c r="AP7" i="4" a="1"/>
  <c r="AL9" i="4" a="1"/>
  <c r="BL6" i="4" a="1"/>
  <c r="X15" i="4" a="1"/>
  <c r="K8" i="4" a="1"/>
  <c r="P7" i="2"/>
  <c r="AC5" i="4" a="1"/>
  <c r="CK7" i="4" a="1"/>
  <c r="EH12" i="4" a="1"/>
  <c r="CH16" i="4" a="1"/>
  <c r="N5" i="4" a="1"/>
  <c r="P35" i="2"/>
  <c r="DZ15" i="4" a="1"/>
  <c r="AW16" i="4" a="1"/>
  <c r="CB6" i="4" a="1"/>
  <c r="P9" i="4" a="1"/>
  <c r="DQ6" i="4" a="1"/>
  <c r="BC11" i="4" a="1"/>
  <c r="AB8" i="4" a="1"/>
  <c r="EC9" i="4" a="1"/>
  <c r="AZ16" i="4" a="1"/>
  <c r="DR13" i="4" a="1"/>
  <c r="CV14" i="4" a="1"/>
  <c r="F39" i="3"/>
  <c r="DT13" i="4" a="1"/>
  <c r="F5" i="3"/>
  <c r="AD65" i="3"/>
  <c r="F80" i="3"/>
  <c r="G89" i="3"/>
  <c r="G79" i="3"/>
  <c r="F50" i="3"/>
  <c r="AD83" i="3"/>
  <c r="AD66" i="3"/>
  <c r="F78" i="3"/>
  <c r="F69" i="3"/>
  <c r="F87" i="3"/>
  <c r="G80" i="3"/>
  <c r="G91" i="3"/>
  <c r="AD69" i="3"/>
  <c r="G74" i="3"/>
  <c r="G77" i="3"/>
  <c r="G78" i="3"/>
  <c r="G59" i="3"/>
  <c r="AD96" i="3"/>
  <c r="DL7" i="4" a="1"/>
  <c r="BN5" i="4" a="1"/>
  <c r="R5" i="4" a="1"/>
  <c r="AF12" i="4" a="1"/>
  <c r="CB5" i="4" a="1"/>
  <c r="M16" i="4" a="1"/>
  <c r="BW9" i="4" a="1"/>
  <c r="DR9" i="4" a="1"/>
  <c r="AO15" i="4" a="1"/>
  <c r="BX15" i="4" a="1"/>
  <c r="DE11" i="4" a="1"/>
  <c r="EB13" i="4" a="1"/>
  <c r="H5" i="4" a="1"/>
  <c r="H11" i="4" a="1"/>
  <c r="AK12" i="4" a="1"/>
  <c r="AM8" i="4" a="1"/>
  <c r="CC14" i="4" a="1"/>
  <c r="CO16" i="4" a="1"/>
  <c r="F75" i="3"/>
  <c r="BE8" i="4" a="1"/>
  <c r="CZ12" i="4" a="1"/>
  <c r="BV7" i="4" a="1"/>
  <c r="CN14" i="4" a="1"/>
  <c r="X29" i="2"/>
  <c r="AV16" i="4" a="1"/>
  <c r="V10" i="2"/>
  <c r="D19" i="2"/>
  <c r="BY6" i="4" a="1"/>
  <c r="BK9" i="4" a="1"/>
  <c r="AU6" i="4" a="1"/>
  <c r="AE13" i="4" a="1"/>
  <c r="CZ6" i="4" a="1"/>
  <c r="AR40" i="3"/>
  <c r="CE9" i="4" a="1"/>
  <c r="EF15" i="4" a="1"/>
  <c r="G76" i="3"/>
  <c r="M10" i="2"/>
  <c r="G25" i="3"/>
  <c r="O27" i="2"/>
  <c r="H17" i="2"/>
  <c r="AR97" i="3"/>
  <c r="AF9" i="4" a="1"/>
  <c r="E11" i="2"/>
  <c r="CZ16" i="4" a="1"/>
  <c r="H21" i="2"/>
  <c r="J16" i="4" a="1"/>
  <c r="L22" i="2"/>
  <c r="D14" i="4" a="1"/>
  <c r="Q33" i="2"/>
  <c r="D41" i="3"/>
  <c r="I30" i="2"/>
  <c r="DV7" i="4" a="1"/>
  <c r="E20" i="2"/>
  <c r="DS5" i="4" a="1"/>
  <c r="BK6" i="4" a="1"/>
  <c r="U27" i="2"/>
  <c r="CF6" i="4" a="1"/>
  <c r="CE14" i="4" a="1"/>
  <c r="CY15" i="4" a="1"/>
  <c r="T30" i="2"/>
  <c r="DC12" i="4" a="1"/>
  <c r="DS16" i="4" a="1"/>
  <c r="G11" i="3"/>
  <c r="E37" i="3"/>
  <c r="U5" i="4" a="1"/>
  <c r="BU14" i="4" a="1"/>
  <c r="CC12" i="4" a="1"/>
  <c r="S13" i="4" a="1"/>
  <c r="W8" i="4" a="1"/>
  <c r="AW13" i="4" a="1"/>
  <c r="K13" i="4" a="1"/>
  <c r="BC7" i="4" a="1"/>
  <c r="G18" i="2"/>
  <c r="EH8" i="4" a="1"/>
  <c r="AE14" i="4" a="1"/>
  <c r="AP8" i="4" a="1"/>
  <c r="DU7" i="4" a="1"/>
  <c r="BF5" i="4" a="1"/>
  <c r="CR11" i="4" a="1"/>
  <c r="U9" i="4" a="1"/>
  <c r="BW13" i="4" a="1"/>
  <c r="CC7" i="4" a="1"/>
  <c r="DC6" i="4" a="1"/>
  <c r="O23" i="2"/>
  <c r="DO6" i="4" a="1"/>
  <c r="CB16" i="4" a="1"/>
  <c r="EJ14" i="4" a="1"/>
  <c r="AR8" i="4" a="1"/>
  <c r="AP13" i="4" a="1"/>
  <c r="D12" i="3"/>
  <c r="CS12" i="4" a="1"/>
  <c r="DC11" i="4" a="1"/>
  <c r="O12" i="4" a="1"/>
  <c r="AS5" i="4" a="1"/>
  <c r="CR15" i="4" a="1"/>
  <c r="DK11" i="4" a="1"/>
  <c r="W11" i="4" a="1"/>
  <c r="CH5" i="4" a="1"/>
  <c r="AE8" i="4" a="1"/>
  <c r="DB15" i="4" a="1"/>
  <c r="CV11" i="4" a="1"/>
  <c r="DS9" i="4" a="1"/>
  <c r="CE15" i="4" a="1"/>
  <c r="DV14" i="4" a="1"/>
  <c r="Y11" i="4" a="1"/>
  <c r="AR14" i="4" a="1"/>
  <c r="CK11" i="4" a="1"/>
  <c r="DW13" i="4" a="1"/>
  <c r="DK12" i="4" a="1"/>
  <c r="T9" i="2"/>
  <c r="AV12" i="4" a="1"/>
  <c r="BQ13" i="4" a="1"/>
  <c r="EI15" i="4" a="1"/>
  <c r="CD6" i="4" a="1"/>
  <c r="BE13" i="4" a="1"/>
  <c r="K27" i="2"/>
  <c r="CC9" i="4" a="1"/>
  <c r="AQ6" i="4" a="1"/>
  <c r="BI12" i="4" a="1"/>
  <c r="CQ8" i="4" a="1"/>
  <c r="W14" i="4" a="1"/>
  <c r="DP13" i="4" a="1"/>
  <c r="EG13" i="4" a="1"/>
  <c r="DC14" i="4" a="1"/>
  <c r="BX7" i="4" a="1"/>
  <c r="EH14" i="4" a="1"/>
  <c r="DN5" i="4" a="1"/>
  <c r="AR14" i="3"/>
  <c r="DN8" i="4" a="1"/>
  <c r="AO8" i="4" a="1"/>
  <c r="G57" i="3"/>
  <c r="F91" i="3"/>
  <c r="AD95" i="3"/>
  <c r="X9" i="4" a="1"/>
  <c r="EK11" i="4" a="1"/>
  <c r="E26" i="3"/>
  <c r="DE6" i="4" a="1"/>
  <c r="CH7" i="4" a="1"/>
  <c r="DF5" i="4" a="1"/>
  <c r="BZ12" i="4" a="1"/>
  <c r="BG14" i="4" a="1"/>
  <c r="BK15" i="4" a="1"/>
  <c r="S12" i="4" a="1"/>
  <c r="DB5" i="4" a="1"/>
  <c r="R26" i="2"/>
  <c r="DQ15" i="4" a="1"/>
  <c r="AO16" i="4" a="1"/>
  <c r="J9" i="4" a="1"/>
  <c r="DP8" i="4" a="1"/>
  <c r="DR14" i="4" a="1"/>
  <c r="E35" i="3"/>
  <c r="AQ16" i="4" a="1"/>
  <c r="CE8" i="4" a="1"/>
  <c r="DW11" i="4" a="1"/>
  <c r="AP16" i="4" a="1"/>
  <c r="DI6" i="4" a="1"/>
  <c r="EG9" i="4" a="1"/>
  <c r="CY8" i="4" a="1"/>
  <c r="M31" i="2"/>
  <c r="AF11" i="4" a="1"/>
  <c r="BP13" i="4" a="1"/>
  <c r="F68" i="3"/>
  <c r="G75" i="3"/>
  <c r="C36" i="2"/>
  <c r="H28" i="2"/>
  <c r="H18" i="2"/>
  <c r="X24" i="2"/>
  <c r="AR28" i="3"/>
  <c r="O7" i="2"/>
  <c r="EC14" i="4" a="1"/>
  <c r="C12" i="4" a="1"/>
  <c r="DU12" i="4" a="1"/>
  <c r="F82" i="3"/>
  <c r="F94" i="3"/>
  <c r="AR73" i="3"/>
  <c r="K8" i="2"/>
  <c r="K34" i="2"/>
  <c r="J8" i="2"/>
  <c r="AP15" i="4" a="1"/>
  <c r="K43" i="2"/>
  <c r="DG13" i="4" a="1"/>
  <c r="K6" i="2"/>
  <c r="BE15" i="4" a="1"/>
  <c r="AR89" i="3"/>
  <c r="S11" i="4" a="1"/>
  <c r="N10" i="2"/>
  <c r="F11" i="4" a="1"/>
  <c r="L26" i="2"/>
  <c r="DU8" i="4" a="1"/>
  <c r="X26" i="2"/>
  <c r="F13" i="4" a="1"/>
  <c r="AE7" i="4" a="1"/>
  <c r="W46" i="2"/>
  <c r="V16" i="4" a="1"/>
  <c r="EK9" i="4" a="1"/>
  <c r="DG11" i="4" a="1"/>
  <c r="G14" i="2"/>
  <c r="DL13" i="4" a="1"/>
  <c r="DT5" i="4" a="1"/>
  <c r="U19" i="2"/>
  <c r="Y5" i="4" a="1"/>
  <c r="X27" i="2"/>
  <c r="EK12" i="4" a="1"/>
  <c r="BD13" i="4" a="1"/>
  <c r="X19" i="2"/>
  <c r="F56" i="3"/>
  <c r="F16" i="2"/>
  <c r="Q31" i="2"/>
  <c r="EK7" i="4" a="1"/>
  <c r="BU7" i="4" a="1"/>
  <c r="W35" i="2"/>
  <c r="BW8" i="4" a="1"/>
  <c r="DY14" i="4" a="1"/>
  <c r="EI13" i="4" a="1"/>
  <c r="BD15" i="4" a="1"/>
  <c r="AB15" i="4" a="1"/>
  <c r="AB16" i="4" a="1"/>
  <c r="AZ11" i="4" a="1"/>
  <c r="E10" i="2"/>
  <c r="E11" i="4" a="1"/>
  <c r="AQ8" i="4" a="1"/>
  <c r="DN16" i="4" a="1"/>
  <c r="R34" i="2"/>
  <c r="D31" i="2"/>
  <c r="DA6" i="4" a="1"/>
  <c r="F62" i="3"/>
  <c r="F65" i="3"/>
  <c r="L24" i="2"/>
  <c r="CU8" i="4" a="1"/>
  <c r="BF11" i="4" a="1"/>
  <c r="U33" i="2"/>
  <c r="BU13" i="4" a="1"/>
  <c r="V35" i="2"/>
  <c r="CK16" i="4" a="1"/>
  <c r="AR67" i="3"/>
  <c r="G26" i="2"/>
  <c r="BN7" i="4" a="1"/>
  <c r="S36" i="2"/>
  <c r="AR13" i="3"/>
  <c r="V33" i="2"/>
  <c r="AR9" i="3"/>
  <c r="J10" i="2"/>
  <c r="E14" i="3"/>
  <c r="AH15" i="4" a="1"/>
  <c r="H25" i="2"/>
  <c r="D34" i="2"/>
  <c r="J23" i="2"/>
  <c r="M14" i="2"/>
  <c r="K15" i="4" a="1"/>
  <c r="AM46" i="3"/>
  <c r="BW12" i="4" a="1"/>
  <c r="CI14" i="4" a="1"/>
  <c r="DP6" i="4" a="1"/>
  <c r="N6" i="2"/>
  <c r="BJ8" i="4" a="1"/>
  <c r="AC45" i="3"/>
  <c r="AS13" i="4" a="1"/>
  <c r="D29" i="2"/>
  <c r="Q27" i="2"/>
  <c r="BS12" i="4" a="1"/>
  <c r="DI13" i="4" a="1"/>
  <c r="AO13" i="4" a="1"/>
  <c r="AS12" i="4" a="1"/>
  <c r="AS6" i="4" a="1"/>
  <c r="CV13" i="4" a="1"/>
  <c r="DM9" i="4" a="1"/>
  <c r="CM14" i="4" a="1"/>
  <c r="AW5" i="4" a="1"/>
  <c r="N13" i="4" a="1"/>
  <c r="BY9" i="4" a="1"/>
  <c r="EJ11" i="4" a="1"/>
  <c r="Q30" i="2"/>
  <c r="DW14" i="4" a="1"/>
  <c r="AR13" i="4" a="1"/>
  <c r="C46" i="3"/>
  <c r="EA9" i="4" a="1"/>
  <c r="CZ5" i="4" a="1"/>
  <c r="CZ7" i="4" a="1"/>
  <c r="AL11" i="4" a="1"/>
  <c r="U46" i="3"/>
  <c r="DD11" i="4" a="1"/>
  <c r="J32" i="2"/>
  <c r="AD7" i="4" a="1"/>
  <c r="AE15" i="4" a="1"/>
  <c r="H26" i="2"/>
  <c r="AO11" i="4" a="1"/>
  <c r="DT11" i="4" a="1"/>
  <c r="AN12" i="4" a="1"/>
  <c r="BS7" i="4" a="1"/>
  <c r="BZ16" i="4" a="1"/>
  <c r="BS9" i="4" a="1"/>
  <c r="Q16" i="2"/>
  <c r="C13" i="4" a="1"/>
  <c r="O5" i="4" a="1"/>
  <c r="DS8" i="4" a="1"/>
  <c r="H13" i="4" a="1"/>
  <c r="J7" i="2"/>
  <c r="CJ14" i="4" a="1"/>
  <c r="EI8" i="4" a="1"/>
  <c r="BE6" i="4" a="1"/>
  <c r="EF9" i="4" a="1"/>
  <c r="EE7" i="4" a="1"/>
  <c r="AM12" i="4" a="1"/>
  <c r="CB7" i="4" a="1"/>
  <c r="DZ9" i="4" a="1"/>
  <c r="CJ11" i="4" a="1"/>
  <c r="N15" i="4" a="1"/>
  <c r="AD14" i="4" a="1"/>
  <c r="CU13" i="4" a="1"/>
  <c r="BQ12" i="4" a="1"/>
  <c r="DH5" i="4" a="1"/>
  <c r="E5" i="4" a="1"/>
  <c r="CD7" i="4" a="1"/>
  <c r="CK5" i="4" a="1"/>
  <c r="I21" i="2"/>
  <c r="BR14" i="4" a="1"/>
  <c r="BK5" i="4" a="1"/>
  <c r="C59" i="2"/>
  <c r="M14" i="4" a="1"/>
  <c r="X16" i="4" a="1"/>
  <c r="DE13" i="4" a="1"/>
  <c r="M46" i="3"/>
  <c r="AJ5" i="4" a="1"/>
  <c r="CM15" i="4" a="1"/>
  <c r="CV16" i="4" a="1"/>
  <c r="K11" i="4" a="1"/>
  <c r="G73" i="3"/>
  <c r="AD84" i="3"/>
  <c r="D87" i="3"/>
  <c r="AD94" i="3"/>
  <c r="G97" i="3"/>
  <c r="AD73" i="3"/>
  <c r="AD74" i="3"/>
  <c r="G63" i="3"/>
  <c r="F81" i="3"/>
  <c r="AD88" i="3"/>
  <c r="G88" i="3"/>
  <c r="D63" i="3"/>
  <c r="BF15" i="4" a="1"/>
  <c r="BO11" i="4" a="1"/>
  <c r="AD92" i="3"/>
  <c r="ED6" i="4" a="1"/>
  <c r="Y14" i="4" a="1"/>
  <c r="M9" i="2"/>
  <c r="DW9" i="4" a="1"/>
  <c r="CG7" i="4" a="1"/>
  <c r="AD60" i="3"/>
  <c r="F90" i="3"/>
  <c r="F76" i="3"/>
  <c r="EF5" i="4" a="1"/>
  <c r="BY5" i="4" a="1"/>
  <c r="V36" i="2"/>
  <c r="DI15" i="4" a="1"/>
  <c r="CF9" i="4" a="1"/>
  <c r="L28" i="2"/>
  <c r="AR61" i="3"/>
  <c r="O24" i="2"/>
  <c r="U11" i="2"/>
  <c r="DJ6" i="4" a="1"/>
  <c r="BB16" i="4" a="1"/>
  <c r="R29" i="2"/>
  <c r="AJ11" i="4" a="1"/>
  <c r="AV6" i="4" a="1"/>
  <c r="BO12" i="4" a="1"/>
  <c r="AS16" i="4" a="1"/>
  <c r="I25" i="2"/>
  <c r="CW16" i="4" a="1"/>
  <c r="DX5" i="4" a="1"/>
  <c r="AK15" i="4" a="1"/>
  <c r="AA13" i="4" a="1"/>
  <c r="CP7" i="4" a="1"/>
  <c r="EA16" i="4" a="1"/>
  <c r="S8" i="4" a="1"/>
  <c r="F9" i="4" a="1"/>
  <c r="DE7" i="4" a="1"/>
  <c r="F20" i="3"/>
  <c r="E7" i="4" a="1"/>
  <c r="BM7" i="4" a="1"/>
  <c r="CA13" i="4" a="1"/>
  <c r="EA5" i="4" a="1"/>
  <c r="D16" i="4" a="1"/>
  <c r="DS15" i="4" a="1"/>
  <c r="AX12" i="4" a="1"/>
  <c r="G55" i="3"/>
  <c r="D73" i="3"/>
  <c r="G60" i="3"/>
  <c r="D66" i="3"/>
  <c r="AD71" i="3"/>
  <c r="AD70" i="3"/>
  <c r="D88" i="3"/>
  <c r="BE16" i="4" a="1"/>
  <c r="I16" i="4" a="1"/>
  <c r="DZ14" i="4" a="1"/>
  <c r="X8" i="4" a="1"/>
  <c r="CL8" i="4" a="1"/>
  <c r="AA11" i="4" a="1"/>
  <c r="AA14" i="4" a="1"/>
  <c r="AD64" i="3"/>
  <c r="O15" i="2"/>
  <c r="AT16" i="4" a="1"/>
  <c r="DH12" i="4" a="1"/>
  <c r="AD85" i="3"/>
  <c r="CB12" i="4" a="1"/>
  <c r="CK9" i="4" a="1"/>
  <c r="AE5" i="4" a="1"/>
  <c r="W7" i="4" a="1"/>
  <c r="F63" i="3"/>
  <c r="O29" i="2"/>
  <c r="E5" i="3"/>
  <c r="V25" i="2"/>
  <c r="O12" i="2"/>
  <c r="DH6" i="4" a="1"/>
  <c r="BK11" i="4" a="1"/>
  <c r="N35" i="2"/>
  <c r="EC6" i="4" a="1"/>
  <c r="CL7" i="4" a="1"/>
  <c r="EK8" i="4" a="1"/>
  <c r="AP6" i="4" a="1"/>
  <c r="V19" i="2"/>
  <c r="F5" i="4" a="1"/>
  <c r="DO8" i="4" a="1"/>
  <c r="BQ15" i="4" a="1"/>
  <c r="AS9" i="4" a="1"/>
  <c r="EJ6" i="4" a="1"/>
  <c r="AR9" i="4" a="1"/>
  <c r="EF12" i="4" a="1"/>
  <c r="J12" i="4" a="1"/>
  <c r="CI9" i="4" a="1"/>
  <c r="EJ16" i="4" a="1"/>
  <c r="BC6" i="4" a="1"/>
  <c r="CN5" i="4" a="1"/>
  <c r="BA16" i="4" a="1"/>
  <c r="V6" i="4" a="1"/>
  <c r="EA14" i="4" a="1"/>
  <c r="AN7" i="4" a="1"/>
  <c r="AY15" i="4" a="1"/>
  <c r="E69" i="3"/>
  <c r="F49" i="3"/>
  <c r="F88" i="3"/>
  <c r="F60" i="3"/>
  <c r="R45" i="3"/>
  <c r="CL5" i="4" a="1"/>
  <c r="DU14" i="4" a="1"/>
  <c r="D82" i="3"/>
  <c r="E67" i="3"/>
  <c r="D72" i="3"/>
  <c r="G96" i="3"/>
  <c r="D75" i="3"/>
  <c r="E78" i="3"/>
  <c r="CS14" i="4" a="1"/>
  <c r="CO11" i="4" a="1"/>
  <c r="AV7" i="4" a="1"/>
  <c r="EG11" i="4" a="1"/>
  <c r="M6" i="2"/>
  <c r="AD62" i="3"/>
  <c r="AD87" i="3"/>
  <c r="E33" i="3"/>
  <c r="CF13" i="4" a="1"/>
  <c r="EA12" i="4" a="1"/>
  <c r="BR15" i="4" a="1"/>
  <c r="BO8" i="4" a="1"/>
  <c r="T11" i="4" a="1"/>
  <c r="AD79" i="3"/>
  <c r="EF8" i="4" a="1"/>
  <c r="CU12" i="4" a="1"/>
  <c r="AE16" i="4" a="1"/>
  <c r="CX16" i="4" a="1"/>
  <c r="AM6" i="4" a="1"/>
  <c r="F79" i="3"/>
  <c r="H27" i="2"/>
  <c r="DW12" i="4" a="1"/>
  <c r="AR11" i="4" a="1"/>
  <c r="G13" i="4" a="1"/>
  <c r="CF11" i="4" a="1"/>
  <c r="EB15" i="4" a="1"/>
  <c r="E13" i="4" a="1"/>
  <c r="D97" i="3"/>
  <c r="E18" i="2"/>
  <c r="N12" i="2"/>
  <c r="F18" i="3"/>
  <c r="AR24" i="3"/>
  <c r="J15" i="2"/>
  <c r="AN13" i="4" a="1"/>
  <c r="DK14" i="4" a="1"/>
  <c r="Q8" i="2"/>
  <c r="W16" i="4" a="1"/>
  <c r="BU11" i="4" a="1"/>
  <c r="BS16" i="4" a="1"/>
  <c r="H8" i="2"/>
  <c r="O14" i="2"/>
  <c r="CZ13" i="4" a="1"/>
  <c r="EK14" i="4" a="1"/>
  <c r="CE13" i="4" a="1"/>
  <c r="AU5" i="4" a="1"/>
  <c r="BL14" i="4" a="1"/>
  <c r="CQ15" i="4" a="1"/>
  <c r="Q6" i="4" a="1"/>
  <c r="DX14" i="4" a="1"/>
  <c r="BI11" i="4" a="1"/>
  <c r="CR6" i="4" a="1"/>
  <c r="EB14" i="4" a="1"/>
  <c r="T11" i="2"/>
  <c r="E17" i="2"/>
  <c r="CI12" i="4" a="1"/>
  <c r="EE8" i="4" a="1"/>
  <c r="P8" i="4" a="1"/>
  <c r="BP6" i="4" a="1"/>
  <c r="D70" i="3"/>
  <c r="G71" i="3"/>
  <c r="E56" i="3"/>
  <c r="D58" i="3"/>
  <c r="E61" i="3"/>
  <c r="AD90" i="3"/>
  <c r="G15" i="4" a="1"/>
  <c r="D5" i="2"/>
  <c r="I15" i="4" a="1"/>
  <c r="E91" i="3"/>
  <c r="G67" i="3"/>
  <c r="AD76" i="3"/>
  <c r="AD54" i="3"/>
  <c r="AD91" i="3"/>
  <c r="G65" i="3"/>
  <c r="G8" i="2"/>
  <c r="BR16" i="4" a="1"/>
  <c r="BW15" i="4" a="1"/>
  <c r="O13" i="4" a="1"/>
  <c r="Z16" i="4" a="1"/>
  <c r="DF8" i="4" a="1"/>
  <c r="AD59" i="3"/>
  <c r="AJ8" i="4" a="1"/>
  <c r="T9" i="4" a="1"/>
  <c r="AT13" i="4" a="1"/>
  <c r="R19" i="2"/>
  <c r="DU9" i="4" a="1"/>
  <c r="G68" i="3"/>
  <c r="L35" i="2"/>
  <c r="BN8" i="4" a="1"/>
  <c r="Q17" i="2"/>
  <c r="BI16" i="4" a="1"/>
  <c r="DL11" i="4" a="1"/>
  <c r="AK7" i="4" a="1"/>
  <c r="AR75" i="3"/>
  <c r="X12" i="2"/>
  <c r="T7" i="4" a="1"/>
  <c r="N31" i="2"/>
  <c r="AC7" i="4" a="1"/>
  <c r="N11" i="4" a="1"/>
  <c r="EA13" i="4" a="1"/>
  <c r="BO16" i="4" a="1"/>
  <c r="BE14" i="4" a="1"/>
  <c r="L33" i="2"/>
  <c r="CO5" i="4" a="1"/>
  <c r="AP14" i="4" a="1"/>
  <c r="BN12" i="4" a="1"/>
  <c r="BX11" i="4" a="1"/>
  <c r="AA9" i="4" a="1"/>
  <c r="BH14" i="4" a="1"/>
  <c r="DD13" i="4" a="1"/>
  <c r="F95" i="3"/>
  <c r="G85" i="3"/>
  <c r="D80" i="3"/>
  <c r="G72" i="3"/>
  <c r="AD8" i="3"/>
  <c r="DK7" i="4" a="1"/>
  <c r="AS11" i="4" a="1"/>
  <c r="CL15" i="4" a="1"/>
  <c r="DB7" i="4" a="1"/>
  <c r="S9" i="4" a="1"/>
  <c r="E60" i="3"/>
  <c r="E28" i="3"/>
  <c r="L11" i="4" a="1"/>
  <c r="AA45" i="3"/>
  <c r="BA14" i="4" a="1"/>
  <c r="DF14" i="4" a="1"/>
  <c r="AD93" i="3"/>
  <c r="F67" i="3"/>
  <c r="I35" i="2"/>
  <c r="BN14" i="4" a="1"/>
  <c r="DJ11" i="4" a="1"/>
  <c r="DM5" i="4" a="1"/>
  <c r="G70" i="3"/>
  <c r="N24" i="2"/>
  <c r="AH7" i="4" a="1"/>
  <c r="L46" i="3"/>
  <c r="CP16" i="4" a="1"/>
  <c r="AQ7" i="4" a="1"/>
  <c r="K15" i="2"/>
  <c r="E54" i="3"/>
  <c r="S35" i="2"/>
  <c r="X8" i="2"/>
  <c r="L14" i="4" a="1"/>
  <c r="F16" i="3"/>
  <c r="F57" i="3"/>
  <c r="X34" i="2"/>
  <c r="DW6" i="4" a="1"/>
  <c r="CP13" i="4" a="1"/>
  <c r="EE16" i="4" a="1"/>
  <c r="K14" i="2"/>
  <c r="D13" i="3"/>
  <c r="AH8" i="4" a="1"/>
  <c r="H10" i="2"/>
  <c r="AI12" i="4" a="1"/>
  <c r="CY14" i="4" a="1"/>
  <c r="I13" i="4" a="1"/>
  <c r="CZ9" i="4" a="1"/>
  <c r="AA5" i="4" a="1"/>
  <c r="S9" i="2"/>
  <c r="K6" i="4" a="1"/>
  <c r="DY5" i="4" a="1"/>
  <c r="AN16" i="4" a="1"/>
  <c r="CS16" i="4" a="1"/>
  <c r="CX11" i="4" a="1"/>
  <c r="D29" i="3"/>
  <c r="DV13" i="4" a="1"/>
  <c r="AI11" i="4" a="1"/>
  <c r="I9" i="4" a="1"/>
  <c r="AH9" i="4" a="1"/>
  <c r="BQ6" i="4" a="1"/>
  <c r="AF14" i="4" a="1"/>
  <c r="ED13" i="4" a="1"/>
  <c r="BV15" i="4" a="1"/>
  <c r="E95" i="3"/>
  <c r="F47" i="3"/>
  <c r="EF14" i="4" a="1"/>
  <c r="D71" i="3"/>
  <c r="G30" i="3"/>
  <c r="BG9" i="4" a="1"/>
  <c r="AI6" i="4" a="1"/>
  <c r="AJ46" i="3"/>
  <c r="D85" i="3"/>
  <c r="CU11" i="4" a="1"/>
  <c r="EG8" i="4" a="1"/>
  <c r="EG16" i="4" a="1"/>
  <c r="Q8" i="4" a="1"/>
  <c r="CQ16" i="4" a="1"/>
  <c r="P23" i="2"/>
  <c r="D57" i="3"/>
  <c r="G82" i="3"/>
  <c r="CR9" i="4" a="1"/>
  <c r="BK13" i="4" a="1"/>
  <c r="CT14" i="4" a="1"/>
  <c r="EI5" i="4" a="1"/>
  <c r="E77" i="3"/>
  <c r="K23" i="2"/>
  <c r="AX5" i="4" a="1"/>
  <c r="EK6" i="4" a="1"/>
  <c r="CC8" i="4" a="1"/>
  <c r="DU5" i="4" a="1"/>
  <c r="J15" i="4" a="1"/>
  <c r="EI11" i="4" a="1"/>
  <c r="E70" i="3"/>
  <c r="F92" i="3"/>
  <c r="C20" i="2"/>
  <c r="X7" i="4" a="1"/>
  <c r="C14" i="4" a="1"/>
  <c r="AU8" i="4" a="1"/>
  <c r="DJ16" i="4" a="1"/>
  <c r="M6" i="4" a="1"/>
  <c r="CH15" i="4" a="1"/>
  <c r="BH11" i="4" a="1"/>
  <c r="AG6" i="4" a="1"/>
  <c r="K35" i="2"/>
  <c r="F27" i="2"/>
  <c r="EI6" i="4" a="1"/>
  <c r="BQ11" i="4" a="1"/>
  <c r="D14" i="2"/>
  <c r="AR15" i="3"/>
  <c r="DM15" i="4" a="1"/>
  <c r="M24" i="2"/>
  <c r="CH9" i="4" a="1"/>
  <c r="EF6" i="4" a="1"/>
  <c r="U14" i="4" a="1"/>
  <c r="AN15" i="4" a="1"/>
  <c r="DN13" i="4" a="1"/>
  <c r="U13" i="2"/>
  <c r="K7" i="2"/>
  <c r="DC8" i="4" a="1"/>
  <c r="AT12" i="4" a="1"/>
  <c r="O14" i="4" a="1"/>
  <c r="AM9" i="4" a="1"/>
  <c r="AJ14" i="4" a="1"/>
  <c r="EC5" i="4" a="1"/>
  <c r="D13" i="4" a="1"/>
  <c r="BH9" i="4" a="1"/>
  <c r="BB9" i="4" a="1"/>
  <c r="O25" i="2"/>
  <c r="Q7" i="4" a="1"/>
  <c r="CU15" i="4" a="1"/>
  <c r="DO9" i="4" a="1"/>
  <c r="G83" i="3"/>
  <c r="E66" i="3"/>
  <c r="G69" i="3"/>
  <c r="E92" i="3"/>
  <c r="F17" i="3"/>
  <c r="CO7" i="4" a="1"/>
  <c r="U12" i="2"/>
  <c r="Q36" i="2"/>
  <c r="Z11" i="4" a="1"/>
  <c r="BQ5" i="4" a="1"/>
  <c r="F66" i="3"/>
  <c r="G95" i="3"/>
  <c r="AC16" i="4" a="1"/>
  <c r="AR16" i="3"/>
  <c r="U16" i="4" a="1"/>
  <c r="F14" i="4" a="1"/>
  <c r="V24" i="2"/>
  <c r="E42" i="3"/>
  <c r="DD6" i="4" a="1"/>
  <c r="CP15" i="4" a="1"/>
  <c r="E31" i="3"/>
  <c r="M13" i="2"/>
  <c r="DA12" i="4" a="1"/>
  <c r="DB11" i="4" a="1"/>
  <c r="BE9" i="4" a="1"/>
  <c r="F85" i="3"/>
  <c r="AD82" i="3"/>
  <c r="D79" i="3"/>
  <c r="D10" i="3"/>
  <c r="C13" i="2"/>
  <c r="S7" i="2"/>
  <c r="CG16" i="4" a="1"/>
  <c r="EH13" i="4" a="1"/>
  <c r="Z7" i="4" a="1"/>
  <c r="G15" i="3"/>
  <c r="AR86" i="3"/>
  <c r="U13" i="4" a="1"/>
  <c r="DD5" i="4" a="1"/>
  <c r="BX12" i="4" a="1"/>
  <c r="BB15" i="4" a="1"/>
  <c r="DG6" i="4" a="1"/>
  <c r="E24" i="2"/>
  <c r="V18" i="2"/>
  <c r="CN13" i="4" a="1"/>
  <c r="DE5" i="4" a="1"/>
  <c r="AR6" i="4" a="1"/>
  <c r="AL16" i="4" a="1"/>
  <c r="V14" i="4" a="1"/>
  <c r="AW11" i="4" a="1"/>
  <c r="AK5" i="4" a="1"/>
  <c r="O16" i="4" a="1"/>
  <c r="CL13" i="4" a="1"/>
  <c r="S8" i="2"/>
  <c r="T14" i="4" a="1"/>
  <c r="EB7" i="4" a="1"/>
  <c r="AD89" i="3"/>
  <c r="AV11" i="4" a="1"/>
  <c r="DV6" i="4" a="1"/>
  <c r="K19" i="2"/>
  <c r="I17" i="2"/>
  <c r="Q9" i="4" a="1"/>
  <c r="AD46" i="3"/>
  <c r="G6" i="2"/>
  <c r="CS9" i="4" a="1"/>
  <c r="W15" i="2"/>
  <c r="W9" i="2"/>
  <c r="G58" i="3"/>
  <c r="W23" i="2"/>
  <c r="K59" i="2"/>
  <c r="AS14" i="4" a="1"/>
  <c r="CZ8" i="4" a="1"/>
  <c r="Z12" i="4" a="1"/>
  <c r="CZ14" i="4" a="1"/>
  <c r="F71" i="3"/>
  <c r="F96" i="3"/>
  <c r="F59" i="3"/>
  <c r="F55" i="3"/>
  <c r="F74" i="3"/>
  <c r="F89" i="3"/>
  <c r="F61" i="3"/>
  <c r="F93" i="3"/>
  <c r="F73" i="3"/>
  <c r="F72" i="3"/>
  <c r="F58" i="3"/>
  <c r="F83" i="3"/>
  <c r="F86" i="3"/>
  <c r="F97" i="3"/>
  <c r="F77" i="3"/>
  <c r="E88" i="3"/>
  <c r="E81" i="3"/>
  <c r="E64" i="3"/>
  <c r="E57" i="3"/>
  <c r="G94" i="3" l="1"/>
  <c r="D94" i="3"/>
  <c r="D65" i="3"/>
  <c r="F48" i="3"/>
  <c r="E55" i="3"/>
  <c r="E76" i="3"/>
  <c r="E87" i="3"/>
  <c r="E75" i="3"/>
  <c r="E62" i="3"/>
  <c r="E82" i="3"/>
  <c r="E84" i="3"/>
  <c r="F70" i="3"/>
  <c r="AL148" i="1" s="1"/>
  <c r="F64" i="3"/>
  <c r="AL164" i="1" s="1"/>
  <c r="F84" i="3"/>
  <c r="AL161" i="1" s="1"/>
  <c r="AM161" i="1" s="1"/>
  <c r="F54" i="3"/>
  <c r="D96" i="3"/>
  <c r="AJ178" i="1" s="1"/>
  <c r="AK178" i="1" s="1"/>
  <c r="D76" i="3"/>
  <c r="AJ158" i="1" s="1"/>
  <c r="AK158" i="1" s="1"/>
  <c r="D68" i="3"/>
  <c r="AJ146" i="1" s="1"/>
  <c r="D95" i="3"/>
  <c r="AJ179" i="1" s="1"/>
  <c r="AK179" i="1" s="1"/>
  <c r="D56" i="3"/>
  <c r="AJ132" i="1" s="1"/>
  <c r="D67" i="3"/>
  <c r="D93" i="3"/>
  <c r="D83" i="3"/>
  <c r="AJ175" i="1" s="1"/>
  <c r="D81" i="3"/>
  <c r="AJ159" i="1" s="1"/>
  <c r="D64" i="3"/>
  <c r="AJ164" i="1" s="1"/>
  <c r="AK164" i="1" s="1"/>
  <c r="D77" i="3"/>
  <c r="AJ155" i="1" s="1"/>
  <c r="AK155" i="1" s="1"/>
  <c r="D60" i="3"/>
  <c r="AJ137" i="1" s="1"/>
  <c r="AK137" i="1" s="1"/>
  <c r="D59" i="3"/>
  <c r="D54" i="3"/>
  <c r="D91" i="3"/>
  <c r="AJ169" i="1" s="1"/>
  <c r="AK169" i="1" s="1"/>
  <c r="D78" i="3"/>
  <c r="AJ157" i="1" s="1"/>
  <c r="AK157" i="1" s="1"/>
  <c r="D62" i="3"/>
  <c r="AJ139" i="1" s="1"/>
  <c r="AK139" i="1" s="1"/>
  <c r="D84" i="3"/>
  <c r="AJ161" i="1" s="1"/>
  <c r="AK161" i="1" s="1"/>
  <c r="D61" i="3"/>
  <c r="D86" i="3"/>
  <c r="D55" i="3"/>
  <c r="D90" i="3"/>
  <c r="AJ141" i="1" s="1"/>
  <c r="AK141" i="1" s="1"/>
  <c r="D74" i="3"/>
  <c r="AJ152" i="1" s="1"/>
  <c r="AK152" i="1" s="1"/>
  <c r="D69" i="3"/>
  <c r="AJ147" i="1" s="1"/>
  <c r="D89" i="3"/>
  <c r="AJ168" i="1" s="1"/>
  <c r="D92" i="3"/>
  <c r="AJ170" i="1" s="1"/>
  <c r="AK170" i="1" s="1"/>
  <c r="E86" i="3"/>
  <c r="E89" i="3"/>
  <c r="E90" i="3"/>
  <c r="E65" i="3"/>
  <c r="E83" i="3"/>
  <c r="E58" i="3"/>
  <c r="E79" i="3"/>
  <c r="E96" i="3"/>
  <c r="E85" i="3"/>
  <c r="E63" i="3"/>
  <c r="E94" i="3"/>
  <c r="E72" i="3"/>
  <c r="E59" i="3"/>
  <c r="E80" i="3"/>
  <c r="E74" i="3"/>
  <c r="E71" i="3"/>
  <c r="E93" i="3"/>
  <c r="E73" i="3"/>
  <c r="E97" i="3"/>
  <c r="E68" i="3"/>
  <c r="AL155" i="1"/>
  <c r="AM155" i="1" s="1"/>
  <c r="AM217" i="1" s="1"/>
  <c r="AL175" i="1"/>
  <c r="AL134" i="1"/>
  <c r="AL150" i="1"/>
  <c r="AM150" i="1" s="1"/>
  <c r="AL168" i="1"/>
  <c r="AL152" i="1"/>
  <c r="AM152" i="1" s="1"/>
  <c r="AL178" i="1"/>
  <c r="AM178" i="1" s="1"/>
  <c r="V50" i="1"/>
  <c r="V38" i="1"/>
  <c r="F23" i="1"/>
  <c r="F246" i="1" s="1"/>
  <c r="H36" i="1"/>
  <c r="J37" i="1"/>
  <c r="BJ168" i="1"/>
  <c r="HS16" i="4" s="1"/>
  <c r="U40" i="1"/>
  <c r="AM39" i="1"/>
  <c r="R24" i="1"/>
  <c r="B39" i="1"/>
  <c r="AJ28" i="1"/>
  <c r="BJ160" i="1"/>
  <c r="AL162" i="1"/>
  <c r="AM162" i="1" s="1"/>
  <c r="IG9" i="4" s="1"/>
  <c r="L39" i="1"/>
  <c r="AK66" i="1"/>
  <c r="HU16" i="4" s="1"/>
  <c r="BX35" i="1"/>
  <c r="AL166" i="1"/>
  <c r="AM166" i="1" s="1"/>
  <c r="T30" i="1"/>
  <c r="AL36" i="1"/>
  <c r="N51" i="1"/>
  <c r="IF9" i="4" s="1"/>
  <c r="IH9" i="4" s="1"/>
  <c r="IA9" i="4" s="1"/>
  <c r="J24" i="1"/>
  <c r="T39" i="1"/>
  <c r="BX39" i="1"/>
  <c r="C35" i="1"/>
  <c r="E47" i="1"/>
  <c r="E209" i="1" s="1"/>
  <c r="J66" i="1"/>
  <c r="IZ16" i="4" s="1"/>
  <c r="AL170" i="1"/>
  <c r="AM170" i="1" s="1"/>
  <c r="J50" i="1"/>
  <c r="IT9" i="4" s="1"/>
  <c r="AJ133" i="1"/>
  <c r="AK133" i="1" s="1"/>
  <c r="O50" i="1"/>
  <c r="AJ162" i="1"/>
  <c r="AK162" i="1" s="1"/>
  <c r="HQ9" i="4" s="1"/>
  <c r="AJ54" i="1"/>
  <c r="J35" i="1"/>
  <c r="JG16" i="4" s="1"/>
  <c r="AL133" i="1"/>
  <c r="AM133" i="1" s="1"/>
  <c r="AL35" i="1"/>
  <c r="R66" i="1"/>
  <c r="J38" i="1"/>
  <c r="H66" i="1"/>
  <c r="AK47" i="1"/>
  <c r="AK209" i="1" s="1"/>
  <c r="IX7" i="4" s="1"/>
  <c r="AJ174" i="1"/>
  <c r="AL179" i="1"/>
  <c r="AM179" i="1" s="1"/>
  <c r="HW9" i="4" s="1"/>
  <c r="K61" i="1"/>
  <c r="W30" i="1"/>
  <c r="P36" i="1"/>
  <c r="K66" i="1"/>
  <c r="Q37" i="1"/>
  <c r="BJ169" i="1"/>
  <c r="BK169" i="1" s="1"/>
  <c r="BJ141" i="1"/>
  <c r="BK141" i="1" s="1"/>
  <c r="AJ134" i="1"/>
  <c r="AJ148" i="1"/>
  <c r="D36" i="1"/>
  <c r="S28" i="1"/>
  <c r="N35" i="1"/>
  <c r="I38" i="1"/>
  <c r="AL40" i="1"/>
  <c r="M30" i="1"/>
  <c r="D40" i="1"/>
  <c r="G47" i="1"/>
  <c r="AL158" i="1"/>
  <c r="AM158" i="1" s="1"/>
  <c r="IV16" i="4" s="1"/>
  <c r="BJ158" i="1"/>
  <c r="BK158" i="1" s="1"/>
  <c r="BJ167" i="1"/>
  <c r="BK167" i="1" s="1"/>
  <c r="BJ139" i="1"/>
  <c r="BK139" i="1" s="1"/>
  <c r="L23" i="1"/>
  <c r="AJ150" i="1"/>
  <c r="AK150" i="1" s="1"/>
  <c r="AJ160" i="1"/>
  <c r="AL137" i="1"/>
  <c r="AM137" i="1" s="1"/>
  <c r="AL142" i="1"/>
  <c r="AM142" i="1" s="1"/>
  <c r="AL88" i="1"/>
  <c r="IQ9" i="4" s="1"/>
  <c r="IC9" i="4" s="1"/>
  <c r="U37" i="1"/>
  <c r="M66" i="1"/>
  <c r="N30" i="1"/>
  <c r="U51" i="1"/>
  <c r="U267" i="1" s="1"/>
  <c r="N62" i="1"/>
  <c r="AL140" i="1"/>
  <c r="AM140" i="1" s="1"/>
  <c r="BJ162" i="1"/>
  <c r="BK162" i="1" s="1"/>
  <c r="N38" i="1"/>
  <c r="BJ164" i="1"/>
  <c r="BK164" i="1" s="1"/>
  <c r="HQ16" i="4" s="1"/>
  <c r="IG16" i="4" s="1"/>
  <c r="AJ142" i="1"/>
  <c r="AK142" i="1" s="1"/>
  <c r="BJ148" i="1"/>
  <c r="AJ166" i="1"/>
  <c r="AK166" i="1" s="1"/>
  <c r="AL24" i="1"/>
  <c r="HP9" i="4" s="1"/>
  <c r="H51" i="1"/>
  <c r="IC16" i="4" s="1"/>
  <c r="IC21" i="4" s="1"/>
  <c r="AW92" i="1" s="1"/>
  <c r="Q62" i="1"/>
  <c r="IF16" i="4" s="1"/>
  <c r="T28" i="1"/>
  <c r="IP9" i="4" s="1"/>
  <c r="AL141" i="1"/>
  <c r="AM141" i="1" s="1"/>
  <c r="BJ137" i="1"/>
  <c r="BK137" i="1" s="1"/>
  <c r="BJ170" i="1"/>
  <c r="BK170" i="1" s="1"/>
  <c r="IH15" i="4" s="1"/>
  <c r="AJ140" i="1"/>
  <c r="AK140" i="1" s="1"/>
  <c r="BJ142" i="1"/>
  <c r="BK142" i="1" s="1"/>
  <c r="AL159" i="1"/>
  <c r="BJ152" i="1"/>
  <c r="BK152" i="1" s="1"/>
  <c r="AJ167" i="1"/>
  <c r="AK167" i="1" s="1"/>
  <c r="BJ161" i="1"/>
  <c r="BK161" i="1" s="1"/>
  <c r="HV16" i="4" s="1"/>
  <c r="HS14" i="4" s="1"/>
  <c r="I24" i="1"/>
  <c r="IN16" i="4" s="1"/>
  <c r="I60" i="1"/>
  <c r="P54" i="1"/>
  <c r="JA9" i="4" s="1"/>
  <c r="P47" i="1"/>
  <c r="P209" i="1" s="1"/>
  <c r="C62" i="1"/>
  <c r="M23" i="1"/>
  <c r="M246" i="1" s="1"/>
  <c r="L35" i="1"/>
  <c r="I50" i="1"/>
  <c r="G51" i="1"/>
  <c r="AK38" i="1"/>
  <c r="U61" i="1"/>
  <c r="U66" i="1"/>
  <c r="T61" i="1"/>
  <c r="AL165" i="1"/>
  <c r="AM165" i="1" s="1"/>
  <c r="AL139" i="1"/>
  <c r="AM139" i="1" s="1"/>
  <c r="V66" i="1"/>
  <c r="AL132" i="1"/>
  <c r="AM132" i="1" s="1"/>
  <c r="W37" i="1"/>
  <c r="W47" i="1"/>
  <c r="T37" i="1"/>
  <c r="F35" i="1"/>
  <c r="JI9" i="4" s="1"/>
  <c r="BX168" i="1"/>
  <c r="J23" i="1"/>
  <c r="J246" i="1" s="1"/>
  <c r="J134" i="1"/>
  <c r="AL160" i="1"/>
  <c r="N24" i="1"/>
  <c r="BX47" i="1"/>
  <c r="BX209" i="1" s="1"/>
  <c r="G40" i="1"/>
  <c r="AL146" i="1"/>
  <c r="IB16" i="4" s="1"/>
  <c r="AK61" i="1"/>
  <c r="AK62" i="1"/>
  <c r="HV9" i="4" s="1"/>
  <c r="BJ179" i="1"/>
  <c r="AL169" i="1"/>
  <c r="AM169" i="1" s="1"/>
  <c r="BX38" i="1"/>
  <c r="HV14" i="4" s="1"/>
  <c r="J47" i="1"/>
  <c r="JC9" i="4" s="1"/>
  <c r="AJ29" i="1"/>
  <c r="N50" i="1"/>
  <c r="HU9" i="4" s="1"/>
  <c r="F40" i="1"/>
  <c r="AM30" i="1"/>
  <c r="JC16" i="4" s="1"/>
  <c r="S54" i="1"/>
  <c r="T47" i="1"/>
  <c r="H54" i="1"/>
  <c r="P61" i="1"/>
  <c r="D28" i="1"/>
  <c r="G36" i="1"/>
  <c r="N47" i="1"/>
  <c r="AM51" i="1"/>
  <c r="II9" i="4" s="1"/>
  <c r="C37" i="1"/>
  <c r="ID16" i="4" s="1"/>
  <c r="W62" i="1"/>
  <c r="IS16" i="4" s="1"/>
  <c r="BJ178" i="1"/>
  <c r="BK178" i="1" s="1"/>
  <c r="BJ147" i="1"/>
  <c r="AL167" i="1"/>
  <c r="AM167" i="1" s="1"/>
  <c r="AL147" i="1"/>
  <c r="AL157" i="1"/>
  <c r="AM157" i="1" s="1"/>
  <c r="BJ166" i="1"/>
  <c r="BK166" i="1" s="1"/>
  <c r="BJ175" i="1"/>
  <c r="AL89" i="1"/>
  <c r="AL174" i="1"/>
  <c r="BJ165" i="1"/>
  <c r="BK165" i="1" s="1"/>
  <c r="O66" i="1"/>
  <c r="O24" i="1"/>
  <c r="AJ61" i="1"/>
  <c r="BJ40" i="1"/>
  <c r="D47" i="1"/>
  <c r="D209" i="1" s="1"/>
  <c r="BJ28" i="1"/>
  <c r="K36" i="1"/>
  <c r="R23" i="1"/>
  <c r="R246" i="1" s="1"/>
  <c r="T40" i="1"/>
  <c r="ID9" i="4" s="1"/>
  <c r="Q38" i="1"/>
  <c r="P50" i="1"/>
  <c r="BL89" i="1"/>
  <c r="AJ39" i="1"/>
  <c r="F61" i="1"/>
  <c r="K28" i="1"/>
  <c r="D60" i="1"/>
  <c r="HX16" i="4" s="1"/>
  <c r="B23" i="1"/>
  <c r="B246" i="1" s="1"/>
  <c r="K62" i="1"/>
  <c r="BX40" i="1"/>
  <c r="JG9" i="4" s="1"/>
  <c r="BJ159" i="1"/>
  <c r="L28" i="1"/>
  <c r="M38" i="1"/>
  <c r="BX30" i="1"/>
  <c r="W51" i="1"/>
  <c r="W267" i="1" s="1"/>
  <c r="S30" i="1"/>
  <c r="V54" i="1"/>
  <c r="W28" i="1"/>
  <c r="BJ132" i="1"/>
  <c r="BK132" i="1" s="1"/>
  <c r="AK51" i="1"/>
  <c r="IP15" i="4" s="1"/>
  <c r="IG14" i="4" s="1"/>
  <c r="AM54" i="1"/>
  <c r="BJ155" i="1"/>
  <c r="BK155" i="1" s="1"/>
  <c r="BL217" i="1" s="1"/>
  <c r="BJ134" i="1"/>
  <c r="IM16" i="4" s="1"/>
  <c r="IY9" i="4" s="1"/>
  <c r="IK16" i="4" s="1"/>
  <c r="E35" i="1"/>
  <c r="AK50" i="1"/>
  <c r="HW16" i="4" s="1"/>
  <c r="HW21" i="4" s="1"/>
  <c r="AQ92" i="1" s="1"/>
  <c r="K23" i="1"/>
  <c r="C51" i="1"/>
  <c r="Q50" i="1"/>
  <c r="HY16" i="4" s="1"/>
  <c r="AJ24" i="1"/>
  <c r="T62" i="1"/>
  <c r="AJ62" i="1"/>
  <c r="AJ37" i="1"/>
  <c r="AJ40" i="1"/>
  <c r="D54" i="1"/>
  <c r="E54" i="1"/>
  <c r="AL66" i="1"/>
  <c r="BJ174" i="1"/>
  <c r="BJ176" i="1" s="1"/>
  <c r="BK224" i="1" s="1"/>
  <c r="BJ146" i="1"/>
  <c r="J54" i="1"/>
  <c r="BJ150" i="1"/>
  <c r="BK150" i="1" s="1"/>
  <c r="HU14" i="4" s="1"/>
  <c r="JD9" i="4" s="1"/>
  <c r="BJ140" i="1"/>
  <c r="BK140" i="1" s="1"/>
  <c r="BJ157" i="1"/>
  <c r="BK157" i="1" s="1"/>
  <c r="BJ133" i="1"/>
  <c r="BK133" i="1" s="1"/>
  <c r="AM40" i="1"/>
  <c r="IW16" i="4" s="1"/>
  <c r="I36" i="1"/>
  <c r="JF9" i="4" s="1"/>
  <c r="JD8" i="4" s="1"/>
  <c r="G61" i="1"/>
  <c r="AJ35" i="1"/>
  <c r="V39" i="1"/>
  <c r="BX159" i="1"/>
  <c r="T35" i="1"/>
  <c r="N54" i="1"/>
  <c r="AJ60" i="1"/>
  <c r="AL50" i="1"/>
  <c r="Q60" i="1"/>
  <c r="Q54" i="1"/>
  <c r="V51" i="1"/>
  <c r="V267" i="1" s="1"/>
  <c r="BJ39" i="1"/>
  <c r="AM28" i="1"/>
  <c r="AM50" i="1"/>
  <c r="H35" i="1"/>
  <c r="AK60" i="1"/>
  <c r="N28" i="1"/>
  <c r="C60" i="1"/>
  <c r="U50" i="1"/>
  <c r="B54" i="1"/>
  <c r="AL23" i="1"/>
  <c r="L38" i="1"/>
  <c r="E36" i="1"/>
  <c r="BX141" i="1"/>
  <c r="BY141" i="1" s="1"/>
  <c r="K54" i="1"/>
  <c r="H60" i="1"/>
  <c r="BX37" i="1"/>
  <c r="D23" i="1"/>
  <c r="AM23" i="1"/>
  <c r="AM246" i="1" s="1"/>
  <c r="C50" i="1"/>
  <c r="M62" i="1"/>
  <c r="IW9" i="4" s="1"/>
  <c r="IL9" i="4" s="1"/>
  <c r="V36" i="1"/>
  <c r="IU16" i="4" s="1"/>
  <c r="P175" i="1"/>
  <c r="C28" i="1"/>
  <c r="J61" i="1"/>
  <c r="P168" i="1"/>
  <c r="M28" i="1"/>
  <c r="K40" i="1"/>
  <c r="C38" i="1"/>
  <c r="S36" i="1"/>
  <c r="V61" i="1"/>
  <c r="B36" i="1"/>
  <c r="BX24" i="1"/>
  <c r="C54" i="1"/>
  <c r="E24" i="1"/>
  <c r="Q30" i="1"/>
  <c r="AM36" i="1"/>
  <c r="C47" i="1"/>
  <c r="I62" i="1"/>
  <c r="N60" i="1"/>
  <c r="V37" i="1"/>
  <c r="J28" i="1"/>
  <c r="E23" i="1"/>
  <c r="E246" i="1" s="1"/>
  <c r="F47" i="1"/>
  <c r="F209" i="1" s="1"/>
  <c r="BX28" i="1"/>
  <c r="BY88" i="1"/>
  <c r="D61" i="1"/>
  <c r="G35" i="1"/>
  <c r="V28" i="1"/>
  <c r="JE16" i="4" s="1"/>
  <c r="Q168" i="1"/>
  <c r="BX62" i="1"/>
  <c r="BX165" i="1"/>
  <c r="BY165" i="1" s="1"/>
  <c r="S47" i="1"/>
  <c r="S209" i="1" s="1"/>
  <c r="BX162" i="1"/>
  <c r="BY162" i="1" s="1"/>
  <c r="Q51" i="1"/>
  <c r="F39" i="1"/>
  <c r="P39" i="1"/>
  <c r="N61" i="1"/>
  <c r="BX139" i="1"/>
  <c r="BY139" i="1" s="1"/>
  <c r="O36" i="1"/>
  <c r="N23" i="1"/>
  <c r="N246" i="1" s="1"/>
  <c r="JH9" i="4" s="1"/>
  <c r="JB16" i="4" s="1"/>
  <c r="E37" i="1"/>
  <c r="II16" i="4" s="1"/>
  <c r="JE9" i="4" s="1"/>
  <c r="H37" i="1"/>
  <c r="AL47" i="1"/>
  <c r="AL209" i="1" s="1"/>
  <c r="J40" i="1"/>
  <c r="B35" i="1"/>
  <c r="BX174" i="1"/>
  <c r="W147" i="1"/>
  <c r="JF16" i="4" s="1"/>
  <c r="AK54" i="1"/>
  <c r="Q47" i="1"/>
  <c r="Q209" i="1" s="1"/>
  <c r="V60" i="1"/>
  <c r="W24" i="1"/>
  <c r="W25" i="1" s="1"/>
  <c r="U36" i="1"/>
  <c r="AK39" i="1"/>
  <c r="B38" i="1"/>
  <c r="L30" i="1"/>
  <c r="W50" i="1"/>
  <c r="O47" i="1"/>
  <c r="H62" i="1"/>
  <c r="R61" i="1"/>
  <c r="BX160" i="1"/>
  <c r="M54" i="1"/>
  <c r="AK36" i="1"/>
  <c r="S50" i="1"/>
  <c r="J51" i="1"/>
  <c r="M47" i="1"/>
  <c r="M209" i="1" s="1"/>
  <c r="BJ29" i="1"/>
  <c r="I51" i="1"/>
  <c r="JI16" i="4" s="1"/>
  <c r="IT16" i="4" s="1"/>
  <c r="BJ30" i="1"/>
  <c r="IX16" i="4" s="1"/>
  <c r="JA16" i="4" s="1"/>
  <c r="J60" i="1"/>
  <c r="IK9" i="4" s="1"/>
  <c r="W54" i="1"/>
  <c r="S62" i="1"/>
  <c r="II14" i="4" s="1"/>
  <c r="K47" i="1"/>
  <c r="K209" i="1" s="1"/>
  <c r="K50" i="1"/>
  <c r="B40" i="1"/>
  <c r="AJ23" i="1"/>
  <c r="R37" i="1"/>
  <c r="P24" i="1"/>
  <c r="O35" i="1"/>
  <c r="BJ38" i="1"/>
  <c r="O40" i="1"/>
  <c r="P37" i="1"/>
  <c r="C139" i="1"/>
  <c r="E51" i="1"/>
  <c r="U24" i="1"/>
  <c r="U25" i="1" s="1"/>
  <c r="JH16" i="4" s="1"/>
  <c r="S51" i="1"/>
  <c r="R54" i="1"/>
  <c r="HX15" i="4" s="1"/>
  <c r="AJ47" i="1"/>
  <c r="AJ209" i="1" s="1"/>
  <c r="T60" i="1"/>
  <c r="H40" i="1"/>
  <c r="AL38" i="1"/>
  <c r="M50" i="1"/>
  <c r="D66" i="1"/>
  <c r="BX50" i="1"/>
  <c r="IR9" i="4" s="1"/>
  <c r="D37" i="1"/>
  <c r="HT15" i="4" s="1"/>
  <c r="IY16" i="4" s="1"/>
  <c r="IY21" i="4" s="1"/>
  <c r="BS92" i="1" s="1"/>
  <c r="I28" i="1"/>
  <c r="IE16" i="4" s="1"/>
  <c r="IA16" i="4" s="1"/>
  <c r="IA21" i="4" s="1"/>
  <c r="AU92" i="1" s="1"/>
  <c r="AL39" i="1"/>
  <c r="BJ35" i="1"/>
  <c r="L60" i="1"/>
  <c r="E66" i="1"/>
  <c r="E62" i="1"/>
  <c r="AL62" i="1"/>
  <c r="D24" i="1"/>
  <c r="H28" i="1"/>
  <c r="K60" i="1"/>
  <c r="C61" i="1"/>
  <c r="IX9" i="4" s="1"/>
  <c r="G28" i="1"/>
  <c r="H24" i="1"/>
  <c r="BX133" i="1"/>
  <c r="BY133" i="1" s="1"/>
  <c r="G168" i="1"/>
  <c r="H50" i="1"/>
  <c r="BX161" i="1"/>
  <c r="BY161" i="1" s="1"/>
  <c r="U30" i="1"/>
  <c r="I35" i="1"/>
  <c r="W35" i="1"/>
  <c r="F38" i="1"/>
  <c r="M60" i="1"/>
  <c r="D51" i="1"/>
  <c r="G54" i="1"/>
  <c r="W36" i="1"/>
  <c r="F51" i="1"/>
  <c r="R30" i="1"/>
  <c r="S35" i="1"/>
  <c r="N36" i="1"/>
  <c r="IU9" i="4" s="1"/>
  <c r="IH16" i="4" s="1"/>
  <c r="P142" i="1"/>
  <c r="AL30" i="1"/>
  <c r="G50" i="1"/>
  <c r="P62" i="1"/>
  <c r="D38" i="1"/>
  <c r="R39" i="1"/>
  <c r="BX51" i="1"/>
  <c r="BX89" i="1"/>
  <c r="S24" i="1"/>
  <c r="BX66" i="1"/>
  <c r="G60" i="1"/>
  <c r="W61" i="1"/>
  <c r="K35" i="1"/>
  <c r="M39" i="1"/>
  <c r="E40" i="1"/>
  <c r="M51" i="1"/>
  <c r="U38" i="1"/>
  <c r="HZ9" i="4" s="1"/>
  <c r="M24" i="1"/>
  <c r="BX29" i="1"/>
  <c r="P170" i="1"/>
  <c r="F60" i="1"/>
  <c r="S37" i="1"/>
  <c r="HZ16" i="4" s="1"/>
  <c r="IE9" i="4" s="1"/>
  <c r="HR9" i="4" s="1"/>
  <c r="AM37" i="1"/>
  <c r="K37" i="1"/>
  <c r="G66" i="1"/>
  <c r="O39" i="1"/>
  <c r="HS9" i="4" s="1"/>
  <c r="HR16" i="4" s="1"/>
  <c r="IS7" i="4" s="1"/>
  <c r="E60" i="1"/>
  <c r="IJ9" i="4" s="1"/>
  <c r="G23" i="1"/>
  <c r="G38" i="1"/>
  <c r="L36" i="1"/>
  <c r="S40" i="1"/>
  <c r="N66" i="1"/>
  <c r="AJ30" i="1"/>
  <c r="O54" i="1"/>
  <c r="T24" i="1"/>
  <c r="BX23" i="1"/>
  <c r="AL54" i="1"/>
  <c r="HP16" i="4" s="1"/>
  <c r="B60" i="1"/>
  <c r="G62" i="1"/>
  <c r="L47" i="1"/>
  <c r="G37" i="1"/>
  <c r="Q66" i="1"/>
  <c r="AK37" i="1"/>
  <c r="H39" i="1"/>
  <c r="BX148" i="1"/>
  <c r="N39" i="1"/>
  <c r="AK28" i="1"/>
  <c r="D39" i="1"/>
  <c r="B62" i="1"/>
  <c r="R50" i="1"/>
  <c r="L54" i="1"/>
  <c r="AM38" i="1"/>
  <c r="BX147" i="1"/>
  <c r="Q39" i="1"/>
  <c r="U28" i="1"/>
  <c r="S66" i="1"/>
  <c r="IJ14" i="4" s="1"/>
  <c r="C24" i="1"/>
  <c r="B30" i="1"/>
  <c r="IN9" i="4" s="1"/>
  <c r="BX88" i="1"/>
  <c r="V30" i="1"/>
  <c r="AL61" i="1"/>
  <c r="D137" i="1"/>
  <c r="R51" i="1"/>
  <c r="R267" i="1" s="1"/>
  <c r="V24" i="1"/>
  <c r="V25" i="1" s="1"/>
  <c r="F54" i="1"/>
  <c r="G178" i="1"/>
  <c r="F37" i="1"/>
  <c r="B24" i="1"/>
  <c r="B25" i="1" s="1"/>
  <c r="G24" i="1"/>
  <c r="C30" i="1"/>
  <c r="I61" i="1"/>
  <c r="S60" i="1"/>
  <c r="E61" i="1"/>
  <c r="W38" i="1"/>
  <c r="R47" i="1"/>
  <c r="HX9" i="4" s="1"/>
  <c r="BX166" i="1"/>
  <c r="BY166" i="1" s="1"/>
  <c r="BX170" i="1"/>
  <c r="BY170" i="1" s="1"/>
  <c r="V47" i="1"/>
  <c r="T36" i="1"/>
  <c r="AL37" i="1"/>
  <c r="W66" i="1"/>
  <c r="R40" i="1"/>
  <c r="K24" i="1"/>
  <c r="AM35" i="1"/>
  <c r="BX140" i="1"/>
  <c r="BY140" i="1" s="1"/>
  <c r="K39" i="1"/>
  <c r="D30" i="1"/>
  <c r="BX61" i="1"/>
  <c r="K30" i="1"/>
  <c r="BX179" i="1"/>
  <c r="BY179" i="1" s="1"/>
  <c r="IV9" i="4" s="1"/>
  <c r="BX137" i="1"/>
  <c r="BY137" i="1" s="1"/>
  <c r="AL29" i="1"/>
  <c r="O51" i="1"/>
  <c r="P35" i="1"/>
  <c r="T51" i="1"/>
  <c r="BX169" i="1"/>
  <c r="BY169" i="1" s="1"/>
  <c r="S23" i="1"/>
  <c r="Q28" i="1"/>
  <c r="I37" i="1"/>
  <c r="J36" i="1"/>
  <c r="AM24" i="1"/>
  <c r="F66" i="1"/>
  <c r="P23" i="1"/>
  <c r="Q36" i="1"/>
  <c r="Q35" i="1"/>
  <c r="E174" i="1"/>
  <c r="C40" i="1"/>
  <c r="AJ51" i="1"/>
  <c r="B28" i="1"/>
  <c r="F62" i="1"/>
  <c r="U62" i="1"/>
  <c r="W60" i="1"/>
  <c r="K38" i="1"/>
  <c r="C36" i="1"/>
  <c r="T23" i="1"/>
  <c r="T246" i="1" s="1"/>
  <c r="BX157" i="1"/>
  <c r="BY157" i="1" s="1"/>
  <c r="Q23" i="1"/>
  <c r="I40" i="1"/>
  <c r="AJ50" i="1"/>
  <c r="R28" i="1"/>
  <c r="V40" i="1"/>
  <c r="F24" i="1"/>
  <c r="AM29" i="1"/>
  <c r="BX158" i="1"/>
  <c r="BY158" i="1" s="1"/>
  <c r="P51" i="1"/>
  <c r="O28" i="1"/>
  <c r="N40" i="1"/>
  <c r="AM47" i="1"/>
  <c r="AM209" i="1" s="1"/>
  <c r="R62" i="1"/>
  <c r="H61" i="1"/>
  <c r="U35" i="1"/>
  <c r="I47" i="1"/>
  <c r="L24" i="1"/>
  <c r="N37" i="1"/>
  <c r="B50" i="1"/>
  <c r="AL51" i="1"/>
  <c r="M35" i="1"/>
  <c r="S38" i="1"/>
  <c r="O23" i="1"/>
  <c r="AK24" i="1"/>
  <c r="D50" i="1"/>
  <c r="IJ16" i="4" s="1"/>
  <c r="BX54" i="1"/>
  <c r="F36" i="1"/>
  <c r="C66" i="1"/>
  <c r="T38" i="1"/>
  <c r="AK40" i="1"/>
  <c r="O30" i="1"/>
  <c r="P60" i="1"/>
  <c r="S39" i="1"/>
  <c r="G39" i="1"/>
  <c r="M40" i="1"/>
  <c r="B51" i="1"/>
  <c r="BX155" i="1"/>
  <c r="BY155" i="1" s="1"/>
  <c r="BZ217" i="1" s="1"/>
  <c r="BX150" i="1"/>
  <c r="BY150" i="1" s="1"/>
  <c r="Q40" i="1"/>
  <c r="H47" i="1"/>
  <c r="U47" i="1"/>
  <c r="U209" i="1" s="1"/>
  <c r="BX164" i="1"/>
  <c r="BY164" i="1" s="1"/>
  <c r="E30" i="1"/>
  <c r="R60" i="1"/>
  <c r="AK35" i="1"/>
  <c r="BX134" i="1"/>
  <c r="BY134" i="1" s="1"/>
  <c r="L66" i="1"/>
  <c r="B47" i="1"/>
  <c r="P66" i="1"/>
  <c r="AK30" i="1"/>
  <c r="R35" i="1"/>
  <c r="O62" i="1"/>
  <c r="H30" i="1"/>
  <c r="O60" i="1"/>
  <c r="T54" i="1"/>
  <c r="M61" i="1"/>
  <c r="F28" i="1"/>
  <c r="J39" i="1"/>
  <c r="BX167" i="1"/>
  <c r="BY167" i="1" s="1"/>
  <c r="M37" i="1"/>
  <c r="E39" i="1"/>
  <c r="AK29" i="1"/>
  <c r="P40" i="1"/>
  <c r="T66" i="1"/>
  <c r="BX175" i="1"/>
  <c r="V35" i="1"/>
  <c r="O61" i="1"/>
  <c r="H38" i="1"/>
  <c r="HY9" i="4" s="1"/>
  <c r="JB9" i="4" s="1"/>
  <c r="I30" i="1"/>
  <c r="D35" i="1"/>
  <c r="BX36" i="1"/>
  <c r="I54" i="1"/>
  <c r="BX142" i="1"/>
  <c r="BY142" i="1" s="1"/>
  <c r="L62" i="1"/>
  <c r="I23" i="1"/>
  <c r="BJ23" i="1"/>
  <c r="AK23" i="1"/>
  <c r="B61" i="1"/>
  <c r="L50" i="1"/>
  <c r="W40" i="1"/>
  <c r="L37" i="1"/>
  <c r="BX152" i="1"/>
  <c r="BY152" i="1" s="1"/>
  <c r="O37" i="1"/>
  <c r="B37" i="1"/>
  <c r="I39" i="1"/>
  <c r="AL28" i="1"/>
  <c r="U54" i="1"/>
  <c r="S61" i="1"/>
  <c r="G30" i="1"/>
  <c r="F50" i="1"/>
  <c r="IR16" i="4" s="1"/>
  <c r="IO16" i="4" s="1"/>
  <c r="Q61" i="1"/>
  <c r="L40" i="1"/>
  <c r="JD16" i="4" s="1"/>
  <c r="BX60" i="1"/>
  <c r="R36" i="1"/>
  <c r="IZ9" i="4" s="1"/>
  <c r="AL60" i="1"/>
  <c r="Q24" i="1"/>
  <c r="R38" i="1"/>
  <c r="E50" i="1"/>
  <c r="U39" i="1"/>
  <c r="M36" i="1"/>
  <c r="O38" i="1"/>
  <c r="IP16" i="4" s="1"/>
  <c r="BJ36" i="1"/>
  <c r="C39" i="1"/>
  <c r="V62" i="1"/>
  <c r="P30" i="1"/>
  <c r="T50" i="1"/>
  <c r="HT16" i="4" s="1"/>
  <c r="BX178" i="1"/>
  <c r="BY178" i="1" s="1"/>
  <c r="BX146" i="1"/>
  <c r="B66" i="1"/>
  <c r="D62" i="1"/>
  <c r="J62" i="1"/>
  <c r="W132" i="1"/>
  <c r="AJ38" i="1"/>
  <c r="E38" i="1"/>
  <c r="BX132" i="1"/>
  <c r="BY132" i="1" s="1"/>
  <c r="E28" i="1"/>
  <c r="J30" i="1"/>
  <c r="AJ36" i="1"/>
  <c r="F30" i="1"/>
  <c r="K51" i="1"/>
  <c r="L51" i="1"/>
  <c r="W39" i="1"/>
  <c r="U60" i="1"/>
  <c r="IB9" i="4" s="1"/>
  <c r="H23" i="1"/>
  <c r="H246" i="1" s="1"/>
  <c r="I66" i="1"/>
  <c r="L61" i="1"/>
  <c r="AJ66" i="1"/>
  <c r="P38" i="1"/>
  <c r="P28" i="1"/>
  <c r="C23" i="1"/>
  <c r="C246" i="1" s="1"/>
  <c r="CM47" i="1"/>
  <c r="AB92" i="1"/>
  <c r="CQ92" i="1"/>
  <c r="AC155" i="1"/>
  <c r="CN80" i="1"/>
  <c r="CO78" i="1"/>
  <c r="AJ176" i="1" l="1"/>
  <c r="AK224" i="1" s="1"/>
  <c r="AJ165" i="1"/>
  <c r="AK165" i="1" s="1"/>
  <c r="BX198" i="1"/>
  <c r="BY198" i="1" s="1"/>
  <c r="C267" i="1"/>
  <c r="BY135" i="1"/>
  <c r="R41" i="1"/>
  <c r="IG21" i="4"/>
  <c r="BA92" i="1" s="1"/>
  <c r="AL194" i="1"/>
  <c r="AM194" i="1" s="1"/>
  <c r="JC21" i="4"/>
  <c r="BW92" i="1" s="1"/>
  <c r="ID21" i="4"/>
  <c r="AX92" i="1" s="1"/>
  <c r="AL176" i="1"/>
  <c r="AM224" i="1" s="1"/>
  <c r="Q198" i="1"/>
  <c r="J267" i="1"/>
  <c r="HT9" i="4" s="1"/>
  <c r="IS9" i="4" s="1"/>
  <c r="IT21" i="4"/>
  <c r="BN92" i="1" s="1"/>
  <c r="IQ16" i="4" s="1"/>
  <c r="IQ21" i="4" s="1"/>
  <c r="BK92" i="1" s="1"/>
  <c r="S41" i="1"/>
  <c r="IL16" i="4" s="1"/>
  <c r="IH21" i="4"/>
  <c r="BB92" i="1" s="1"/>
  <c r="L268" i="1"/>
  <c r="C25" i="1"/>
  <c r="BJ149" i="1"/>
  <c r="AL217" i="1"/>
  <c r="BK143" i="1"/>
  <c r="JF15" i="4"/>
  <c r="HV7" i="4"/>
  <c r="HV19" i="4" s="1"/>
  <c r="AP93" i="1" s="1"/>
  <c r="AP122" i="1" s="1"/>
  <c r="IO9" i="4" s="1"/>
  <c r="IO21" i="4" s="1"/>
  <c r="BI92" i="1" s="1"/>
  <c r="IX15" i="4"/>
  <c r="HZ14" i="4"/>
  <c r="M267" i="1"/>
  <c r="AL41" i="1"/>
  <c r="HZ8" i="4"/>
  <c r="P198" i="1"/>
  <c r="IT8" i="4"/>
  <c r="IM15" i="4"/>
  <c r="II8" i="4"/>
  <c r="HT7" i="4"/>
  <c r="L267" i="1"/>
  <c r="AL171" i="1"/>
  <c r="AL200" i="1" s="1"/>
  <c r="AM164" i="1"/>
  <c r="G209" i="1"/>
  <c r="G268" i="1"/>
  <c r="W268" i="1"/>
  <c r="W209" i="1"/>
  <c r="J209" i="1"/>
  <c r="J268" i="1"/>
  <c r="N209" i="1"/>
  <c r="N268" i="1"/>
  <c r="K246" i="1"/>
  <c r="K25" i="1"/>
  <c r="W31" i="1"/>
  <c r="W32" i="1" s="1"/>
  <c r="W113" i="1"/>
  <c r="W26" i="1"/>
  <c r="O209" i="1"/>
  <c r="O268" i="1"/>
  <c r="G41" i="1"/>
  <c r="HY21" i="4"/>
  <c r="AS92" i="1" s="1"/>
  <c r="IM14" i="4"/>
  <c r="JB21" i="4"/>
  <c r="BV92" i="1" s="1"/>
  <c r="H41" i="1"/>
  <c r="D41" i="1"/>
  <c r="F41" i="1"/>
  <c r="T41" i="1"/>
  <c r="IZ8" i="4"/>
  <c r="O267" i="1"/>
  <c r="P41" i="1"/>
  <c r="T267" i="1"/>
  <c r="IE7" i="4"/>
  <c r="AJ135" i="1"/>
  <c r="AK132" i="1"/>
  <c r="R25" i="1"/>
  <c r="R113" i="1" s="1"/>
  <c r="IW14" i="4"/>
  <c r="IC7" i="4"/>
  <c r="IK8" i="4"/>
  <c r="IU14" i="4"/>
  <c r="AJ195" i="1"/>
  <c r="AK195" i="1" s="1"/>
  <c r="IS15" i="4"/>
  <c r="HV21" i="4"/>
  <c r="AP92" i="1" s="1"/>
  <c r="HX14" i="4"/>
  <c r="HX19" i="4" s="1"/>
  <c r="AR93" i="1" s="1"/>
  <c r="AR122" i="1" s="1"/>
  <c r="JA21" i="4"/>
  <c r="BU92" i="1" s="1"/>
  <c r="IB21" i="4"/>
  <c r="AV92" i="1" s="1"/>
  <c r="IO7" i="4"/>
  <c r="ID8" i="4"/>
  <c r="ID15" i="4"/>
  <c r="BJ194" i="1"/>
  <c r="BK194" i="1" s="1"/>
  <c r="JG15" i="4"/>
  <c r="IQ15" i="4"/>
  <c r="IQ20" i="4" s="1"/>
  <c r="BK94" i="1" s="1"/>
  <c r="BK123" i="1" s="1"/>
  <c r="AJ194" i="1"/>
  <c r="HW14" i="4"/>
  <c r="IX8" i="4"/>
  <c r="IX20" i="4" s="1"/>
  <c r="BR94" i="1" s="1"/>
  <c r="BR123" i="1" s="1"/>
  <c r="HQ7" i="4"/>
  <c r="HX8" i="4"/>
  <c r="IR15" i="4"/>
  <c r="D268" i="1"/>
  <c r="IY8" i="4"/>
  <c r="AM41" i="1"/>
  <c r="E41" i="1"/>
  <c r="IJ15" i="4"/>
  <c r="IZ15" i="4"/>
  <c r="AK41" i="1"/>
  <c r="JH7" i="4"/>
  <c r="IF15" i="4"/>
  <c r="Q41" i="1"/>
  <c r="G198" i="1"/>
  <c r="W41" i="1"/>
  <c r="BX267" i="1"/>
  <c r="IH7" i="4"/>
  <c r="JB14" i="4"/>
  <c r="K41" i="1"/>
  <c r="HP21" i="4"/>
  <c r="AJ92" i="1" s="1"/>
  <c r="HR8" i="4"/>
  <c r="IE14" i="4"/>
  <c r="HP8" i="4"/>
  <c r="IF14" i="4"/>
  <c r="Q268" i="1"/>
  <c r="F25" i="1"/>
  <c r="N41" i="1"/>
  <c r="AL267" i="1"/>
  <c r="IJ21" i="4"/>
  <c r="BD92" i="1" s="1"/>
  <c r="HR7" i="4"/>
  <c r="B267" i="1"/>
  <c r="HZ15" i="4"/>
  <c r="HZ20" i="4" s="1"/>
  <c r="AT94" i="1" s="1"/>
  <c r="AT123" i="1" s="1"/>
  <c r="BX176" i="1"/>
  <c r="V41" i="1"/>
  <c r="V42" i="1" s="1"/>
  <c r="HQ14" i="4"/>
  <c r="HQ19" i="4" s="1"/>
  <c r="AK93" i="1" s="1"/>
  <c r="I267" i="1"/>
  <c r="L41" i="1"/>
  <c r="JA15" i="4"/>
  <c r="JD14" i="4"/>
  <c r="JD21" i="4"/>
  <c r="BX92" i="1" s="1"/>
  <c r="JB15" i="4"/>
  <c r="O41" i="1"/>
  <c r="IP21" i="4"/>
  <c r="BJ92" i="1" s="1"/>
  <c r="HT21" i="4"/>
  <c r="AN92" i="1" s="1"/>
  <c r="BX149" i="1"/>
  <c r="U113" i="1"/>
  <c r="V203" i="1"/>
  <c r="V113" i="1"/>
  <c r="V31" i="1"/>
  <c r="BY143" i="1"/>
  <c r="AK217" i="1"/>
  <c r="BK217" i="1"/>
  <c r="BJ195" i="1"/>
  <c r="BK195" i="1" s="1"/>
  <c r="AJ217" i="1"/>
  <c r="L209" i="1"/>
  <c r="E25" i="1"/>
  <c r="AJ41" i="1"/>
  <c r="BX41" i="1"/>
  <c r="I41" i="1"/>
  <c r="BX163" i="1"/>
  <c r="BX197" i="1" s="1"/>
  <c r="IK7" i="4"/>
  <c r="JD15" i="4"/>
  <c r="JD20" i="4" s="1"/>
  <c r="BX94" i="1" s="1"/>
  <c r="BX123" i="1" s="1"/>
  <c r="HY7" i="4"/>
  <c r="IS14" i="4"/>
  <c r="IS19" i="4" s="1"/>
  <c r="BM93" i="1" s="1"/>
  <c r="BM122" i="1" s="1"/>
  <c r="HS15" i="4"/>
  <c r="H267" i="1"/>
  <c r="N267" i="1"/>
  <c r="BJ198" i="1"/>
  <c r="BK198" i="1" s="1"/>
  <c r="B41" i="1"/>
  <c r="B42" i="1" s="1"/>
  <c r="IG7" i="4"/>
  <c r="IG19" i="4" s="1"/>
  <c r="BA93" i="1" s="1"/>
  <c r="BA122" i="1" s="1"/>
  <c r="AL195" i="1"/>
  <c r="AM195" i="1" s="1"/>
  <c r="AM143" i="1"/>
  <c r="U41" i="1"/>
  <c r="IU7" i="4"/>
  <c r="HP15" i="4"/>
  <c r="HP20" i="4" s="1"/>
  <c r="AJ94" i="1" s="1"/>
  <c r="JB7" i="4"/>
  <c r="AK143" i="1"/>
  <c r="JB8" i="4"/>
  <c r="P246" i="1"/>
  <c r="C41" i="1"/>
  <c r="IZ7" i="4"/>
  <c r="IB8" i="4"/>
  <c r="IE21" i="4"/>
  <c r="AY92" i="1" s="1"/>
  <c r="IO14" i="4"/>
  <c r="HS7" i="4"/>
  <c r="HS19" i="4" s="1"/>
  <c r="AM93" i="1" s="1"/>
  <c r="AM122" i="1" s="1"/>
  <c r="IR14" i="4"/>
  <c r="J41" i="1"/>
  <c r="M41" i="1"/>
  <c r="D267" i="1"/>
  <c r="U31" i="1"/>
  <c r="IX14" i="4"/>
  <c r="IX19" i="4" s="1"/>
  <c r="BR93" i="1" s="1"/>
  <c r="BR122" i="1" s="1"/>
  <c r="B268" i="1"/>
  <c r="IR7" i="4"/>
  <c r="AL149" i="1"/>
  <c r="IP7" i="4"/>
  <c r="AJ149" i="1"/>
  <c r="AK48" i="1" s="1"/>
  <c r="IN15" i="4"/>
  <c r="AM268" i="1"/>
  <c r="N25" i="1"/>
  <c r="HX20" i="4"/>
  <c r="AR94" i="1" s="1"/>
  <c r="AR123" i="1" s="1"/>
  <c r="HP7" i="4"/>
  <c r="IB15" i="4"/>
  <c r="IB20" i="4" s="1"/>
  <c r="AV94" i="1" s="1"/>
  <c r="AV123" i="1" s="1"/>
  <c r="H25" i="1"/>
  <c r="S268" i="1"/>
  <c r="K267" i="1"/>
  <c r="BX268" i="1"/>
  <c r="BX12" i="1"/>
  <c r="BY217" i="1"/>
  <c r="BJ135" i="1"/>
  <c r="BJ107" i="1" s="1"/>
  <c r="W203" i="1"/>
  <c r="AL163" i="1"/>
  <c r="AL172" i="1" s="1"/>
  <c r="AL135" i="1"/>
  <c r="AL107" i="1" s="1"/>
  <c r="X203" i="1"/>
  <c r="F267" i="1"/>
  <c r="HW8" i="4"/>
  <c r="HP14" i="4"/>
  <c r="IS8" i="4"/>
  <c r="IS20" i="4" s="1"/>
  <c r="BM94" i="1" s="1"/>
  <c r="BM123" i="1" s="1"/>
  <c r="G246" i="1"/>
  <c r="G25" i="1"/>
  <c r="IJ8" i="4"/>
  <c r="IJ20" i="4" s="1"/>
  <c r="BD94" i="1" s="1"/>
  <c r="BD123" i="1" s="1"/>
  <c r="Q267" i="1"/>
  <c r="C209" i="1"/>
  <c r="C268" i="1"/>
  <c r="IL7" i="4"/>
  <c r="IB14" i="4"/>
  <c r="HY15" i="4"/>
  <c r="IG8" i="4"/>
  <c r="T209" i="1"/>
  <c r="T268" i="1"/>
  <c r="JG14" i="4"/>
  <c r="IW7" i="4"/>
  <c r="HQ21" i="4"/>
  <c r="AK92" i="1" s="1"/>
  <c r="JI8" i="4"/>
  <c r="IL15" i="4"/>
  <c r="IL20" i="4" s="1"/>
  <c r="BF94" i="1" s="1"/>
  <c r="BF123" i="1" s="1"/>
  <c r="HZ7" i="4"/>
  <c r="HW15" i="4"/>
  <c r="JE7" i="4"/>
  <c r="IW8" i="4"/>
  <c r="IU15" i="4"/>
  <c r="V209" i="1"/>
  <c r="V268" i="1"/>
  <c r="JC7" i="4"/>
  <c r="II7" i="4"/>
  <c r="II19" i="4" s="1"/>
  <c r="BC93" i="1" s="1"/>
  <c r="BC122" i="1" s="1"/>
  <c r="IU21" i="4"/>
  <c r="BO92" i="1" s="1"/>
  <c r="JC14" i="4"/>
  <c r="JC19" i="4" s="1"/>
  <c r="BW93" i="1" s="1"/>
  <c r="BW122" i="1" s="1"/>
  <c r="IQ14" i="4"/>
  <c r="IQ19" i="4" s="1"/>
  <c r="BK93" i="1" s="1"/>
  <c r="BK122" i="1" s="1"/>
  <c r="JF14" i="4"/>
  <c r="JG8" i="4"/>
  <c r="JG20" i="4" s="1"/>
  <c r="CA94" i="1" s="1"/>
  <c r="IA7" i="4"/>
  <c r="BX25" i="1"/>
  <c r="BX171" i="1"/>
  <c r="BX200" i="1" s="1"/>
  <c r="BX199" i="1" s="1"/>
  <c r="BX194" i="1"/>
  <c r="BY194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AK246" i="1"/>
  <c r="AK25" i="1"/>
  <c r="O246" i="1"/>
  <c r="O25" i="1"/>
  <c r="IH8" i="4"/>
  <c r="IH20" i="4" s="1"/>
  <c r="BB94" i="1" s="1"/>
  <c r="BB123" i="1" s="1"/>
  <c r="HV15" i="4"/>
  <c r="IK14" i="4"/>
  <c r="IO15" i="4"/>
  <c r="S267" i="1"/>
  <c r="IN7" i="4"/>
  <c r="JG7" i="4"/>
  <c r="JI7" i="4"/>
  <c r="IW21" i="4"/>
  <c r="BQ92" i="1" s="1"/>
  <c r="IA15" i="4"/>
  <c r="JE8" i="4"/>
  <c r="IO8" i="4"/>
  <c r="HY14" i="4"/>
  <c r="JI14" i="4"/>
  <c r="HY8" i="4"/>
  <c r="AJ198" i="1"/>
  <c r="HT8" i="4"/>
  <c r="HT20" i="4" s="1"/>
  <c r="AN94" i="1" s="1"/>
  <c r="AN123" i="1" s="1"/>
  <c r="IT15" i="4"/>
  <c r="IT20" i="4" s="1"/>
  <c r="BN94" i="1" s="1"/>
  <c r="BN123" i="1" s="1"/>
  <c r="I209" i="1"/>
  <c r="I268" i="1"/>
  <c r="IN8" i="4"/>
  <c r="HU15" i="4"/>
  <c r="AJ171" i="1"/>
  <c r="IC15" i="4"/>
  <c r="JC15" i="4"/>
  <c r="JH8" i="4"/>
  <c r="HR15" i="4"/>
  <c r="HR20" i="4" s="1"/>
  <c r="AL94" i="1" s="1"/>
  <c r="AL123" i="1" s="1"/>
  <c r="P268" i="1"/>
  <c r="IA8" i="4"/>
  <c r="BJ171" i="1"/>
  <c r="BJ200" i="1" s="1"/>
  <c r="AM113" i="1"/>
  <c r="AM114" i="1" s="1"/>
  <c r="X26" i="1"/>
  <c r="BX246" i="1"/>
  <c r="BX195" i="1"/>
  <c r="BY195" i="1" s="1"/>
  <c r="BJ246" i="1"/>
  <c r="BJ12" i="1"/>
  <c r="IA14" i="4"/>
  <c r="AJ52" i="1"/>
  <c r="HZ21" i="4"/>
  <c r="AT92" i="1" s="1"/>
  <c r="IV15" i="4"/>
  <c r="IJ7" i="4"/>
  <c r="IJ19" i="4" s="1"/>
  <c r="BD93" i="1" s="1"/>
  <c r="BD122" i="1" s="1"/>
  <c r="JH21" i="4"/>
  <c r="CB92" i="1" s="1"/>
  <c r="JI21" i="4"/>
  <c r="CC92" i="1" s="1"/>
  <c r="IY14" i="4"/>
  <c r="II21" i="4"/>
  <c r="BC92" i="1" s="1"/>
  <c r="HV8" i="4"/>
  <c r="IC14" i="4"/>
  <c r="D25" i="1"/>
  <c r="D246" i="1"/>
  <c r="AL25" i="1"/>
  <c r="AL246" i="1"/>
  <c r="HU7" i="4"/>
  <c r="HU19" i="4" s="1"/>
  <c r="AO93" i="1" s="1"/>
  <c r="AO122" i="1" s="1"/>
  <c r="ID14" i="4"/>
  <c r="IC8" i="4"/>
  <c r="JI15" i="4"/>
  <c r="J25" i="1"/>
  <c r="IM8" i="4"/>
  <c r="G267" i="1"/>
  <c r="IT7" i="4"/>
  <c r="L246" i="1"/>
  <c r="L25" i="1"/>
  <c r="IV21" i="4"/>
  <c r="BP92" i="1" s="1"/>
  <c r="HW7" i="4"/>
  <c r="AL198" i="1"/>
  <c r="AM198" i="1" s="1"/>
  <c r="B31" i="1"/>
  <c r="B32" i="1" s="1"/>
  <c r="S246" i="1"/>
  <c r="S25" i="1"/>
  <c r="JA8" i="4"/>
  <c r="JC8" i="4"/>
  <c r="BJ143" i="1"/>
  <c r="M25" i="1"/>
  <c r="M31" i="1" s="1"/>
  <c r="M32" i="1" s="1"/>
  <c r="JF7" i="4"/>
  <c r="V26" i="1"/>
  <c r="IK21" i="4"/>
  <c r="BE92" i="1" s="1"/>
  <c r="HR14" i="4"/>
  <c r="IT14" i="4"/>
  <c r="IT19" i="4" s="1"/>
  <c r="BN93" i="1" s="1"/>
  <c r="BN122" i="1" s="1"/>
  <c r="JE14" i="4"/>
  <c r="IF21" i="4"/>
  <c r="AZ92" i="1" s="1"/>
  <c r="JH14" i="4"/>
  <c r="AL268" i="1"/>
  <c r="U268" i="1"/>
  <c r="M268" i="1"/>
  <c r="CA113" i="1"/>
  <c r="CA114" i="1" s="1"/>
  <c r="ID7" i="4"/>
  <c r="JA14" i="4"/>
  <c r="JA19" i="4" s="1"/>
  <c r="BU93" i="1" s="1"/>
  <c r="BU122" i="1" s="1"/>
  <c r="IB7" i="4"/>
  <c r="IP14" i="4"/>
  <c r="IV7" i="4"/>
  <c r="IL21" i="4"/>
  <c r="BF92" i="1" s="1"/>
  <c r="IV8" i="4"/>
  <c r="HX7" i="4"/>
  <c r="IH14" i="4"/>
  <c r="IH19" i="4" s="1"/>
  <c r="BB93" i="1" s="1"/>
  <c r="BB122" i="1" s="1"/>
  <c r="IQ7" i="4"/>
  <c r="HU8" i="4"/>
  <c r="BJ163" i="1"/>
  <c r="IY15" i="4"/>
  <c r="IY20" i="4" s="1"/>
  <c r="BS94" i="1" s="1"/>
  <c r="BS123" i="1" s="1"/>
  <c r="IW15" i="4"/>
  <c r="K268" i="1"/>
  <c r="P267" i="1"/>
  <c r="IV14" i="4"/>
  <c r="JE21" i="4"/>
  <c r="BY92" i="1" s="1"/>
  <c r="AI211" i="1"/>
  <c r="AI213" i="1" s="1"/>
  <c r="BX135" i="1"/>
  <c r="BX107" i="1" s="1"/>
  <c r="F268" i="1"/>
  <c r="AJ48" i="1"/>
  <c r="IK15" i="4"/>
  <c r="IK20" i="4" s="1"/>
  <c r="BE94" i="1" s="1"/>
  <c r="BE123" i="1" s="1"/>
  <c r="I246" i="1"/>
  <c r="I25" i="1"/>
  <c r="H209" i="1"/>
  <c r="H268" i="1"/>
  <c r="AJ246" i="1"/>
  <c r="AJ25" i="1"/>
  <c r="II15" i="4"/>
  <c r="HQ8" i="4"/>
  <c r="JD7" i="4"/>
  <c r="IP8" i="4"/>
  <c r="IP20" i="4" s="1"/>
  <c r="BJ94" i="1" s="1"/>
  <c r="BJ123" i="1" s="1"/>
  <c r="IF8" i="4"/>
  <c r="IE8" i="4"/>
  <c r="JH15" i="4"/>
  <c r="IG15" i="4"/>
  <c r="IN21" i="4"/>
  <c r="BH92" i="1" s="1"/>
  <c r="IL14" i="4"/>
  <c r="JG21" i="4"/>
  <c r="CA92" i="1" s="1"/>
  <c r="IZ21" i="4"/>
  <c r="BT92" i="1" s="1"/>
  <c r="HS21" i="4"/>
  <c r="AM92" i="1" s="1"/>
  <c r="AJ143" i="1"/>
  <c r="BX143" i="1"/>
  <c r="IX21" i="4"/>
  <c r="BR92" i="1" s="1"/>
  <c r="IR21" i="4"/>
  <c r="BL92" i="1" s="1"/>
  <c r="BL109" i="1" s="1"/>
  <c r="HR21" i="4"/>
  <c r="AL92" i="1" s="1"/>
  <c r="AJ163" i="1"/>
  <c r="P25" i="1"/>
  <c r="P113" i="1" s="1"/>
  <c r="IE15" i="4"/>
  <c r="IE20" i="4" s="1"/>
  <c r="AY94" i="1" s="1"/>
  <c r="AY123" i="1" s="1"/>
  <c r="HX21" i="4"/>
  <c r="AR92" i="1" s="1"/>
  <c r="AL143" i="1"/>
  <c r="AM25" i="1"/>
  <c r="AM31" i="1" s="1"/>
  <c r="AM267" i="1"/>
  <c r="T25" i="1"/>
  <c r="HT14" i="4"/>
  <c r="JE15" i="4"/>
  <c r="Q246" i="1"/>
  <c r="Q25" i="1"/>
  <c r="R209" i="1"/>
  <c r="R268" i="1"/>
  <c r="IR8" i="4"/>
  <c r="JF21" i="4"/>
  <c r="BZ92" i="1" s="1"/>
  <c r="BZ109" i="1" s="1"/>
  <c r="IQ8" i="4"/>
  <c r="IL8" i="4"/>
  <c r="JF8" i="4"/>
  <c r="IZ14" i="4"/>
  <c r="HS8" i="4"/>
  <c r="IF7" i="4"/>
  <c r="IU8" i="4"/>
  <c r="IM7" i="4"/>
  <c r="HU21" i="4"/>
  <c r="AO92" i="1" s="1"/>
  <c r="IY7" i="4"/>
  <c r="HQ15" i="4"/>
  <c r="JA7" i="4"/>
  <c r="C26" i="1"/>
  <c r="C203" i="1"/>
  <c r="BZ222" i="1"/>
  <c r="BY107" i="1"/>
  <c r="CM209" i="1"/>
  <c r="CM147" i="1"/>
  <c r="CM149" i="1" s="1"/>
  <c r="CM153" i="1" s="1"/>
  <c r="CM218" i="1" s="1"/>
  <c r="CM216" i="1" s="1"/>
  <c r="CR92" i="1"/>
  <c r="AC217" i="1"/>
  <c r="AB164" i="1"/>
  <c r="AB132" i="1"/>
  <c r="CO80" i="1"/>
  <c r="CP78" i="1"/>
  <c r="JF20" i="4" l="1"/>
  <c r="BZ94" i="1" s="1"/>
  <c r="C42" i="1"/>
  <c r="C31" i="1"/>
  <c r="X33" i="1"/>
  <c r="R31" i="1"/>
  <c r="G203" i="1"/>
  <c r="K31" i="1"/>
  <c r="K32" i="1" s="1"/>
  <c r="IV20" i="4"/>
  <c r="BP94" i="1" s="1"/>
  <c r="BP123" i="1" s="1"/>
  <c r="K113" i="1"/>
  <c r="ID20" i="4"/>
  <c r="AX94" i="1" s="1"/>
  <c r="AX123" i="1" s="1"/>
  <c r="IS21" i="4"/>
  <c r="BM92" i="1" s="1"/>
  <c r="IM9" i="4" s="1"/>
  <c r="IM21" i="4" s="1"/>
  <c r="BG92" i="1" s="1"/>
  <c r="IN14" i="4"/>
  <c r="IN19" i="4" s="1"/>
  <c r="BH93" i="1" s="1"/>
  <c r="BH122" i="1" s="1"/>
  <c r="IW19" i="4"/>
  <c r="BQ93" i="1" s="1"/>
  <c r="BQ122" i="1" s="1"/>
  <c r="IZ20" i="4"/>
  <c r="BT94" i="1" s="1"/>
  <c r="BT123" i="1" s="1"/>
  <c r="IE19" i="4"/>
  <c r="AY93" i="1" s="1"/>
  <c r="AY122" i="1" s="1"/>
  <c r="IO19" i="4"/>
  <c r="BI93" i="1" s="1"/>
  <c r="BI122" i="1" s="1"/>
  <c r="C43" i="1"/>
  <c r="BX153" i="1"/>
  <c r="HZ19" i="4"/>
  <c r="AT93" i="1" s="1"/>
  <c r="AT122" i="1" s="1"/>
  <c r="O26" i="1"/>
  <c r="IK19" i="4"/>
  <c r="BE93" i="1" s="1"/>
  <c r="BE122" i="1" s="1"/>
  <c r="HY19" i="4"/>
  <c r="AS93" i="1" s="1"/>
  <c r="AS122" i="1" s="1"/>
  <c r="IY19" i="4"/>
  <c r="BS93" i="1" s="1"/>
  <c r="BS122" i="1" s="1"/>
  <c r="IC19" i="4"/>
  <c r="AW93" i="1" s="1"/>
  <c r="AW122" i="1" s="1"/>
  <c r="ID19" i="4"/>
  <c r="AX93" i="1" s="1"/>
  <c r="AX122" i="1" s="1"/>
  <c r="JI20" i="4"/>
  <c r="CC94" i="1" s="1"/>
  <c r="CC111" i="1" s="1"/>
  <c r="K26" i="1"/>
  <c r="IM20" i="4"/>
  <c r="BG94" i="1" s="1"/>
  <c r="BG123" i="1" s="1"/>
  <c r="HW19" i="4"/>
  <c r="AQ93" i="1" s="1"/>
  <c r="AQ122" i="1" s="1"/>
  <c r="II20" i="4"/>
  <c r="BC94" i="1" s="1"/>
  <c r="BC123" i="1" s="1"/>
  <c r="JH20" i="4"/>
  <c r="CB94" i="1" s="1"/>
  <c r="CB111" i="1" s="1"/>
  <c r="IL19" i="4"/>
  <c r="BF93" i="1" s="1"/>
  <c r="BF122" i="1" s="1"/>
  <c r="HT19" i="4"/>
  <c r="AN93" i="1" s="1"/>
  <c r="AN122" i="1" s="1"/>
  <c r="IM19" i="4"/>
  <c r="BG93" i="1" s="1"/>
  <c r="BG122" i="1" s="1"/>
  <c r="BK149" i="1"/>
  <c r="BJ153" i="1"/>
  <c r="BL221" i="1"/>
  <c r="BL264" i="1"/>
  <c r="IF20" i="4"/>
  <c r="AZ94" i="1" s="1"/>
  <c r="AZ123" i="1" s="1"/>
  <c r="T26" i="1"/>
  <c r="V33" i="1"/>
  <c r="U32" i="1"/>
  <c r="E42" i="1"/>
  <c r="IA20" i="4"/>
  <c r="AU94" i="1" s="1"/>
  <c r="AU123" i="1" s="1"/>
  <c r="JA20" i="4"/>
  <c r="BU94" i="1" s="1"/>
  <c r="BU123" i="1" s="1"/>
  <c r="HR19" i="4"/>
  <c r="AL93" i="1" s="1"/>
  <c r="AL122" i="1" s="1"/>
  <c r="JE19" i="4"/>
  <c r="BY93" i="1" s="1"/>
  <c r="BY122" i="1" s="1"/>
  <c r="JH19" i="4"/>
  <c r="CB93" i="1" s="1"/>
  <c r="IW20" i="4"/>
  <c r="BQ94" i="1" s="1"/>
  <c r="BQ123" i="1" s="1"/>
  <c r="BX109" i="1"/>
  <c r="JD19" i="4"/>
  <c r="BX93" i="1" s="1"/>
  <c r="IG20" i="4"/>
  <c r="BA94" i="1" s="1"/>
  <c r="BA123" i="1" s="1"/>
  <c r="BY264" i="1"/>
  <c r="AJ172" i="1"/>
  <c r="E113" i="1"/>
  <c r="E31" i="1"/>
  <c r="IU19" i="4"/>
  <c r="BO93" i="1" s="1"/>
  <c r="BO122" i="1" s="1"/>
  <c r="JB19" i="4"/>
  <c r="BV93" i="1" s="1"/>
  <c r="BV122" i="1" s="1"/>
  <c r="JB20" i="4"/>
  <c r="BV94" i="1" s="1"/>
  <c r="BV123" i="1" s="1"/>
  <c r="IR19" i="4"/>
  <c r="BL93" i="1" s="1"/>
  <c r="AM221" i="1"/>
  <c r="HY20" i="4"/>
  <c r="AS94" i="1" s="1"/>
  <c r="AS123" i="1" s="1"/>
  <c r="HW20" i="4"/>
  <c r="AQ94" i="1" s="1"/>
  <c r="AQ123" i="1" s="1"/>
  <c r="JF19" i="4"/>
  <c r="BZ93" i="1" s="1"/>
  <c r="HU20" i="4"/>
  <c r="AO94" i="1" s="1"/>
  <c r="AO123" i="1" s="1"/>
  <c r="IA19" i="4"/>
  <c r="AU93" i="1" s="1"/>
  <c r="AU122" i="1" s="1"/>
  <c r="IP19" i="4"/>
  <c r="BJ93" i="1" s="1"/>
  <c r="IR20" i="4"/>
  <c r="BL94" i="1" s="1"/>
  <c r="IZ19" i="4"/>
  <c r="BT93" i="1" s="1"/>
  <c r="BT122" i="1" s="1"/>
  <c r="IF19" i="4"/>
  <c r="AZ93" i="1" s="1"/>
  <c r="AZ122" i="1" s="1"/>
  <c r="BY109" i="1"/>
  <c r="W42" i="1"/>
  <c r="W43" i="1"/>
  <c r="F203" i="1"/>
  <c r="F26" i="1"/>
  <c r="F31" i="1"/>
  <c r="F113" i="1"/>
  <c r="BY224" i="1"/>
  <c r="BX263" i="1"/>
  <c r="BY149" i="1"/>
  <c r="BY48" i="1"/>
  <c r="V32" i="1"/>
  <c r="V43" i="1"/>
  <c r="W33" i="1"/>
  <c r="BZ264" i="1"/>
  <c r="BZ266" i="1" s="1"/>
  <c r="BY144" i="1"/>
  <c r="BZ221" i="1"/>
  <c r="BZ220" i="1" s="1"/>
  <c r="AM149" i="1"/>
  <c r="AM153" i="1" s="1"/>
  <c r="AL153" i="1"/>
  <c r="AM48" i="1"/>
  <c r="N31" i="1"/>
  <c r="N32" i="1" s="1"/>
  <c r="N203" i="1"/>
  <c r="N113" i="1"/>
  <c r="N26" i="1"/>
  <c r="BX42" i="1"/>
  <c r="BY27" i="1"/>
  <c r="BX31" i="1"/>
  <c r="BY34" i="1" s="1"/>
  <c r="CA240" i="1"/>
  <c r="AJ212" i="1"/>
  <c r="AJ200" i="1"/>
  <c r="D31" i="1"/>
  <c r="D33" i="1" s="1"/>
  <c r="D203" i="1"/>
  <c r="L26" i="1"/>
  <c r="L203" i="1"/>
  <c r="BJ144" i="1"/>
  <c r="BK221" i="1"/>
  <c r="AJ144" i="1"/>
  <c r="AJ221" i="1"/>
  <c r="AL183" i="1"/>
  <c r="AL144" i="1"/>
  <c r="BJ183" i="1"/>
  <c r="BJ124" i="1" s="1"/>
  <c r="BJ126" i="1" s="1"/>
  <c r="AM264" i="1"/>
  <c r="AK221" i="1"/>
  <c r="BJ199" i="1"/>
  <c r="AJ197" i="1"/>
  <c r="BX172" i="1"/>
  <c r="AL199" i="1"/>
  <c r="AL221" i="1"/>
  <c r="Q26" i="1"/>
  <c r="AJ153" i="1"/>
  <c r="D42" i="1"/>
  <c r="AL264" i="1"/>
  <c r="C32" i="1"/>
  <c r="BK264" i="1"/>
  <c r="BY221" i="1"/>
  <c r="D26" i="1"/>
  <c r="E26" i="1"/>
  <c r="AL111" i="1"/>
  <c r="AK149" i="1"/>
  <c r="BJ172" i="1"/>
  <c r="HS20" i="4"/>
  <c r="AM94" i="1" s="1"/>
  <c r="AM119" i="1" s="1"/>
  <c r="CB26" i="1"/>
  <c r="IN20" i="4"/>
  <c r="BH94" i="1" s="1"/>
  <c r="BH123" i="1" s="1"/>
  <c r="BX196" i="1"/>
  <c r="BX201" i="1"/>
  <c r="CB204" i="1" s="1"/>
  <c r="CC203" i="1"/>
  <c r="AM117" i="1"/>
  <c r="CA111" i="1"/>
  <c r="CA119" i="1"/>
  <c r="CA123" i="1"/>
  <c r="BZ123" i="1"/>
  <c r="BZ126" i="1" s="1"/>
  <c r="BZ111" i="1"/>
  <c r="BL111" i="1"/>
  <c r="BL123" i="1"/>
  <c r="BL126" i="1" s="1"/>
  <c r="AL263" i="1"/>
  <c r="BJ197" i="1"/>
  <c r="BJ201" i="1" s="1"/>
  <c r="CA109" i="1"/>
  <c r="CA117" i="1"/>
  <c r="AJ211" i="1"/>
  <c r="Q203" i="1"/>
  <c r="CC100" i="1"/>
  <c r="CC109" i="1"/>
  <c r="CC117" i="1"/>
  <c r="IB19" i="4"/>
  <c r="AV93" i="1" s="1"/>
  <c r="AV122" i="1" s="1"/>
  <c r="S31" i="1"/>
  <c r="S113" i="1"/>
  <c r="S26" i="1"/>
  <c r="S203" i="1"/>
  <c r="J203" i="1"/>
  <c r="J31" i="1"/>
  <c r="J113" i="1"/>
  <c r="J26" i="1"/>
  <c r="Q31" i="1"/>
  <c r="Q113" i="1"/>
  <c r="H31" i="1"/>
  <c r="H203" i="1"/>
  <c r="H26" i="1"/>
  <c r="H113" i="1"/>
  <c r="R32" i="1"/>
  <c r="JE20" i="4"/>
  <c r="BY94" i="1" s="1"/>
  <c r="BY123" i="1" s="1"/>
  <c r="BX111" i="1"/>
  <c r="P26" i="1"/>
  <c r="R26" i="1"/>
  <c r="K203" i="1"/>
  <c r="AM118" i="1"/>
  <c r="T203" i="1"/>
  <c r="U26" i="1"/>
  <c r="T113" i="1"/>
  <c r="T31" i="1"/>
  <c r="AL31" i="1"/>
  <c r="AM27" i="1"/>
  <c r="O203" i="1"/>
  <c r="O113" i="1"/>
  <c r="O31" i="1"/>
  <c r="AL27" i="1"/>
  <c r="AK31" i="1"/>
  <c r="M203" i="1"/>
  <c r="M113" i="1"/>
  <c r="M26" i="1"/>
  <c r="IO20" i="4"/>
  <c r="BI94" i="1" s="1"/>
  <c r="BI123" i="1" s="1"/>
  <c r="JG19" i="4"/>
  <c r="CA93" i="1" s="1"/>
  <c r="AK42" i="1"/>
  <c r="B43" i="1"/>
  <c r="L113" i="1"/>
  <c r="L31" i="1"/>
  <c r="G113" i="1"/>
  <c r="G31" i="1"/>
  <c r="CB123" i="1"/>
  <c r="CB126" i="1" s="1"/>
  <c r="CB129" i="1" s="1"/>
  <c r="AL197" i="1"/>
  <c r="BJ263" i="1"/>
  <c r="BX144" i="1"/>
  <c r="G26" i="1"/>
  <c r="AM42" i="1"/>
  <c r="JC20" i="4"/>
  <c r="BW94" i="1" s="1"/>
  <c r="BW123" i="1" s="1"/>
  <c r="IU20" i="4"/>
  <c r="BO94" i="1" s="1"/>
  <c r="BO123" i="1" s="1"/>
  <c r="I113" i="1"/>
  <c r="I26" i="1"/>
  <c r="I203" i="1"/>
  <c r="I31" i="1"/>
  <c r="CB117" i="1"/>
  <c r="CB109" i="1"/>
  <c r="CB100" i="1"/>
  <c r="P31" i="1"/>
  <c r="C33" i="1"/>
  <c r="AJ183" i="1"/>
  <c r="AK52" i="1" s="1"/>
  <c r="BY222" i="1"/>
  <c r="AM43" i="1"/>
  <c r="AM32" i="1"/>
  <c r="R203" i="1"/>
  <c r="BX183" i="1"/>
  <c r="P203" i="1"/>
  <c r="HQ20" i="4"/>
  <c r="AK94" i="1" s="1"/>
  <c r="U203" i="1"/>
  <c r="AK27" i="1"/>
  <c r="AJ31" i="1"/>
  <c r="AM240" i="1"/>
  <c r="IV19" i="4"/>
  <c r="BP93" i="1" s="1"/>
  <c r="BP122" i="1" s="1"/>
  <c r="IC20" i="4"/>
  <c r="AW94" i="1" s="1"/>
  <c r="AW123" i="1" s="1"/>
  <c r="JI19" i="4"/>
  <c r="CC93" i="1" s="1"/>
  <c r="HV20" i="4"/>
  <c r="AP94" i="1" s="1"/>
  <c r="AP123" i="1" s="1"/>
  <c r="E203" i="1"/>
  <c r="HP19" i="4"/>
  <c r="AJ93" i="1" s="1"/>
  <c r="AL42" i="1"/>
  <c r="AJ42" i="1"/>
  <c r="BJ109" i="1"/>
  <c r="BJ111" i="1"/>
  <c r="AL109" i="1"/>
  <c r="CN47" i="1"/>
  <c r="CS92" i="1"/>
  <c r="AB178" i="1"/>
  <c r="CP80" i="1"/>
  <c r="CQ78" i="1"/>
  <c r="AC132" i="1"/>
  <c r="AC164" i="1"/>
  <c r="CB240" i="1"/>
  <c r="BQ1" i="1"/>
  <c r="BR1" i="1" s="1"/>
  <c r="BS1" i="1" s="1"/>
  <c r="BT1" i="1" s="1"/>
  <c r="AJ213" i="1" l="1"/>
  <c r="W45" i="1"/>
  <c r="BX261" i="1"/>
  <c r="BX180" i="1"/>
  <c r="BX181" i="1" s="1"/>
  <c r="CC119" i="1"/>
  <c r="C45" i="1"/>
  <c r="C44" i="1"/>
  <c r="CC123" i="1"/>
  <c r="CB119" i="1"/>
  <c r="N33" i="1"/>
  <c r="BJ261" i="1"/>
  <c r="CB122" i="1"/>
  <c r="CB125" i="1" s="1"/>
  <c r="CB128" i="1" s="1"/>
  <c r="CB102" i="1"/>
  <c r="CB33" i="1"/>
  <c r="BY104" i="1"/>
  <c r="F33" i="1"/>
  <c r="CC102" i="1"/>
  <c r="BY110" i="1"/>
  <c r="AL110" i="1"/>
  <c r="BL48" i="1"/>
  <c r="BK153" i="1"/>
  <c r="BL218" i="1" s="1"/>
  <c r="BL216" i="1" s="1"/>
  <c r="AJ180" i="1"/>
  <c r="CB110" i="1"/>
  <c r="CB101" i="1"/>
  <c r="CB118" i="1"/>
  <c r="BX122" i="1"/>
  <c r="BX104" i="1"/>
  <c r="BX110" i="1"/>
  <c r="E43" i="1"/>
  <c r="E44" i="1" s="1"/>
  <c r="E32" i="1"/>
  <c r="BY153" i="1"/>
  <c r="BZ48" i="1"/>
  <c r="BL110" i="1"/>
  <c r="BL122" i="1"/>
  <c r="BL125" i="1" s="1"/>
  <c r="BZ122" i="1"/>
  <c r="BZ125" i="1" s="1"/>
  <c r="BZ104" i="1"/>
  <c r="BZ110" i="1"/>
  <c r="W265" i="1"/>
  <c r="W127" i="1"/>
  <c r="W44" i="1"/>
  <c r="W49" i="1"/>
  <c r="W53" i="1" s="1"/>
  <c r="X265" i="1"/>
  <c r="X45" i="1"/>
  <c r="W247" i="1"/>
  <c r="W248" i="1" s="1"/>
  <c r="V127" i="1"/>
  <c r="V247" i="1"/>
  <c r="V248" i="1" s="1"/>
  <c r="E33" i="1"/>
  <c r="D43" i="1"/>
  <c r="D32" i="1"/>
  <c r="BJ122" i="1"/>
  <c r="BJ125" i="1" s="1"/>
  <c r="BJ110" i="1"/>
  <c r="F32" i="1"/>
  <c r="G33" i="1"/>
  <c r="V49" i="1"/>
  <c r="V53" i="1" s="1"/>
  <c r="V44" i="1"/>
  <c r="AL180" i="1"/>
  <c r="AL181" i="1" s="1"/>
  <c r="AM218" i="1"/>
  <c r="AM216" i="1" s="1"/>
  <c r="AL261" i="1"/>
  <c r="BX43" i="1"/>
  <c r="BX32" i="1"/>
  <c r="AL124" i="1"/>
  <c r="AM52" i="1"/>
  <c r="AK153" i="1"/>
  <c r="AL48" i="1"/>
  <c r="AL196" i="1"/>
  <c r="AL201" i="1"/>
  <c r="AJ218" i="1"/>
  <c r="AJ216" i="1" s="1"/>
  <c r="BY220" i="1"/>
  <c r="AM123" i="1"/>
  <c r="C265" i="1"/>
  <c r="BJ196" i="1"/>
  <c r="BY111" i="1"/>
  <c r="H33" i="1"/>
  <c r="G32" i="1"/>
  <c r="BY52" i="1"/>
  <c r="BX124" i="1"/>
  <c r="S32" i="1"/>
  <c r="T33" i="1"/>
  <c r="I32" i="1"/>
  <c r="J33" i="1"/>
  <c r="S33" i="1"/>
  <c r="AM247" i="1"/>
  <c r="AM248" i="1" s="1"/>
  <c r="AM49" i="1"/>
  <c r="AM53" i="1" s="1"/>
  <c r="AM44" i="1"/>
  <c r="H32" i="1"/>
  <c r="I33" i="1"/>
  <c r="AK32" i="1"/>
  <c r="AL34" i="1"/>
  <c r="AK43" i="1"/>
  <c r="CC110" i="1"/>
  <c r="CC101" i="1"/>
  <c r="CC122" i="1"/>
  <c r="CC118" i="1"/>
  <c r="L32" i="1"/>
  <c r="M33" i="1"/>
  <c r="O32" i="1"/>
  <c r="P33" i="1"/>
  <c r="O33" i="1"/>
  <c r="Q33" i="1"/>
  <c r="P32" i="1"/>
  <c r="J32" i="1"/>
  <c r="K33" i="1"/>
  <c r="AL32" i="1"/>
  <c r="AL43" i="1"/>
  <c r="AM265" i="1" s="1"/>
  <c r="AM266" i="1" s="1"/>
  <c r="AM34" i="1"/>
  <c r="U33" i="1"/>
  <c r="T32" i="1"/>
  <c r="L33" i="1"/>
  <c r="Q32" i="1"/>
  <c r="R33" i="1"/>
  <c r="B44" i="1"/>
  <c r="B127" i="1"/>
  <c r="AJ32" i="1"/>
  <c r="AJ43" i="1"/>
  <c r="AK34" i="1"/>
  <c r="CA122" i="1"/>
  <c r="CA110" i="1"/>
  <c r="CA118" i="1"/>
  <c r="CN147" i="1"/>
  <c r="CN149" i="1" s="1"/>
  <c r="CO47" i="1" s="1"/>
  <c r="CT92" i="1"/>
  <c r="AB152" i="1"/>
  <c r="AD164" i="1"/>
  <c r="AE164" i="1"/>
  <c r="AD132" i="1"/>
  <c r="AE132" i="1"/>
  <c r="CQ80" i="1"/>
  <c r="CR78" i="1"/>
  <c r="AC178" i="1"/>
  <c r="BU1" i="1"/>
  <c r="Q42" i="1"/>
  <c r="P42" i="1"/>
  <c r="O42" i="1"/>
  <c r="I42" i="1"/>
  <c r="H42" i="1"/>
  <c r="G42" i="1"/>
  <c r="U42" i="1"/>
  <c r="T42" i="1"/>
  <c r="S42" i="1"/>
  <c r="R42" i="1"/>
  <c r="N42" i="1"/>
  <c r="M42" i="1"/>
  <c r="L42" i="1"/>
  <c r="K42" i="1"/>
  <c r="J42" i="1"/>
  <c r="F42" i="1"/>
  <c r="AJ181" i="1" l="1"/>
  <c r="BY218" i="1"/>
  <c r="BY216" i="1" s="1"/>
  <c r="BZ218" i="1"/>
  <c r="BZ216" i="1" s="1"/>
  <c r="CA127" i="1"/>
  <c r="BY46" i="1"/>
  <c r="CB45" i="1"/>
  <c r="BX247" i="1"/>
  <c r="BX248" i="1" s="1"/>
  <c r="BY265" i="1"/>
  <c r="BY266" i="1" s="1"/>
  <c r="AL126" i="1"/>
  <c r="AL125" i="1"/>
  <c r="AK218" i="1"/>
  <c r="AK216" i="1" s="1"/>
  <c r="AL218" i="1"/>
  <c r="AL216" i="1" s="1"/>
  <c r="W55" i="1"/>
  <c r="W56" i="1"/>
  <c r="D45" i="1"/>
  <c r="D127" i="1"/>
  <c r="E45" i="1"/>
  <c r="D265" i="1"/>
  <c r="D247" i="1"/>
  <c r="D248" i="1" s="1"/>
  <c r="D49" i="1"/>
  <c r="D53" i="1" s="1"/>
  <c r="D44" i="1"/>
  <c r="V55" i="1"/>
  <c r="V56" i="1"/>
  <c r="BX49" i="1"/>
  <c r="BX44" i="1"/>
  <c r="CF105" i="1"/>
  <c r="CE105" i="1"/>
  <c r="AJ49" i="1"/>
  <c r="AJ53" i="1" s="1"/>
  <c r="AJ44" i="1"/>
  <c r="AM241" i="1"/>
  <c r="AJ247" i="1"/>
  <c r="AJ248" i="1" s="1"/>
  <c r="AM127" i="1"/>
  <c r="AK46" i="1"/>
  <c r="BX125" i="1"/>
  <c r="BX126" i="1"/>
  <c r="AM56" i="1"/>
  <c r="AM57" i="1" s="1"/>
  <c r="AM260" i="1" s="1"/>
  <c r="AM55" i="1"/>
  <c r="AL44" i="1"/>
  <c r="AL49" i="1"/>
  <c r="AL53" i="1" s="1"/>
  <c r="AM46" i="1"/>
  <c r="AL265" i="1"/>
  <c r="AL266" i="1" s="1"/>
  <c r="AL247" i="1"/>
  <c r="AL248" i="1" s="1"/>
  <c r="AK44" i="1"/>
  <c r="AK247" i="1"/>
  <c r="AK248" i="1" s="1"/>
  <c r="AL46" i="1"/>
  <c r="AK49" i="1"/>
  <c r="AK53" i="1" s="1"/>
  <c r="CO209" i="1"/>
  <c r="CO147" i="1"/>
  <c r="CN153" i="1"/>
  <c r="CN209" i="1"/>
  <c r="AC92" i="1"/>
  <c r="CU92" i="1"/>
  <c r="AD178" i="1"/>
  <c r="AE178" i="1"/>
  <c r="AD155" i="1"/>
  <c r="CR80" i="1"/>
  <c r="CS78" i="1"/>
  <c r="AC152" i="1"/>
  <c r="BV1" i="1"/>
  <c r="BW1" i="1" s="1"/>
  <c r="BX1" i="1" s="1"/>
  <c r="B247" i="1"/>
  <c r="B248" i="1" s="1"/>
  <c r="BL247" i="1"/>
  <c r="BL248" i="1" s="1"/>
  <c r="G43" i="1"/>
  <c r="O43" i="1"/>
  <c r="H43" i="1"/>
  <c r="P43" i="1"/>
  <c r="I43" i="1"/>
  <c r="Q43" i="1"/>
  <c r="J43" i="1"/>
  <c r="R43" i="1"/>
  <c r="K43" i="1"/>
  <c r="S43" i="1"/>
  <c r="L43" i="1"/>
  <c r="T43" i="1"/>
  <c r="M43" i="1"/>
  <c r="U43" i="1"/>
  <c r="F43" i="1"/>
  <c r="F265" i="1" s="1"/>
  <c r="N43" i="1"/>
  <c r="W57" i="1" l="1"/>
  <c r="W260" i="1" s="1"/>
  <c r="X58" i="1"/>
  <c r="W249" i="1"/>
  <c r="W63" i="1"/>
  <c r="W67" i="1" s="1"/>
  <c r="D55" i="1"/>
  <c r="D56" i="1"/>
  <c r="V63" i="1"/>
  <c r="W58" i="1"/>
  <c r="V57" i="1"/>
  <c r="V260" i="1" s="1"/>
  <c r="BX53" i="1"/>
  <c r="CA70" i="1"/>
  <c r="AL56" i="1"/>
  <c r="AL55" i="1"/>
  <c r="AM249" i="1"/>
  <c r="AK55" i="1"/>
  <c r="AK56" i="1"/>
  <c r="AJ56" i="1"/>
  <c r="AJ55" i="1"/>
  <c r="T265" i="1"/>
  <c r="P265" i="1"/>
  <c r="M265" i="1"/>
  <c r="R265" i="1"/>
  <c r="I265" i="1"/>
  <c r="K265" i="1"/>
  <c r="G265" i="1"/>
  <c r="H265" i="1"/>
  <c r="L265" i="1"/>
  <c r="S265" i="1"/>
  <c r="O265" i="1"/>
  <c r="J265" i="1"/>
  <c r="N265" i="1"/>
  <c r="U265" i="1"/>
  <c r="V265" i="1"/>
  <c r="Q265" i="1"/>
  <c r="R127" i="1"/>
  <c r="S45" i="1"/>
  <c r="T127" i="1"/>
  <c r="U45" i="1"/>
  <c r="U127" i="1"/>
  <c r="V45" i="1"/>
  <c r="P127" i="1"/>
  <c r="Q45" i="1"/>
  <c r="Q127" i="1"/>
  <c r="R45" i="1"/>
  <c r="I127" i="1"/>
  <c r="J45" i="1"/>
  <c r="S127" i="1"/>
  <c r="T45" i="1"/>
  <c r="H127" i="1"/>
  <c r="I45" i="1"/>
  <c r="E127" i="1"/>
  <c r="F45" i="1"/>
  <c r="L127" i="1"/>
  <c r="M45" i="1"/>
  <c r="O127" i="1"/>
  <c r="P45" i="1"/>
  <c r="N127" i="1"/>
  <c r="O45" i="1"/>
  <c r="K127" i="1"/>
  <c r="L45" i="1"/>
  <c r="F127" i="1"/>
  <c r="G45" i="1"/>
  <c r="G127" i="1"/>
  <c r="H45" i="1"/>
  <c r="M127" i="1"/>
  <c r="N45" i="1"/>
  <c r="J127" i="1"/>
  <c r="K45" i="1"/>
  <c r="CN218" i="1"/>
  <c r="CN216" i="1" s="1"/>
  <c r="CO149" i="1"/>
  <c r="CV92" i="1"/>
  <c r="AD217" i="1"/>
  <c r="AB157" i="1"/>
  <c r="AE152" i="1"/>
  <c r="AD152" i="1"/>
  <c r="CT78" i="1"/>
  <c r="CS80" i="1"/>
  <c r="C127" i="1"/>
  <c r="BY1" i="1"/>
  <c r="L44" i="1"/>
  <c r="N44" i="1"/>
  <c r="F44" i="1"/>
  <c r="O44" i="1"/>
  <c r="U49" i="1"/>
  <c r="U53" i="1" s="1"/>
  <c r="U44" i="1"/>
  <c r="G44" i="1"/>
  <c r="S44" i="1"/>
  <c r="M44" i="1"/>
  <c r="R44" i="1"/>
  <c r="J44" i="1"/>
  <c r="I44" i="1"/>
  <c r="P44" i="1"/>
  <c r="H44" i="1"/>
  <c r="K44" i="1"/>
  <c r="T44" i="1"/>
  <c r="Q44" i="1"/>
  <c r="T247" i="1"/>
  <c r="T248" i="1" s="1"/>
  <c r="Q247" i="1"/>
  <c r="Q248" i="1" s="1"/>
  <c r="K247" i="1"/>
  <c r="K248" i="1" s="1"/>
  <c r="O247" i="1"/>
  <c r="O248" i="1" s="1"/>
  <c r="U247" i="1"/>
  <c r="U248" i="1" s="1"/>
  <c r="L247" i="1"/>
  <c r="L248" i="1" s="1"/>
  <c r="C247" i="1"/>
  <c r="C248" i="1" s="1"/>
  <c r="I247" i="1"/>
  <c r="I248" i="1" s="1"/>
  <c r="G247" i="1"/>
  <c r="G248" i="1" s="1"/>
  <c r="R247" i="1"/>
  <c r="R248" i="1" s="1"/>
  <c r="P247" i="1"/>
  <c r="P248" i="1" s="1"/>
  <c r="F247" i="1"/>
  <c r="F248" i="1" s="1"/>
  <c r="M247" i="1"/>
  <c r="M248" i="1" s="1"/>
  <c r="N247" i="1"/>
  <c r="N248" i="1" s="1"/>
  <c r="E247" i="1"/>
  <c r="E248" i="1" s="1"/>
  <c r="S247" i="1"/>
  <c r="S248" i="1" s="1"/>
  <c r="J247" i="1"/>
  <c r="J248" i="1" s="1"/>
  <c r="H247" i="1"/>
  <c r="H248" i="1" s="1"/>
  <c r="B49" i="1"/>
  <c r="L49" i="1"/>
  <c r="Q49" i="1"/>
  <c r="T49" i="1"/>
  <c r="N49" i="1"/>
  <c r="S49" i="1"/>
  <c r="F49" i="1"/>
  <c r="K49" i="1"/>
  <c r="H49" i="1"/>
  <c r="I49" i="1"/>
  <c r="P49" i="1"/>
  <c r="C49" i="1"/>
  <c r="O49" i="1"/>
  <c r="R49" i="1"/>
  <c r="M49" i="1"/>
  <c r="G49" i="1"/>
  <c r="E49" i="1"/>
  <c r="J49" i="1"/>
  <c r="D57" i="1" l="1"/>
  <c r="D63" i="1"/>
  <c r="D249" i="1"/>
  <c r="BX56" i="1"/>
  <c r="BX55" i="1"/>
  <c r="AJ63" i="1"/>
  <c r="AJ57" i="1"/>
  <c r="AJ249" i="1"/>
  <c r="AK59" i="1"/>
  <c r="AM242" i="1"/>
  <c r="AK63" i="1"/>
  <c r="AK57" i="1"/>
  <c r="AL59" i="1"/>
  <c r="AK249" i="1"/>
  <c r="AL249" i="1"/>
  <c r="AL63" i="1"/>
  <c r="AL57" i="1"/>
  <c r="AL260" i="1" s="1"/>
  <c r="AM59" i="1"/>
  <c r="BK179" i="1"/>
  <c r="BM179" i="1"/>
  <c r="CO153" i="1"/>
  <c r="CP47" i="1"/>
  <c r="CW92" i="1"/>
  <c r="AE155" i="1"/>
  <c r="AE217" i="1" s="1"/>
  <c r="CT80" i="1"/>
  <c r="CU78" i="1"/>
  <c r="BZ1" i="1"/>
  <c r="U56" i="1"/>
  <c r="V58" i="1" s="1"/>
  <c r="U55" i="1"/>
  <c r="P53" i="1"/>
  <c r="P56" i="1" s="1"/>
  <c r="R53" i="1"/>
  <c r="R56" i="1" s="1"/>
  <c r="E53" i="1"/>
  <c r="S53" i="1"/>
  <c r="S55" i="1" s="1"/>
  <c r="G53" i="1"/>
  <c r="G56" i="1" s="1"/>
  <c r="K53" i="1"/>
  <c r="K56" i="1" s="1"/>
  <c r="B53" i="1"/>
  <c r="O53" i="1"/>
  <c r="O56" i="1" s="1"/>
  <c r="H53" i="1"/>
  <c r="H56" i="1" s="1"/>
  <c r="N53" i="1"/>
  <c r="N56" i="1" s="1"/>
  <c r="L53" i="1"/>
  <c r="L55" i="1" s="1"/>
  <c r="C53" i="1"/>
  <c r="M53" i="1"/>
  <c r="M55" i="1" s="1"/>
  <c r="T53" i="1"/>
  <c r="T56" i="1" s="1"/>
  <c r="F53" i="1"/>
  <c r="F55" i="1" s="1"/>
  <c r="J53" i="1"/>
  <c r="J55" i="1" s="1"/>
  <c r="I53" i="1"/>
  <c r="I55" i="1" s="1"/>
  <c r="Q53" i="1"/>
  <c r="Q56" i="1" s="1"/>
  <c r="V249" i="1"/>
  <c r="D208" i="1" l="1"/>
  <c r="D210" i="1" s="1"/>
  <c r="D67" i="1"/>
  <c r="BX57" i="1"/>
  <c r="BX260" i="1" s="1"/>
  <c r="CB58" i="1"/>
  <c r="BY59" i="1"/>
  <c r="BX63" i="1"/>
  <c r="BX249" i="1"/>
  <c r="AL208" i="1"/>
  <c r="AL210" i="1" s="1"/>
  <c r="AL67" i="1"/>
  <c r="AL81" i="1"/>
  <c r="AK134" i="1"/>
  <c r="AK135" i="1" s="1"/>
  <c r="AK81" i="1"/>
  <c r="AK67" i="1"/>
  <c r="AK208" i="1"/>
  <c r="AK210" i="1" s="1"/>
  <c r="AJ208" i="1"/>
  <c r="AJ210" i="1" s="1"/>
  <c r="AJ214" i="1" s="1"/>
  <c r="AJ228" i="1" s="1"/>
  <c r="AJ222" i="1"/>
  <c r="AJ220" i="1" s="1"/>
  <c r="AJ81" i="1"/>
  <c r="AJ67" i="1"/>
  <c r="R58" i="1"/>
  <c r="U58" i="1"/>
  <c r="O58" i="1"/>
  <c r="AB47" i="1"/>
  <c r="B56" i="1"/>
  <c r="B55" i="1"/>
  <c r="C56" i="1"/>
  <c r="C55" i="1"/>
  <c r="E56" i="1"/>
  <c r="E63" i="1" s="1"/>
  <c r="E55" i="1"/>
  <c r="P58" i="1"/>
  <c r="H58" i="1"/>
  <c r="Q58" i="1"/>
  <c r="BJ180" i="1"/>
  <c r="BJ181" i="1" s="1"/>
  <c r="BL180" i="1"/>
  <c r="BL181" i="1" s="1"/>
  <c r="CP209" i="1"/>
  <c r="CP147" i="1"/>
  <c r="CO218" i="1"/>
  <c r="CO216" i="1" s="1"/>
  <c r="CX92" i="1"/>
  <c r="CV78" i="1"/>
  <c r="CU80" i="1"/>
  <c r="CA1" i="1"/>
  <c r="CB1" i="1" s="1"/>
  <c r="O55" i="1"/>
  <c r="BL249" i="1"/>
  <c r="S56" i="1"/>
  <c r="U57" i="1"/>
  <c r="U260" i="1" s="1"/>
  <c r="P57" i="1"/>
  <c r="P260" i="1" s="1"/>
  <c r="Q63" i="1"/>
  <c r="Q57" i="1"/>
  <c r="Q260" i="1" s="1"/>
  <c r="L56" i="1"/>
  <c r="P55" i="1"/>
  <c r="H57" i="1"/>
  <c r="H260" i="1" s="1"/>
  <c r="G57" i="1"/>
  <c r="G260" i="1" s="1"/>
  <c r="U63" i="1"/>
  <c r="N57" i="1"/>
  <c r="N260" i="1" s="1"/>
  <c r="R57" i="1"/>
  <c r="R260" i="1" s="1"/>
  <c r="K57" i="1"/>
  <c r="K260" i="1" s="1"/>
  <c r="O63" i="1"/>
  <c r="O57" i="1"/>
  <c r="O260" i="1" s="1"/>
  <c r="T63" i="1"/>
  <c r="T57" i="1"/>
  <c r="T260" i="1" s="1"/>
  <c r="R55" i="1"/>
  <c r="K55" i="1"/>
  <c r="N55" i="1"/>
  <c r="G55" i="1"/>
  <c r="H55" i="1"/>
  <c r="J56" i="1"/>
  <c r="K58" i="1" s="1"/>
  <c r="M56" i="1"/>
  <c r="N58" i="1" s="1"/>
  <c r="T55" i="1"/>
  <c r="F56" i="1"/>
  <c r="G58" i="1" s="1"/>
  <c r="I56" i="1"/>
  <c r="I58" i="1" s="1"/>
  <c r="O249" i="1"/>
  <c r="Q55" i="1"/>
  <c r="P249" i="1"/>
  <c r="P63" i="1"/>
  <c r="K249" i="1"/>
  <c r="K63" i="1"/>
  <c r="H249" i="1"/>
  <c r="H63" i="1"/>
  <c r="R63" i="1"/>
  <c r="N63" i="1"/>
  <c r="G63" i="1"/>
  <c r="G249" i="1"/>
  <c r="R249" i="1"/>
  <c r="N249" i="1"/>
  <c r="Q249" i="1"/>
  <c r="U249" i="1"/>
  <c r="T249" i="1"/>
  <c r="V67" i="1"/>
  <c r="V208" i="1"/>
  <c r="V210" i="1" s="1"/>
  <c r="BX67" i="1" l="1"/>
  <c r="BX208" i="1"/>
  <c r="BX210" i="1" s="1"/>
  <c r="BX81" i="1"/>
  <c r="CA84" i="1" s="1"/>
  <c r="CA69" i="1"/>
  <c r="AJ225" i="1"/>
  <c r="AJ226" i="1" s="1"/>
  <c r="AK144" i="1"/>
  <c r="AK222" i="1"/>
  <c r="AK220" i="1" s="1"/>
  <c r="AL222" i="1"/>
  <c r="AL220" i="1" s="1"/>
  <c r="E249" i="1"/>
  <c r="AB209" i="1"/>
  <c r="E57" i="1"/>
  <c r="E260" i="1" s="1"/>
  <c r="E58" i="1"/>
  <c r="D58" i="1"/>
  <c r="C57" i="1"/>
  <c r="B57" i="1"/>
  <c r="C58" i="1"/>
  <c r="F58" i="1"/>
  <c r="M58" i="1"/>
  <c r="S57" i="1"/>
  <c r="S260" i="1" s="1"/>
  <c r="T58" i="1"/>
  <c r="L58" i="1"/>
  <c r="J58" i="1"/>
  <c r="S58" i="1"/>
  <c r="AB147" i="1"/>
  <c r="AB149" i="1" s="1"/>
  <c r="AB48" i="1" s="1"/>
  <c r="CP149" i="1"/>
  <c r="AD92" i="1"/>
  <c r="CY92" i="1"/>
  <c r="CV80" i="1"/>
  <c r="CW78" i="1"/>
  <c r="CC1" i="1"/>
  <c r="K67" i="1"/>
  <c r="G67" i="1"/>
  <c r="E67" i="1"/>
  <c r="S63" i="1"/>
  <c r="S249" i="1"/>
  <c r="L249" i="1"/>
  <c r="L63" i="1"/>
  <c r="O208" i="1"/>
  <c r="O210" i="1" s="1"/>
  <c r="O67" i="1"/>
  <c r="B249" i="1"/>
  <c r="B63" i="1"/>
  <c r="M63" i="1"/>
  <c r="M57" i="1"/>
  <c r="M260" i="1" s="1"/>
  <c r="C249" i="1"/>
  <c r="I63" i="1"/>
  <c r="I57" i="1"/>
  <c r="I260" i="1" s="1"/>
  <c r="J63" i="1"/>
  <c r="J57" i="1"/>
  <c r="J260" i="1" s="1"/>
  <c r="F63" i="1"/>
  <c r="F57" i="1"/>
  <c r="F260" i="1" s="1"/>
  <c r="L57" i="1"/>
  <c r="L260" i="1" s="1"/>
  <c r="J249" i="1"/>
  <c r="E208" i="1"/>
  <c r="E210" i="1" s="1"/>
  <c r="R208" i="1"/>
  <c r="R210" i="1" s="1"/>
  <c r="M249" i="1"/>
  <c r="R67" i="1"/>
  <c r="I249" i="1"/>
  <c r="H67" i="1"/>
  <c r="H208" i="1"/>
  <c r="H210" i="1" s="1"/>
  <c r="F249" i="1"/>
  <c r="C63" i="1"/>
  <c r="N208" i="1"/>
  <c r="N210" i="1" s="1"/>
  <c r="N67" i="1"/>
  <c r="G208" i="1"/>
  <c r="G210" i="1" s="1"/>
  <c r="P67" i="1"/>
  <c r="K208" i="1"/>
  <c r="K210" i="1" s="1"/>
  <c r="P208" i="1"/>
  <c r="P210" i="1" s="1"/>
  <c r="U67" i="1"/>
  <c r="U208" i="1"/>
  <c r="U210" i="1" s="1"/>
  <c r="Q67" i="1"/>
  <c r="Q208" i="1"/>
  <c r="Q210" i="1" s="1"/>
  <c r="T67" i="1"/>
  <c r="T208" i="1"/>
  <c r="T210" i="1" s="1"/>
  <c r="CA100" i="1" l="1"/>
  <c r="BW104" i="1"/>
  <c r="CA101" i="1"/>
  <c r="CD105" i="1" s="1"/>
  <c r="CA102" i="1"/>
  <c r="CE85" i="1"/>
  <c r="CP153" i="1"/>
  <c r="CP218" i="1" s="1"/>
  <c r="CP216" i="1" s="1"/>
  <c r="CQ47" i="1"/>
  <c r="CZ92" i="1"/>
  <c r="AC157" i="1"/>
  <c r="CX78" i="1"/>
  <c r="CW80" i="1"/>
  <c r="CD1" i="1"/>
  <c r="CE1" i="1" s="1"/>
  <c r="CF1" i="1" s="1"/>
  <c r="CG1" i="1" s="1"/>
  <c r="CH1" i="1" s="1"/>
  <c r="CI1" i="1" s="1"/>
  <c r="CJ1" i="1" s="1"/>
  <c r="CK1" i="1" s="1"/>
  <c r="L208" i="1"/>
  <c r="L210" i="1" s="1"/>
  <c r="J208" i="1"/>
  <c r="J210" i="1" s="1"/>
  <c r="M208" i="1"/>
  <c r="M210" i="1" s="1"/>
  <c r="B67" i="1"/>
  <c r="F67" i="1"/>
  <c r="I67" i="1"/>
  <c r="C67" i="1"/>
  <c r="L67" i="1"/>
  <c r="S67" i="1"/>
  <c r="J67" i="1"/>
  <c r="S208" i="1"/>
  <c r="S210" i="1" s="1"/>
  <c r="M67" i="1"/>
  <c r="I208" i="1"/>
  <c r="I210" i="1" s="1"/>
  <c r="F208" i="1"/>
  <c r="F210" i="1" s="1"/>
  <c r="C208" i="1"/>
  <c r="C210" i="1" s="1"/>
  <c r="V98" i="2"/>
  <c r="C70" i="2"/>
  <c r="F104" i="2"/>
  <c r="S70" i="2"/>
  <c r="U58" i="2"/>
  <c r="C64" i="2"/>
  <c r="G91" i="2"/>
  <c r="P44" i="2"/>
  <c r="E59" i="2"/>
  <c r="L106" i="2"/>
  <c r="R50" i="2"/>
  <c r="AP50" i="3"/>
  <c r="S12" i="3"/>
  <c r="S42" i="3"/>
  <c r="AJ23" i="3"/>
  <c r="AI32" i="3"/>
  <c r="I94" i="2"/>
  <c r="K97" i="2"/>
  <c r="W97" i="2"/>
  <c r="X60" i="2"/>
  <c r="L47" i="2"/>
  <c r="M52" i="2"/>
  <c r="M73" i="2"/>
  <c r="T60" i="2"/>
  <c r="C80" i="2"/>
  <c r="K106" i="2"/>
  <c r="AB63" i="3"/>
  <c r="P10" i="3"/>
  <c r="W19" i="3"/>
  <c r="AI10" i="3"/>
  <c r="AQ19" i="3"/>
  <c r="U52" i="2"/>
  <c r="M65" i="2"/>
  <c r="V87" i="2"/>
  <c r="Q97" i="2"/>
  <c r="N59" i="2"/>
  <c r="T104" i="2"/>
  <c r="L76" i="2"/>
  <c r="G104" i="2"/>
  <c r="N109" i="2"/>
  <c r="V44" i="2"/>
  <c r="N57" i="2"/>
  <c r="AP60" i="3"/>
  <c r="AP41" i="3"/>
  <c r="AK17" i="3"/>
  <c r="N21" i="3"/>
  <c r="K21" i="3"/>
  <c r="W41" i="3"/>
  <c r="AJ18" i="3"/>
  <c r="V26" i="3"/>
  <c r="I31" i="3"/>
  <c r="H51" i="2"/>
  <c r="G46" i="2"/>
  <c r="S85" i="2"/>
  <c r="D57" i="2"/>
  <c r="M113" i="2"/>
  <c r="V90" i="2"/>
  <c r="L57" i="2"/>
  <c r="L104" i="2"/>
  <c r="K57" i="2"/>
  <c r="T49" i="2"/>
  <c r="L78" i="2"/>
  <c r="O39" i="3"/>
  <c r="L11" i="3"/>
  <c r="AC42" i="3"/>
  <c r="T22" i="3"/>
  <c r="AO10" i="3"/>
  <c r="V13" i="3"/>
  <c r="AI35" i="3"/>
  <c r="H30" i="3"/>
  <c r="AM27" i="3"/>
  <c r="Q10" i="3"/>
  <c r="M93" i="2"/>
  <c r="N84" i="2"/>
  <c r="I83" i="2"/>
  <c r="J57" i="2"/>
  <c r="F109" i="2"/>
  <c r="K67" i="2"/>
  <c r="U90" i="2"/>
  <c r="E56" i="2"/>
  <c r="S56" i="2"/>
  <c r="N55" i="2"/>
  <c r="AP58" i="3"/>
  <c r="Q36" i="3"/>
  <c r="M15" i="3"/>
  <c r="R30" i="3"/>
  <c r="U28" i="3"/>
  <c r="Y37" i="3"/>
  <c r="M27" i="3"/>
  <c r="S29" i="3"/>
  <c r="K34" i="3"/>
  <c r="X19" i="3"/>
  <c r="W16" i="3"/>
  <c r="D78" i="2"/>
  <c r="T67" i="2"/>
  <c r="W83" i="2"/>
  <c r="I86" i="2"/>
  <c r="D95" i="2"/>
  <c r="D41" i="2"/>
  <c r="S7" i="3"/>
  <c r="H6" i="3"/>
  <c r="H42" i="3"/>
  <c r="AA10" i="3"/>
  <c r="AH19" i="3"/>
  <c r="AG24" i="3"/>
  <c r="AL11" i="3"/>
  <c r="S59" i="2"/>
  <c r="T63" i="2"/>
  <c r="AD24" i="3"/>
  <c r="AA31" i="3"/>
  <c r="I35" i="3"/>
  <c r="R44" i="2"/>
  <c r="D45" i="2"/>
  <c r="R87" i="2"/>
  <c r="L53" i="2"/>
  <c r="M40" i="2"/>
  <c r="J56" i="2"/>
  <c r="T90" i="2"/>
  <c r="L94" i="2"/>
  <c r="O51" i="2"/>
  <c r="W45" i="2"/>
  <c r="R60" i="2"/>
  <c r="H38" i="3"/>
  <c r="M9" i="3"/>
  <c r="W11" i="3"/>
  <c r="AE17" i="3"/>
  <c r="C4" i="3"/>
  <c r="M14" i="3"/>
  <c r="Q62" i="2"/>
  <c r="H110" i="2"/>
  <c r="I92" i="2"/>
  <c r="N90" i="2"/>
  <c r="E68" i="2"/>
  <c r="H106" i="2"/>
  <c r="X45" i="2"/>
  <c r="G41" i="3"/>
  <c r="R40" i="3"/>
  <c r="N45" i="2"/>
  <c r="D88" i="2"/>
  <c r="X99" i="2"/>
  <c r="N62" i="2"/>
  <c r="S113" i="2"/>
  <c r="J67" i="2"/>
  <c r="AD50" i="3"/>
  <c r="AP34" i="3"/>
  <c r="V27" i="3"/>
  <c r="Q28" i="3"/>
  <c r="U29" i="3"/>
  <c r="U42" i="3"/>
  <c r="K16" i="3"/>
  <c r="AN30" i="3"/>
  <c r="X93" i="2"/>
  <c r="J68" i="2"/>
  <c r="W52" i="2"/>
  <c r="Q16" i="3"/>
  <c r="AK13" i="3"/>
  <c r="AO26" i="3"/>
  <c r="E90" i="2"/>
  <c r="J46" i="2"/>
  <c r="E43" i="2"/>
  <c r="R74" i="2"/>
  <c r="Q75" i="2"/>
  <c r="D40" i="2"/>
  <c r="AB58" i="3"/>
  <c r="G42" i="3"/>
  <c r="L20" i="3"/>
  <c r="X13" i="3"/>
  <c r="AD25" i="3"/>
  <c r="C13" i="3"/>
  <c r="AP21" i="3"/>
  <c r="C84" i="2"/>
  <c r="J113" i="2"/>
  <c r="AB84" i="3"/>
  <c r="AC7" i="3"/>
  <c r="AC28" i="3"/>
  <c r="AL24" i="3"/>
  <c r="D99" i="2"/>
  <c r="G40" i="2"/>
  <c r="T48" i="2"/>
  <c r="T58" i="2"/>
  <c r="O41" i="3"/>
  <c r="Z7" i="3"/>
  <c r="D47" i="3"/>
  <c r="AP71" i="3"/>
  <c r="L65" i="2"/>
  <c r="G68" i="2"/>
  <c r="AP75" i="3"/>
  <c r="AE18" i="3"/>
  <c r="AL25" i="3"/>
  <c r="AD23" i="3"/>
  <c r="K50" i="2"/>
  <c r="F66" i="2"/>
  <c r="X20" i="3"/>
  <c r="V36" i="3"/>
  <c r="AK6" i="3"/>
  <c r="H9" i="3"/>
  <c r="M53" i="2"/>
  <c r="P108" i="2"/>
  <c r="AB57" i="3"/>
  <c r="C34" i="3"/>
  <c r="AB7" i="3"/>
  <c r="K37" i="3"/>
  <c r="N113" i="2"/>
  <c r="AD30" i="3"/>
  <c r="H59" i="2"/>
  <c r="P64" i="2"/>
  <c r="L39" i="3"/>
  <c r="X25" i="3"/>
  <c r="J76" i="2"/>
  <c r="I20" i="3"/>
  <c r="M30" i="3"/>
  <c r="V67" i="2"/>
  <c r="M44" i="2"/>
  <c r="H63" i="2"/>
  <c r="X36" i="3"/>
  <c r="AH34" i="3"/>
  <c r="AJ42" i="3"/>
  <c r="P8" i="3"/>
  <c r="N16" i="3"/>
  <c r="K74" i="2"/>
  <c r="R37" i="3"/>
  <c r="AE6" i="3"/>
  <c r="AB95" i="3"/>
  <c r="M76" i="2"/>
  <c r="R31" i="3"/>
  <c r="Y16" i="3"/>
  <c r="W63" i="2"/>
  <c r="S48" i="2"/>
  <c r="G83" i="2"/>
  <c r="C33" i="3"/>
  <c r="H64" i="2"/>
  <c r="T74" i="2"/>
  <c r="AN7" i="3"/>
  <c r="AQ35" i="3"/>
  <c r="M82" i="2"/>
  <c r="S34" i="3"/>
  <c r="D71" i="2"/>
  <c r="N82" i="2"/>
  <c r="U18" i="3"/>
  <c r="K60" i="2"/>
  <c r="U39" i="3"/>
  <c r="E104" i="2"/>
  <c r="T71" i="2"/>
  <c r="X7" i="3"/>
  <c r="AD48" i="3"/>
  <c r="AH38" i="3"/>
  <c r="AE15" i="3"/>
  <c r="AQ15" i="3"/>
  <c r="AA13" i="3"/>
  <c r="K56" i="2"/>
  <c r="I74" i="2"/>
  <c r="H48" i="2"/>
  <c r="V61" i="2"/>
  <c r="L43" i="2"/>
  <c r="I72" i="2"/>
  <c r="O46" i="2"/>
  <c r="X55" i="2"/>
  <c r="E74" i="2"/>
  <c r="N71" i="2"/>
  <c r="M111" i="2"/>
  <c r="AP64" i="3"/>
  <c r="H28" i="3"/>
  <c r="R15" i="3"/>
  <c r="Y28" i="3"/>
  <c r="AQ14" i="3"/>
  <c r="F73" i="2"/>
  <c r="O75" i="2"/>
  <c r="D92" i="2"/>
  <c r="I62" i="2"/>
  <c r="L71" i="2"/>
  <c r="C109" i="2"/>
  <c r="H96" i="2"/>
  <c r="S75" i="2"/>
  <c r="G85" i="2"/>
  <c r="X54" i="2"/>
  <c r="AP95" i="3"/>
  <c r="I23" i="3"/>
  <c r="N5" i="3"/>
  <c r="Q29" i="3"/>
  <c r="G50" i="3"/>
  <c r="Q113" i="2"/>
  <c r="S82" i="2"/>
  <c r="V88" i="2"/>
  <c r="E49" i="2"/>
  <c r="V51" i="2"/>
  <c r="S55" i="2"/>
  <c r="O45" i="2"/>
  <c r="P61" i="2"/>
  <c r="K65" i="2"/>
  <c r="M64" i="2"/>
  <c r="V83" i="2"/>
  <c r="C21" i="3"/>
  <c r="Q27" i="3"/>
  <c r="M36" i="3"/>
  <c r="AQ32" i="3"/>
  <c r="AO31" i="3"/>
  <c r="AO38" i="3"/>
  <c r="AK35" i="3"/>
  <c r="AA29" i="3"/>
  <c r="AQ34" i="3"/>
  <c r="P51" i="2"/>
  <c r="X94" i="2"/>
  <c r="J53" i="2"/>
  <c r="Q49" i="2"/>
  <c r="Q70" i="2"/>
  <c r="L74" i="2"/>
  <c r="V50" i="2"/>
  <c r="K96" i="2"/>
  <c r="S110" i="2"/>
  <c r="D94" i="2"/>
  <c r="C63" i="2"/>
  <c r="N26" i="3"/>
  <c r="S32" i="3"/>
  <c r="AM39" i="3"/>
  <c r="U12" i="3"/>
  <c r="E48" i="3"/>
  <c r="Q41" i="3"/>
  <c r="AA16" i="3"/>
  <c r="I11" i="3"/>
  <c r="S20" i="3"/>
  <c r="K5" i="3"/>
  <c r="R109" i="2"/>
  <c r="O41" i="2"/>
  <c r="W73" i="2"/>
  <c r="P87" i="2"/>
  <c r="U78" i="2"/>
  <c r="M94" i="2"/>
  <c r="T41" i="2"/>
  <c r="Q61" i="2"/>
  <c r="R107" i="2"/>
  <c r="P92" i="2"/>
  <c r="AB54" i="3"/>
  <c r="AE31" i="3"/>
  <c r="AI15" i="3"/>
  <c r="K23" i="3"/>
  <c r="AE8" i="3"/>
  <c r="H7" i="3"/>
  <c r="S39" i="3"/>
  <c r="AA20" i="3"/>
  <c r="AG14" i="3"/>
  <c r="AG29" i="3"/>
  <c r="K19" i="3"/>
  <c r="Q85" i="2"/>
  <c r="P79" i="2"/>
  <c r="W68" i="2"/>
  <c r="D74" i="2"/>
  <c r="K89" i="2"/>
  <c r="G76" i="2"/>
  <c r="M35" i="3"/>
  <c r="AM41" i="3"/>
  <c r="O6" i="3"/>
  <c r="H10" i="3"/>
  <c r="Q12" i="3"/>
  <c r="O40" i="3"/>
  <c r="Q11" i="3"/>
  <c r="P60" i="2"/>
  <c r="S98" i="2"/>
  <c r="W33" i="3"/>
  <c r="AA40" i="3"/>
  <c r="L38" i="3"/>
  <c r="D89" i="2"/>
  <c r="T50" i="2"/>
  <c r="N76" i="2"/>
  <c r="H89" i="2"/>
  <c r="U66" i="2"/>
  <c r="J41" i="2"/>
  <c r="N81" i="2"/>
  <c r="W109" i="2"/>
  <c r="G50" i="2"/>
  <c r="V77" i="2"/>
  <c r="AB81" i="3"/>
  <c r="K40" i="3"/>
  <c r="AM5" i="3"/>
  <c r="AQ41" i="3"/>
  <c r="AB35" i="3"/>
  <c r="K31" i="3"/>
  <c r="AN13" i="3"/>
  <c r="M71" i="2"/>
  <c r="V96" i="2"/>
  <c r="I82" i="2"/>
  <c r="K42" i="2"/>
  <c r="F112" i="2"/>
  <c r="K46" i="2"/>
  <c r="AP70" i="3"/>
  <c r="U15" i="3"/>
  <c r="O18" i="3"/>
  <c r="S40" i="2"/>
  <c r="P107" i="2"/>
  <c r="H46" i="2"/>
  <c r="R80" i="2"/>
  <c r="E80" i="2"/>
  <c r="W112" i="2"/>
  <c r="AJ22" i="3"/>
  <c r="AK27" i="3"/>
  <c r="AB6" i="3"/>
  <c r="Y33" i="3"/>
  <c r="Y35" i="3"/>
  <c r="T27" i="3"/>
  <c r="N25" i="3"/>
  <c r="E109" i="2"/>
  <c r="H53" i="2"/>
  <c r="L60" i="2"/>
  <c r="I73" i="2"/>
  <c r="Q35" i="3"/>
  <c r="X21" i="3"/>
  <c r="AD39" i="3"/>
  <c r="G98" i="2"/>
  <c r="X49" i="2"/>
  <c r="X62" i="2"/>
  <c r="X110" i="2"/>
  <c r="J87" i="2"/>
  <c r="O67" i="2"/>
  <c r="AP83" i="3"/>
  <c r="U19" i="3"/>
  <c r="Y38" i="3"/>
  <c r="X26" i="3"/>
  <c r="Q14" i="3"/>
  <c r="AP29" i="3"/>
  <c r="F55" i="2"/>
  <c r="U92" i="2"/>
  <c r="K92" i="2"/>
  <c r="Y22" i="3"/>
  <c r="AJ8" i="3"/>
  <c r="AK14" i="3"/>
  <c r="AK8" i="3"/>
  <c r="J109" i="2"/>
  <c r="T64" i="2"/>
  <c r="Q88" i="2"/>
  <c r="H93" i="2"/>
  <c r="AK30" i="3"/>
  <c r="H23" i="3"/>
  <c r="AM6" i="3"/>
  <c r="W29" i="3"/>
  <c r="U75" i="2"/>
  <c r="L56" i="2"/>
  <c r="AP82" i="3"/>
  <c r="N32" i="3"/>
  <c r="U34" i="3"/>
  <c r="AE22" i="3"/>
  <c r="O68" i="2"/>
  <c r="S66" i="2"/>
  <c r="AO5" i="3"/>
  <c r="J10" i="3"/>
  <c r="AC32" i="3"/>
  <c r="J21" i="3"/>
  <c r="H74" i="2"/>
  <c r="T47" i="2"/>
  <c r="AP87" i="3"/>
  <c r="AL39" i="3"/>
  <c r="C20" i="3"/>
  <c r="N27" i="3"/>
  <c r="I110" i="2"/>
  <c r="U9" i="3"/>
  <c r="I19" i="3"/>
  <c r="V99" i="2"/>
  <c r="AO9" i="3"/>
  <c r="AK20" i="3"/>
  <c r="G63" i="2"/>
  <c r="AL32" i="3"/>
  <c r="S19" i="3"/>
  <c r="L86" i="2"/>
  <c r="W92" i="2"/>
  <c r="R104" i="2"/>
  <c r="AE7" i="3"/>
  <c r="M37" i="3"/>
  <c r="N17" i="3"/>
  <c r="AL42" i="3"/>
  <c r="AL14" i="3"/>
  <c r="U53" i="2"/>
  <c r="K10" i="3"/>
  <c r="U10" i="3"/>
  <c r="W12" i="3"/>
  <c r="O90" i="2"/>
  <c r="AK26" i="3"/>
  <c r="W13" i="3"/>
  <c r="J93" i="2"/>
  <c r="W106" i="2"/>
  <c r="AB92" i="3"/>
  <c r="L26" i="3"/>
  <c r="J71" i="2"/>
  <c r="O66" i="2"/>
  <c r="AP28" i="3"/>
  <c r="AI13" i="3"/>
  <c r="F95" i="2"/>
  <c r="C40" i="3"/>
  <c r="U110" i="2"/>
  <c r="K70" i="2"/>
  <c r="V21" i="3"/>
  <c r="U67" i="2"/>
  <c r="AB14" i="3"/>
  <c r="I66" i="2"/>
  <c r="X91" i="2"/>
  <c r="T32" i="3"/>
  <c r="P19" i="3"/>
  <c r="U7" i="3"/>
  <c r="Q7" i="3"/>
  <c r="L21" i="3"/>
  <c r="Y8" i="3"/>
  <c r="G41" i="2"/>
  <c r="F47" i="2"/>
  <c r="C48" i="2"/>
  <c r="U41" i="2"/>
  <c r="O42" i="2"/>
  <c r="J108" i="2"/>
  <c r="K66" i="2"/>
  <c r="O92" i="2"/>
  <c r="U93" i="2"/>
  <c r="P110" i="2"/>
  <c r="O62" i="2"/>
  <c r="H34" i="3"/>
  <c r="AA34" i="3"/>
  <c r="H27" i="3"/>
  <c r="I15" i="3"/>
  <c r="V57" i="2"/>
  <c r="J66" i="2"/>
  <c r="Q84" i="2"/>
  <c r="L70" i="2"/>
  <c r="F74" i="2"/>
  <c r="P80" i="2"/>
  <c r="K110" i="2"/>
  <c r="I46" i="2"/>
  <c r="J86" i="2"/>
  <c r="E73" i="2"/>
  <c r="C95" i="2"/>
  <c r="AB67" i="3"/>
  <c r="AE24" i="3"/>
  <c r="U41" i="3"/>
  <c r="V33" i="3"/>
  <c r="AG23" i="3"/>
  <c r="H43" i="2"/>
  <c r="N68" i="2"/>
  <c r="U97" i="2"/>
  <c r="F83" i="2"/>
  <c r="V58" i="2"/>
  <c r="L89" i="2"/>
  <c r="E57" i="2"/>
  <c r="O80" i="2"/>
  <c r="K55" i="2"/>
  <c r="I93" i="2"/>
  <c r="L109" i="2"/>
  <c r="AP12" i="3"/>
  <c r="E47" i="3"/>
  <c r="AA17" i="3"/>
  <c r="J8" i="3"/>
  <c r="R42" i="3"/>
  <c r="N28" i="3"/>
  <c r="W42" i="3"/>
  <c r="J30" i="3"/>
  <c r="AM38" i="3"/>
  <c r="V60" i="2"/>
  <c r="E63" i="2"/>
  <c r="C85" i="2"/>
  <c r="L55" i="2"/>
  <c r="Q95" i="2"/>
  <c r="S68" i="2"/>
  <c r="E108" i="2"/>
  <c r="U112" i="2"/>
  <c r="V53" i="2"/>
  <c r="G78" i="2"/>
  <c r="AP56" i="3"/>
  <c r="J16" i="3"/>
  <c r="W18" i="3"/>
  <c r="Z28" i="3"/>
  <c r="I25" i="3"/>
  <c r="Q22" i="3"/>
  <c r="AO30" i="3"/>
  <c r="AE37" i="3"/>
  <c r="J24" i="3"/>
  <c r="O13" i="3"/>
  <c r="AJ29" i="3"/>
  <c r="E84" i="2"/>
  <c r="K76" i="2"/>
  <c r="S86" i="2"/>
  <c r="H70" i="2"/>
  <c r="X113" i="2"/>
  <c r="U83" i="2"/>
  <c r="U77" i="2"/>
  <c r="U59" i="2"/>
  <c r="E97" i="2"/>
  <c r="E78" i="2"/>
  <c r="AB86" i="3"/>
  <c r="S36" i="3"/>
  <c r="I39" i="3"/>
  <c r="V34" i="3"/>
  <c r="R14" i="3"/>
  <c r="AI42" i="3"/>
  <c r="AL36" i="3"/>
  <c r="W17" i="3"/>
  <c r="R11" i="3"/>
  <c r="AA39" i="3"/>
  <c r="AG38" i="3"/>
  <c r="D61" i="2"/>
  <c r="L112" i="2"/>
  <c r="R91" i="2"/>
  <c r="N52" i="2"/>
  <c r="T56" i="2"/>
  <c r="Q51" i="2"/>
  <c r="AJ31" i="3"/>
  <c r="P13" i="3"/>
  <c r="AJ5" i="3"/>
  <c r="AM29" i="3"/>
  <c r="AJ39" i="3"/>
  <c r="AO42" i="3"/>
  <c r="H33" i="3"/>
  <c r="T112" i="2"/>
  <c r="AB61" i="3"/>
  <c r="M29" i="3"/>
  <c r="P27" i="3"/>
  <c r="AP22" i="3"/>
  <c r="R86" i="2"/>
  <c r="R79" i="2"/>
  <c r="O87" i="2"/>
  <c r="N108" i="2"/>
  <c r="Q83" i="2"/>
  <c r="N50" i="2"/>
  <c r="J75" i="2"/>
  <c r="T68" i="2"/>
  <c r="V56" i="2"/>
  <c r="Q50" i="2"/>
  <c r="AB77" i="3"/>
  <c r="Z34" i="3"/>
  <c r="J34" i="3"/>
  <c r="AO23" i="3"/>
  <c r="Z20" i="3"/>
  <c r="AG41" i="3"/>
  <c r="AK18" i="3"/>
  <c r="R67" i="2"/>
  <c r="D85" i="2"/>
  <c r="W88" i="2"/>
  <c r="C43" i="2"/>
  <c r="O60" i="2"/>
  <c r="I105" i="2"/>
  <c r="AP97" i="3"/>
  <c r="S33" i="3"/>
  <c r="S9" i="3"/>
  <c r="E52" i="2"/>
  <c r="S43" i="2"/>
  <c r="G57" i="2"/>
  <c r="S72" i="2"/>
  <c r="P58" i="2"/>
  <c r="O108" i="2"/>
  <c r="AK21" i="3"/>
  <c r="AH37" i="3"/>
  <c r="I21" i="3"/>
  <c r="M8" i="3"/>
  <c r="M42" i="3"/>
  <c r="AE40" i="3"/>
  <c r="AD31" i="3"/>
  <c r="P84" i="2"/>
  <c r="Q76" i="2"/>
  <c r="H71" i="2"/>
  <c r="M42" i="2"/>
  <c r="AL31" i="3"/>
  <c r="I6" i="3"/>
  <c r="O113" i="2"/>
  <c r="O48" i="2"/>
  <c r="K52" i="2"/>
  <c r="T66" i="2"/>
  <c r="T79" i="2"/>
  <c r="U89" i="2"/>
  <c r="P52" i="2"/>
  <c r="AB71" i="3"/>
  <c r="N34" i="3"/>
  <c r="AG26" i="3"/>
  <c r="S41" i="3"/>
  <c r="Z13" i="3"/>
  <c r="AC35" i="3"/>
  <c r="T76" i="2"/>
  <c r="Q74" i="2"/>
  <c r="L64" i="2"/>
  <c r="Y40" i="3"/>
  <c r="C24" i="3"/>
  <c r="R13" i="3"/>
  <c r="K7" i="3"/>
  <c r="F50" i="2"/>
  <c r="V49" i="2"/>
  <c r="U94" i="2"/>
  <c r="T110" i="2"/>
  <c r="AM9" i="3"/>
  <c r="AL29" i="3"/>
  <c r="AJ27" i="3"/>
  <c r="T41" i="3"/>
  <c r="G44" i="2"/>
  <c r="G88" i="2"/>
  <c r="O22" i="3"/>
  <c r="AI19" i="3"/>
  <c r="AI37" i="3"/>
  <c r="Q17" i="3"/>
  <c r="L88" i="2"/>
  <c r="AB97" i="3"/>
  <c r="C41" i="2"/>
  <c r="V106" i="2"/>
  <c r="V42" i="3"/>
  <c r="X37" i="3"/>
  <c r="N107" i="2"/>
  <c r="O44" i="2"/>
  <c r="J36" i="3"/>
  <c r="AO25" i="3"/>
  <c r="Z41" i="3"/>
  <c r="AK15" i="3"/>
  <c r="K77" i="2"/>
  <c r="Z22" i="3"/>
  <c r="O17" i="3"/>
  <c r="M23" i="3"/>
  <c r="AK33" i="3"/>
  <c r="AB27" i="3"/>
  <c r="P93" i="2"/>
  <c r="C36" i="3"/>
  <c r="P31" i="3"/>
  <c r="O84" i="2"/>
  <c r="X96" i="2"/>
  <c r="P56" i="2"/>
  <c r="M13" i="3"/>
  <c r="AM37" i="3"/>
  <c r="N33" i="3"/>
  <c r="AO29" i="3"/>
  <c r="AD22" i="3"/>
  <c r="T40" i="2"/>
  <c r="AD47" i="3"/>
  <c r="AD41" i="3"/>
  <c r="V7" i="3"/>
  <c r="G110" i="2"/>
  <c r="AH30" i="3"/>
  <c r="U25" i="3"/>
  <c r="C58" i="2"/>
  <c r="K48" i="2"/>
  <c r="AB70" i="3"/>
  <c r="AC23" i="3"/>
  <c r="S78" i="2"/>
  <c r="W96" i="2"/>
  <c r="S27" i="3"/>
  <c r="AI17" i="3"/>
  <c r="F87" i="2"/>
  <c r="AO12" i="3"/>
  <c r="C87" i="2"/>
  <c r="C60" i="2"/>
  <c r="U32" i="3"/>
  <c r="C57" i="2"/>
  <c r="AB32" i="3"/>
  <c r="E41" i="2"/>
  <c r="T86" i="2"/>
  <c r="I26" i="3"/>
  <c r="J29" i="3"/>
  <c r="X39" i="3"/>
  <c r="R62" i="2"/>
  <c r="M46" i="2"/>
  <c r="K20" i="3"/>
  <c r="J62" i="2"/>
  <c r="F53" i="2"/>
  <c r="N93" i="2"/>
  <c r="J104" i="2"/>
  <c r="C76" i="2"/>
  <c r="U88" i="2"/>
  <c r="E111" i="2"/>
  <c r="V41" i="2"/>
  <c r="E40" i="2"/>
  <c r="O70" i="2"/>
  <c r="F67" i="2"/>
  <c r="AN8" i="3"/>
  <c r="J12" i="3"/>
  <c r="Y25" i="3"/>
  <c r="Q19" i="3"/>
  <c r="N87" i="2"/>
  <c r="R41" i="2"/>
  <c r="U76" i="2"/>
  <c r="R92" i="2"/>
  <c r="S81" i="2"/>
  <c r="N89" i="2"/>
  <c r="N94" i="2"/>
  <c r="X58" i="2"/>
  <c r="C75" i="2"/>
  <c r="D106" i="2"/>
  <c r="C108" i="2"/>
  <c r="AB76" i="3"/>
  <c r="K38" i="3"/>
  <c r="Y39" i="3"/>
  <c r="AO24" i="3"/>
  <c r="AB24" i="3"/>
  <c r="U98" i="2"/>
  <c r="M55" i="2"/>
  <c r="I54" i="2"/>
  <c r="I109" i="2"/>
  <c r="K47" i="2"/>
  <c r="R75" i="2"/>
  <c r="X88" i="2"/>
  <c r="V104" i="2"/>
  <c r="V109" i="2"/>
  <c r="R65" i="2"/>
  <c r="U51" i="2"/>
  <c r="V16" i="3"/>
  <c r="N40" i="3"/>
  <c r="L5" i="3"/>
  <c r="AL10" i="3"/>
  <c r="Z31" i="3"/>
  <c r="C39" i="3"/>
  <c r="AM7" i="3"/>
  <c r="X8" i="3"/>
  <c r="AL35" i="3"/>
  <c r="E75" i="2"/>
  <c r="D66" i="2"/>
  <c r="Q109" i="2"/>
  <c r="S89" i="2"/>
  <c r="D105" i="2"/>
  <c r="J91" i="2"/>
  <c r="S45" i="2"/>
  <c r="S41" i="2"/>
  <c r="H80" i="2"/>
  <c r="W79" i="2"/>
  <c r="AP86" i="3"/>
  <c r="T25" i="3"/>
  <c r="AP13" i="3"/>
  <c r="N10" i="3"/>
  <c r="M31" i="3"/>
  <c r="AG18" i="3"/>
  <c r="P24" i="3"/>
  <c r="T20" i="3"/>
  <c r="Z39" i="3"/>
  <c r="H12" i="3"/>
  <c r="W48" i="2"/>
  <c r="U74" i="2"/>
  <c r="J50" i="2"/>
  <c r="Q66" i="2"/>
  <c r="Q68" i="2"/>
  <c r="D76" i="2"/>
  <c r="V94" i="2"/>
  <c r="J70" i="2"/>
  <c r="D104" i="2"/>
  <c r="X97" i="2"/>
  <c r="J81" i="2"/>
  <c r="AP49" i="3"/>
  <c r="W37" i="3"/>
  <c r="W15" i="3"/>
  <c r="AN23" i="3"/>
  <c r="X5" i="3"/>
  <c r="AE20" i="3"/>
  <c r="T19" i="3"/>
  <c r="U5" i="3"/>
  <c r="AC40" i="3"/>
  <c r="AO37" i="3"/>
  <c r="AJ34" i="3"/>
  <c r="F40" i="2"/>
  <c r="R48" i="2"/>
  <c r="D97" i="2"/>
  <c r="W80" i="2"/>
  <c r="P86" i="2"/>
  <c r="S54" i="2"/>
  <c r="AO39" i="3"/>
  <c r="AJ30" i="3"/>
  <c r="AP11" i="3"/>
  <c r="Y23" i="3"/>
  <c r="G33" i="3"/>
  <c r="AN36" i="3"/>
  <c r="U40" i="3"/>
  <c r="V68" i="2"/>
  <c r="AB48" i="3"/>
  <c r="AN9" i="3"/>
  <c r="Y19" i="3"/>
  <c r="AG36" i="3"/>
  <c r="F108" i="2"/>
  <c r="T53" i="2"/>
  <c r="H44" i="2"/>
  <c r="C82" i="2"/>
  <c r="D109" i="2"/>
  <c r="Q63" i="2"/>
  <c r="Q99" i="2"/>
  <c r="U111" i="2"/>
  <c r="F107" i="2"/>
  <c r="N110" i="2"/>
  <c r="AP79" i="3"/>
  <c r="V31" i="3"/>
  <c r="AK22" i="3"/>
  <c r="S24" i="3"/>
  <c r="AP20" i="3"/>
  <c r="C10" i="3"/>
  <c r="AO36" i="3"/>
  <c r="C92" i="2"/>
  <c r="W98" i="2"/>
  <c r="W47" i="2"/>
  <c r="R64" i="2"/>
  <c r="R76" i="2"/>
  <c r="M56" i="2"/>
  <c r="AP63" i="3"/>
  <c r="AG17" i="3"/>
  <c r="J54" i="2"/>
  <c r="T78" i="2"/>
  <c r="E70" i="2"/>
  <c r="R51" i="2"/>
  <c r="T82" i="2"/>
  <c r="Q72" i="2"/>
  <c r="F93" i="2"/>
  <c r="AI16" i="3"/>
  <c r="AN25" i="3"/>
  <c r="AP33" i="3"/>
  <c r="AN40" i="3"/>
  <c r="AK32" i="3"/>
  <c r="X18" i="3"/>
  <c r="AM36" i="3"/>
  <c r="I49" i="2"/>
  <c r="D81" i="2"/>
  <c r="J105" i="2"/>
  <c r="N77" i="2"/>
  <c r="AG15" i="3"/>
  <c r="AO17" i="3"/>
  <c r="I98" i="2"/>
  <c r="U54" i="2"/>
  <c r="M57" i="2"/>
  <c r="X46" i="2"/>
  <c r="V62" i="2"/>
  <c r="E91" i="2"/>
  <c r="H90" i="2"/>
  <c r="AP76" i="3"/>
  <c r="AD20" i="3"/>
  <c r="R20" i="3"/>
  <c r="R38" i="3"/>
  <c r="AG31" i="3"/>
  <c r="V35" i="3"/>
  <c r="H91" i="2"/>
  <c r="G84" i="2"/>
  <c r="V70" i="2"/>
  <c r="V24" i="3"/>
  <c r="AP31" i="3"/>
  <c r="AB28" i="3"/>
  <c r="AJ37" i="3"/>
  <c r="G109" i="2"/>
  <c r="X70" i="2"/>
  <c r="Q90" i="2"/>
  <c r="AP96" i="3"/>
  <c r="AQ9" i="3"/>
  <c r="Q30" i="3"/>
  <c r="AJ21" i="3"/>
  <c r="T26" i="3"/>
  <c r="U68" i="2"/>
  <c r="J44" i="2"/>
  <c r="X30" i="3"/>
  <c r="L18" i="3"/>
  <c r="Z18" i="3"/>
  <c r="Q39" i="3"/>
  <c r="D83" i="2"/>
  <c r="N19" i="3"/>
  <c r="J111" i="2"/>
  <c r="E61" i="2"/>
  <c r="Z17" i="3"/>
  <c r="V17" i="3"/>
  <c r="W60" i="2"/>
  <c r="M43" i="2"/>
  <c r="T24" i="3"/>
  <c r="I40" i="3"/>
  <c r="Y29" i="3"/>
  <c r="AO27" i="3"/>
  <c r="L40" i="2"/>
  <c r="T9" i="3"/>
  <c r="AI5" i="3"/>
  <c r="AI27" i="3"/>
  <c r="AK40" i="3"/>
  <c r="AB36" i="3"/>
  <c r="D56" i="2"/>
  <c r="AG13" i="3"/>
  <c r="Q6" i="3"/>
  <c r="R46" i="2"/>
  <c r="F48" i="2"/>
  <c r="G60" i="2"/>
  <c r="AA6" i="3"/>
  <c r="R23" i="3"/>
  <c r="T15" i="3"/>
  <c r="Z29" i="3"/>
  <c r="R19" i="3"/>
  <c r="S105" i="2"/>
  <c r="AE36" i="3"/>
  <c r="K49" i="2"/>
  <c r="AQ5" i="3"/>
  <c r="C105" i="2"/>
  <c r="AE12" i="3"/>
  <c r="AI39" i="3"/>
  <c r="F46" i="2"/>
  <c r="K81" i="2"/>
  <c r="N24" i="3"/>
  <c r="AN29" i="3"/>
  <c r="N72" i="2"/>
  <c r="F69" i="2"/>
  <c r="U22" i="3"/>
  <c r="P14" i="3"/>
  <c r="P72" i="2"/>
  <c r="Z42" i="3"/>
  <c r="AK5" i="3"/>
  <c r="R73" i="2"/>
  <c r="AE27" i="3"/>
  <c r="L79" i="2"/>
  <c r="O77" i="2"/>
  <c r="U45" i="2"/>
  <c r="G67" i="2"/>
  <c r="AI9" i="3"/>
  <c r="Z23" i="3"/>
  <c r="AI29" i="3"/>
  <c r="D67" i="2"/>
  <c r="L69" i="2"/>
  <c r="P113" i="2"/>
  <c r="P94" i="2"/>
  <c r="M50" i="2"/>
  <c r="J59" i="2"/>
  <c r="R88" i="2"/>
  <c r="W94" i="2"/>
  <c r="I97" i="2"/>
  <c r="X77" i="2"/>
  <c r="N96" i="2"/>
  <c r="D69" i="2"/>
  <c r="H105" i="2"/>
  <c r="P78" i="2"/>
  <c r="N80" i="2"/>
  <c r="C107" i="2"/>
  <c r="E72" i="2"/>
  <c r="H108" i="2"/>
  <c r="H45" i="2"/>
  <c r="AB60" i="3"/>
  <c r="O23" i="3"/>
  <c r="G37" i="3"/>
  <c r="C12" i="3"/>
  <c r="AC6" i="3"/>
  <c r="T59" i="2"/>
  <c r="R52" i="2"/>
  <c r="F63" i="2"/>
  <c r="Q71" i="2"/>
  <c r="T54" i="2"/>
  <c r="V48" i="2"/>
  <c r="M98" i="2"/>
  <c r="J64" i="2"/>
  <c r="O111" i="2"/>
  <c r="S42" i="2"/>
  <c r="C91" i="2"/>
  <c r="Z19" i="3"/>
  <c r="AI11" i="3"/>
  <c r="AA36" i="3"/>
  <c r="AN6" i="3"/>
  <c r="K15" i="3"/>
  <c r="O69" i="2"/>
  <c r="I68" i="2"/>
  <c r="G113" i="2"/>
  <c r="E47" i="2"/>
  <c r="R108" i="2"/>
  <c r="M49" i="2"/>
  <c r="R47" i="2"/>
  <c r="D64" i="2"/>
  <c r="D43" i="2"/>
  <c r="N44" i="2"/>
  <c r="AP66" i="3"/>
  <c r="W26" i="3"/>
  <c r="AE25" i="3"/>
  <c r="AL9" i="3"/>
  <c r="L16" i="3"/>
  <c r="O30" i="3"/>
  <c r="C6" i="3"/>
  <c r="R27" i="3"/>
  <c r="Y15" i="3"/>
  <c r="R12" i="3"/>
  <c r="M66" i="2"/>
  <c r="K93" i="2"/>
  <c r="N78" i="2"/>
  <c r="W77" i="2"/>
  <c r="W56" i="2"/>
  <c r="C45" i="2"/>
  <c r="T106" i="2"/>
  <c r="D82" i="2"/>
  <c r="R94" i="2"/>
  <c r="N98" i="2"/>
  <c r="AP62" i="3"/>
  <c r="AO15" i="3"/>
  <c r="AL37" i="3"/>
  <c r="AC13" i="3"/>
  <c r="AN17" i="3"/>
  <c r="G39" i="3"/>
  <c r="AL13" i="3"/>
  <c r="AN16" i="3"/>
  <c r="AC10" i="3"/>
  <c r="AP38" i="3"/>
  <c r="S69" i="2"/>
  <c r="X73" i="2"/>
  <c r="X50" i="2"/>
  <c r="F71" i="2"/>
  <c r="O105" i="2"/>
  <c r="S84" i="2"/>
  <c r="X51" i="2"/>
  <c r="L96" i="2"/>
  <c r="S83" i="2"/>
  <c r="K73" i="2"/>
  <c r="L97" i="2"/>
  <c r="AJ38" i="3"/>
  <c r="L37" i="3"/>
  <c r="AG7" i="3"/>
  <c r="AM13" i="3"/>
  <c r="AQ21" i="3"/>
  <c r="R10" i="3"/>
  <c r="AM17" i="3"/>
  <c r="Z5" i="3"/>
  <c r="K32" i="3"/>
  <c r="AQ17" i="3"/>
  <c r="E82" i="2"/>
  <c r="H113" i="2"/>
  <c r="T65" i="2"/>
  <c r="L111" i="2"/>
  <c r="P43" i="2"/>
  <c r="K78" i="2"/>
  <c r="M47" i="2"/>
  <c r="AH16" i="3"/>
  <c r="I13" i="3"/>
  <c r="Z37" i="3"/>
  <c r="J13" i="3"/>
  <c r="K14" i="3"/>
  <c r="AC34" i="3"/>
  <c r="M95" i="2"/>
  <c r="J60" i="2"/>
  <c r="AP67" i="3"/>
  <c r="AI30" i="3"/>
  <c r="I41" i="3"/>
  <c r="L54" i="2"/>
  <c r="P63" i="2"/>
  <c r="L113" i="2"/>
  <c r="L45" i="2"/>
  <c r="T83" i="2"/>
  <c r="D93" i="2"/>
  <c r="T43" i="2"/>
  <c r="W99" i="2"/>
  <c r="D54" i="2"/>
  <c r="M79" i="2"/>
  <c r="T57" i="2"/>
  <c r="P32" i="3"/>
  <c r="AN12" i="3"/>
  <c r="M33" i="3"/>
  <c r="AQ40" i="3"/>
  <c r="X9" i="3"/>
  <c r="AD34" i="3"/>
  <c r="S18" i="3"/>
  <c r="U42" i="2"/>
  <c r="Q89" i="2"/>
  <c r="G82" i="2"/>
  <c r="R89" i="2"/>
  <c r="F79" i="2"/>
  <c r="R59" i="2"/>
  <c r="I22" i="3"/>
  <c r="H11" i="3"/>
  <c r="P85" i="2"/>
  <c r="V75" i="2"/>
  <c r="G48" i="2"/>
  <c r="M89" i="2"/>
  <c r="E93" i="2"/>
  <c r="P57" i="2"/>
  <c r="AB96" i="3"/>
  <c r="W21" i="3"/>
  <c r="AB21" i="3"/>
  <c r="AC14" i="3"/>
  <c r="U35" i="3"/>
  <c r="T39" i="3"/>
  <c r="AK16" i="3"/>
  <c r="H39" i="3"/>
  <c r="D90" i="2"/>
  <c r="L77" i="2"/>
  <c r="W53" i="2"/>
  <c r="AB49" i="3"/>
  <c r="L30" i="3"/>
  <c r="V14" i="3"/>
  <c r="T69" i="2"/>
  <c r="L75" i="2"/>
  <c r="K90" i="2"/>
  <c r="E58" i="2"/>
  <c r="W89" i="2"/>
  <c r="L99" i="2"/>
  <c r="Q73" i="2"/>
  <c r="H41" i="3"/>
  <c r="X10" i="3"/>
  <c r="AQ23" i="3"/>
  <c r="P40" i="3"/>
  <c r="Y14" i="3"/>
  <c r="AE26" i="3"/>
  <c r="G106" i="2"/>
  <c r="X72" i="2"/>
  <c r="S90" i="2"/>
  <c r="V41" i="3"/>
  <c r="AJ13" i="3"/>
  <c r="I27" i="3"/>
  <c r="AK25" i="3"/>
  <c r="E62" i="2"/>
  <c r="C96" i="2"/>
  <c r="M83" i="2"/>
  <c r="AH31" i="3"/>
  <c r="AL15" i="3"/>
  <c r="AJ35" i="3"/>
  <c r="N18" i="3"/>
  <c r="P36" i="3"/>
  <c r="W40" i="2"/>
  <c r="J77" i="2"/>
  <c r="H13" i="3"/>
  <c r="S21" i="3"/>
  <c r="Y9" i="3"/>
  <c r="X6" i="3"/>
  <c r="W105" i="2"/>
  <c r="AO11" i="3"/>
  <c r="AJ24" i="3"/>
  <c r="W82" i="2"/>
  <c r="J23" i="3"/>
  <c r="J14" i="3"/>
  <c r="R66" i="2"/>
  <c r="I81" i="2"/>
  <c r="AO20" i="3"/>
  <c r="Y36" i="3"/>
  <c r="AK38" i="3"/>
  <c r="G89" i="2"/>
  <c r="AI24" i="3"/>
  <c r="K8" i="3"/>
  <c r="K11" i="3"/>
  <c r="AG35" i="3"/>
  <c r="U16" i="3"/>
  <c r="S15" i="3"/>
  <c r="AG32" i="3"/>
  <c r="N69" i="2"/>
  <c r="P47" i="2"/>
  <c r="M92" i="2"/>
  <c r="E98" i="2"/>
  <c r="C49" i="3"/>
  <c r="AQ12" i="3"/>
  <c r="AQ26" i="3"/>
  <c r="AA38" i="3"/>
  <c r="G38" i="3"/>
  <c r="P9" i="3"/>
  <c r="K71" i="2"/>
  <c r="AI40" i="3"/>
  <c r="U62" i="2"/>
  <c r="AJ9" i="3"/>
  <c r="AM16" i="3"/>
  <c r="E85" i="2"/>
  <c r="S28" i="3"/>
  <c r="V80" i="2"/>
  <c r="L63" i="2"/>
  <c r="I52" i="2"/>
  <c r="I84" i="2"/>
  <c r="U95" i="2"/>
  <c r="V59" i="2"/>
  <c r="AP93" i="3"/>
  <c r="AP19" i="3"/>
  <c r="S11" i="3"/>
  <c r="G75" i="2"/>
  <c r="O89" i="2"/>
  <c r="M61" i="2"/>
  <c r="E66" i="2"/>
  <c r="H52" i="2"/>
  <c r="J88" i="2"/>
  <c r="AP88" i="3"/>
  <c r="N39" i="3"/>
  <c r="AK11" i="3"/>
  <c r="H83" i="2"/>
  <c r="I48" i="2"/>
  <c r="I70" i="2"/>
  <c r="Q48" i="2"/>
  <c r="Q112" i="2"/>
  <c r="C110" i="2"/>
  <c r="AP84" i="3"/>
  <c r="AJ25" i="3"/>
  <c r="P20" i="3"/>
  <c r="D50" i="3"/>
  <c r="AH26" i="3"/>
  <c r="N37" i="3"/>
  <c r="S67" i="2"/>
  <c r="L52" i="2"/>
  <c r="U56" i="2"/>
  <c r="X95" i="2"/>
  <c r="O64" i="2"/>
  <c r="I58" i="2"/>
  <c r="Z30" i="3"/>
  <c r="AE39" i="3"/>
  <c r="Y31" i="3"/>
  <c r="AE29" i="3"/>
  <c r="AG33" i="3"/>
  <c r="AA26" i="3"/>
  <c r="L95" i="2"/>
  <c r="G96" i="2"/>
  <c r="S108" i="2"/>
  <c r="Q94" i="2"/>
  <c r="J69" i="2"/>
  <c r="G70" i="2"/>
  <c r="AQ13" i="3"/>
  <c r="AB23" i="3"/>
  <c r="K42" i="3"/>
  <c r="AC31" i="3"/>
  <c r="K17" i="3"/>
  <c r="J35" i="3"/>
  <c r="P55" i="2"/>
  <c r="J55" i="2"/>
  <c r="S71" i="2"/>
  <c r="N54" i="2"/>
  <c r="R35" i="3"/>
  <c r="O7" i="3"/>
  <c r="AI25" i="3"/>
  <c r="AG25" i="3"/>
  <c r="C66" i="2"/>
  <c r="AM22" i="3"/>
  <c r="Y30" i="3"/>
  <c r="N65" i="2"/>
  <c r="W49" i="2"/>
  <c r="AJ32" i="3"/>
  <c r="F57" i="2"/>
  <c r="D96" i="2"/>
  <c r="G94" i="2"/>
  <c r="V8" i="3"/>
  <c r="AH40" i="3"/>
  <c r="AM34" i="3"/>
  <c r="AH18" i="3"/>
  <c r="T77" i="2"/>
  <c r="V92" i="2"/>
  <c r="K68" i="2"/>
  <c r="O61" i="2"/>
  <c r="U31" i="3"/>
  <c r="I41" i="2"/>
  <c r="K95" i="2"/>
  <c r="C52" i="2"/>
  <c r="AB56" i="3"/>
  <c r="AH11" i="3"/>
  <c r="L27" i="3"/>
  <c r="D48" i="3"/>
  <c r="O33" i="3"/>
  <c r="D63" i="2"/>
  <c r="M63" i="2"/>
  <c r="L23" i="3"/>
  <c r="T92" i="2"/>
  <c r="R53" i="2"/>
  <c r="I61" i="2"/>
  <c r="Q107" i="2"/>
  <c r="V79" i="2"/>
  <c r="M20" i="3"/>
  <c r="AE30" i="3"/>
  <c r="AP27" i="3"/>
  <c r="D98" i="2"/>
  <c r="G64" i="2"/>
  <c r="W35" i="3"/>
  <c r="K27" i="3"/>
  <c r="M105" i="2"/>
  <c r="E88" i="2"/>
  <c r="P35" i="3"/>
  <c r="W25" i="3"/>
  <c r="P104" i="2"/>
  <c r="I55" i="2"/>
  <c r="AB30" i="3"/>
  <c r="L34" i="3"/>
  <c r="F86" i="2"/>
  <c r="S111" i="2"/>
  <c r="W38" i="3"/>
  <c r="H104" i="2"/>
  <c r="G56" i="2"/>
  <c r="AG10" i="3"/>
  <c r="AH9" i="3"/>
  <c r="Q31" i="3"/>
  <c r="R9" i="3"/>
  <c r="AJ16" i="3"/>
  <c r="R7" i="3"/>
  <c r="M60" i="2"/>
  <c r="AB74" i="3"/>
  <c r="I87" i="2"/>
  <c r="I7" i="3"/>
  <c r="S10" i="3"/>
  <c r="AG5" i="3"/>
  <c r="AP77" i="3"/>
  <c r="R58" i="2"/>
  <c r="G45" i="2"/>
  <c r="U70" i="2"/>
  <c r="J94" i="2"/>
  <c r="Q47" i="2"/>
  <c r="N23" i="3"/>
  <c r="O91" i="2"/>
  <c r="AC26" i="3"/>
  <c r="K62" i="2"/>
  <c r="U91" i="2"/>
  <c r="J82" i="2"/>
  <c r="O76" i="2"/>
  <c r="AD19" i="3"/>
  <c r="R84" i="2"/>
  <c r="L25" i="3"/>
  <c r="AL6" i="3"/>
  <c r="W32" i="3"/>
  <c r="X27" i="3"/>
  <c r="L15" i="3"/>
  <c r="K88" i="2"/>
  <c r="X98" i="2"/>
  <c r="T99" i="2"/>
  <c r="J73" i="2"/>
  <c r="X16" i="3"/>
  <c r="AN10" i="3"/>
  <c r="C61" i="2"/>
  <c r="AP30" i="3"/>
  <c r="J112" i="2"/>
  <c r="L7" i="3"/>
  <c r="F106" i="2"/>
  <c r="Y12" i="3"/>
  <c r="AA32" i="3"/>
  <c r="AB18" i="3"/>
  <c r="H18" i="3"/>
  <c r="R72" i="2"/>
  <c r="Z26" i="3"/>
  <c r="S107" i="2"/>
  <c r="AQ31" i="3"/>
  <c r="AL19" i="3"/>
  <c r="X69" i="2"/>
  <c r="O52" i="2"/>
  <c r="AQ27" i="3"/>
  <c r="R98" i="2"/>
  <c r="Z38" i="3"/>
  <c r="N104" i="2"/>
  <c r="H32" i="3"/>
  <c r="Q13" i="3"/>
  <c r="W9" i="3"/>
  <c r="I42" i="2"/>
  <c r="T113" i="2"/>
  <c r="P97" i="2"/>
  <c r="H50" i="2"/>
  <c r="V112" i="2"/>
  <c r="F85" i="2"/>
  <c r="AP48" i="3"/>
  <c r="Z25" i="3"/>
  <c r="T30" i="3"/>
  <c r="K91" i="2"/>
  <c r="O94" i="2"/>
  <c r="P54" i="2"/>
  <c r="P40" i="2"/>
  <c r="M107" i="2"/>
  <c r="X80" i="2"/>
  <c r="AP61" i="3"/>
  <c r="S35" i="3"/>
  <c r="O20" i="3"/>
  <c r="P105" i="2"/>
  <c r="W65" i="2"/>
  <c r="P112" i="2"/>
  <c r="W85" i="2"/>
  <c r="F91" i="2"/>
  <c r="W64" i="2"/>
  <c r="AP90" i="3"/>
  <c r="AM25" i="3"/>
  <c r="V29" i="3"/>
  <c r="U6" i="3"/>
  <c r="J6" i="3"/>
  <c r="Z16" i="3"/>
  <c r="C88" i="2"/>
  <c r="W90" i="2"/>
  <c r="K99" i="2"/>
  <c r="K53" i="2"/>
  <c r="X61" i="2"/>
  <c r="U108" i="2"/>
  <c r="AL33" i="3"/>
  <c r="R32" i="3"/>
  <c r="P21" i="3"/>
  <c r="AL12" i="3"/>
  <c r="P7" i="3"/>
  <c r="AQ28" i="3"/>
  <c r="T88" i="2"/>
  <c r="J65" i="2"/>
  <c r="H41" i="2"/>
  <c r="J89" i="2"/>
  <c r="C90" i="2"/>
  <c r="N63" i="2"/>
  <c r="T17" i="3"/>
  <c r="Z35" i="3"/>
  <c r="AG21" i="3"/>
  <c r="AA33" i="3"/>
  <c r="W20" i="3"/>
  <c r="C35" i="3"/>
  <c r="N51" i="2"/>
  <c r="S73" i="2"/>
  <c r="N111" i="2"/>
  <c r="I88" i="2"/>
  <c r="AA8" i="3"/>
  <c r="AQ22" i="3"/>
  <c r="AM31" i="3"/>
  <c r="Q18" i="3"/>
  <c r="E48" i="2"/>
  <c r="L29" i="3"/>
  <c r="AC17" i="3"/>
  <c r="N58" i="2"/>
  <c r="Q82" i="2"/>
  <c r="H60" i="2"/>
  <c r="Q91" i="2"/>
  <c r="M41" i="2"/>
  <c r="P74" i="2"/>
  <c r="X12" i="3"/>
  <c r="H35" i="3"/>
  <c r="AK42" i="3"/>
  <c r="U17" i="3"/>
  <c r="S57" i="2"/>
  <c r="W44" i="2"/>
  <c r="N99" i="2"/>
  <c r="O47" i="2"/>
  <c r="AD38" i="3"/>
  <c r="C46" i="2"/>
  <c r="W42" i="2"/>
  <c r="I45" i="2"/>
  <c r="AP69" i="3"/>
  <c r="AL22" i="3"/>
  <c r="AD21" i="3"/>
  <c r="AE16" i="3"/>
  <c r="Q25" i="3"/>
  <c r="E79" i="2"/>
  <c r="I51" i="2"/>
  <c r="O11" i="3"/>
  <c r="G107" i="2"/>
  <c r="P68" i="2"/>
  <c r="R63" i="2"/>
  <c r="D59" i="2"/>
  <c r="AP73" i="3"/>
  <c r="L31" i="3"/>
  <c r="AN5" i="3"/>
  <c r="M19" i="3"/>
  <c r="Q87" i="2"/>
  <c r="J98" i="2"/>
  <c r="U36" i="3"/>
  <c r="AO19" i="3"/>
  <c r="S60" i="2"/>
  <c r="Q42" i="2"/>
  <c r="AI28" i="3"/>
  <c r="AQ10" i="3"/>
  <c r="R90" i="2"/>
  <c r="J96" i="2"/>
  <c r="AE5" i="3"/>
  <c r="AA15" i="3"/>
  <c r="X42" i="2"/>
  <c r="AB69" i="3"/>
  <c r="N38" i="3"/>
  <c r="U80" i="2"/>
  <c r="T109" i="2"/>
  <c r="W31" i="3"/>
  <c r="AJ40" i="3"/>
  <c r="J7" i="3"/>
  <c r="J40" i="3"/>
  <c r="AN14" i="3"/>
  <c r="AJ7" i="3"/>
  <c r="X31" i="3"/>
  <c r="P65" i="2"/>
  <c r="N49" i="2"/>
  <c r="T14" i="3"/>
  <c r="J22" i="3"/>
  <c r="J33" i="3"/>
  <c r="AE21" i="3"/>
  <c r="D91" i="2"/>
  <c r="M75" i="2"/>
  <c r="AP92" i="3"/>
  <c r="D52" i="2"/>
  <c r="E49" i="3"/>
  <c r="AA24" i="3"/>
  <c r="AP55" i="3"/>
  <c r="AP78" i="3"/>
  <c r="O95" i="2"/>
  <c r="Z33" i="3"/>
  <c r="AC29" i="3"/>
  <c r="D86" i="2"/>
  <c r="U73" i="2"/>
  <c r="O38" i="3"/>
  <c r="L87" i="2"/>
  <c r="O71" i="2"/>
  <c r="O72" i="2"/>
  <c r="C54" i="2"/>
  <c r="U86" i="2"/>
  <c r="AB79" i="3"/>
  <c r="T33" i="3"/>
  <c r="Z9" i="3"/>
  <c r="S87" i="2"/>
  <c r="I65" i="2"/>
  <c r="P106" i="2"/>
  <c r="I50" i="2"/>
  <c r="P89" i="2"/>
  <c r="X74" i="2"/>
  <c r="AM33" i="3"/>
  <c r="K36" i="3"/>
  <c r="AO32" i="3"/>
  <c r="I57" i="2"/>
  <c r="M80" i="2"/>
  <c r="V78" i="2"/>
  <c r="I63" i="2"/>
  <c r="W58" i="2"/>
  <c r="V91" i="2"/>
  <c r="AB94" i="3"/>
  <c r="I16" i="3"/>
  <c r="N35" i="3"/>
  <c r="W27" i="3"/>
  <c r="W23" i="3"/>
  <c r="M16" i="3"/>
  <c r="E53" i="2"/>
  <c r="H65" i="2"/>
  <c r="R85" i="2"/>
  <c r="T81" i="2"/>
  <c r="K69" i="2"/>
  <c r="G51" i="2"/>
  <c r="R24" i="3"/>
  <c r="AM14" i="3"/>
  <c r="V38" i="3"/>
  <c r="Z40" i="3"/>
  <c r="J39" i="3"/>
  <c r="T13" i="3"/>
  <c r="N88" i="2"/>
  <c r="I76" i="2"/>
  <c r="F72" i="2"/>
  <c r="X89" i="2"/>
  <c r="N79" i="2"/>
  <c r="N70" i="2"/>
  <c r="M10" i="3"/>
  <c r="AG27" i="3"/>
  <c r="AK34" i="3"/>
  <c r="AI20" i="3"/>
  <c r="T29" i="3"/>
  <c r="AQ20" i="3"/>
  <c r="X71" i="2"/>
  <c r="L50" i="2"/>
  <c r="J42" i="2"/>
  <c r="P45" i="2"/>
  <c r="AQ18" i="3"/>
  <c r="AB33" i="3"/>
  <c r="AI8" i="3"/>
  <c r="X23" i="3"/>
  <c r="F62" i="2"/>
  <c r="AG37" i="3"/>
  <c r="P50" i="2"/>
  <c r="V72" i="2"/>
  <c r="E69" i="2"/>
  <c r="L85" i="2"/>
  <c r="M54" i="2"/>
  <c r="U109" i="2"/>
  <c r="G55" i="2"/>
  <c r="W40" i="3"/>
  <c r="AB42" i="3"/>
  <c r="AP42" i="3"/>
  <c r="L41" i="3"/>
  <c r="M91" i="2"/>
  <c r="F49" i="2"/>
  <c r="C77" i="2"/>
  <c r="AP85" i="3"/>
  <c r="AM12" i="3"/>
  <c r="L82" i="2"/>
  <c r="V111" i="2"/>
  <c r="I111" i="2"/>
  <c r="K13" i="3"/>
  <c r="AE42" i="3"/>
  <c r="AN38" i="3"/>
  <c r="R5" i="3"/>
  <c r="AO22" i="3"/>
  <c r="V113" i="2"/>
  <c r="K83" i="2"/>
  <c r="AM20" i="3"/>
  <c r="I85" i="2"/>
  <c r="S104" i="2"/>
  <c r="Q106" i="2"/>
  <c r="H42" i="2"/>
  <c r="AI6" i="3"/>
  <c r="AP16" i="3"/>
  <c r="J32" i="3"/>
  <c r="AE13" i="3"/>
  <c r="P41" i="2"/>
  <c r="K63" i="2"/>
  <c r="U26" i="3"/>
  <c r="AA28" i="3"/>
  <c r="G43" i="2"/>
  <c r="H68" i="2"/>
  <c r="L36" i="3"/>
  <c r="S14" i="3"/>
  <c r="P66" i="2"/>
  <c r="D75" i="2"/>
  <c r="AL8" i="3"/>
  <c r="H29" i="3"/>
  <c r="F61" i="2"/>
  <c r="Y11" i="3"/>
  <c r="N64" i="2"/>
  <c r="W108" i="2"/>
  <c r="G42" i="2"/>
  <c r="N30" i="3"/>
  <c r="K33" i="3"/>
  <c r="AG30" i="3"/>
  <c r="C18" i="3"/>
  <c r="S22" i="3"/>
  <c r="V23" i="3"/>
  <c r="K29" i="3"/>
  <c r="J78" i="2"/>
  <c r="J49" i="2"/>
  <c r="W10" i="3"/>
  <c r="K25" i="3"/>
  <c r="AN41" i="3"/>
  <c r="AM24" i="3"/>
  <c r="X76" i="2"/>
  <c r="H77" i="2"/>
  <c r="X24" i="3"/>
  <c r="D79" i="2"/>
  <c r="C7" i="3"/>
  <c r="P33" i="3"/>
  <c r="C23" i="3"/>
  <c r="O32" i="3"/>
  <c r="T107" i="2"/>
  <c r="C89" i="2"/>
  <c r="AH33" i="3"/>
  <c r="O57" i="2"/>
  <c r="O73" i="2"/>
  <c r="D112" i="2"/>
  <c r="O16" i="3"/>
  <c r="X33" i="3"/>
  <c r="F88" i="2"/>
  <c r="C41" i="3"/>
  <c r="AQ39" i="3"/>
  <c r="L44" i="2"/>
  <c r="V37" i="3"/>
  <c r="W86" i="2"/>
  <c r="X29" i="3"/>
  <c r="AD29" i="3"/>
  <c r="K94" i="2"/>
  <c r="AG34" i="3"/>
  <c r="V20" i="3"/>
  <c r="H69" i="2"/>
  <c r="P111" i="2"/>
  <c r="C51" i="2"/>
  <c r="Y32" i="3"/>
  <c r="W14" i="3"/>
  <c r="P12" i="3"/>
  <c r="E86" i="2"/>
  <c r="AK29" i="3"/>
  <c r="P42" i="2"/>
  <c r="M59" i="2"/>
  <c r="K26" i="3"/>
  <c r="AB31" i="3"/>
  <c r="Q40" i="3"/>
  <c r="Q86" i="2"/>
  <c r="Z15" i="3"/>
  <c r="J63" i="2"/>
  <c r="AQ8" i="3"/>
  <c r="T28" i="3"/>
  <c r="J37" i="3"/>
  <c r="AB20" i="3"/>
  <c r="S88" i="2"/>
  <c r="R78" i="2"/>
  <c r="J38" i="3"/>
  <c r="AN37" i="3"/>
  <c r="O28" i="3"/>
  <c r="AI22" i="3"/>
  <c r="AB55" i="3"/>
  <c r="X52" i="2"/>
  <c r="W59" i="2"/>
  <c r="V11" i="3"/>
  <c r="K108" i="2"/>
  <c r="AL20" i="3"/>
  <c r="S80" i="2"/>
  <c r="P34" i="3"/>
  <c r="AA30" i="3"/>
  <c r="C98" i="2"/>
  <c r="J26" i="3"/>
  <c r="I32" i="3"/>
  <c r="E76" i="2"/>
  <c r="E65" i="2"/>
  <c r="J99" i="2"/>
  <c r="O93" i="2"/>
  <c r="L42" i="2"/>
  <c r="AB75" i="3"/>
  <c r="AP36" i="3"/>
  <c r="J17" i="3"/>
  <c r="H66" i="2"/>
  <c r="W43" i="2"/>
  <c r="P75" i="2"/>
  <c r="I59" i="2"/>
  <c r="D77" i="2"/>
  <c r="L61" i="2"/>
  <c r="H17" i="3"/>
  <c r="X28" i="3"/>
  <c r="AO34" i="3"/>
  <c r="P96" i="2"/>
  <c r="T51" i="2"/>
  <c r="L59" i="2"/>
  <c r="V54" i="2"/>
  <c r="C68" i="2"/>
  <c r="H57" i="2"/>
  <c r="AP47" i="3"/>
  <c r="Q33" i="3"/>
  <c r="AC19" i="3"/>
  <c r="N29" i="3"/>
  <c r="N7" i="3"/>
  <c r="AB16" i="3"/>
  <c r="T44" i="2"/>
  <c r="Q96" i="2"/>
  <c r="V110" i="2"/>
  <c r="J74" i="2"/>
  <c r="H47" i="2"/>
  <c r="N61" i="2"/>
  <c r="O21" i="3"/>
  <c r="K35" i="3"/>
  <c r="I29" i="3"/>
  <c r="S26" i="3"/>
  <c r="T42" i="3"/>
  <c r="AQ11" i="3"/>
  <c r="T84" i="2"/>
  <c r="J80" i="2"/>
  <c r="E67" i="2"/>
  <c r="Q79" i="2"/>
  <c r="X87" i="2"/>
  <c r="U64" i="2"/>
  <c r="AN22" i="3"/>
  <c r="AN35" i="3"/>
  <c r="AC9" i="3"/>
  <c r="AD33" i="3"/>
  <c r="AN39" i="3"/>
  <c r="AG11" i="3"/>
  <c r="S109" i="2"/>
  <c r="P70" i="2"/>
  <c r="O99" i="2"/>
  <c r="L105" i="2"/>
  <c r="AI21" i="3"/>
  <c r="AH41" i="3"/>
  <c r="K12" i="3"/>
  <c r="H22" i="3"/>
  <c r="X109" i="2"/>
  <c r="AM21" i="3"/>
  <c r="J92" i="2"/>
  <c r="P67" i="2"/>
  <c r="K72" i="2"/>
  <c r="C81" i="2"/>
  <c r="V73" i="2"/>
  <c r="R83" i="2"/>
  <c r="G62" i="2"/>
  <c r="AH42" i="3"/>
  <c r="AJ11" i="3"/>
  <c r="O36" i="3"/>
  <c r="W8" i="3"/>
  <c r="U82" i="2"/>
  <c r="X82" i="2"/>
  <c r="M109" i="2"/>
  <c r="AB66" i="3"/>
  <c r="G40" i="3"/>
  <c r="V65" i="2"/>
  <c r="J79" i="2"/>
  <c r="C78" i="2"/>
  <c r="AH23" i="3"/>
  <c r="O9" i="3"/>
  <c r="P15" i="3"/>
  <c r="T40" i="3"/>
  <c r="N22" i="3"/>
  <c r="T46" i="2"/>
  <c r="AB93" i="3"/>
  <c r="AA41" i="3"/>
  <c r="O49" i="2"/>
  <c r="I91" i="2"/>
  <c r="P99" i="2"/>
  <c r="C104" i="2"/>
  <c r="AI34" i="3"/>
  <c r="Y20" i="3"/>
  <c r="W30" i="3"/>
  <c r="AB73" i="3"/>
  <c r="N9" i="3"/>
  <c r="G99" i="2"/>
  <c r="N67" i="2"/>
  <c r="L14" i="3"/>
  <c r="P46" i="2"/>
  <c r="P83" i="2"/>
  <c r="AL34" i="3"/>
  <c r="N8" i="3"/>
  <c r="AI7" i="3"/>
  <c r="AH17" i="3"/>
  <c r="E95" i="2"/>
  <c r="Z6" i="3"/>
  <c r="AN42" i="3"/>
  <c r="G53" i="2"/>
  <c r="E92" i="2"/>
  <c r="D110" i="2"/>
  <c r="V66" i="2"/>
  <c r="V22" i="3"/>
  <c r="H21" i="3"/>
  <c r="U61" i="2"/>
  <c r="AK24" i="3"/>
  <c r="V93" i="2"/>
  <c r="O19" i="3"/>
  <c r="AL5" i="3"/>
  <c r="C74" i="2"/>
  <c r="AP8" i="3"/>
  <c r="AP65" i="3"/>
  <c r="U44" i="2"/>
  <c r="C94" i="2"/>
  <c r="C56" i="2"/>
  <c r="AO40" i="3"/>
  <c r="R106" i="2"/>
  <c r="T8" i="3"/>
  <c r="V76" i="2"/>
  <c r="AG8" i="3"/>
  <c r="Y41" i="3"/>
  <c r="AJ6" i="3"/>
  <c r="AB62" i="3"/>
  <c r="AH8" i="3"/>
  <c r="F82" i="2"/>
  <c r="O15" i="3"/>
  <c r="E96" i="2"/>
  <c r="N31" i="3"/>
  <c r="R18" i="3"/>
  <c r="L19" i="3"/>
  <c r="P42" i="3"/>
  <c r="V15" i="3"/>
  <c r="AI14" i="3"/>
  <c r="Q65" i="2"/>
  <c r="L91" i="2"/>
  <c r="G95" i="2"/>
  <c r="O112" i="2"/>
  <c r="J45" i="2"/>
  <c r="AB82" i="3"/>
  <c r="X14" i="3"/>
  <c r="C30" i="3"/>
  <c r="N85" i="2"/>
  <c r="Q104" i="2"/>
  <c r="N41" i="2"/>
  <c r="N73" i="2"/>
  <c r="E44" i="2"/>
  <c r="R99" i="2"/>
  <c r="P39" i="3"/>
  <c r="AB22" i="3"/>
  <c r="M7" i="3"/>
  <c r="G108" i="2"/>
  <c r="D48" i="2"/>
  <c r="N48" i="2"/>
  <c r="H73" i="2"/>
  <c r="J85" i="2"/>
  <c r="S58" i="2"/>
  <c r="AP74" i="3"/>
  <c r="AM11" i="3"/>
  <c r="Z24" i="3"/>
  <c r="Y7" i="3"/>
  <c r="AC12" i="3"/>
  <c r="Q32" i="3"/>
  <c r="K86" i="2"/>
  <c r="V43" i="2"/>
  <c r="L110" i="2"/>
  <c r="O59" i="2"/>
  <c r="H61" i="2"/>
  <c r="M108" i="2"/>
  <c r="Z8" i="3"/>
  <c r="AA42" i="3"/>
  <c r="AH10" i="3"/>
  <c r="V30" i="3"/>
  <c r="N11" i="3"/>
  <c r="AA37" i="3"/>
  <c r="V107" i="2"/>
  <c r="C72" i="2"/>
  <c r="U55" i="2"/>
  <c r="W67" i="2"/>
  <c r="X111" i="2"/>
  <c r="U40" i="2"/>
  <c r="AH21" i="3"/>
  <c r="H19" i="3"/>
  <c r="AB26" i="3"/>
  <c r="X40" i="3"/>
  <c r="AB8" i="3"/>
  <c r="S13" i="3"/>
  <c r="U105" i="2"/>
  <c r="G61" i="2"/>
  <c r="M81" i="2"/>
  <c r="AP68" i="3"/>
  <c r="J42" i="3"/>
  <c r="T12" i="3"/>
  <c r="AN18" i="3"/>
  <c r="L35" i="3"/>
  <c r="E77" i="2"/>
  <c r="AM40" i="3"/>
  <c r="U104" i="2"/>
  <c r="R56" i="2"/>
  <c r="F51" i="2"/>
  <c r="N97" i="2"/>
  <c r="O106" i="2"/>
  <c r="C106" i="2"/>
  <c r="F81" i="2"/>
  <c r="AB34" i="3"/>
  <c r="AP18" i="3"/>
  <c r="C29" i="3"/>
  <c r="M18" i="3"/>
  <c r="M97" i="2"/>
  <c r="T75" i="2"/>
  <c r="J48" i="2"/>
  <c r="AN33" i="3"/>
  <c r="P90" i="2"/>
  <c r="T95" i="2"/>
  <c r="H111" i="2"/>
  <c r="J51" i="2"/>
  <c r="AM32" i="3"/>
  <c r="AB12" i="3"/>
  <c r="J5" i="3"/>
  <c r="AG22" i="3"/>
  <c r="J19" i="3"/>
  <c r="K98" i="2"/>
  <c r="AP91" i="3"/>
  <c r="AO41" i="3"/>
  <c r="I104" i="2"/>
  <c r="O82" i="2"/>
  <c r="R112" i="2"/>
  <c r="M51" i="2"/>
  <c r="AE10" i="3"/>
  <c r="AC25" i="3"/>
  <c r="AP39" i="3"/>
  <c r="U8" i="3"/>
  <c r="H85" i="2"/>
  <c r="AL30" i="3"/>
  <c r="H16" i="3"/>
  <c r="AK19" i="3"/>
  <c r="F41" i="2"/>
  <c r="V97" i="2"/>
  <c r="AA23" i="3"/>
  <c r="AP32" i="3"/>
  <c r="S53" i="2"/>
  <c r="O50" i="2"/>
  <c r="AD40" i="3"/>
  <c r="AH6" i="3"/>
  <c r="D58" i="2"/>
  <c r="O24" i="3"/>
  <c r="AM19" i="3"/>
  <c r="L51" i="2"/>
  <c r="L67" i="2"/>
  <c r="AO16" i="3"/>
  <c r="O81" i="2"/>
  <c r="AQ42" i="3"/>
  <c r="AK28" i="3"/>
  <c r="T96" i="2"/>
  <c r="U113" i="2"/>
  <c r="L28" i="3"/>
  <c r="K80" i="2"/>
  <c r="AB80" i="3"/>
  <c r="X22" i="3"/>
  <c r="M41" i="3"/>
  <c r="AM42" i="3"/>
  <c r="AN21" i="3"/>
  <c r="I40" i="2"/>
  <c r="W6" i="3"/>
  <c r="R8" i="3"/>
  <c r="S49" i="2"/>
  <c r="AJ41" i="3"/>
  <c r="J107" i="2"/>
  <c r="K104" i="2"/>
  <c r="X90" i="2"/>
  <c r="AH32" i="3"/>
  <c r="AA14" i="3"/>
  <c r="AH29" i="3"/>
  <c r="O83" i="2"/>
  <c r="R39" i="3"/>
  <c r="S74" i="2"/>
  <c r="J41" i="3"/>
  <c r="R81" i="2"/>
  <c r="X42" i="3"/>
  <c r="U65" i="2"/>
  <c r="F78" i="2"/>
  <c r="Q52" i="2"/>
  <c r="R82" i="2"/>
  <c r="N42" i="2"/>
  <c r="G79" i="2"/>
  <c r="AI12" i="3"/>
  <c r="AP37" i="3"/>
  <c r="Q5" i="3"/>
  <c r="W91" i="2"/>
  <c r="J83" i="2"/>
  <c r="O85" i="2"/>
  <c r="S50" i="2"/>
  <c r="Q80" i="2"/>
  <c r="L46" i="2"/>
  <c r="AO33" i="3"/>
  <c r="Z12" i="3"/>
  <c r="R26" i="3"/>
  <c r="I64" i="2"/>
  <c r="F96" i="2"/>
  <c r="T85" i="2"/>
  <c r="U50" i="2"/>
  <c r="R96" i="2"/>
  <c r="N46" i="2"/>
  <c r="AP72" i="3"/>
  <c r="AH15" i="3"/>
  <c r="AJ20" i="3"/>
  <c r="AE28" i="3"/>
  <c r="R34" i="3"/>
  <c r="K113" i="2"/>
  <c r="G77" i="2"/>
  <c r="Q67" i="2"/>
  <c r="H87" i="2"/>
  <c r="T87" i="2"/>
  <c r="T93" i="2"/>
  <c r="X85" i="2"/>
  <c r="AL40" i="3"/>
  <c r="AB40" i="3"/>
  <c r="U57" i="2"/>
  <c r="F105" i="2"/>
  <c r="C71" i="2"/>
  <c r="E99" i="2"/>
  <c r="K84" i="2"/>
  <c r="X53" i="2"/>
  <c r="N47" i="2"/>
  <c r="I37" i="3"/>
  <c r="H40" i="3"/>
  <c r="I106" i="2"/>
  <c r="R22" i="3"/>
  <c r="AB37" i="3"/>
  <c r="I77" i="2"/>
  <c r="J97" i="2"/>
  <c r="F58" i="2"/>
  <c r="J90" i="2"/>
  <c r="U37" i="3"/>
  <c r="Z21" i="3"/>
  <c r="AC15" i="3"/>
  <c r="I24" i="3"/>
  <c r="W113" i="2"/>
  <c r="P95" i="2"/>
  <c r="F65" i="2"/>
  <c r="F92" i="2"/>
  <c r="V69" i="2"/>
  <c r="M70" i="2"/>
  <c r="I44" i="2"/>
  <c r="W28" i="3"/>
  <c r="AN20" i="3"/>
  <c r="AE33" i="3"/>
  <c r="N56" i="2"/>
  <c r="F94" i="2"/>
  <c r="F76" i="2"/>
  <c r="Q41" i="2"/>
  <c r="O97" i="2"/>
  <c r="X68" i="2"/>
  <c r="S16" i="3"/>
  <c r="C22" i="3"/>
  <c r="T10" i="3"/>
  <c r="F84" i="2"/>
  <c r="I60" i="2"/>
  <c r="W81" i="2"/>
  <c r="Q105" i="2"/>
  <c r="V82" i="2"/>
  <c r="K58" i="2"/>
  <c r="AP25" i="3"/>
  <c r="Y34" i="3"/>
  <c r="AP15" i="3"/>
  <c r="H15" i="3"/>
  <c r="AC30" i="3"/>
  <c r="U49" i="2"/>
  <c r="Q40" i="2"/>
  <c r="E60" i="2"/>
  <c r="G112" i="2"/>
  <c r="N95" i="2"/>
  <c r="G74" i="2"/>
  <c r="AB90" i="3"/>
  <c r="O37" i="3"/>
  <c r="N20" i="3"/>
  <c r="I34" i="3"/>
  <c r="AO18" i="3"/>
  <c r="AM18" i="3"/>
  <c r="P88" i="2"/>
  <c r="V74" i="2"/>
  <c r="R55" i="2"/>
  <c r="F68" i="2"/>
  <c r="I43" i="2"/>
  <c r="E113" i="2"/>
  <c r="AB59" i="3"/>
  <c r="Y6" i="3"/>
  <c r="S17" i="3"/>
  <c r="AQ37" i="3"/>
  <c r="AA7" i="3"/>
  <c r="X11" i="3"/>
  <c r="AP14" i="3"/>
  <c r="G58" i="2"/>
  <c r="I56" i="2"/>
  <c r="O79" i="2"/>
  <c r="AP94" i="3"/>
  <c r="Q23" i="3"/>
  <c r="AB25" i="3"/>
  <c r="AL23" i="3"/>
  <c r="U106" i="2"/>
  <c r="W5" i="3"/>
  <c r="R6" i="3"/>
  <c r="M85" i="2"/>
  <c r="U81" i="2"/>
  <c r="L98" i="2"/>
  <c r="S94" i="2"/>
  <c r="W95" i="2"/>
  <c r="L66" i="2"/>
  <c r="AP54" i="3"/>
  <c r="G35" i="3"/>
  <c r="P17" i="3"/>
  <c r="V28" i="3"/>
  <c r="AA35" i="3"/>
  <c r="O98" i="2"/>
  <c r="O86" i="2"/>
  <c r="H88" i="2"/>
  <c r="R36" i="3"/>
  <c r="S106" i="2"/>
  <c r="U96" i="2"/>
  <c r="H56" i="2"/>
  <c r="Q44" i="2"/>
  <c r="Y13" i="3"/>
  <c r="I14" i="3"/>
  <c r="T37" i="3"/>
  <c r="AH12" i="3"/>
  <c r="G90" i="2"/>
  <c r="G52" i="2"/>
  <c r="W22" i="3"/>
  <c r="I17" i="3"/>
  <c r="X59" i="2"/>
  <c r="I113" i="2"/>
  <c r="D87" i="2"/>
  <c r="M67" i="2"/>
  <c r="AH13" i="3"/>
  <c r="AG6" i="3"/>
  <c r="AM10" i="3"/>
  <c r="E110" i="2"/>
  <c r="O96" i="2"/>
  <c r="AO14" i="3"/>
  <c r="AL28" i="3"/>
  <c r="K75" i="2"/>
  <c r="N105" i="2"/>
  <c r="I28" i="3"/>
  <c r="L13" i="3"/>
  <c r="P76" i="2"/>
  <c r="E81" i="2"/>
  <c r="AD28" i="3"/>
  <c r="AL17" i="3"/>
  <c r="S37" i="3"/>
  <c r="R33" i="3"/>
  <c r="F42" i="2"/>
  <c r="D80" i="2"/>
  <c r="P62" i="2"/>
  <c r="I36" i="3"/>
  <c r="I33" i="3"/>
  <c r="V105" i="2"/>
  <c r="AA19" i="3"/>
  <c r="AL26" i="3"/>
  <c r="T35" i="3"/>
  <c r="AL38" i="3"/>
  <c r="L90" i="2"/>
  <c r="X79" i="2"/>
  <c r="AE32" i="3"/>
  <c r="AL18" i="3"/>
  <c r="I30" i="3"/>
  <c r="X44" i="2"/>
  <c r="C44" i="2"/>
  <c r="M32" i="3"/>
  <c r="V64" i="2"/>
  <c r="H98" i="2"/>
  <c r="E42" i="2"/>
  <c r="AP26" i="3"/>
  <c r="C73" i="2"/>
  <c r="L49" i="2"/>
  <c r="AJ17" i="3"/>
  <c r="AI23" i="3"/>
  <c r="T38" i="3"/>
  <c r="F52" i="2"/>
  <c r="T89" i="2"/>
  <c r="AI41" i="3"/>
  <c r="O27" i="3"/>
  <c r="K41" i="3"/>
  <c r="J47" i="2"/>
  <c r="X56" i="2"/>
  <c r="AA9" i="3"/>
  <c r="AE41" i="3"/>
  <c r="L24" i="3"/>
  <c r="W107" i="2"/>
  <c r="AD37" i="3"/>
  <c r="T18" i="3"/>
  <c r="AK31" i="3"/>
  <c r="G73" i="2"/>
  <c r="K61" i="2"/>
  <c r="C83" i="2"/>
  <c r="AI36" i="3"/>
  <c r="U99" i="2"/>
  <c r="O110" i="2"/>
  <c r="P91" i="2"/>
  <c r="M58" i="2"/>
  <c r="AJ36" i="3"/>
  <c r="J31" i="3"/>
  <c r="V46" i="2"/>
  <c r="G71" i="2"/>
  <c r="E83" i="2"/>
  <c r="AK41" i="3"/>
  <c r="O74" i="2"/>
  <c r="E50" i="3"/>
  <c r="T94" i="2"/>
  <c r="L40" i="3"/>
  <c r="P5" i="3"/>
  <c r="K54" i="2"/>
  <c r="V32" i="3"/>
  <c r="AC22" i="3"/>
  <c r="AB78" i="3"/>
  <c r="AB38" i="3"/>
  <c r="M84" i="2"/>
  <c r="S30" i="3"/>
  <c r="D62" i="2"/>
  <c r="AB17" i="3"/>
  <c r="I95" i="2"/>
  <c r="V18" i="3"/>
  <c r="G87" i="2"/>
  <c r="V39" i="3"/>
  <c r="P29" i="3"/>
  <c r="V47" i="2"/>
  <c r="W54" i="2"/>
  <c r="T11" i="3"/>
  <c r="C8" i="3"/>
  <c r="AB72" i="3"/>
  <c r="M86" i="2"/>
  <c r="AD27" i="3"/>
  <c r="D49" i="3"/>
  <c r="Q42" i="3"/>
  <c r="D55" i="2"/>
  <c r="X38" i="3"/>
  <c r="I90" i="2"/>
  <c r="AH27" i="3"/>
  <c r="W87" i="2"/>
  <c r="AE34" i="3"/>
  <c r="O10" i="3"/>
  <c r="V71" i="2"/>
  <c r="AL7" i="3"/>
  <c r="G111" i="2"/>
  <c r="H75" i="2"/>
  <c r="G69" i="2"/>
  <c r="Q24" i="3"/>
  <c r="L33" i="3"/>
  <c r="H26" i="3"/>
  <c r="P81" i="2"/>
  <c r="AM26" i="3"/>
  <c r="U14" i="3"/>
  <c r="L42" i="3"/>
  <c r="AD36" i="3"/>
  <c r="N112" i="2"/>
  <c r="M21" i="3"/>
  <c r="Y24" i="3"/>
  <c r="I18" i="3"/>
  <c r="AC8" i="3"/>
  <c r="U69" i="2"/>
  <c r="C26" i="3"/>
  <c r="L72" i="2"/>
  <c r="Q108" i="2"/>
  <c r="W7" i="3"/>
  <c r="D51" i="2"/>
  <c r="I96" i="2"/>
  <c r="U107" i="2"/>
  <c r="P22" i="3"/>
  <c r="I71" i="2"/>
  <c r="V84" i="2"/>
  <c r="AB89" i="3"/>
  <c r="H25" i="3"/>
  <c r="L68" i="2"/>
  <c r="L73" i="2"/>
  <c r="AQ29" i="3"/>
  <c r="U33" i="3"/>
  <c r="Q43" i="2"/>
  <c r="Q77" i="2"/>
  <c r="W78" i="2"/>
  <c r="P41" i="3"/>
  <c r="AE38" i="3"/>
  <c r="T45" i="2"/>
  <c r="H95" i="2"/>
  <c r="X107" i="2"/>
  <c r="M11" i="3"/>
  <c r="N42" i="3"/>
  <c r="C11" i="3"/>
  <c r="V89" i="2"/>
  <c r="C38" i="3"/>
  <c r="G47" i="3"/>
  <c r="AL41" i="3"/>
  <c r="W75" i="2"/>
  <c r="D108" i="2"/>
  <c r="G49" i="2"/>
  <c r="AQ30" i="3"/>
  <c r="M62" i="2"/>
  <c r="W110" i="2"/>
  <c r="X106" i="2"/>
  <c r="L80" i="2"/>
  <c r="AP17" i="3"/>
  <c r="N41" i="3"/>
  <c r="AP10" i="3"/>
  <c r="X65" i="2"/>
  <c r="P53" i="2"/>
  <c r="G48" i="3"/>
  <c r="P109" i="2"/>
  <c r="S6" i="3"/>
  <c r="R77" i="2"/>
  <c r="J28" i="3"/>
  <c r="L8" i="3"/>
  <c r="J52" i="2"/>
  <c r="AC24" i="3"/>
  <c r="AC27" i="3"/>
  <c r="C37" i="3"/>
  <c r="C27" i="3"/>
  <c r="S65" i="2"/>
  <c r="L17" i="3"/>
  <c r="E64" i="2"/>
  <c r="T6" i="3"/>
  <c r="V85" i="2"/>
  <c r="S40" i="3"/>
  <c r="AJ33" i="3"/>
  <c r="V42" i="2"/>
  <c r="R21" i="3"/>
  <c r="X43" i="2"/>
  <c r="H72" i="2"/>
  <c r="I10" i="3"/>
  <c r="K24" i="3"/>
  <c r="C25" i="3"/>
  <c r="X17" i="3"/>
  <c r="AO35" i="3"/>
  <c r="AK9" i="3"/>
  <c r="U79" i="2"/>
  <c r="F60" i="2"/>
  <c r="V10" i="3"/>
  <c r="G93" i="2"/>
  <c r="V12" i="3"/>
  <c r="M39" i="3"/>
  <c r="H31" i="3"/>
  <c r="S5" i="3"/>
  <c r="N15" i="3"/>
  <c r="W111" i="2"/>
  <c r="J84" i="2"/>
  <c r="L10" i="3"/>
  <c r="I5" i="3"/>
  <c r="AI26" i="3"/>
  <c r="U11" i="3"/>
  <c r="M72" i="2"/>
  <c r="T70" i="2"/>
  <c r="S38" i="3"/>
  <c r="R69" i="2"/>
  <c r="V86" i="2"/>
  <c r="R97" i="2"/>
  <c r="O42" i="3"/>
  <c r="S61" i="2"/>
  <c r="I112" i="2"/>
  <c r="C48" i="3"/>
  <c r="AB29" i="3"/>
  <c r="X40" i="2"/>
  <c r="N75" i="2"/>
  <c r="U30" i="3"/>
  <c r="AA5" i="3"/>
  <c r="H40" i="2"/>
  <c r="R61" i="2"/>
  <c r="V108" i="2"/>
  <c r="AE14" i="3"/>
  <c r="AK10" i="3"/>
  <c r="M48" i="2"/>
  <c r="M99" i="2"/>
  <c r="M68" i="2"/>
  <c r="X34" i="3"/>
  <c r="P23" i="3"/>
  <c r="H37" i="3"/>
  <c r="C99" i="2"/>
  <c r="AB11" i="3"/>
  <c r="AN26" i="3"/>
  <c r="AC20" i="3"/>
  <c r="W62" i="2"/>
  <c r="V40" i="2"/>
  <c r="K111" i="2"/>
  <c r="P11" i="3"/>
  <c r="U72" i="2"/>
  <c r="E112" i="2"/>
  <c r="I78" i="2"/>
  <c r="G86" i="2"/>
  <c r="Z36" i="3"/>
  <c r="W39" i="3"/>
  <c r="AE9" i="3"/>
  <c r="W93" i="2"/>
  <c r="X78" i="2"/>
  <c r="AN19" i="3"/>
  <c r="I80" i="2"/>
  <c r="K30" i="3"/>
  <c r="C62" i="2"/>
  <c r="J11" i="3"/>
  <c r="AH36" i="3"/>
  <c r="S79" i="2"/>
  <c r="O109" i="2"/>
  <c r="O31" i="3"/>
  <c r="S64" i="2"/>
  <c r="I99" i="2"/>
  <c r="M40" i="3"/>
  <c r="D111" i="2"/>
  <c r="AP9" i="3"/>
  <c r="AH24" i="3"/>
  <c r="S44" i="2"/>
  <c r="AP24" i="3"/>
  <c r="X104" i="2"/>
  <c r="T105" i="2"/>
  <c r="AH28" i="3"/>
  <c r="U23" i="3"/>
  <c r="M5" i="3"/>
  <c r="AN32" i="3"/>
  <c r="M38" i="3"/>
  <c r="M112" i="2"/>
  <c r="AE23" i="3"/>
  <c r="U71" i="2"/>
  <c r="M25" i="3"/>
  <c r="Q98" i="2"/>
  <c r="W71" i="2"/>
  <c r="G36" i="3"/>
  <c r="M24" i="3"/>
  <c r="X48" i="2"/>
  <c r="G92" i="2"/>
  <c r="F97" i="2"/>
  <c r="U43" i="2"/>
  <c r="R93" i="2"/>
  <c r="AH39" i="3"/>
  <c r="H67" i="2"/>
  <c r="O29" i="3"/>
  <c r="R45" i="2"/>
  <c r="AA18" i="3"/>
  <c r="F59" i="2"/>
  <c r="AJ10" i="3"/>
  <c r="K40" i="2"/>
  <c r="C40" i="2"/>
  <c r="L92" i="2"/>
  <c r="S96" i="2"/>
  <c r="AP57" i="3"/>
  <c r="O54" i="2"/>
  <c r="Q8" i="3"/>
  <c r="D53" i="2"/>
  <c r="N66" i="2"/>
  <c r="Q34" i="3"/>
  <c r="AB64" i="3"/>
  <c r="AO13" i="3"/>
  <c r="AO8" i="3"/>
  <c r="G47" i="2"/>
  <c r="S91" i="2"/>
  <c r="R49" i="2"/>
  <c r="H76" i="2"/>
  <c r="AQ36" i="3"/>
  <c r="R42" i="2"/>
  <c r="H92" i="2"/>
  <c r="I38" i="3"/>
  <c r="AN24" i="3"/>
  <c r="T72" i="2"/>
  <c r="M90" i="2"/>
  <c r="AN31" i="3"/>
  <c r="AJ12" i="3"/>
  <c r="G72" i="2"/>
  <c r="S112" i="2"/>
  <c r="O88" i="2"/>
  <c r="I8" i="3"/>
  <c r="AN28" i="3"/>
  <c r="I108" i="2"/>
  <c r="I107" i="2"/>
  <c r="F45" i="2"/>
  <c r="P25" i="3"/>
  <c r="C14" i="3"/>
  <c r="I42" i="3"/>
  <c r="U87" i="2"/>
  <c r="AJ15" i="3"/>
  <c r="AN15" i="3"/>
  <c r="AH14" i="3"/>
  <c r="S46" i="2"/>
  <c r="O40" i="2"/>
  <c r="AB91" i="3"/>
  <c r="AQ24" i="3"/>
  <c r="P71" i="2"/>
  <c r="J95" i="2"/>
  <c r="D70" i="2"/>
  <c r="U85" i="2"/>
  <c r="K6" i="3"/>
  <c r="J43" i="2"/>
  <c r="I9" i="3"/>
  <c r="X75" i="2"/>
  <c r="V45" i="2"/>
  <c r="AL21" i="3"/>
  <c r="E71" i="2"/>
  <c r="AA22" i="3"/>
  <c r="W41" i="2"/>
  <c r="S47" i="2"/>
  <c r="O35" i="3"/>
  <c r="AH7" i="3"/>
  <c r="G34" i="3"/>
  <c r="C17" i="3"/>
  <c r="K107" i="2"/>
  <c r="AD42" i="3"/>
  <c r="F111" i="2"/>
  <c r="Q21" i="3"/>
  <c r="E50" i="2"/>
  <c r="T31" i="3"/>
  <c r="R110" i="2"/>
  <c r="AK39" i="3"/>
  <c r="AP40" i="3"/>
  <c r="V81" i="2"/>
  <c r="V55" i="2"/>
  <c r="R40" i="2"/>
  <c r="H109" i="2"/>
  <c r="J9" i="3"/>
  <c r="V63" i="2"/>
  <c r="X81" i="2"/>
  <c r="S8" i="3"/>
  <c r="S23" i="3"/>
  <c r="J18" i="3"/>
  <c r="Z32" i="3"/>
  <c r="G80" i="2"/>
  <c r="AJ28" i="3"/>
  <c r="U13" i="3"/>
  <c r="P30" i="3"/>
  <c r="M28" i="3"/>
  <c r="AA11" i="3"/>
  <c r="P98" i="2"/>
  <c r="X41" i="3"/>
  <c r="P59" i="2"/>
  <c r="W50" i="2"/>
  <c r="L107" i="2"/>
  <c r="D113" i="2"/>
  <c r="AO28" i="3"/>
  <c r="E55" i="2"/>
  <c r="X84" i="2"/>
  <c r="R95" i="2"/>
  <c r="AB68" i="3"/>
  <c r="F99" i="2"/>
  <c r="T16" i="3"/>
  <c r="M34" i="3"/>
  <c r="AD35" i="3"/>
  <c r="T55" i="2"/>
  <c r="P28" i="3"/>
  <c r="AA27" i="3"/>
  <c r="O26" i="3"/>
  <c r="C67" i="2"/>
  <c r="AG40" i="3"/>
  <c r="T61" i="2"/>
  <c r="AE11" i="3"/>
  <c r="AN34" i="3"/>
  <c r="H79" i="2"/>
  <c r="I69" i="2"/>
  <c r="F77" i="2"/>
  <c r="AD32" i="3"/>
  <c r="X35" i="3"/>
  <c r="Q37" i="3"/>
  <c r="L81" i="2"/>
  <c r="Q20" i="3"/>
  <c r="T52" i="2"/>
  <c r="Z27" i="3"/>
  <c r="I67" i="2"/>
  <c r="X105" i="2"/>
  <c r="N74" i="2"/>
  <c r="AH22" i="3"/>
  <c r="AG19" i="3"/>
  <c r="S97" i="2"/>
  <c r="Y21" i="3"/>
  <c r="T5" i="3"/>
  <c r="M6" i="3"/>
  <c r="T98" i="2"/>
  <c r="X67" i="2"/>
  <c r="H55" i="2"/>
  <c r="L22" i="3"/>
  <c r="U48" i="2"/>
  <c r="N83" i="2"/>
  <c r="AG42" i="3"/>
  <c r="AB13" i="3"/>
  <c r="W72" i="2"/>
  <c r="C97" i="2"/>
  <c r="H5" i="3"/>
  <c r="G49" i="3"/>
  <c r="N60" i="2"/>
  <c r="M69" i="2"/>
  <c r="X86" i="2"/>
  <c r="AM8" i="3"/>
  <c r="N13" i="3"/>
  <c r="L84" i="2"/>
  <c r="L62" i="2"/>
  <c r="I75" i="2"/>
  <c r="O5" i="3"/>
  <c r="AJ26" i="3"/>
  <c r="O56" i="2"/>
  <c r="N106" i="2"/>
  <c r="AB10" i="3"/>
  <c r="K22" i="3"/>
  <c r="R17" i="3"/>
  <c r="C42" i="2"/>
  <c r="C69" i="2"/>
  <c r="AC18" i="3"/>
  <c r="V6" i="3"/>
  <c r="O78" i="2"/>
  <c r="X112" i="2"/>
  <c r="C49" i="2"/>
  <c r="H97" i="2"/>
  <c r="F113" i="2"/>
  <c r="X108" i="2"/>
  <c r="R29" i="3"/>
  <c r="P38" i="3"/>
  <c r="C47" i="2"/>
  <c r="AM15" i="3"/>
  <c r="S93" i="2"/>
  <c r="Y10" i="3"/>
  <c r="J61" i="2"/>
  <c r="R41" i="3"/>
  <c r="N92" i="2"/>
  <c r="AM28" i="3"/>
  <c r="AB83" i="3"/>
  <c r="H20" i="3"/>
  <c r="AG20" i="3"/>
  <c r="T36" i="3"/>
  <c r="AK7" i="3"/>
  <c r="W36" i="3"/>
  <c r="AP81" i="3"/>
  <c r="W76" i="2"/>
  <c r="D49" i="2"/>
  <c r="AC37" i="3"/>
  <c r="AJ14" i="3"/>
  <c r="W66" i="2"/>
  <c r="M26" i="3"/>
  <c r="M12" i="3"/>
  <c r="G59" i="2"/>
  <c r="X15" i="3"/>
  <c r="N14" i="3"/>
  <c r="AC41" i="3"/>
  <c r="S63" i="2"/>
  <c r="J72" i="2"/>
  <c r="W51" i="2"/>
  <c r="L83" i="2"/>
  <c r="C9" i="3"/>
  <c r="W84" i="2"/>
  <c r="M74" i="2"/>
  <c r="AB41" i="3"/>
  <c r="AC16" i="3"/>
  <c r="D44" i="2"/>
  <c r="D73" i="2"/>
  <c r="T34" i="3"/>
  <c r="AM23" i="3"/>
  <c r="P73" i="2"/>
  <c r="I53" i="2"/>
  <c r="K41" i="2"/>
  <c r="G32" i="3"/>
  <c r="AC21" i="3"/>
  <c r="E46" i="2"/>
  <c r="E89" i="2"/>
  <c r="P48" i="2"/>
  <c r="Q26" i="3"/>
  <c r="Y26" i="3"/>
  <c r="E106" i="2"/>
  <c r="K112" i="2"/>
  <c r="AA21" i="3"/>
  <c r="C93" i="2"/>
  <c r="C15" i="3"/>
  <c r="U47" i="2"/>
  <c r="X47" i="2"/>
  <c r="M17" i="3"/>
  <c r="P26" i="3"/>
  <c r="G81" i="2"/>
  <c r="K64" i="2"/>
  <c r="R57" i="2"/>
  <c r="AB88" i="3"/>
  <c r="U27" i="3"/>
  <c r="S77" i="2"/>
  <c r="L6" i="3"/>
  <c r="K45" i="2"/>
  <c r="D107" i="2"/>
  <c r="T7" i="3"/>
  <c r="R43" i="2"/>
  <c r="K39" i="3"/>
  <c r="AO7" i="3"/>
  <c r="J20" i="3"/>
  <c r="X32" i="3"/>
  <c r="AE35" i="3"/>
  <c r="M106" i="2"/>
  <c r="AQ25" i="3"/>
  <c r="U63" i="2"/>
  <c r="AC5" i="3"/>
  <c r="R113" i="2"/>
  <c r="AG12" i="3"/>
  <c r="Z14" i="3"/>
  <c r="D60" i="2"/>
  <c r="AQ33" i="3"/>
  <c r="P77" i="2"/>
  <c r="J15" i="3"/>
  <c r="AK37" i="3"/>
  <c r="AG9" i="3"/>
  <c r="M45" i="2"/>
  <c r="AC11" i="3"/>
  <c r="T111" i="2"/>
  <c r="M78" i="2"/>
  <c r="P37" i="3"/>
  <c r="AP59" i="3"/>
  <c r="C86" i="2"/>
  <c r="AA12" i="3"/>
  <c r="F80" i="2"/>
  <c r="Y5" i="3"/>
  <c r="G54" i="2"/>
  <c r="H8" i="3"/>
  <c r="L41" i="2"/>
  <c r="T42" i="2"/>
  <c r="L12" i="3"/>
  <c r="K109" i="2"/>
  <c r="C53" i="2"/>
  <c r="Y42" i="3"/>
  <c r="T23" i="3"/>
  <c r="U46" i="2"/>
  <c r="AL27" i="3"/>
  <c r="M77" i="2"/>
  <c r="V9" i="3"/>
  <c r="J110" i="2"/>
  <c r="L58" i="2"/>
  <c r="AP35" i="3"/>
  <c r="AB47" i="3"/>
  <c r="AH25" i="3"/>
  <c r="H62" i="2"/>
  <c r="W55" i="2"/>
  <c r="O58" i="2"/>
  <c r="AD49" i="3"/>
  <c r="D84" i="2"/>
  <c r="U38" i="3"/>
  <c r="Z10" i="3"/>
  <c r="W57" i="2"/>
  <c r="O12" i="3"/>
  <c r="R16" i="3"/>
  <c r="N91" i="2"/>
  <c r="R70" i="2"/>
  <c r="Q60" i="2"/>
  <c r="N6" i="3"/>
  <c r="AI33" i="3"/>
  <c r="R105" i="2"/>
  <c r="H78" i="2"/>
  <c r="F44" i="2"/>
  <c r="U21" i="3"/>
  <c r="Q45" i="2"/>
  <c r="O43" i="2"/>
  <c r="Q111" i="2"/>
  <c r="H14" i="3"/>
  <c r="T73" i="2"/>
  <c r="E94" i="2"/>
  <c r="P49" i="2"/>
  <c r="J25" i="3"/>
  <c r="L9" i="3"/>
  <c r="S51" i="2"/>
  <c r="Q81" i="2"/>
  <c r="R68" i="2"/>
  <c r="AI38" i="3"/>
  <c r="AM35" i="3"/>
  <c r="M110" i="2"/>
  <c r="I47" i="2"/>
  <c r="E87" i="2"/>
  <c r="J27" i="3"/>
  <c r="C31" i="3"/>
  <c r="T97" i="2"/>
  <c r="H58" i="2"/>
  <c r="P16" i="3"/>
  <c r="F56" i="2"/>
  <c r="N36" i="3"/>
  <c r="N43" i="2"/>
  <c r="N40" i="2"/>
  <c r="R25" i="3"/>
  <c r="Y27" i="3"/>
  <c r="D72" i="2"/>
  <c r="S31" i="3"/>
  <c r="C55" i="2"/>
  <c r="T80" i="2"/>
  <c r="O34" i="3"/>
  <c r="S25" i="3"/>
  <c r="AI18" i="3"/>
  <c r="AD26" i="3"/>
  <c r="AP23" i="3"/>
  <c r="E51" i="2"/>
  <c r="G97" i="2"/>
  <c r="C19" i="3"/>
  <c r="X64" i="2"/>
  <c r="S52" i="2"/>
  <c r="AB19" i="3"/>
  <c r="Q110" i="2"/>
  <c r="H94" i="2"/>
  <c r="K85" i="2"/>
  <c r="C32" i="3"/>
  <c r="C50" i="2"/>
  <c r="F90" i="2"/>
  <c r="I79" i="2"/>
  <c r="O8" i="3"/>
  <c r="V5" i="3"/>
  <c r="K79" i="2"/>
  <c r="U60" i="2"/>
  <c r="AP80" i="3"/>
  <c r="C42" i="3"/>
  <c r="AK23" i="3"/>
  <c r="D50" i="2"/>
  <c r="F43" i="2"/>
  <c r="C47" i="3"/>
  <c r="V25" i="3"/>
  <c r="C16" i="3"/>
  <c r="S99" i="2"/>
  <c r="AB50" i="3"/>
  <c r="O25" i="3"/>
  <c r="D68" i="2"/>
  <c r="X83" i="2"/>
  <c r="AK36" i="3"/>
  <c r="O55" i="2"/>
  <c r="P6" i="3"/>
  <c r="AQ16" i="3"/>
  <c r="W69" i="2"/>
  <c r="Z11" i="3"/>
  <c r="L108" i="2"/>
  <c r="U24" i="3"/>
  <c r="AJ19" i="3"/>
  <c r="J58" i="2"/>
  <c r="U20" i="3"/>
  <c r="R111" i="2"/>
  <c r="AO21" i="3"/>
  <c r="O14" i="3"/>
  <c r="H36" i="3"/>
  <c r="O107" i="2"/>
  <c r="T21" i="3"/>
  <c r="Q93" i="2"/>
  <c r="AH5" i="3"/>
  <c r="D46" i="2"/>
  <c r="W61" i="2"/>
  <c r="S92" i="2"/>
  <c r="T108" i="2"/>
  <c r="D65" i="2"/>
  <c r="AQ38" i="3"/>
  <c r="I12" i="3"/>
  <c r="W24" i="3"/>
  <c r="K51" i="2"/>
  <c r="W104" i="2"/>
  <c r="O63" i="2"/>
  <c r="AH20" i="3"/>
  <c r="V19" i="3"/>
  <c r="AQ7" i="3"/>
  <c r="L48" i="2"/>
  <c r="R28" i="3"/>
  <c r="V40" i="3"/>
  <c r="V52" i="2"/>
  <c r="T91" i="2"/>
  <c r="AC39" i="3"/>
  <c r="M96" i="2"/>
  <c r="Q92" i="2"/>
  <c r="C79" i="2"/>
  <c r="M22" i="3"/>
  <c r="M87" i="2"/>
  <c r="S76" i="2"/>
  <c r="S95" i="2"/>
  <c r="AC33" i="3"/>
  <c r="AG16" i="3"/>
  <c r="H82" i="2"/>
  <c r="F54" i="2"/>
  <c r="AP89" i="3"/>
  <c r="Q9" i="3"/>
  <c r="K28" i="3"/>
  <c r="H112" i="2"/>
  <c r="G105" i="2"/>
  <c r="C28" i="3"/>
  <c r="H84" i="2"/>
  <c r="AB87" i="3"/>
  <c r="AG28" i="3"/>
  <c r="AE19" i="3"/>
  <c r="T62" i="2"/>
  <c r="J40" i="2"/>
  <c r="F70" i="2"/>
  <c r="N86" i="2"/>
  <c r="AL16" i="3"/>
  <c r="H81" i="2"/>
  <c r="F98" i="2"/>
  <c r="W34" i="3"/>
  <c r="F110" i="2"/>
  <c r="J106" i="2"/>
  <c r="D42" i="2"/>
  <c r="AN27" i="3"/>
  <c r="X57" i="2"/>
  <c r="Q64" i="2"/>
  <c r="V95" i="2"/>
  <c r="AH35" i="3"/>
  <c r="AC38" i="3"/>
  <c r="K44" i="2"/>
  <c r="E105" i="2"/>
  <c r="AB85" i="3"/>
  <c r="K18" i="3"/>
  <c r="K9" i="3"/>
  <c r="K82" i="2"/>
  <c r="O65" i="2"/>
  <c r="AG39" i="3"/>
  <c r="AM30" i="3"/>
  <c r="AB9" i="3"/>
  <c r="K105" i="2"/>
  <c r="Y17" i="3"/>
  <c r="Q15" i="3"/>
  <c r="L32" i="3"/>
  <c r="L93" i="2"/>
  <c r="U84" i="2"/>
  <c r="O104" i="2"/>
  <c r="AI31" i="3"/>
  <c r="Q53" i="2"/>
  <c r="P82" i="2"/>
  <c r="G66" i="2"/>
  <c r="E107" i="2"/>
  <c r="Y18" i="3"/>
  <c r="AB15" i="3"/>
  <c r="R71" i="2"/>
  <c r="I89" i="2"/>
  <c r="E54" i="2"/>
  <c r="AC36" i="3"/>
  <c r="M104" i="2"/>
  <c r="P18" i="3"/>
  <c r="H86" i="2"/>
  <c r="AN11" i="3"/>
  <c r="F64" i="2"/>
  <c r="H107" i="2"/>
  <c r="AA25" i="3"/>
  <c r="AK12" i="3"/>
  <c r="N53" i="2"/>
  <c r="AB65" i="3"/>
  <c r="O53" i="2"/>
  <c r="Q38" i="3"/>
  <c r="M88" i="2"/>
  <c r="N12" i="3"/>
  <c r="G65" i="2"/>
  <c r="H24" i="3"/>
  <c r="BH160" i="1" l="1"/>
  <c r="B147" i="1"/>
  <c r="B141" i="1"/>
  <c r="B169" i="1" s="1"/>
  <c r="U186" i="1"/>
  <c r="D133" i="1"/>
  <c r="K179" i="1"/>
  <c r="M139" i="1"/>
  <c r="T89" i="1"/>
  <c r="M160" i="1"/>
  <c r="M195" i="1" s="1"/>
  <c r="U161" i="1"/>
  <c r="E187" i="1"/>
  <c r="W137" i="1"/>
  <c r="K175" i="1"/>
  <c r="T165" i="1"/>
  <c r="L139" i="1"/>
  <c r="F179" i="1"/>
  <c r="L133" i="1"/>
  <c r="C133" i="1"/>
  <c r="E152" i="1"/>
  <c r="N94" i="1"/>
  <c r="N139" i="1"/>
  <c r="S147" i="1"/>
  <c r="W185" i="1"/>
  <c r="U179" i="1"/>
  <c r="W151" i="1"/>
  <c r="T148" i="1"/>
  <c r="S82" i="1"/>
  <c r="R148" i="1"/>
  <c r="H158" i="1"/>
  <c r="L94" i="1"/>
  <c r="C93" i="1"/>
  <c r="V88" i="1"/>
  <c r="M170" i="1"/>
  <c r="B94" i="1"/>
  <c r="B142" i="1"/>
  <c r="D160" i="1"/>
  <c r="D195" i="1" s="1"/>
  <c r="O137" i="1"/>
  <c r="R186" i="1"/>
  <c r="B186" i="1"/>
  <c r="Q164" i="1"/>
  <c r="D175" i="1"/>
  <c r="P139" i="1"/>
  <c r="J147" i="1"/>
  <c r="I152" i="1"/>
  <c r="F165" i="1"/>
  <c r="J148" i="1"/>
  <c r="H161" i="1"/>
  <c r="W168" i="1"/>
  <c r="G159" i="1"/>
  <c r="G194" i="1" s="1"/>
  <c r="R168" i="1"/>
  <c r="R198" i="1" s="1"/>
  <c r="K152" i="1"/>
  <c r="N164" i="1"/>
  <c r="G187" i="1"/>
  <c r="J92" i="1"/>
  <c r="V166" i="1"/>
  <c r="U137" i="1"/>
  <c r="W88" i="1"/>
  <c r="T94" i="1"/>
  <c r="P165" i="1"/>
  <c r="B161" i="1"/>
  <c r="G160" i="1"/>
  <c r="G195" i="1" s="1"/>
  <c r="O160" i="1"/>
  <c r="O195" i="1" s="1"/>
  <c r="P158" i="1"/>
  <c r="C89" i="1"/>
  <c r="T93" i="1"/>
  <c r="M147" i="1"/>
  <c r="T185" i="1"/>
  <c r="I186" i="1"/>
  <c r="D140" i="1"/>
  <c r="F159" i="1"/>
  <c r="F194" i="1" s="1"/>
  <c r="V161" i="1"/>
  <c r="O142" i="1"/>
  <c r="F161" i="1"/>
  <c r="J160" i="1"/>
  <c r="J195" i="1" s="1"/>
  <c r="B165" i="1"/>
  <c r="M152" i="1"/>
  <c r="F148" i="1"/>
  <c r="L152" i="1"/>
  <c r="F175" i="1"/>
  <c r="G137" i="1"/>
  <c r="D141" i="1"/>
  <c r="D169" i="1" s="1"/>
  <c r="S170" i="1"/>
  <c r="C132" i="1"/>
  <c r="I137" i="1"/>
  <c r="O140" i="1"/>
  <c r="J179" i="1"/>
  <c r="W175" i="1"/>
  <c r="F150" i="1"/>
  <c r="F146" i="1" s="1"/>
  <c r="D88" i="1"/>
  <c r="S178" i="1"/>
  <c r="R133" i="1"/>
  <c r="K133" i="1"/>
  <c r="J158" i="1"/>
  <c r="Q151" i="1"/>
  <c r="H187" i="1"/>
  <c r="W162" i="1"/>
  <c r="H174" i="1"/>
  <c r="C151" i="1"/>
  <c r="J132" i="1"/>
  <c r="M168" i="1"/>
  <c r="M198" i="1" s="1"/>
  <c r="F133" i="1"/>
  <c r="L148" i="1"/>
  <c r="O82" i="1"/>
  <c r="E137" i="1"/>
  <c r="C174" i="1"/>
  <c r="F152" i="1"/>
  <c r="W150" i="1"/>
  <c r="W146" i="1" s="1"/>
  <c r="O166" i="1"/>
  <c r="O170" i="1"/>
  <c r="C92" i="1"/>
  <c r="M155" i="1"/>
  <c r="L142" i="1"/>
  <c r="M82" i="1"/>
  <c r="E160" i="1"/>
  <c r="E195" i="1" s="1"/>
  <c r="T82" i="1"/>
  <c r="C142" i="1"/>
  <c r="G170" i="1"/>
  <c r="D158" i="1"/>
  <c r="K92" i="1"/>
  <c r="S166" i="1"/>
  <c r="T134" i="1"/>
  <c r="N152" i="1"/>
  <c r="I165" i="1"/>
  <c r="P164" i="1"/>
  <c r="F185" i="1"/>
  <c r="T150" i="1"/>
  <c r="T146" i="1" s="1"/>
  <c r="Q93" i="1"/>
  <c r="U151" i="1"/>
  <c r="Q137" i="1"/>
  <c r="G147" i="1"/>
  <c r="H82" i="1"/>
  <c r="V150" i="1"/>
  <c r="V146" i="1" s="1"/>
  <c r="V148" i="1"/>
  <c r="B162" i="1"/>
  <c r="E185" i="1"/>
  <c r="R142" i="1"/>
  <c r="H165" i="1"/>
  <c r="B175" i="1"/>
  <c r="U160" i="1"/>
  <c r="U94" i="1"/>
  <c r="S88" i="1"/>
  <c r="B82" i="1"/>
  <c r="J185" i="1"/>
  <c r="D89" i="1"/>
  <c r="S150" i="1"/>
  <c r="S146" i="1" s="1"/>
  <c r="C152" i="1"/>
  <c r="P150" i="1"/>
  <c r="P146" i="1" s="1"/>
  <c r="S187" i="1"/>
  <c r="L147" i="1"/>
  <c r="N166" i="1"/>
  <c r="O178" i="1"/>
  <c r="L151" i="1"/>
  <c r="P157" i="1"/>
  <c r="G92" i="1"/>
  <c r="V137" i="1"/>
  <c r="J175" i="1"/>
  <c r="G162" i="1"/>
  <c r="F162" i="1"/>
  <c r="C134" i="1"/>
  <c r="V159" i="1"/>
  <c r="V194" i="1" s="1"/>
  <c r="I178" i="1"/>
  <c r="L165" i="1"/>
  <c r="V82" i="1"/>
  <c r="C158" i="1"/>
  <c r="G94" i="1"/>
  <c r="F178" i="1"/>
  <c r="J88" i="1"/>
  <c r="I160" i="1"/>
  <c r="I195" i="1" s="1"/>
  <c r="G151" i="1"/>
  <c r="R82" i="1"/>
  <c r="W134" i="1"/>
  <c r="W141" i="1"/>
  <c r="W169" i="1" s="1"/>
  <c r="Q158" i="1"/>
  <c r="Q134" i="1"/>
  <c r="B78" i="1"/>
  <c r="D162" i="1"/>
  <c r="J170" i="1"/>
  <c r="B179" i="1"/>
  <c r="F168" i="1"/>
  <c r="F198" i="1" s="1"/>
  <c r="R166" i="1"/>
  <c r="R179" i="1"/>
  <c r="N161" i="1"/>
  <c r="R139" i="1"/>
  <c r="O187" i="1"/>
  <c r="F141" i="1"/>
  <c r="F169" i="1" s="1"/>
  <c r="G152" i="1"/>
  <c r="M178" i="1"/>
  <c r="M161" i="1"/>
  <c r="G133" i="1"/>
  <c r="R89" i="1"/>
  <c r="I140" i="1"/>
  <c r="E142" i="1"/>
  <c r="G139" i="1"/>
  <c r="O150" i="1"/>
  <c r="O146" i="1" s="1"/>
  <c r="P162" i="1"/>
  <c r="T187" i="1"/>
  <c r="F142" i="1"/>
  <c r="P133" i="1"/>
  <c r="S155" i="1"/>
  <c r="Q155" i="1"/>
  <c r="B174" i="1"/>
  <c r="B176" i="1" s="1"/>
  <c r="C224" i="1" s="1"/>
  <c r="C78" i="1"/>
  <c r="T92" i="1"/>
  <c r="S142" i="1"/>
  <c r="W140" i="1"/>
  <c r="L174" i="1"/>
  <c r="I150" i="1"/>
  <c r="I146" i="1" s="1"/>
  <c r="J155" i="1"/>
  <c r="K148" i="1"/>
  <c r="H137" i="1"/>
  <c r="N148" i="1"/>
  <c r="B160" i="1"/>
  <c r="B195" i="1" s="1"/>
  <c r="R174" i="1"/>
  <c r="B187" i="1"/>
  <c r="H141" i="1"/>
  <c r="H169" i="1" s="1"/>
  <c r="M89" i="1"/>
  <c r="E148" i="1"/>
  <c r="M174" i="1"/>
  <c r="D142" i="1"/>
  <c r="P93" i="1"/>
  <c r="B166" i="1"/>
  <c r="E161" i="1"/>
  <c r="L161" i="1"/>
  <c r="V175" i="1"/>
  <c r="W166" i="1"/>
  <c r="C186" i="1"/>
  <c r="M133" i="1"/>
  <c r="U187" i="1"/>
  <c r="L157" i="1"/>
  <c r="I185" i="1"/>
  <c r="C160" i="1"/>
  <c r="C195" i="1" s="1"/>
  <c r="N88" i="1"/>
  <c r="W93" i="1"/>
  <c r="K162" i="1"/>
  <c r="L186" i="1"/>
  <c r="M92" i="1"/>
  <c r="R132" i="1"/>
  <c r="F147" i="1"/>
  <c r="M150" i="1"/>
  <c r="M146" i="1" s="1"/>
  <c r="C148" i="1"/>
  <c r="N187" i="1"/>
  <c r="W142" i="1"/>
  <c r="H133" i="1"/>
  <c r="T88" i="1"/>
  <c r="J151" i="1"/>
  <c r="B151" i="1"/>
  <c r="L93" i="1"/>
  <c r="D157" i="1"/>
  <c r="Q157" i="1"/>
  <c r="L134" i="1"/>
  <c r="L179" i="1"/>
  <c r="G166" i="1"/>
  <c r="B168" i="1"/>
  <c r="B198" i="1" s="1"/>
  <c r="U139" i="1"/>
  <c r="D187" i="1"/>
  <c r="Q159" i="1"/>
  <c r="Q194" i="1" s="1"/>
  <c r="E93" i="1"/>
  <c r="I148" i="1"/>
  <c r="U88" i="1"/>
  <c r="W159" i="1"/>
  <c r="D164" i="1"/>
  <c r="D79" i="1"/>
  <c r="I89" i="1"/>
  <c r="N162" i="1"/>
  <c r="M179" i="1"/>
  <c r="U132" i="1"/>
  <c r="H134" i="1"/>
  <c r="I141" i="1"/>
  <c r="I169" i="1" s="1"/>
  <c r="D93" i="1"/>
  <c r="U142" i="1"/>
  <c r="S179" i="1"/>
  <c r="E168" i="1"/>
  <c r="E198" i="1" s="1"/>
  <c r="E134" i="1"/>
  <c r="V132" i="1"/>
  <c r="M186" i="1"/>
  <c r="P174" i="1"/>
  <c r="P176" i="1" s="1"/>
  <c r="Q224" i="1" s="1"/>
  <c r="E88" i="1"/>
  <c r="F164" i="1"/>
  <c r="I133" i="1"/>
  <c r="C88" i="1"/>
  <c r="U147" i="1"/>
  <c r="B79" i="1"/>
  <c r="T160" i="1"/>
  <c r="T195" i="1" s="1"/>
  <c r="C155" i="1"/>
  <c r="G155" i="1"/>
  <c r="D179" i="1"/>
  <c r="S141" i="1"/>
  <c r="S169" i="1" s="1"/>
  <c r="D151" i="1"/>
  <c r="N165" i="1"/>
  <c r="P88" i="1"/>
  <c r="T186" i="1"/>
  <c r="S132" i="1"/>
  <c r="M134" i="1"/>
  <c r="O134" i="1"/>
  <c r="J140" i="1"/>
  <c r="S92" i="1"/>
  <c r="S139" i="1"/>
  <c r="K158" i="1"/>
  <c r="L158" i="1"/>
  <c r="B150" i="1"/>
  <c r="D168" i="1"/>
  <c r="D198" i="1" s="1"/>
  <c r="R157" i="1"/>
  <c r="N82" i="1"/>
  <c r="B92" i="1"/>
  <c r="K178" i="1"/>
  <c r="H88" i="1"/>
  <c r="K142" i="1"/>
  <c r="B146" i="1"/>
  <c r="I158" i="1"/>
  <c r="K161" i="1"/>
  <c r="L88" i="1"/>
  <c r="P148" i="1"/>
  <c r="V165" i="1"/>
  <c r="V152" i="1"/>
  <c r="Q162" i="1"/>
  <c r="Q179" i="1"/>
  <c r="M94" i="1"/>
  <c r="R155" i="1"/>
  <c r="R137" i="1"/>
  <c r="Q187" i="1"/>
  <c r="Q139" i="1"/>
  <c r="P132" i="1"/>
  <c r="W152" i="1"/>
  <c r="P161" i="1"/>
  <c r="N147" i="1"/>
  <c r="V92" i="1"/>
  <c r="Q89" i="1"/>
  <c r="I151" i="1"/>
  <c r="C141" i="1"/>
  <c r="C169" i="1" s="1"/>
  <c r="D94" i="1"/>
  <c r="R159" i="1"/>
  <c r="R194" i="1" s="1"/>
  <c r="B93" i="1"/>
  <c r="V162" i="1"/>
  <c r="W133" i="1"/>
  <c r="O94" i="1"/>
  <c r="U164" i="1"/>
  <c r="F151" i="1"/>
  <c r="R164" i="1"/>
  <c r="F166" i="1"/>
  <c r="G142" i="1"/>
  <c r="K170" i="1"/>
  <c r="L132" i="1"/>
  <c r="W165" i="1"/>
  <c r="M166" i="1"/>
  <c r="J165" i="1"/>
  <c r="I159" i="1"/>
  <c r="I194" i="1" s="1"/>
  <c r="F187" i="1"/>
  <c r="D170" i="1"/>
  <c r="M158" i="1"/>
  <c r="K94" i="1"/>
  <c r="N150" i="1"/>
  <c r="N146" i="1" s="1"/>
  <c r="R93" i="1"/>
  <c r="R140" i="1"/>
  <c r="N137" i="1"/>
  <c r="G161" i="1"/>
  <c r="R187" i="1"/>
  <c r="D165" i="1"/>
  <c r="W186" i="1"/>
  <c r="U159" i="1"/>
  <c r="U194" i="1" s="1"/>
  <c r="T158" i="1"/>
  <c r="K159" i="1"/>
  <c r="K194" i="1" s="1"/>
  <c r="C168" i="1"/>
  <c r="C198" i="1" s="1"/>
  <c r="E165" i="1"/>
  <c r="H150" i="1"/>
  <c r="H146" i="1" s="1"/>
  <c r="G157" i="1"/>
  <c r="B170" i="1"/>
  <c r="J82" i="1"/>
  <c r="T179" i="1"/>
  <c r="F82" i="1"/>
  <c r="D155" i="1"/>
  <c r="Q88" i="1"/>
  <c r="T164" i="1"/>
  <c r="Q178" i="1"/>
  <c r="J157" i="1"/>
  <c r="T141" i="1"/>
  <c r="T169" i="1" s="1"/>
  <c r="T147" i="1"/>
  <c r="R178" i="1"/>
  <c r="B137" i="1"/>
  <c r="E140" i="1"/>
  <c r="E150" i="1"/>
  <c r="E146" i="1" s="1"/>
  <c r="G158" i="1"/>
  <c r="L166" i="1"/>
  <c r="J152" i="1"/>
  <c r="I161" i="1"/>
  <c r="C150" i="1"/>
  <c r="U168" i="1"/>
  <c r="U198" i="1" s="1"/>
  <c r="H164" i="1"/>
  <c r="F186" i="1"/>
  <c r="P187" i="1"/>
  <c r="V168" i="1"/>
  <c r="V198" i="1" s="1"/>
  <c r="T152" i="1"/>
  <c r="S161" i="1"/>
  <c r="H147" i="1"/>
  <c r="H139" i="1"/>
  <c r="Q148" i="1"/>
  <c r="L178" i="1"/>
  <c r="N157" i="1"/>
  <c r="U155" i="1"/>
  <c r="I147" i="1"/>
  <c r="W82" i="1"/>
  <c r="R151" i="1"/>
  <c r="B134" i="1"/>
  <c r="V185" i="1"/>
  <c r="I92" i="1"/>
  <c r="M162" i="1"/>
  <c r="E151" i="1"/>
  <c r="S151" i="1"/>
  <c r="K137" i="1"/>
  <c r="V93" i="1"/>
  <c r="P140" i="1"/>
  <c r="G164" i="1"/>
  <c r="S140" i="1"/>
  <c r="G185" i="1"/>
  <c r="V133" i="1"/>
  <c r="J133" i="1"/>
  <c r="V178" i="1"/>
  <c r="Q174" i="1"/>
  <c r="U140" i="1"/>
  <c r="H142" i="1"/>
  <c r="D185" i="1"/>
  <c r="F88" i="1"/>
  <c r="S93" i="1"/>
  <c r="Q165" i="1"/>
  <c r="T139" i="1"/>
  <c r="L160" i="1"/>
  <c r="L195" i="1" s="1"/>
  <c r="I94" i="1"/>
  <c r="C161" i="1"/>
  <c r="W157" i="1"/>
  <c r="G141" i="1"/>
  <c r="G169" i="1" s="1"/>
  <c r="P92" i="1"/>
  <c r="F170" i="1"/>
  <c r="H157" i="1"/>
  <c r="C159" i="1"/>
  <c r="C194" i="1" s="1"/>
  <c r="S174" i="1"/>
  <c r="K82" i="1"/>
  <c r="Q160" i="1"/>
  <c r="Q195" i="1" s="1"/>
  <c r="T137" i="1"/>
  <c r="I82" i="1"/>
  <c r="O162" i="1"/>
  <c r="B148" i="1"/>
  <c r="W89" i="1"/>
  <c r="O139" i="1"/>
  <c r="K160" i="1"/>
  <c r="K195" i="1" s="1"/>
  <c r="Q147" i="1"/>
  <c r="U82" i="1"/>
  <c r="W139" i="1"/>
  <c r="C178" i="1"/>
  <c r="K155" i="1"/>
  <c r="T175" i="1"/>
  <c r="N141" i="1"/>
  <c r="N169" i="1" s="1"/>
  <c r="B139" i="1"/>
  <c r="V142" i="1"/>
  <c r="C166" i="1"/>
  <c r="K139" i="1"/>
  <c r="U150" i="1"/>
  <c r="U146" i="1" s="1"/>
  <c r="E178" i="1"/>
  <c r="V186" i="1"/>
  <c r="Q185" i="1"/>
  <c r="M159" i="1"/>
  <c r="M194" i="1" s="1"/>
  <c r="E159" i="1"/>
  <c r="E194" i="1" s="1"/>
  <c r="D152" i="1"/>
  <c r="L175" i="1"/>
  <c r="S162" i="1"/>
  <c r="D132" i="1"/>
  <c r="U89" i="1"/>
  <c r="E157" i="1"/>
  <c r="J186" i="1"/>
  <c r="Q141" i="1"/>
  <c r="Q169" i="1" s="1"/>
  <c r="C79" i="1"/>
  <c r="Q94" i="1"/>
  <c r="N185" i="1"/>
  <c r="G132" i="1"/>
  <c r="J141" i="1"/>
  <c r="J169" i="1" s="1"/>
  <c r="M157" i="1"/>
  <c r="O132" i="1"/>
  <c r="P186" i="1"/>
  <c r="V157" i="1"/>
  <c r="M132" i="1"/>
  <c r="O175" i="1"/>
  <c r="R94" i="1"/>
  <c r="B133" i="1"/>
  <c r="V151" i="1"/>
  <c r="W161" i="1"/>
  <c r="S185" i="1"/>
  <c r="O174" i="1"/>
  <c r="H93" i="1"/>
  <c r="D161" i="1"/>
  <c r="R147" i="1"/>
  <c r="K132" i="1"/>
  <c r="L89" i="1"/>
  <c r="J139" i="1"/>
  <c r="S168" i="1"/>
  <c r="S198" i="1" s="1"/>
  <c r="V179" i="1"/>
  <c r="E92" i="1"/>
  <c r="T142" i="1"/>
  <c r="O92" i="1"/>
  <c r="B159" i="1"/>
  <c r="B194" i="1" s="1"/>
  <c r="L150" i="1"/>
  <c r="L146" i="1" s="1"/>
  <c r="L137" i="1"/>
  <c r="V141" i="1"/>
  <c r="V169" i="1" s="1"/>
  <c r="N92" i="1"/>
  <c r="R88" i="1"/>
  <c r="O157" i="1"/>
  <c r="U165" i="1"/>
  <c r="O168" i="1"/>
  <c r="O198" i="1" s="1"/>
  <c r="N133" i="1"/>
  <c r="G186" i="1"/>
  <c r="U162" i="1"/>
  <c r="R161" i="1"/>
  <c r="Q170" i="1"/>
  <c r="K134" i="1"/>
  <c r="P151" i="1"/>
  <c r="C157" i="1"/>
  <c r="U158" i="1"/>
  <c r="N179" i="1"/>
  <c r="P160" i="1"/>
  <c r="P195" i="1" s="1"/>
  <c r="G150" i="1"/>
  <c r="G146" i="1" s="1"/>
  <c r="M140" i="1"/>
  <c r="D78" i="1"/>
  <c r="C82" i="1"/>
  <c r="P159" i="1"/>
  <c r="P194" i="1" s="1"/>
  <c r="F140" i="1"/>
  <c r="E166" i="1"/>
  <c r="V139" i="1"/>
  <c r="U166" i="1"/>
  <c r="O141" i="1"/>
  <c r="O169" i="1" s="1"/>
  <c r="V174" i="1"/>
  <c r="K164" i="1"/>
  <c r="E133" i="1"/>
  <c r="E141" i="1"/>
  <c r="E169" i="1" s="1"/>
  <c r="V160" i="1"/>
  <c r="V195" i="1" s="1"/>
  <c r="R175" i="1"/>
  <c r="T155" i="1"/>
  <c r="U175" i="1"/>
  <c r="P166" i="1"/>
  <c r="I170" i="1"/>
  <c r="I174" i="1"/>
  <c r="K89" i="1"/>
  <c r="R158" i="1"/>
  <c r="O88" i="1"/>
  <c r="I139" i="1"/>
  <c r="K165" i="1"/>
  <c r="D134" i="1"/>
  <c r="N134" i="1"/>
  <c r="B178" i="1"/>
  <c r="H160" i="1"/>
  <c r="H195" i="1" s="1"/>
  <c r="K157" i="1"/>
  <c r="N170" i="1"/>
  <c r="D139" i="1"/>
  <c r="N155" i="1"/>
  <c r="J137" i="1"/>
  <c r="S157" i="1"/>
  <c r="T140" i="1"/>
  <c r="B155" i="1"/>
  <c r="Q142" i="1"/>
  <c r="Q82" i="1"/>
  <c r="P178" i="1"/>
  <c r="J162" i="1"/>
  <c r="I166" i="1"/>
  <c r="Q133" i="1"/>
  <c r="B157" i="1"/>
  <c r="W187" i="1"/>
  <c r="H89" i="1"/>
  <c r="R134" i="1"/>
  <c r="C170" i="1"/>
  <c r="L168" i="1"/>
  <c r="L198" i="1" s="1"/>
  <c r="P155" i="1"/>
  <c r="E155" i="1"/>
  <c r="T151" i="1"/>
  <c r="K140" i="1"/>
  <c r="P152" i="1"/>
  <c r="V155" i="1"/>
  <c r="E179" i="1"/>
  <c r="I162" i="1"/>
  <c r="W94" i="1"/>
  <c r="O93" i="1"/>
  <c r="N175" i="1"/>
  <c r="Q161" i="1"/>
  <c r="U134" i="1"/>
  <c r="D178" i="1"/>
  <c r="T132" i="1"/>
  <c r="H159" i="1"/>
  <c r="E186" i="1"/>
  <c r="O133" i="1"/>
  <c r="P141" i="1"/>
  <c r="P169" i="1" s="1"/>
  <c r="V89" i="1"/>
  <c r="E170" i="1"/>
  <c r="S164" i="1"/>
  <c r="Q140" i="1"/>
  <c r="M93" i="1"/>
  <c r="K151" i="1"/>
  <c r="R150" i="1"/>
  <c r="R146" i="1" s="1"/>
  <c r="E132" i="1"/>
  <c r="C147" i="1"/>
  <c r="Q92" i="1"/>
  <c r="O155" i="1"/>
  <c r="P217" i="1" s="1"/>
  <c r="B158" i="1"/>
  <c r="H166" i="1"/>
  <c r="V158" i="1"/>
  <c r="C137" i="1"/>
  <c r="K88" i="1"/>
  <c r="M88" i="1"/>
  <c r="L159" i="1"/>
  <c r="L194" i="1" s="1"/>
  <c r="M175" i="1"/>
  <c r="W148" i="1"/>
  <c r="H179" i="1"/>
  <c r="S133" i="1"/>
  <c r="S186" i="1"/>
  <c r="J94" i="1"/>
  <c r="K166" i="1"/>
  <c r="O152" i="1"/>
  <c r="O161" i="1"/>
  <c r="W170" i="1"/>
  <c r="I179" i="1"/>
  <c r="D148" i="1"/>
  <c r="S134" i="1"/>
  <c r="U157" i="1"/>
  <c r="S152" i="1"/>
  <c r="C179" i="1"/>
  <c r="F89" i="1"/>
  <c r="V134" i="1"/>
  <c r="G175" i="1"/>
  <c r="G88" i="1"/>
  <c r="T174" i="1"/>
  <c r="B185" i="1"/>
  <c r="C140" i="1"/>
  <c r="C164" i="1"/>
  <c r="C94" i="1"/>
  <c r="B152" i="1"/>
  <c r="V170" i="1"/>
  <c r="F137" i="1"/>
  <c r="S165" i="1"/>
  <c r="N168" i="1"/>
  <c r="N198" i="1" s="1"/>
  <c r="F139" i="1"/>
  <c r="H162" i="1"/>
  <c r="L170" i="1"/>
  <c r="R185" i="1"/>
  <c r="H168" i="1"/>
  <c r="H198" i="1" s="1"/>
  <c r="E147" i="1"/>
  <c r="L164" i="1"/>
  <c r="W164" i="1"/>
  <c r="C146" i="1"/>
  <c r="I187" i="1"/>
  <c r="I175" i="1"/>
  <c r="J161" i="1"/>
  <c r="N178" i="1"/>
  <c r="M187" i="1"/>
  <c r="Q186" i="1"/>
  <c r="J166" i="1"/>
  <c r="U174" i="1"/>
  <c r="P147" i="1"/>
  <c r="F158" i="1"/>
  <c r="H155" i="1"/>
  <c r="B140" i="1"/>
  <c r="H185" i="1"/>
  <c r="R160" i="1"/>
  <c r="R195" i="1" s="1"/>
  <c r="E162" i="1"/>
  <c r="W178" i="1"/>
  <c r="H132" i="1"/>
  <c r="U141" i="1"/>
  <c r="U169" i="1" s="1"/>
  <c r="T159" i="1"/>
  <c r="T194" i="1" s="1"/>
  <c r="G140" i="1"/>
  <c r="I164" i="1"/>
  <c r="C185" i="1"/>
  <c r="M164" i="1"/>
  <c r="O147" i="1"/>
  <c r="Q175" i="1"/>
  <c r="N159" i="1"/>
  <c r="L162" i="1"/>
  <c r="J159" i="1"/>
  <c r="J194" i="1" s="1"/>
  <c r="J178" i="1"/>
  <c r="R165" i="1"/>
  <c r="I132" i="1"/>
  <c r="N174" i="1"/>
  <c r="I157" i="1"/>
  <c r="N132" i="1"/>
  <c r="K187" i="1"/>
  <c r="H92" i="1"/>
  <c r="D150" i="1"/>
  <c r="I155" i="1"/>
  <c r="V147" i="1"/>
  <c r="J187" i="1"/>
  <c r="N93" i="1"/>
  <c r="H140" i="1"/>
  <c r="E175" i="1"/>
  <c r="E176" i="1" s="1"/>
  <c r="F224" i="1" s="1"/>
  <c r="E89" i="1"/>
  <c r="O151" i="1"/>
  <c r="S175" i="1"/>
  <c r="G82" i="1"/>
  <c r="I142" i="1"/>
  <c r="F160" i="1"/>
  <c r="F195" i="1" s="1"/>
  <c r="H152" i="1"/>
  <c r="G89" i="1"/>
  <c r="L141" i="1"/>
  <c r="L169" i="1" s="1"/>
  <c r="U148" i="1"/>
  <c r="L82" i="1"/>
  <c r="N151" i="1"/>
  <c r="U178" i="1"/>
  <c r="F93" i="1"/>
  <c r="J150" i="1"/>
  <c r="J146" i="1" s="1"/>
  <c r="F92" i="1"/>
  <c r="B164" i="1"/>
  <c r="E82" i="1"/>
  <c r="D159" i="1"/>
  <c r="D194" i="1" s="1"/>
  <c r="D166" i="1"/>
  <c r="E94" i="1"/>
  <c r="I88" i="1"/>
  <c r="P94" i="1"/>
  <c r="H151" i="1"/>
  <c r="K141" i="1"/>
  <c r="K169" i="1" s="1"/>
  <c r="U93" i="1"/>
  <c r="O148" i="1"/>
  <c r="D146" i="1"/>
  <c r="W174" i="1"/>
  <c r="D147" i="1"/>
  <c r="R170" i="1"/>
  <c r="G174" i="1"/>
  <c r="M142" i="1"/>
  <c r="Q150" i="1"/>
  <c r="Q146" i="1" s="1"/>
  <c r="B132" i="1"/>
  <c r="G148" i="1"/>
  <c r="K93" i="1"/>
  <c r="P82" i="1"/>
  <c r="S89" i="1"/>
  <c r="V187" i="1"/>
  <c r="M137" i="1"/>
  <c r="S160" i="1"/>
  <c r="S195" i="1" s="1"/>
  <c r="Q166" i="1"/>
  <c r="W158" i="1"/>
  <c r="J164" i="1"/>
  <c r="V94" i="1"/>
  <c r="S148" i="1"/>
  <c r="M151" i="1"/>
  <c r="H175" i="1"/>
  <c r="T157" i="1"/>
  <c r="N158" i="1"/>
  <c r="M185" i="1"/>
  <c r="E139" i="1"/>
  <c r="K186" i="1"/>
  <c r="M148" i="1"/>
  <c r="D82" i="1"/>
  <c r="K174" i="1"/>
  <c r="W92" i="1"/>
  <c r="Q132" i="1"/>
  <c r="W179" i="1"/>
  <c r="P185" i="1"/>
  <c r="R152" i="1"/>
  <c r="I93" i="1"/>
  <c r="U185" i="1"/>
  <c r="E164" i="1"/>
  <c r="I134" i="1"/>
  <c r="F155" i="1"/>
  <c r="O158" i="1"/>
  <c r="T133" i="1"/>
  <c r="C187" i="1"/>
  <c r="S158" i="1"/>
  <c r="E158" i="1"/>
  <c r="K147" i="1"/>
  <c r="L185" i="1"/>
  <c r="C175" i="1"/>
  <c r="J168" i="1"/>
  <c r="J198" i="1" s="1"/>
  <c r="T162" i="1"/>
  <c r="H148" i="1"/>
  <c r="L187" i="1"/>
  <c r="H178" i="1"/>
  <c r="R92" i="1"/>
  <c r="K185" i="1"/>
  <c r="T161" i="1"/>
  <c r="W155" i="1"/>
  <c r="F94" i="1"/>
  <c r="N186" i="1"/>
  <c r="C162" i="1"/>
  <c r="O159" i="1"/>
  <c r="O194" i="1" s="1"/>
  <c r="F157" i="1"/>
  <c r="T168" i="1"/>
  <c r="T198" i="1" s="1"/>
  <c r="R141" i="1"/>
  <c r="R169" i="1" s="1"/>
  <c r="M165" i="1"/>
  <c r="D174" i="1"/>
  <c r="J93" i="1"/>
  <c r="C165" i="1"/>
  <c r="H94" i="1"/>
  <c r="H186" i="1"/>
  <c r="K150" i="1"/>
  <c r="K146" i="1" s="1"/>
  <c r="S159" i="1"/>
  <c r="S194" i="1" s="1"/>
  <c r="N140" i="1"/>
  <c r="O185" i="1"/>
  <c r="H170" i="1"/>
  <c r="F174" i="1"/>
  <c r="W160" i="1"/>
  <c r="L140" i="1"/>
  <c r="O179" i="1"/>
  <c r="O165" i="1"/>
  <c r="F134" i="1"/>
  <c r="O186" i="1"/>
  <c r="R162" i="1"/>
  <c r="Q152" i="1"/>
  <c r="G165" i="1"/>
  <c r="P179" i="1"/>
  <c r="K168" i="1"/>
  <c r="K198" i="1" s="1"/>
  <c r="O89" i="1"/>
  <c r="D92" i="1"/>
  <c r="N160" i="1"/>
  <c r="N195" i="1" s="1"/>
  <c r="S94" i="1"/>
  <c r="U92" i="1"/>
  <c r="J174" i="1"/>
  <c r="G134" i="1"/>
  <c r="V164" i="1"/>
  <c r="S137" i="1"/>
  <c r="L155" i="1"/>
  <c r="T178" i="1"/>
  <c r="N142" i="1"/>
  <c r="U133" i="1"/>
  <c r="P89" i="1"/>
  <c r="P137" i="1"/>
  <c r="F132" i="1"/>
  <c r="T170" i="1"/>
  <c r="D186" i="1"/>
  <c r="U152" i="1"/>
  <c r="N89" i="1"/>
  <c r="P134" i="1"/>
  <c r="I168" i="1"/>
  <c r="I198" i="1" s="1"/>
  <c r="T166" i="1"/>
  <c r="M141" i="1"/>
  <c r="J142" i="1"/>
  <c r="V140" i="1"/>
  <c r="O164" i="1"/>
  <c r="G93" i="1"/>
  <c r="J89" i="1"/>
  <c r="L92" i="1"/>
  <c r="G179" i="1"/>
  <c r="U170" i="1"/>
  <c r="AQ24" i="1"/>
  <c r="BV37" i="1"/>
  <c r="BW24" i="1"/>
  <c r="BE37" i="1"/>
  <c r="BA24" i="1"/>
  <c r="BN24" i="1"/>
  <c r="BD24" i="1"/>
  <c r="AS37" i="1"/>
  <c r="AR37" i="1"/>
  <c r="BP37" i="1"/>
  <c r="AW24" i="1"/>
  <c r="BC24" i="1"/>
  <c r="BB37" i="1"/>
  <c r="AW37" i="1"/>
  <c r="BG24" i="1"/>
  <c r="BM24" i="1"/>
  <c r="BI37" i="1"/>
  <c r="BT37" i="1"/>
  <c r="AZ24" i="1"/>
  <c r="AI24" i="1"/>
  <c r="BF37" i="1"/>
  <c r="AO24" i="1"/>
  <c r="BV24" i="1"/>
  <c r="BF24" i="1"/>
  <c r="AX37" i="1"/>
  <c r="BH61" i="1"/>
  <c r="AP24" i="1"/>
  <c r="BE24" i="1"/>
  <c r="BO24" i="1"/>
  <c r="AZ37" i="1"/>
  <c r="BJ37" i="1"/>
  <c r="BJ41" i="1" s="1"/>
  <c r="AU62" i="1"/>
  <c r="BD37" i="1"/>
  <c r="AY37" i="1"/>
  <c r="BR37" i="1"/>
  <c r="BK24" i="1"/>
  <c r="BQ24" i="1"/>
  <c r="AP37" i="1"/>
  <c r="BS24" i="1"/>
  <c r="AO37" i="1"/>
  <c r="BW37" i="1"/>
  <c r="AQ37" i="1"/>
  <c r="AV37" i="1"/>
  <c r="BM37" i="1"/>
  <c r="BP24" i="1"/>
  <c r="BG37" i="1"/>
  <c r="BH37" i="1"/>
  <c r="AT37" i="1"/>
  <c r="AN37" i="1"/>
  <c r="BS37" i="1"/>
  <c r="BU37" i="1"/>
  <c r="BO37" i="1"/>
  <c r="BJ24" i="1"/>
  <c r="BJ25" i="1" s="1"/>
  <c r="BJ31" i="1" s="1"/>
  <c r="BC37" i="1"/>
  <c r="BK37" i="1"/>
  <c r="BQ37" i="1"/>
  <c r="AU37" i="1"/>
  <c r="BN37" i="1"/>
  <c r="BA37" i="1"/>
  <c r="AI37" i="1"/>
  <c r="AN24" i="1"/>
  <c r="BH24" i="1"/>
  <c r="AW62" i="1"/>
  <c r="AV24" i="1"/>
  <c r="AR24" i="1"/>
  <c r="BR24" i="1"/>
  <c r="AT24" i="1"/>
  <c r="BT24" i="1"/>
  <c r="BI24" i="1"/>
  <c r="BU24" i="1"/>
  <c r="AX24" i="1"/>
  <c r="AS24" i="1"/>
  <c r="AU24" i="1"/>
  <c r="BB24" i="1"/>
  <c r="AV62" i="1"/>
  <c r="AY24" i="1"/>
  <c r="BH158" i="1"/>
  <c r="BI158" i="1" s="1"/>
  <c r="BV152" i="1"/>
  <c r="BW152" i="1" s="1"/>
  <c r="BV158" i="1"/>
  <c r="BW158" i="1" s="1"/>
  <c r="BH152" i="1"/>
  <c r="BI152" i="1" s="1"/>
  <c r="AV47" i="1"/>
  <c r="AV209" i="1" s="1"/>
  <c r="BA36" i="1"/>
  <c r="BF38" i="1"/>
  <c r="AY51" i="1"/>
  <c r="BU66" i="1"/>
  <c r="AQ36" i="1"/>
  <c r="BE28" i="1"/>
  <c r="AP62" i="1"/>
  <c r="AQ51" i="1"/>
  <c r="AU38" i="1"/>
  <c r="BG62" i="1"/>
  <c r="AW40" i="1"/>
  <c r="AY39" i="1"/>
  <c r="AW36" i="1"/>
  <c r="BJ54" i="1"/>
  <c r="AR60" i="1"/>
  <c r="BV61" i="1"/>
  <c r="AQ38" i="1"/>
  <c r="BM54" i="1"/>
  <c r="BK62" i="1"/>
  <c r="BK29" i="1"/>
  <c r="BF35" i="1"/>
  <c r="AW66" i="1"/>
  <c r="BJ88" i="1"/>
  <c r="BG54" i="1"/>
  <c r="BH178" i="1"/>
  <c r="BI178" i="1" s="1"/>
  <c r="BU23" i="1"/>
  <c r="BQ35" i="1"/>
  <c r="AQ30" i="1"/>
  <c r="BS40" i="1"/>
  <c r="AX30" i="1"/>
  <c r="BS47" i="1"/>
  <c r="BS209" i="1" s="1"/>
  <c r="BH155" i="1"/>
  <c r="BI155" i="1" s="1"/>
  <c r="BJ217" i="1" s="1"/>
  <c r="BC38" i="1"/>
  <c r="BB36" i="1"/>
  <c r="AI30" i="1"/>
  <c r="BM51" i="1"/>
  <c r="BG61" i="1"/>
  <c r="AS66" i="1"/>
  <c r="BB50" i="1"/>
  <c r="BB66" i="1"/>
  <c r="AR61" i="1"/>
  <c r="AU29" i="1"/>
  <c r="BD23" i="1"/>
  <c r="BD12" i="1" s="1"/>
  <c r="AP30" i="1"/>
  <c r="BB62" i="1"/>
  <c r="BV140" i="1"/>
  <c r="BW140" i="1" s="1"/>
  <c r="BM38" i="1"/>
  <c r="BK61" i="1"/>
  <c r="BK35" i="1"/>
  <c r="AT50" i="1"/>
  <c r="BW51" i="1"/>
  <c r="BI39" i="1"/>
  <c r="BJ60" i="1"/>
  <c r="AS47" i="1"/>
  <c r="AT51" i="1"/>
  <c r="BQ40" i="1"/>
  <c r="AT36" i="1"/>
  <c r="BT30" i="1"/>
  <c r="BH174" i="1"/>
  <c r="BI28" i="1"/>
  <c r="BE29" i="1"/>
  <c r="AY38" i="1"/>
  <c r="BH179" i="1"/>
  <c r="BI179" i="1" s="1"/>
  <c r="BH88" i="1"/>
  <c r="AP61" i="1"/>
  <c r="BH157" i="1"/>
  <c r="AY47" i="1"/>
  <c r="AY209" i="1" s="1"/>
  <c r="AR29" i="1"/>
  <c r="BP54" i="1"/>
  <c r="BE61" i="1"/>
  <c r="AQ60" i="1"/>
  <c r="BB39" i="1"/>
  <c r="BW28" i="1"/>
  <c r="BC36" i="1"/>
  <c r="BD66" i="1"/>
  <c r="BO54" i="1"/>
  <c r="AI54" i="1"/>
  <c r="BI30" i="1"/>
  <c r="BQ23" i="1"/>
  <c r="BQ12" i="1" s="1"/>
  <c r="BF66" i="1"/>
  <c r="AV38" i="1"/>
  <c r="AT30" i="1"/>
  <c r="BT66" i="1"/>
  <c r="AQ35" i="1"/>
  <c r="BS61" i="1"/>
  <c r="BB47" i="1"/>
  <c r="BH161" i="1"/>
  <c r="BI161" i="1" s="1"/>
  <c r="BV134" i="1"/>
  <c r="BT39" i="1"/>
  <c r="BQ62" i="1"/>
  <c r="BV133" i="1"/>
  <c r="BW133" i="1" s="1"/>
  <c r="BN23" i="1"/>
  <c r="BN12" i="1" s="1"/>
  <c r="BR50" i="1"/>
  <c r="BU61" i="1"/>
  <c r="AX60" i="1"/>
  <c r="AN29" i="1"/>
  <c r="AT29" i="1"/>
  <c r="BK39" i="1"/>
  <c r="BJ50" i="1"/>
  <c r="AP38" i="1"/>
  <c r="AX29" i="1"/>
  <c r="BR38" i="1"/>
  <c r="BM61" i="1"/>
  <c r="BP66" i="1"/>
  <c r="BA54" i="1"/>
  <c r="BM30" i="1"/>
  <c r="BQ51" i="1"/>
  <c r="AZ66" i="1"/>
  <c r="BE54" i="1"/>
  <c r="AI62" i="1"/>
  <c r="BU62" i="1"/>
  <c r="BB61" i="1"/>
  <c r="BF40" i="1"/>
  <c r="BD40" i="1"/>
  <c r="BM35" i="1"/>
  <c r="BT35" i="1"/>
  <c r="BQ47" i="1"/>
  <c r="BQ209" i="1" s="1"/>
  <c r="AS38" i="1"/>
  <c r="AJ88" i="1"/>
  <c r="BP61" i="1"/>
  <c r="AW28" i="1"/>
  <c r="AV29" i="1"/>
  <c r="BI29" i="1"/>
  <c r="AS40" i="1"/>
  <c r="BI60" i="1"/>
  <c r="BP28" i="1"/>
  <c r="AZ40" i="1"/>
  <c r="AY54" i="1"/>
  <c r="BH35" i="1"/>
  <c r="BA40" i="1"/>
  <c r="BF36" i="1"/>
  <c r="BC51" i="1"/>
  <c r="BW36" i="1"/>
  <c r="BR47" i="1"/>
  <c r="AX35" i="1"/>
  <c r="BS28" i="1"/>
  <c r="BQ39" i="1"/>
  <c r="BE39" i="1"/>
  <c r="BP23" i="1"/>
  <c r="AO36" i="1"/>
  <c r="BV166" i="1"/>
  <c r="BW166" i="1" s="1"/>
  <c r="BA28" i="1"/>
  <c r="BV66" i="1"/>
  <c r="AY28" i="1"/>
  <c r="BI61" i="1"/>
  <c r="BH162" i="1"/>
  <c r="BI162" i="1" s="1"/>
  <c r="BN40" i="1"/>
  <c r="AS35" i="1"/>
  <c r="AW30" i="1"/>
  <c r="AU60" i="1"/>
  <c r="AI28" i="1"/>
  <c r="AT23" i="1"/>
  <c r="BT62" i="1"/>
  <c r="BE66" i="1"/>
  <c r="BR40" i="1"/>
  <c r="BA35" i="1"/>
  <c r="AI35" i="1"/>
  <c r="BD36" i="1"/>
  <c r="AN54" i="1"/>
  <c r="BW61" i="1"/>
  <c r="AY23" i="1"/>
  <c r="AY12" i="1" s="1"/>
  <c r="BW30" i="1"/>
  <c r="AM60" i="1"/>
  <c r="AT35" i="1"/>
  <c r="BE38" i="1"/>
  <c r="AR28" i="1"/>
  <c r="BM29" i="1"/>
  <c r="BC50" i="1"/>
  <c r="BG47" i="1"/>
  <c r="BG209" i="1" s="1"/>
  <c r="AZ54" i="1"/>
  <c r="BH39" i="1"/>
  <c r="BJ66" i="1"/>
  <c r="BS66" i="1"/>
  <c r="BR61" i="1"/>
  <c r="BE62" i="1"/>
  <c r="AY40" i="1"/>
  <c r="BV165" i="1"/>
  <c r="BW165" i="1" s="1"/>
  <c r="BV54" i="1"/>
  <c r="BQ66" i="1"/>
  <c r="AI61" i="1"/>
  <c r="AN62" i="1"/>
  <c r="AQ62" i="1"/>
  <c r="BW35" i="1"/>
  <c r="AO30" i="1"/>
  <c r="AW29" i="1"/>
  <c r="BR30" i="1"/>
  <c r="BH36" i="1"/>
  <c r="BH38" i="1"/>
  <c r="AI40" i="1"/>
  <c r="BO62" i="1"/>
  <c r="BO36" i="1"/>
  <c r="AP47" i="1"/>
  <c r="AQ47" i="1"/>
  <c r="BT40" i="1"/>
  <c r="AY62" i="1"/>
  <c r="BV169" i="1"/>
  <c r="BW169" i="1" s="1"/>
  <c r="AZ39" i="1"/>
  <c r="BK50" i="1"/>
  <c r="BH89" i="1"/>
  <c r="BH47" i="1"/>
  <c r="BH209" i="1" s="1"/>
  <c r="AT40" i="1"/>
  <c r="BV147" i="1"/>
  <c r="BR66" i="1"/>
  <c r="BP62" i="1"/>
  <c r="AN50" i="1"/>
  <c r="BS39" i="1"/>
  <c r="AX66" i="1"/>
  <c r="AZ28" i="1"/>
  <c r="BB38" i="1"/>
  <c r="AW51" i="1"/>
  <c r="BD30" i="1"/>
  <c r="BN47" i="1"/>
  <c r="BM23" i="1"/>
  <c r="BM12" i="1" s="1"/>
  <c r="AO29" i="1"/>
  <c r="BK36" i="1"/>
  <c r="BN29" i="1"/>
  <c r="BH23" i="1"/>
  <c r="BA51" i="1"/>
  <c r="BH132" i="1"/>
  <c r="BA66" i="1"/>
  <c r="BH66" i="1"/>
  <c r="AP50" i="1"/>
  <c r="BI36" i="1"/>
  <c r="BS50" i="1"/>
  <c r="BN28" i="1"/>
  <c r="AY50" i="1"/>
  <c r="AV35" i="1"/>
  <c r="BW62" i="1"/>
  <c r="BO40" i="1"/>
  <c r="BO38" i="1"/>
  <c r="BB28" i="1"/>
  <c r="BI62" i="1"/>
  <c r="AN51" i="1"/>
  <c r="AU28" i="1"/>
  <c r="BT54" i="1"/>
  <c r="BQ60" i="1"/>
  <c r="BG39" i="1"/>
  <c r="BU51" i="1"/>
  <c r="BV137" i="1"/>
  <c r="BW137" i="1" s="1"/>
  <c r="BQ50" i="1"/>
  <c r="BO47" i="1"/>
  <c r="BO209" i="1" s="1"/>
  <c r="BG40" i="1"/>
  <c r="BV174" i="1"/>
  <c r="AM88" i="1"/>
  <c r="BO66" i="1"/>
  <c r="AO54" i="1"/>
  <c r="BV40" i="1"/>
  <c r="BH133" i="1"/>
  <c r="BI133" i="1" s="1"/>
  <c r="BS23" i="1"/>
  <c r="BH51" i="1"/>
  <c r="AZ29" i="1"/>
  <c r="BV162" i="1"/>
  <c r="BW162" i="1" s="1"/>
  <c r="BG38" i="1"/>
  <c r="AQ40" i="1"/>
  <c r="AP23" i="1"/>
  <c r="AP246" i="1" s="1"/>
  <c r="AO28" i="1"/>
  <c r="BD50" i="1"/>
  <c r="BD54" i="1"/>
  <c r="BW60" i="1"/>
  <c r="BR29" i="1"/>
  <c r="AT54" i="1"/>
  <c r="BT38" i="1"/>
  <c r="BU36" i="1"/>
  <c r="AN61" i="1"/>
  <c r="AZ23" i="1"/>
  <c r="AZ12" i="1" s="1"/>
  <c r="AN39" i="1"/>
  <c r="BV30" i="1"/>
  <c r="AQ29" i="1"/>
  <c r="BP47" i="1"/>
  <c r="BI38" i="1"/>
  <c r="BA60" i="1"/>
  <c r="AZ62" i="1"/>
  <c r="BV164" i="1"/>
  <c r="BW164" i="1" s="1"/>
  <c r="BW47" i="1"/>
  <c r="BW209" i="1" s="1"/>
  <c r="AV30" i="1"/>
  <c r="AO40" i="1"/>
  <c r="BO50" i="1"/>
  <c r="BM50" i="1"/>
  <c r="AP28" i="1"/>
  <c r="AS29" i="1"/>
  <c r="BG30" i="1"/>
  <c r="BV178" i="1"/>
  <c r="BW178" i="1" s="1"/>
  <c r="BV88" i="1"/>
  <c r="AQ28" i="1"/>
  <c r="AX38" i="1"/>
  <c r="BV157" i="1"/>
  <c r="BW157" i="1" s="1"/>
  <c r="BK23" i="1"/>
  <c r="BK12" i="1" s="1"/>
  <c r="AR62" i="1"/>
  <c r="AU30" i="1"/>
  <c r="BT28" i="1"/>
  <c r="AI23" i="1"/>
  <c r="BU54" i="1"/>
  <c r="BC61" i="1"/>
  <c r="BA62" i="1"/>
  <c r="BD62" i="1"/>
  <c r="BW29" i="1"/>
  <c r="BV36" i="1"/>
  <c r="BG35" i="1"/>
  <c r="AO60" i="1"/>
  <c r="BN61" i="1"/>
  <c r="AW47" i="1"/>
  <c r="AW209" i="1" s="1"/>
  <c r="BC28" i="1"/>
  <c r="AM89" i="1"/>
  <c r="BS60" i="1"/>
  <c r="BU35" i="1"/>
  <c r="BU50" i="1"/>
  <c r="BN62" i="1"/>
  <c r="BH166" i="1"/>
  <c r="BI166" i="1" s="1"/>
  <c r="BR62" i="1"/>
  <c r="BA23" i="1"/>
  <c r="AZ35" i="1"/>
  <c r="BO51" i="1"/>
  <c r="AI38" i="1"/>
  <c r="BE50" i="1"/>
  <c r="AW23" i="1"/>
  <c r="BP29" i="1"/>
  <c r="BR60" i="1"/>
  <c r="AR39" i="1"/>
  <c r="BF50" i="1"/>
  <c r="BV179" i="1"/>
  <c r="BW179" i="1" s="1"/>
  <c r="BT36" i="1"/>
  <c r="AR36" i="1"/>
  <c r="BO61" i="1"/>
  <c r="BA50" i="1"/>
  <c r="AZ30" i="1"/>
  <c r="AV61" i="1"/>
  <c r="BQ38" i="1"/>
  <c r="AX47" i="1"/>
  <c r="AX209" i="1" s="1"/>
  <c r="AO23" i="1"/>
  <c r="BV39" i="1"/>
  <c r="AJ89" i="1"/>
  <c r="BC35" i="1"/>
  <c r="BI35" i="1"/>
  <c r="BA47" i="1"/>
  <c r="BS36" i="1"/>
  <c r="AO66" i="1"/>
  <c r="BB23" i="1"/>
  <c r="BB12" i="1" s="1"/>
  <c r="AV36" i="1"/>
  <c r="BW50" i="1"/>
  <c r="BK47" i="1"/>
  <c r="AO38" i="1"/>
  <c r="AW39" i="1"/>
  <c r="BE35" i="1"/>
  <c r="BR51" i="1"/>
  <c r="BS54" i="1"/>
  <c r="AV50" i="1"/>
  <c r="BU40" i="1"/>
  <c r="BH134" i="1"/>
  <c r="BR23" i="1"/>
  <c r="BH169" i="1"/>
  <c r="BI169" i="1" s="1"/>
  <c r="BM40" i="1"/>
  <c r="BN60" i="1"/>
  <c r="AU23" i="1"/>
  <c r="BC66" i="1"/>
  <c r="AX62" i="1"/>
  <c r="BI47" i="1"/>
  <c r="BM60" i="1"/>
  <c r="BW38" i="1"/>
  <c r="AP39" i="1"/>
  <c r="BA61" i="1"/>
  <c r="BN54" i="1"/>
  <c r="AR47" i="1"/>
  <c r="AR209" i="1" s="1"/>
  <c r="BI50" i="1"/>
  <c r="BU29" i="1"/>
  <c r="AK89" i="1"/>
  <c r="BT47" i="1"/>
  <c r="AI66" i="1"/>
  <c r="BJ62" i="1"/>
  <c r="AX28" i="1"/>
  <c r="AR50" i="1"/>
  <c r="BI51" i="1"/>
  <c r="AP54" i="1"/>
  <c r="AZ38" i="1"/>
  <c r="BQ61" i="1"/>
  <c r="AN28" i="1"/>
  <c r="AR66" i="1"/>
  <c r="BV132" i="1"/>
  <c r="AV66" i="1"/>
  <c r="AN40" i="1"/>
  <c r="AQ66" i="1"/>
  <c r="BK54" i="1"/>
  <c r="BH29" i="1"/>
  <c r="AV54" i="1"/>
  <c r="BC30" i="1"/>
  <c r="AO61" i="1"/>
  <c r="AT47" i="1"/>
  <c r="AT209" i="1" s="1"/>
  <c r="BH142" i="1"/>
  <c r="BI142" i="1" s="1"/>
  <c r="AW38" i="1"/>
  <c r="BD51" i="1"/>
  <c r="BH164" i="1"/>
  <c r="AV39" i="1"/>
  <c r="AI39" i="1"/>
  <c r="AT66" i="1"/>
  <c r="AN66" i="1"/>
  <c r="BR36" i="1"/>
  <c r="AR40" i="1"/>
  <c r="BR39" i="1"/>
  <c r="BH167" i="1"/>
  <c r="BI167" i="1" s="1"/>
  <c r="BP40" i="1"/>
  <c r="BF54" i="1"/>
  <c r="BU30" i="1"/>
  <c r="BR54" i="1"/>
  <c r="BH54" i="1"/>
  <c r="AI60" i="1"/>
  <c r="AU51" i="1"/>
  <c r="BH170" i="1"/>
  <c r="BI170" i="1" s="1"/>
  <c r="AR35" i="1"/>
  <c r="BV148" i="1"/>
  <c r="BQ28" i="1"/>
  <c r="BU60" i="1"/>
  <c r="BG28" i="1"/>
  <c r="BH62" i="1"/>
  <c r="BI23" i="1"/>
  <c r="BW66" i="1"/>
  <c r="AS23" i="1"/>
  <c r="AS246" i="1" s="1"/>
  <c r="BH147" i="1"/>
  <c r="BB51" i="1"/>
  <c r="BW39" i="1"/>
  <c r="BK40" i="1"/>
  <c r="BA38" i="1"/>
  <c r="BG50" i="1"/>
  <c r="BU28" i="1"/>
  <c r="AN35" i="1"/>
  <c r="BP30" i="1"/>
  <c r="BJ51" i="1"/>
  <c r="BJ267" i="1" s="1"/>
  <c r="BO60" i="1"/>
  <c r="BU47" i="1"/>
  <c r="BH141" i="1"/>
  <c r="BI141" i="1" s="1"/>
  <c r="AO51" i="1"/>
  <c r="AQ23" i="1"/>
  <c r="AQ246" i="1" s="1"/>
  <c r="AQ39" i="1"/>
  <c r="BV161" i="1"/>
  <c r="BW161" i="1" s="1"/>
  <c r="BP60" i="1"/>
  <c r="BV168" i="1"/>
  <c r="BC23" i="1"/>
  <c r="BB30" i="1"/>
  <c r="BV167" i="1"/>
  <c r="BW167" i="1" s="1"/>
  <c r="BH168" i="1"/>
  <c r="BR35" i="1"/>
  <c r="BN51" i="1"/>
  <c r="BA29" i="1"/>
  <c r="AP36" i="1"/>
  <c r="AR38" i="1"/>
  <c r="BS30" i="1"/>
  <c r="AX50" i="1"/>
  <c r="BV47" i="1"/>
  <c r="BV209" i="1" s="1"/>
  <c r="BD47" i="1"/>
  <c r="BD209" i="1" s="1"/>
  <c r="BF62" i="1"/>
  <c r="BD38" i="1"/>
  <c r="BD35" i="1"/>
  <c r="BD29" i="1"/>
  <c r="AS62" i="1"/>
  <c r="BV155" i="1"/>
  <c r="BW155" i="1" s="1"/>
  <c r="BX217" i="1" s="1"/>
  <c r="BS62" i="1"/>
  <c r="AO50" i="1"/>
  <c r="AV40" i="1"/>
  <c r="BF47" i="1"/>
  <c r="BF209" i="1" s="1"/>
  <c r="BA30" i="1"/>
  <c r="BK66" i="1"/>
  <c r="BV160" i="1"/>
  <c r="BK38" i="1"/>
  <c r="BS29" i="1"/>
  <c r="AW61" i="1"/>
  <c r="AV23" i="1"/>
  <c r="AV246" i="1" s="1"/>
  <c r="AO47" i="1"/>
  <c r="AO209" i="1" s="1"/>
  <c r="AX36" i="1"/>
  <c r="AR51" i="1"/>
  <c r="BR28" i="1"/>
  <c r="AI29" i="1"/>
  <c r="BU39" i="1"/>
  <c r="BV175" i="1"/>
  <c r="BT61" i="1"/>
  <c r="BT23" i="1"/>
  <c r="BT12" i="1" s="1"/>
  <c r="AM61" i="1"/>
  <c r="AV51" i="1"/>
  <c r="BN38" i="1"/>
  <c r="AP66" i="1"/>
  <c r="AV28" i="1"/>
  <c r="BH28" i="1"/>
  <c r="BQ54" i="1"/>
  <c r="AY60" i="1"/>
  <c r="AR54" i="1"/>
  <c r="BM28" i="1"/>
  <c r="BW40" i="1"/>
  <c r="AV60" i="1"/>
  <c r="BT60" i="1"/>
  <c r="AP51" i="1"/>
  <c r="AZ47" i="1"/>
  <c r="BH137" i="1"/>
  <c r="BI137" i="1" s="1"/>
  <c r="BK51" i="1"/>
  <c r="BH148" i="1"/>
  <c r="AY61" i="1"/>
  <c r="BQ30" i="1"/>
  <c r="BE36" i="1"/>
  <c r="BV38" i="1"/>
  <c r="BD60" i="1"/>
  <c r="BM66" i="1"/>
  <c r="BM62" i="1"/>
  <c r="BV60" i="1"/>
  <c r="BH139" i="1"/>
  <c r="BV141" i="1"/>
  <c r="BW141" i="1" s="1"/>
  <c r="BH146" i="1"/>
  <c r="BI66" i="1"/>
  <c r="AT39" i="1"/>
  <c r="BD39" i="1"/>
  <c r="BF23" i="1"/>
  <c r="BF12" i="1" s="1"/>
  <c r="AX23" i="1"/>
  <c r="AT60" i="1"/>
  <c r="BV150" i="1"/>
  <c r="BW150" i="1" s="1"/>
  <c r="BP38" i="1"/>
  <c r="BC40" i="1"/>
  <c r="AK88" i="1"/>
  <c r="BP39" i="1"/>
  <c r="BF28" i="1"/>
  <c r="BM36" i="1"/>
  <c r="AO35" i="1"/>
  <c r="BV62" i="1"/>
  <c r="BK28" i="1"/>
  <c r="AO39" i="1"/>
  <c r="AZ61" i="1"/>
  <c r="BW54" i="1"/>
  <c r="AY36" i="1"/>
  <c r="AS30" i="1"/>
  <c r="AY35" i="1"/>
  <c r="AU54" i="1"/>
  <c r="AQ61" i="1"/>
  <c r="BJ89" i="1"/>
  <c r="BV139" i="1"/>
  <c r="BW139" i="1" s="1"/>
  <c r="BM39" i="1"/>
  <c r="AQ54" i="1"/>
  <c r="AX51" i="1"/>
  <c r="BG36" i="1"/>
  <c r="BF29" i="1"/>
  <c r="AU36" i="1"/>
  <c r="BE51" i="1"/>
  <c r="AZ51" i="1"/>
  <c r="BF61" i="1"/>
  <c r="BS51" i="1"/>
  <c r="BV142" i="1"/>
  <c r="BW142" i="1" s="1"/>
  <c r="BG29" i="1"/>
  <c r="BF51" i="1"/>
  <c r="BC62" i="1"/>
  <c r="BE47" i="1"/>
  <c r="BE209" i="1" s="1"/>
  <c r="BE40" i="1"/>
  <c r="BE23" i="1"/>
  <c r="BT50" i="1"/>
  <c r="BN36" i="1"/>
  <c r="BC47" i="1"/>
  <c r="BC209" i="1" s="1"/>
  <c r="BI54" i="1"/>
  <c r="AW35" i="1"/>
  <c r="BH159" i="1"/>
  <c r="AP60" i="1"/>
  <c r="AS28" i="1"/>
  <c r="BS38" i="1"/>
  <c r="AT38" i="1"/>
  <c r="AW50" i="1"/>
  <c r="BG23" i="1"/>
  <c r="BG12" i="1" s="1"/>
  <c r="BP35" i="1"/>
  <c r="AR30" i="1"/>
  <c r="AW60" i="1"/>
  <c r="BF60" i="1"/>
  <c r="BV28" i="1"/>
  <c r="AI36" i="1"/>
  <c r="AT61" i="1"/>
  <c r="BH50" i="1"/>
  <c r="BV159" i="1"/>
  <c r="AP35" i="1"/>
  <c r="AS50" i="1"/>
  <c r="BO30" i="1"/>
  <c r="BP50" i="1"/>
  <c r="BC29" i="1"/>
  <c r="BB60" i="1"/>
  <c r="BE30" i="1"/>
  <c r="BV51" i="1"/>
  <c r="AP40" i="1"/>
  <c r="AX61" i="1"/>
  <c r="AU50" i="1"/>
  <c r="AZ36" i="1"/>
  <c r="BD28" i="1"/>
  <c r="AS36" i="1"/>
  <c r="BN30" i="1"/>
  <c r="BM47" i="1"/>
  <c r="BJ47" i="1"/>
  <c r="AM62" i="1"/>
  <c r="BQ36" i="1"/>
  <c r="AU40" i="1"/>
  <c r="AX39" i="1"/>
  <c r="BS35" i="1"/>
  <c r="BB54" i="1"/>
  <c r="BC39" i="1"/>
  <c r="AT62" i="1"/>
  <c r="AW54" i="1"/>
  <c r="BV50" i="1"/>
  <c r="BH60" i="1"/>
  <c r="AN38" i="1"/>
  <c r="AX40" i="1"/>
  <c r="AP29" i="1"/>
  <c r="BP36" i="1"/>
  <c r="AQ50" i="1"/>
  <c r="BV89" i="1"/>
  <c r="AM66" i="1"/>
  <c r="BH30" i="1"/>
  <c r="AU35" i="1"/>
  <c r="BA39" i="1"/>
  <c r="BV170" i="1"/>
  <c r="BW170" i="1" s="1"/>
  <c r="BE60" i="1"/>
  <c r="AS54" i="1"/>
  <c r="AI50" i="1"/>
  <c r="BV146" i="1"/>
  <c r="AY66" i="1"/>
  <c r="BN50" i="1"/>
  <c r="BO28" i="1"/>
  <c r="BG60" i="1"/>
  <c r="BI40" i="1"/>
  <c r="AY30" i="1"/>
  <c r="BU38" i="1"/>
  <c r="BF39" i="1"/>
  <c r="BB35" i="1"/>
  <c r="BV35" i="1"/>
  <c r="BG51" i="1"/>
  <c r="BT51" i="1"/>
  <c r="AN30" i="1"/>
  <c r="BO29" i="1"/>
  <c r="BT29" i="1"/>
  <c r="AZ60" i="1"/>
  <c r="AS61" i="1"/>
  <c r="BH40" i="1"/>
  <c r="BO35" i="1"/>
  <c r="BH150" i="1"/>
  <c r="BI150" i="1" s="1"/>
  <c r="BC60" i="1"/>
  <c r="BH175" i="1"/>
  <c r="BO39" i="1"/>
  <c r="AN47" i="1"/>
  <c r="AN23" i="1"/>
  <c r="BK60" i="1"/>
  <c r="BV29" i="1"/>
  <c r="AS51" i="1"/>
  <c r="AO62" i="1"/>
  <c r="AI88" i="1"/>
  <c r="BB40" i="1"/>
  <c r="BN35" i="1"/>
  <c r="AN36" i="1"/>
  <c r="AU39" i="1"/>
  <c r="BH140" i="1"/>
  <c r="BI140" i="1" s="1"/>
  <c r="AU47" i="1"/>
  <c r="AU209" i="1" s="1"/>
  <c r="AI51" i="1"/>
  <c r="BW23" i="1"/>
  <c r="BW12" i="1" s="1"/>
  <c r="BO23" i="1"/>
  <c r="BO12" i="1" s="1"/>
  <c r="BG66" i="1"/>
  <c r="BC54" i="1"/>
  <c r="AR23" i="1"/>
  <c r="AR246" i="1" s="1"/>
  <c r="BN39" i="1"/>
  <c r="BP51" i="1"/>
  <c r="BK30" i="1"/>
  <c r="AS39" i="1"/>
  <c r="AY29" i="1"/>
  <c r="AU66" i="1"/>
  <c r="BB29" i="1"/>
  <c r="AX54" i="1"/>
  <c r="BD61" i="1"/>
  <c r="BQ29" i="1"/>
  <c r="BH165" i="1"/>
  <c r="BI165" i="1" s="1"/>
  <c r="BF30" i="1"/>
  <c r="BJ61" i="1"/>
  <c r="AN60" i="1"/>
  <c r="BN66" i="1"/>
  <c r="AI47" i="1"/>
  <c r="AI209" i="1" s="1"/>
  <c r="BV23" i="1"/>
  <c r="AZ50" i="1"/>
  <c r="AT28" i="1"/>
  <c r="AS60" i="1"/>
  <c r="AU61" i="1"/>
  <c r="CQ209" i="1"/>
  <c r="CQ147" i="1"/>
  <c r="DA92" i="1"/>
  <c r="CX80" i="1"/>
  <c r="CY78" i="1"/>
  <c r="AB13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0" i="3"/>
  <c r="AN60" i="3"/>
  <c r="Y96" i="3"/>
  <c r="AG56" i="3"/>
  <c r="P50" i="3"/>
  <c r="AJ47" i="3"/>
  <c r="X94" i="3"/>
  <c r="Q75" i="3"/>
  <c r="AH64" i="3"/>
  <c r="J92" i="3"/>
  <c r="X49" i="3"/>
  <c r="AM91" i="3"/>
  <c r="V61" i="3"/>
  <c r="AN88" i="3"/>
  <c r="AJ72" i="3"/>
  <c r="S79" i="3"/>
  <c r="AJ65" i="3"/>
  <c r="P87" i="3"/>
  <c r="AC71" i="3"/>
  <c r="I93" i="3"/>
  <c r="I87" i="3"/>
  <c r="X90" i="3"/>
  <c r="X97" i="3"/>
  <c r="T49" i="3"/>
  <c r="K63" i="3"/>
  <c r="W50" i="3"/>
  <c r="AJ70" i="3"/>
  <c r="N84" i="3"/>
  <c r="AN72" i="3"/>
  <c r="AK59" i="3"/>
  <c r="W62" i="3"/>
  <c r="AO95" i="3"/>
  <c r="M66" i="3"/>
  <c r="AC83" i="3"/>
  <c r="AM71" i="3"/>
  <c r="I68" i="3"/>
  <c r="P96" i="3"/>
  <c r="I62" i="3"/>
  <c r="AE54" i="3"/>
  <c r="J76" i="3"/>
  <c r="X47" i="3"/>
  <c r="R70" i="3"/>
  <c r="Y58" i="3"/>
  <c r="AE66" i="3"/>
  <c r="AN82" i="3"/>
  <c r="AK94" i="3"/>
  <c r="AE73" i="3"/>
  <c r="N61" i="3"/>
  <c r="AM59" i="3"/>
  <c r="Y54" i="3"/>
  <c r="S81" i="3"/>
  <c r="AN69" i="3"/>
  <c r="AJ93" i="3"/>
  <c r="AG66" i="3"/>
  <c r="Q78" i="3"/>
  <c r="L83" i="3"/>
  <c r="J58" i="3"/>
  <c r="T72" i="3"/>
  <c r="V73" i="3"/>
  <c r="AO54" i="3"/>
  <c r="AL56" i="3"/>
  <c r="X73" i="3"/>
  <c r="R58" i="3"/>
  <c r="N81" i="3"/>
  <c r="T87" i="3"/>
  <c r="L77" i="3"/>
  <c r="AM93" i="3"/>
  <c r="Y49" i="3"/>
  <c r="AK64" i="3"/>
  <c r="Z66" i="3"/>
  <c r="AI74" i="3"/>
  <c r="H97" i="3"/>
  <c r="V54" i="3"/>
  <c r="AN49" i="3"/>
  <c r="N67" i="3"/>
  <c r="X58" i="3"/>
  <c r="R59" i="3"/>
  <c r="M75" i="3"/>
  <c r="AE78" i="3"/>
  <c r="Z69" i="3"/>
  <c r="J82" i="3"/>
  <c r="AO70" i="3"/>
  <c r="V58" i="3"/>
  <c r="K92" i="3"/>
  <c r="AH87" i="3"/>
  <c r="T73" i="3"/>
  <c r="T48" i="3"/>
  <c r="AO55" i="3"/>
  <c r="S70" i="3"/>
  <c r="Y60" i="3"/>
  <c r="AO85" i="3"/>
  <c r="I69" i="3"/>
  <c r="R81" i="3"/>
  <c r="AN61" i="3"/>
  <c r="U54" i="3"/>
  <c r="AC70" i="3"/>
  <c r="H93" i="3"/>
  <c r="N86" i="3"/>
  <c r="AM95" i="3"/>
  <c r="AM92" i="3"/>
  <c r="AG60" i="3"/>
  <c r="O56" i="3"/>
  <c r="O93" i="3"/>
  <c r="K76" i="3"/>
  <c r="K73" i="3"/>
  <c r="S66" i="3"/>
  <c r="AI66" i="3"/>
  <c r="L55" i="3"/>
  <c r="R79" i="3"/>
  <c r="AO87" i="3"/>
  <c r="V94" i="3"/>
  <c r="W63" i="3"/>
  <c r="O87" i="3"/>
  <c r="J71" i="3"/>
  <c r="O97" i="3"/>
  <c r="V47" i="3"/>
  <c r="AG83" i="3"/>
  <c r="I56" i="3"/>
  <c r="R64" i="3"/>
  <c r="U50" i="3"/>
  <c r="AA79" i="3"/>
  <c r="AC79" i="3"/>
  <c r="T81" i="3"/>
  <c r="I76" i="3"/>
  <c r="AK50" i="3"/>
  <c r="J75" i="3"/>
  <c r="AI86" i="3"/>
  <c r="AA92" i="3"/>
  <c r="AA75" i="3"/>
  <c r="AI76" i="3"/>
  <c r="T64" i="3"/>
  <c r="AQ91" i="3"/>
  <c r="I78" i="3"/>
  <c r="K65" i="3"/>
  <c r="U68" i="3"/>
  <c r="AC50" i="3"/>
  <c r="AN56" i="3"/>
  <c r="T61" i="3"/>
  <c r="T57" i="3"/>
  <c r="T82" i="3"/>
  <c r="AH54" i="3"/>
  <c r="M88" i="3"/>
  <c r="Q90" i="3"/>
  <c r="AQ88" i="3"/>
  <c r="AA47" i="3"/>
  <c r="AH81" i="3"/>
  <c r="H60" i="3"/>
  <c r="AH88" i="3"/>
  <c r="S48" i="3"/>
  <c r="Q64" i="3"/>
  <c r="Y73" i="3"/>
  <c r="P60" i="3"/>
  <c r="P95" i="3"/>
  <c r="T59" i="3"/>
  <c r="T88" i="3"/>
  <c r="J89" i="3"/>
  <c r="J54" i="3"/>
  <c r="Y50" i="3"/>
  <c r="K95" i="3"/>
  <c r="L75" i="3"/>
  <c r="AQ55" i="3"/>
  <c r="T76" i="3"/>
  <c r="X92" i="3"/>
  <c r="AL65" i="3"/>
  <c r="AE85" i="3"/>
  <c r="AN67" i="3"/>
  <c r="AI47" i="3"/>
  <c r="AG55" i="3"/>
  <c r="W64" i="3"/>
  <c r="N49" i="3"/>
  <c r="M49" i="3"/>
  <c r="AG69" i="3"/>
  <c r="I47" i="3"/>
  <c r="AL88" i="3"/>
  <c r="Y72" i="3"/>
  <c r="U48" i="3"/>
  <c r="AH89" i="3"/>
  <c r="M63" i="3"/>
  <c r="N55" i="3"/>
  <c r="M64" i="3"/>
  <c r="Q89" i="3"/>
  <c r="AE95" i="3"/>
  <c r="Q65" i="3"/>
  <c r="Z62" i="3"/>
  <c r="I97" i="3"/>
  <c r="K62" i="3"/>
  <c r="W89" i="3"/>
  <c r="AL96" i="3"/>
  <c r="Q76" i="3"/>
  <c r="AA56" i="3"/>
  <c r="AK95" i="3"/>
  <c r="AH60" i="3"/>
  <c r="AH57" i="3"/>
  <c r="AQ85" i="3"/>
  <c r="U56" i="3"/>
  <c r="O89" i="3"/>
  <c r="R56" i="3"/>
  <c r="AC93" i="3"/>
  <c r="R94" i="3"/>
  <c r="AE75" i="3"/>
  <c r="AA94" i="3"/>
  <c r="AO57" i="3"/>
  <c r="AK69" i="3"/>
  <c r="M59" i="3"/>
  <c r="AQ72" i="3"/>
  <c r="S47" i="3"/>
  <c r="L63" i="3"/>
  <c r="AG85" i="3"/>
  <c r="AM67" i="3"/>
  <c r="X54" i="3"/>
  <c r="Y84" i="3"/>
  <c r="Q71" i="3"/>
  <c r="H96" i="3"/>
  <c r="AN94" i="3"/>
  <c r="X65" i="3"/>
  <c r="Z65" i="3"/>
  <c r="O90" i="3"/>
  <c r="AC65" i="3"/>
  <c r="AJ54" i="3"/>
  <c r="H91" i="3"/>
  <c r="W81" i="3"/>
  <c r="AH50" i="3"/>
  <c r="T47" i="3"/>
  <c r="AO76" i="3"/>
  <c r="Q93" i="3"/>
  <c r="N85" i="3"/>
  <c r="AH76" i="3"/>
  <c r="AO81" i="3"/>
  <c r="L56" i="3"/>
  <c r="AM75" i="3"/>
  <c r="AL50" i="3"/>
  <c r="AA74" i="3"/>
  <c r="AC87" i="3"/>
  <c r="I84" i="3"/>
  <c r="W61" i="3"/>
  <c r="AA89" i="3"/>
  <c r="AE93" i="3"/>
  <c r="AQ57" i="3"/>
  <c r="H73" i="3"/>
  <c r="AQ70" i="3"/>
  <c r="W84" i="3"/>
  <c r="N68" i="3"/>
  <c r="AH72" i="3"/>
  <c r="K61" i="3"/>
  <c r="AE50" i="3"/>
  <c r="P93" i="3"/>
  <c r="AJ60" i="3"/>
  <c r="AJ64" i="3"/>
  <c r="V50" i="3"/>
  <c r="I65" i="3"/>
  <c r="L61" i="3"/>
  <c r="N78" i="3"/>
  <c r="AJ83" i="3"/>
  <c r="AQ96" i="3"/>
  <c r="O91" i="3"/>
  <c r="X55" i="3"/>
  <c r="AO47" i="3"/>
  <c r="AA66" i="3"/>
  <c r="AQ74" i="3"/>
  <c r="R67" i="3"/>
  <c r="M79" i="3"/>
  <c r="I79" i="3"/>
  <c r="Z84" i="3"/>
  <c r="AA50" i="3"/>
  <c r="AA71" i="3"/>
  <c r="AG48" i="3"/>
  <c r="Z50" i="3"/>
  <c r="H62" i="3"/>
  <c r="AA57" i="3"/>
  <c r="N65" i="3"/>
  <c r="AJ77" i="3"/>
  <c r="AO56" i="3"/>
  <c r="Q70" i="3"/>
  <c r="AE72" i="3"/>
  <c r="X59" i="3"/>
  <c r="Q72" i="3"/>
  <c r="AM87" i="3"/>
  <c r="Y59" i="3"/>
  <c r="AL95" i="3"/>
  <c r="K96" i="3"/>
  <c r="P64" i="3"/>
  <c r="AM55" i="3"/>
  <c r="S88" i="3"/>
  <c r="V91" i="3"/>
  <c r="P65" i="3"/>
  <c r="X74" i="3"/>
  <c r="AQ68" i="3"/>
  <c r="W87" i="3"/>
  <c r="U88" i="3"/>
  <c r="N48" i="3"/>
  <c r="AM89" i="3"/>
  <c r="AC62" i="3"/>
  <c r="Q95" i="3"/>
  <c r="P83" i="3"/>
  <c r="R95" i="3"/>
  <c r="N63" i="3"/>
  <c r="L90" i="3"/>
  <c r="U75" i="3"/>
  <c r="O70" i="3"/>
  <c r="S94" i="3"/>
  <c r="AJ81" i="3"/>
  <c r="AN57" i="3"/>
  <c r="AL78" i="3"/>
  <c r="AN80" i="3"/>
  <c r="Z71" i="3"/>
  <c r="AH65" i="3"/>
  <c r="AI79" i="3"/>
  <c r="AA68" i="3"/>
  <c r="AH85" i="3"/>
  <c r="R61" i="3"/>
  <c r="AC95" i="3"/>
  <c r="R65" i="3"/>
  <c r="U93" i="3"/>
  <c r="J49" i="3"/>
  <c r="L62" i="3"/>
  <c r="AC49" i="3"/>
  <c r="AL84" i="3"/>
  <c r="I72" i="3"/>
  <c r="S83" i="3"/>
  <c r="U57" i="3"/>
  <c r="J50" i="3"/>
  <c r="Z95" i="3"/>
  <c r="AA67" i="3"/>
  <c r="P79" i="3"/>
  <c r="U80" i="3"/>
  <c r="W67" i="3"/>
  <c r="U78" i="3"/>
  <c r="P78" i="3"/>
  <c r="AG97" i="3"/>
  <c r="AA49" i="3"/>
  <c r="AA54" i="3"/>
  <c r="AI85" i="3"/>
  <c r="M58" i="3"/>
  <c r="AE61" i="3"/>
  <c r="AG74" i="3"/>
  <c r="AO60" i="3"/>
  <c r="Y68" i="3"/>
  <c r="AK73" i="3"/>
  <c r="V55" i="3"/>
  <c r="W83" i="3"/>
  <c r="AH93" i="3"/>
  <c r="AC90" i="3"/>
  <c r="J88" i="3"/>
  <c r="H83" i="3"/>
  <c r="AL63" i="3"/>
  <c r="Y48" i="3"/>
  <c r="S72" i="3"/>
  <c r="AK82" i="3"/>
  <c r="S63" i="3"/>
  <c r="Q59" i="3"/>
  <c r="X67" i="3"/>
  <c r="X82" i="3"/>
  <c r="P77" i="3"/>
  <c r="V93" i="3"/>
  <c r="X75" i="3"/>
  <c r="L47" i="3"/>
  <c r="AG93" i="3"/>
  <c r="X78" i="3"/>
  <c r="U87" i="3"/>
  <c r="AL59" i="3"/>
  <c r="AO94" i="3"/>
  <c r="N95" i="3"/>
  <c r="AN81" i="3"/>
  <c r="AN85" i="3"/>
  <c r="Y66" i="3"/>
  <c r="AG57" i="3"/>
  <c r="O67" i="3"/>
  <c r="AI71" i="3"/>
  <c r="P55" i="3"/>
  <c r="W69" i="3"/>
  <c r="N57" i="3"/>
  <c r="L71" i="3"/>
  <c r="AO88" i="3"/>
  <c r="AQ89" i="3"/>
  <c r="AC64" i="3"/>
  <c r="X95" i="3"/>
  <c r="AQ56" i="3"/>
  <c r="AH55" i="3"/>
  <c r="AL62" i="3"/>
  <c r="Q94" i="3"/>
  <c r="AJ78" i="3"/>
  <c r="AC92" i="3"/>
  <c r="Z75" i="3"/>
  <c r="T60" i="3"/>
  <c r="N83" i="3"/>
  <c r="AO92" i="3"/>
  <c r="W54" i="3"/>
  <c r="Y90" i="3"/>
  <c r="R97" i="3"/>
  <c r="AQ66" i="3"/>
  <c r="R71" i="3"/>
  <c r="O58" i="3"/>
  <c r="L74" i="3"/>
  <c r="X77" i="3"/>
  <c r="W95" i="3"/>
  <c r="AK58" i="3"/>
  <c r="AE71" i="3"/>
  <c r="AN71" i="3"/>
  <c r="Y91" i="3"/>
  <c r="AI95" i="3"/>
  <c r="S75" i="3"/>
  <c r="AA81" i="3"/>
  <c r="M57" i="3"/>
  <c r="K57" i="3"/>
  <c r="O96" i="3"/>
  <c r="R49" i="3"/>
  <c r="U95" i="3"/>
  <c r="N56" i="3"/>
  <c r="AE69" i="3"/>
  <c r="V60" i="3"/>
  <c r="S78" i="3"/>
  <c r="AM54" i="3"/>
  <c r="AC55" i="3"/>
  <c r="N70" i="3"/>
  <c r="L66" i="3"/>
  <c r="AO50" i="3"/>
  <c r="W75" i="3"/>
  <c r="M92" i="3"/>
  <c r="J81" i="3"/>
  <c r="U58" i="3"/>
  <c r="AK96" i="3"/>
  <c r="AA95" i="3"/>
  <c r="R54" i="3"/>
  <c r="S71" i="3"/>
  <c r="P84" i="3"/>
  <c r="AG70" i="3"/>
  <c r="AQ82" i="3"/>
  <c r="N54" i="3"/>
  <c r="AN78" i="3"/>
  <c r="K72" i="3"/>
  <c r="W65" i="3"/>
  <c r="AA83" i="3"/>
  <c r="N97" i="3"/>
  <c r="AN48" i="3"/>
  <c r="AI54" i="3"/>
  <c r="Y74" i="3"/>
  <c r="AI64" i="3"/>
  <c r="Z49" i="3"/>
  <c r="Y80" i="3"/>
  <c r="AN76" i="3"/>
  <c r="Q55" i="3"/>
  <c r="AC58" i="3"/>
  <c r="Z89" i="3"/>
  <c r="AN77" i="3"/>
  <c r="X68" i="3"/>
  <c r="Z56" i="3"/>
  <c r="U92" i="3"/>
  <c r="AA58" i="3"/>
  <c r="K86" i="3"/>
  <c r="V85" i="3"/>
  <c r="AE96" i="3"/>
  <c r="X62" i="3"/>
  <c r="AC81" i="3"/>
  <c r="Z85" i="3"/>
  <c r="W57" i="3"/>
  <c r="AE92" i="3"/>
  <c r="AQ84" i="3"/>
  <c r="AK60" i="3"/>
  <c r="T96" i="3"/>
  <c r="AI50" i="3"/>
  <c r="AL64" i="3"/>
  <c r="Q80" i="3"/>
  <c r="AE80" i="3"/>
  <c r="AM60" i="3"/>
  <c r="V95" i="3"/>
  <c r="H78" i="3"/>
  <c r="AJ84" i="3"/>
  <c r="AL73" i="3"/>
  <c r="N72" i="3"/>
  <c r="AJ80" i="3"/>
  <c r="AK63" i="3"/>
  <c r="W73" i="3"/>
  <c r="I73" i="3"/>
  <c r="N47" i="3"/>
  <c r="P68" i="3"/>
  <c r="V65" i="3"/>
  <c r="R92" i="3"/>
  <c r="AL81" i="3"/>
  <c r="AJ49" i="3"/>
  <c r="Z74" i="3"/>
  <c r="AJ91" i="3"/>
  <c r="K50" i="3"/>
  <c r="M55" i="3"/>
  <c r="Q92" i="3"/>
  <c r="AO59" i="3"/>
  <c r="J95" i="3"/>
  <c r="AL83" i="3"/>
  <c r="AO69" i="3"/>
  <c r="L54" i="3"/>
  <c r="W92" i="3"/>
  <c r="AE57" i="3"/>
  <c r="AI55" i="3"/>
  <c r="AC88" i="3"/>
  <c r="S91" i="3"/>
  <c r="I96" i="3"/>
  <c r="AG54" i="3"/>
  <c r="AE60" i="3"/>
  <c r="AG82" i="3"/>
  <c r="Q66" i="3"/>
  <c r="Q62" i="3"/>
  <c r="U70" i="3"/>
  <c r="Z63" i="3"/>
  <c r="Q54" i="3"/>
  <c r="N73" i="3"/>
  <c r="AH91" i="3"/>
  <c r="AQ61" i="3"/>
  <c r="AK87" i="3"/>
  <c r="AL80" i="3"/>
  <c r="AM78" i="3"/>
  <c r="S49" i="3"/>
  <c r="AG91" i="3"/>
  <c r="I90" i="3"/>
  <c r="K82" i="3"/>
  <c r="M90" i="3"/>
  <c r="X76" i="3"/>
  <c r="AL91" i="3"/>
  <c r="AG47" i="3"/>
  <c r="AC63" i="3"/>
  <c r="AM76" i="3"/>
  <c r="AO79" i="3"/>
  <c r="H71" i="3"/>
  <c r="AI61" i="3"/>
  <c r="J68" i="3"/>
  <c r="Z88" i="3"/>
  <c r="S56" i="3"/>
  <c r="AA73" i="3"/>
  <c r="AM61" i="3"/>
  <c r="R73" i="3"/>
  <c r="P57" i="3"/>
  <c r="AM73" i="3"/>
  <c r="S96" i="3"/>
  <c r="AM72" i="3"/>
  <c r="AM79" i="3"/>
  <c r="I63" i="3"/>
  <c r="AG89" i="3"/>
  <c r="AK62" i="3"/>
  <c r="AJ69" i="3"/>
  <c r="U49" i="3"/>
  <c r="V82" i="3"/>
  <c r="AA65" i="3"/>
  <c r="Y97" i="3"/>
  <c r="I67" i="3"/>
  <c r="K91" i="3"/>
  <c r="O60" i="3"/>
  <c r="AO64" i="3"/>
  <c r="M62" i="3"/>
  <c r="AJ97" i="3"/>
  <c r="AQ86" i="3"/>
  <c r="J96" i="3"/>
  <c r="AJ62" i="3"/>
  <c r="H70" i="3"/>
  <c r="AJ57" i="3"/>
  <c r="V86" i="3"/>
  <c r="K77" i="3"/>
  <c r="P73" i="3"/>
  <c r="P75" i="3"/>
  <c r="L67" i="3"/>
  <c r="R48" i="3"/>
  <c r="W72" i="3"/>
  <c r="AC47" i="3"/>
  <c r="I59" i="3"/>
  <c r="AK97" i="3"/>
  <c r="AQ93" i="3"/>
  <c r="S84" i="3"/>
  <c r="AM90" i="3"/>
  <c r="U76" i="3"/>
  <c r="H95" i="3"/>
  <c r="AL79" i="3"/>
  <c r="AE79" i="3"/>
  <c r="P61" i="3"/>
  <c r="P88" i="3"/>
  <c r="AE67" i="3"/>
  <c r="U84" i="3"/>
  <c r="U91" i="3"/>
  <c r="K59" i="3"/>
  <c r="AI89" i="3"/>
  <c r="V83" i="3"/>
  <c r="M71" i="3"/>
  <c r="V92" i="3"/>
  <c r="Q47" i="3"/>
  <c r="AG76" i="3"/>
  <c r="Z96" i="3"/>
  <c r="P72" i="3"/>
  <c r="AE76" i="3"/>
  <c r="Q50" i="3"/>
  <c r="L59" i="3"/>
  <c r="W59" i="3"/>
  <c r="I80" i="3"/>
  <c r="S69" i="3"/>
  <c r="X89" i="3"/>
  <c r="AJ59" i="3"/>
  <c r="H92" i="3"/>
  <c r="V87" i="3"/>
  <c r="H47" i="3"/>
  <c r="K54" i="3"/>
  <c r="J90" i="3"/>
  <c r="U69" i="3"/>
  <c r="AE90" i="3"/>
  <c r="N89" i="3"/>
  <c r="AN90" i="3"/>
  <c r="AH71" i="3"/>
  <c r="AN62" i="3"/>
  <c r="P62" i="3"/>
  <c r="AM96" i="3"/>
  <c r="AL94" i="3"/>
  <c r="P66" i="3"/>
  <c r="AJ82" i="3"/>
  <c r="AK56" i="3"/>
  <c r="J48" i="3"/>
  <c r="R84" i="3"/>
  <c r="AH48" i="3"/>
  <c r="AQ81" i="3"/>
  <c r="AI83" i="3"/>
  <c r="U83" i="3"/>
  <c r="L76" i="3"/>
  <c r="AH90" i="3"/>
  <c r="Z93" i="3"/>
  <c r="U74" i="3"/>
  <c r="Z55" i="3"/>
  <c r="J94" i="3"/>
  <c r="L92" i="3"/>
  <c r="AA97" i="3"/>
  <c r="I75" i="3"/>
  <c r="AN70" i="3"/>
  <c r="Q63" i="3"/>
  <c r="L91" i="3"/>
  <c r="AO91" i="3"/>
  <c r="AN92" i="3"/>
  <c r="Y55" i="3"/>
  <c r="AJ96" i="3"/>
  <c r="W90" i="3"/>
  <c r="O50" i="3"/>
  <c r="AE59" i="3"/>
  <c r="H54" i="3"/>
  <c r="AK83" i="3"/>
  <c r="Q82" i="3"/>
  <c r="AM58" i="3"/>
  <c r="Y77" i="3"/>
  <c r="AA64" i="3"/>
  <c r="X84" i="3"/>
  <c r="AE87" i="3"/>
  <c r="I89" i="3"/>
  <c r="O73" i="3"/>
  <c r="K87" i="3"/>
  <c r="W77" i="3"/>
  <c r="Z94" i="3"/>
  <c r="AM63" i="3"/>
  <c r="R91" i="3"/>
  <c r="S74" i="3"/>
  <c r="AA77" i="3"/>
  <c r="R57" i="3"/>
  <c r="Q85" i="3"/>
  <c r="O72" i="3"/>
  <c r="Q91" i="3"/>
  <c r="O54" i="3"/>
  <c r="U97" i="3"/>
  <c r="AG78" i="3"/>
  <c r="AJ94" i="3"/>
  <c r="U86" i="3"/>
  <c r="AE91" i="3"/>
  <c r="K66" i="3"/>
  <c r="T85" i="3"/>
  <c r="AH47" i="3"/>
  <c r="U77" i="3"/>
  <c r="Q69" i="3"/>
  <c r="R85" i="3"/>
  <c r="AQ54" i="3"/>
  <c r="I85" i="3"/>
  <c r="V81" i="3"/>
  <c r="AQ78" i="3"/>
  <c r="N75" i="3"/>
  <c r="AM86" i="3"/>
  <c r="AH67" i="3"/>
  <c r="X87" i="3"/>
  <c r="R69" i="3"/>
  <c r="N90" i="3"/>
  <c r="L93" i="3"/>
  <c r="S97" i="3"/>
  <c r="H57" i="3"/>
  <c r="AN97" i="3"/>
  <c r="N58" i="3"/>
  <c r="AQ64" i="3"/>
  <c r="M50" i="3"/>
  <c r="M70" i="3"/>
  <c r="X83" i="3"/>
  <c r="AL70" i="3"/>
  <c r="AC54" i="3"/>
  <c r="AG88" i="3"/>
  <c r="AM70" i="3"/>
  <c r="J63" i="3"/>
  <c r="N79" i="3"/>
  <c r="K64" i="3"/>
  <c r="M60" i="3"/>
  <c r="AH77" i="3"/>
  <c r="Z82" i="3"/>
  <c r="Y79" i="3"/>
  <c r="AK49" i="3"/>
  <c r="V77" i="3"/>
  <c r="V57" i="3"/>
  <c r="X60" i="3"/>
  <c r="AA93" i="3"/>
  <c r="K56" i="3"/>
  <c r="H48" i="3"/>
  <c r="AK55" i="3"/>
  <c r="P59" i="3"/>
  <c r="AI67" i="3"/>
  <c r="U64" i="3"/>
  <c r="AI78" i="3"/>
  <c r="K69" i="3"/>
  <c r="X96" i="3"/>
  <c r="Q74" i="3"/>
  <c r="L88" i="3"/>
  <c r="N66" i="3"/>
  <c r="O94" i="3"/>
  <c r="T55" i="3"/>
  <c r="AJ87" i="3"/>
  <c r="AM82" i="3"/>
  <c r="AC59" i="3"/>
  <c r="H64" i="3"/>
  <c r="AE94" i="3"/>
  <c r="T67" i="3"/>
  <c r="T90" i="3"/>
  <c r="Y95" i="3"/>
  <c r="AM57" i="3"/>
  <c r="AQ60" i="3"/>
  <c r="X93" i="3"/>
  <c r="O78" i="3"/>
  <c r="L50" i="3"/>
  <c r="T50" i="3"/>
  <c r="AI84" i="3"/>
  <c r="N71" i="3"/>
  <c r="Z64" i="3"/>
  <c r="AK93" i="3"/>
  <c r="H84" i="3"/>
  <c r="AO62" i="3"/>
  <c r="H76" i="3"/>
  <c r="W56" i="3"/>
  <c r="P69" i="3"/>
  <c r="X80" i="3"/>
  <c r="AC75" i="3"/>
  <c r="AJ66" i="3"/>
  <c r="Q97" i="3"/>
  <c r="AI75" i="3"/>
  <c r="X63" i="3"/>
  <c r="Y94" i="3"/>
  <c r="AJ74" i="3"/>
  <c r="O57" i="3"/>
  <c r="Z97" i="3"/>
  <c r="Z72" i="3"/>
  <c r="J70" i="3"/>
  <c r="AN89" i="3"/>
  <c r="AI58" i="3"/>
  <c r="K79" i="3"/>
  <c r="AG58" i="3"/>
  <c r="AQ97" i="3"/>
  <c r="H80" i="3"/>
  <c r="R55" i="3"/>
  <c r="AJ79" i="3"/>
  <c r="AM62" i="3"/>
  <c r="AH61" i="3"/>
  <c r="AN84" i="3"/>
  <c r="AN66" i="3"/>
  <c r="Z73" i="3"/>
  <c r="AC73" i="3"/>
  <c r="W85" i="3"/>
  <c r="M93" i="3"/>
  <c r="R82" i="3"/>
  <c r="AK86" i="3"/>
  <c r="X70" i="3"/>
  <c r="Q81" i="3"/>
  <c r="T69" i="3"/>
  <c r="M74" i="3"/>
  <c r="AL90" i="3"/>
  <c r="L70" i="3"/>
  <c r="AM50" i="3"/>
  <c r="T91" i="3"/>
  <c r="AK66" i="3"/>
  <c r="AM83" i="3"/>
  <c r="R62" i="3"/>
  <c r="AC74" i="3"/>
  <c r="I60" i="3"/>
  <c r="U89" i="3"/>
  <c r="AL76" i="3"/>
  <c r="H63" i="3"/>
  <c r="AI48" i="3"/>
  <c r="AN54" i="3"/>
  <c r="S86" i="3"/>
  <c r="AM97" i="3"/>
  <c r="K81" i="3"/>
  <c r="T79" i="3"/>
  <c r="H88" i="3"/>
  <c r="AK54" i="3"/>
  <c r="AQ59" i="3"/>
  <c r="AE82" i="3"/>
  <c r="Q67" i="3"/>
  <c r="AL92" i="3"/>
  <c r="L78" i="3"/>
  <c r="AK88" i="3"/>
  <c r="AC77" i="3"/>
  <c r="AA63" i="3"/>
  <c r="T86" i="3"/>
  <c r="U82" i="3"/>
  <c r="P49" i="3"/>
  <c r="AH92" i="3"/>
  <c r="I55" i="3"/>
  <c r="AA78" i="3"/>
  <c r="N76" i="3"/>
  <c r="K94" i="3"/>
  <c r="N50" i="3"/>
  <c r="AG49" i="3"/>
  <c r="Z48" i="3"/>
  <c r="L69" i="3"/>
  <c r="O62" i="3"/>
  <c r="I81" i="3"/>
  <c r="AL85" i="3"/>
  <c r="AE74" i="3"/>
  <c r="AG75" i="3"/>
  <c r="S68" i="3"/>
  <c r="AE48" i="3"/>
  <c r="AK71" i="3"/>
  <c r="K90" i="3"/>
  <c r="K83" i="3"/>
  <c r="M77" i="3"/>
  <c r="Z79" i="3"/>
  <c r="R88" i="3"/>
  <c r="R50" i="3"/>
  <c r="Y81" i="3"/>
  <c r="J74" i="3"/>
  <c r="K70" i="3"/>
  <c r="H85" i="3"/>
  <c r="X56" i="3"/>
  <c r="X86" i="3"/>
  <c r="H67" i="3"/>
  <c r="H55" i="3"/>
  <c r="H77" i="3"/>
  <c r="I66" i="3"/>
  <c r="AC67" i="3"/>
  <c r="R66" i="3"/>
  <c r="AQ63" i="3"/>
  <c r="Q87" i="3"/>
  <c r="M81" i="3"/>
  <c r="O66" i="3"/>
  <c r="M48" i="3"/>
  <c r="K89" i="3"/>
  <c r="H69" i="3"/>
  <c r="Y47" i="3"/>
  <c r="K55" i="3"/>
  <c r="L82" i="3"/>
  <c r="AK89" i="3"/>
  <c r="AC86" i="3"/>
  <c r="AI87" i="3"/>
  <c r="O86" i="3"/>
  <c r="AO68" i="3"/>
  <c r="AG95" i="3"/>
  <c r="AK68" i="3"/>
  <c r="AA59" i="3"/>
  <c r="R47" i="3"/>
  <c r="AH73" i="3"/>
  <c r="O48" i="3"/>
  <c r="AG90" i="3"/>
  <c r="AQ92" i="3"/>
  <c r="AI96" i="3"/>
  <c r="AH84" i="3"/>
  <c r="Q58" i="3"/>
  <c r="W48" i="3"/>
  <c r="J69" i="3"/>
  <c r="T84" i="3"/>
  <c r="AE47" i="3"/>
  <c r="AN83" i="3"/>
  <c r="AN58" i="3"/>
  <c r="L60" i="3"/>
  <c r="AC48" i="3"/>
  <c r="AL69" i="3"/>
  <c r="W47" i="3"/>
  <c r="AA55" i="3"/>
  <c r="K75" i="3"/>
  <c r="AN63" i="3"/>
  <c r="AA72" i="3"/>
  <c r="P54" i="3"/>
  <c r="M82" i="3"/>
  <c r="AI70" i="3"/>
  <c r="AG67" i="3"/>
  <c r="AQ80" i="3"/>
  <c r="AM69" i="3"/>
  <c r="P76" i="3"/>
  <c r="AG59" i="3"/>
  <c r="H90" i="3"/>
  <c r="P85" i="3"/>
  <c r="AM47" i="3"/>
  <c r="AO66" i="3"/>
  <c r="U47" i="3"/>
  <c r="AA80" i="3"/>
  <c r="AK61" i="3"/>
  <c r="M83" i="3"/>
  <c r="AQ79" i="3"/>
  <c r="AQ65" i="3"/>
  <c r="J93" i="3"/>
  <c r="AI91" i="3"/>
  <c r="AE63" i="3"/>
  <c r="R77" i="3"/>
  <c r="AG81" i="3"/>
  <c r="X79" i="3"/>
  <c r="AG87" i="3"/>
  <c r="AM85" i="3"/>
  <c r="R60" i="3"/>
  <c r="X69" i="3"/>
  <c r="Y75" i="3"/>
  <c r="M65" i="3"/>
  <c r="AG63" i="3"/>
  <c r="S90" i="3"/>
  <c r="AL75" i="3"/>
  <c r="AK77" i="3"/>
  <c r="Z80" i="3"/>
  <c r="AQ87" i="3"/>
  <c r="S80" i="3"/>
  <c r="L48" i="3"/>
  <c r="AG96" i="3"/>
  <c r="S67" i="3"/>
  <c r="AK78" i="3"/>
  <c r="S92" i="3"/>
  <c r="AC80" i="3"/>
  <c r="AA90" i="3"/>
  <c r="AM94" i="3"/>
  <c r="V62" i="3"/>
  <c r="S62" i="3"/>
  <c r="V76" i="3"/>
  <c r="L49" i="3"/>
  <c r="AC91" i="3"/>
  <c r="AI62" i="3"/>
  <c r="I91" i="3"/>
  <c r="O92" i="3"/>
  <c r="AJ90" i="3"/>
  <c r="AJ68" i="3"/>
  <c r="AH49" i="3"/>
  <c r="H89" i="3"/>
  <c r="AC72" i="3"/>
  <c r="AM56" i="3"/>
  <c r="I61" i="3"/>
  <c r="J78" i="3"/>
  <c r="T92" i="3"/>
  <c r="V63" i="3"/>
  <c r="J61" i="3"/>
  <c r="P48" i="3"/>
  <c r="AL48" i="3"/>
  <c r="H68" i="3"/>
  <c r="M87" i="3"/>
  <c r="AN86" i="3"/>
  <c r="K74" i="3"/>
  <c r="AQ90" i="3"/>
  <c r="AJ88" i="3"/>
  <c r="I71" i="3"/>
  <c r="AK92" i="3"/>
  <c r="AM68" i="3"/>
  <c r="AL87" i="3"/>
  <c r="AA62" i="3"/>
  <c r="I58" i="3"/>
  <c r="AK67" i="3"/>
  <c r="T68" i="3"/>
  <c r="Q56" i="3"/>
  <c r="AL72" i="3"/>
  <c r="AC89" i="3"/>
  <c r="O76" i="3"/>
  <c r="U71" i="3"/>
  <c r="AC82" i="3"/>
  <c r="K48" i="3"/>
  <c r="L79" i="3"/>
  <c r="AK65" i="3"/>
  <c r="AH82" i="3"/>
  <c r="AM65" i="3"/>
  <c r="AI94" i="3"/>
  <c r="AG94" i="3"/>
  <c r="V75" i="3"/>
  <c r="S60" i="3"/>
  <c r="N80" i="3"/>
  <c r="AK70" i="3"/>
  <c r="J87" i="3"/>
  <c r="W71" i="3"/>
  <c r="AE83" i="3"/>
  <c r="AO90" i="3"/>
  <c r="L87" i="3"/>
  <c r="P82" i="3"/>
  <c r="AO61" i="3"/>
  <c r="T83" i="3"/>
  <c r="Q79" i="3"/>
  <c r="AG72" i="3"/>
  <c r="S64" i="3"/>
  <c r="M73" i="3"/>
  <c r="AG65" i="3"/>
  <c r="AA96" i="3"/>
  <c r="P81" i="3"/>
  <c r="AQ50" i="3"/>
  <c r="I86" i="3"/>
  <c r="AA61" i="3"/>
  <c r="J67" i="3"/>
  <c r="AQ77" i="3"/>
  <c r="AN93" i="3"/>
  <c r="Q86" i="3"/>
  <c r="AM81" i="3"/>
  <c r="I49" i="3"/>
  <c r="AH56" i="3"/>
  <c r="AI69" i="3"/>
  <c r="V66" i="3"/>
  <c r="W76" i="3"/>
  <c r="AI68" i="3"/>
  <c r="AN75" i="3"/>
  <c r="AL68" i="3"/>
  <c r="AI63" i="3"/>
  <c r="J77" i="3"/>
  <c r="AL47" i="3"/>
  <c r="AM74" i="3"/>
  <c r="AG80" i="3"/>
  <c r="AO67" i="3"/>
  <c r="H49" i="3"/>
  <c r="L86" i="3"/>
  <c r="Z61" i="3"/>
  <c r="M85" i="3"/>
  <c r="W49" i="3"/>
  <c r="S54" i="3"/>
  <c r="U59" i="3"/>
  <c r="AG92" i="3"/>
  <c r="O65" i="3"/>
  <c r="L72" i="3"/>
  <c r="N77" i="3"/>
  <c r="T66" i="3"/>
  <c r="AK74" i="3"/>
  <c r="AE58" i="3"/>
  <c r="K93" i="3"/>
  <c r="AA60" i="3"/>
  <c r="J72" i="3"/>
  <c r="AL60" i="3"/>
  <c r="X48" i="3"/>
  <c r="L94" i="3"/>
  <c r="I54" i="3"/>
  <c r="AA76" i="3"/>
  <c r="AG68" i="3"/>
  <c r="AJ58" i="3"/>
  <c r="J62" i="3"/>
  <c r="AC68" i="3"/>
  <c r="Q84" i="3"/>
  <c r="M86" i="3"/>
  <c r="Z76" i="3"/>
  <c r="AN96" i="3"/>
  <c r="Q61" i="3"/>
  <c r="M47" i="3"/>
  <c r="Y62" i="3"/>
  <c r="T70" i="3"/>
  <c r="Q77" i="3"/>
  <c r="Y65" i="3"/>
  <c r="AJ86" i="3"/>
  <c r="AE86" i="3"/>
  <c r="N60" i="3"/>
  <c r="AA85" i="3"/>
  <c r="J85" i="3"/>
  <c r="V79" i="3"/>
  <c r="AO71" i="3"/>
  <c r="R74" i="3"/>
  <c r="Q68" i="3"/>
  <c r="AH96" i="3"/>
  <c r="O47" i="3"/>
  <c r="AA87" i="3"/>
  <c r="S85" i="3"/>
  <c r="O63" i="3"/>
  <c r="AI88" i="3"/>
  <c r="S65" i="3"/>
  <c r="AE56" i="3"/>
  <c r="AJ61" i="3"/>
  <c r="K80" i="3"/>
  <c r="M69" i="3"/>
  <c r="Y63" i="3"/>
  <c r="T75" i="3"/>
  <c r="R78" i="3"/>
  <c r="Z68" i="3"/>
  <c r="N64" i="3"/>
  <c r="AL66" i="3"/>
  <c r="H81" i="3"/>
  <c r="AK48" i="3"/>
  <c r="T54" i="3"/>
  <c r="AK80" i="3"/>
  <c r="Q60" i="3"/>
  <c r="V64" i="3"/>
  <c r="W80" i="3"/>
  <c r="H65" i="3"/>
  <c r="H50" i="3"/>
  <c r="Y93" i="3"/>
  <c r="Y92" i="3"/>
  <c r="AO73" i="3"/>
  <c r="AH74" i="3"/>
  <c r="U79" i="3"/>
  <c r="N92" i="3"/>
  <c r="W97" i="3"/>
  <c r="AE97" i="3"/>
  <c r="Q57" i="3"/>
  <c r="U65" i="3"/>
  <c r="X88" i="3"/>
  <c r="AK81" i="3"/>
  <c r="AL77" i="3"/>
  <c r="AN91" i="3"/>
  <c r="L57" i="3"/>
  <c r="AA70" i="3"/>
  <c r="J86" i="3"/>
  <c r="M67" i="3"/>
  <c r="AJ85" i="3"/>
  <c r="Q48" i="3"/>
  <c r="H66" i="3"/>
  <c r="AO74" i="3"/>
  <c r="W70" i="3"/>
  <c r="Z83" i="3"/>
  <c r="AQ83" i="3"/>
  <c r="W88" i="3"/>
  <c r="X71" i="3"/>
  <c r="AI65" i="3"/>
  <c r="U63" i="3"/>
  <c r="AI93" i="3"/>
  <c r="Z78" i="3"/>
  <c r="O49" i="3"/>
  <c r="AK90" i="3"/>
  <c r="P92" i="3"/>
  <c r="AQ47" i="3"/>
  <c r="AN65" i="3"/>
  <c r="K67" i="3"/>
  <c r="AQ49" i="3"/>
  <c r="AM84" i="3"/>
  <c r="H75" i="3"/>
  <c r="AO97" i="3"/>
  <c r="W78" i="3"/>
  <c r="I92" i="3"/>
  <c r="H87" i="3"/>
  <c r="U73" i="3"/>
  <c r="I95" i="3"/>
  <c r="AK91" i="3"/>
  <c r="I70" i="3"/>
  <c r="L80" i="3"/>
  <c r="Z77" i="3"/>
  <c r="V68" i="3"/>
  <c r="AN59" i="3"/>
  <c r="AH58" i="3"/>
  <c r="V59" i="3"/>
  <c r="L68" i="3"/>
  <c r="Z67" i="3"/>
  <c r="U55" i="3"/>
  <c r="R68" i="3"/>
  <c r="T71" i="3"/>
  <c r="AQ62" i="3"/>
  <c r="R75" i="3"/>
  <c r="V89" i="3"/>
  <c r="Q88" i="3"/>
  <c r="I94" i="3"/>
  <c r="O75" i="3"/>
  <c r="AQ71" i="3"/>
  <c r="AN68" i="3"/>
  <c r="P97" i="3"/>
  <c r="T63" i="3"/>
  <c r="J97" i="3"/>
  <c r="AG73" i="3"/>
  <c r="J56" i="3"/>
  <c r="I77" i="3"/>
  <c r="V96" i="3"/>
  <c r="AQ76" i="3"/>
  <c r="AM48" i="3"/>
  <c r="N62" i="3"/>
  <c r="AA86" i="3"/>
  <c r="U90" i="3"/>
  <c r="L85" i="3"/>
  <c r="Y86" i="3"/>
  <c r="AH75" i="3"/>
  <c r="Z70" i="3"/>
  <c r="U60" i="3"/>
  <c r="U85" i="3"/>
  <c r="P80" i="3"/>
  <c r="AC85" i="3"/>
  <c r="V88" i="3"/>
  <c r="AH83" i="3"/>
  <c r="L73" i="3"/>
  <c r="L81" i="3"/>
  <c r="I88" i="3"/>
  <c r="AO77" i="3"/>
  <c r="O69" i="3"/>
  <c r="L96" i="3"/>
  <c r="AA69" i="3"/>
  <c r="AH78" i="3"/>
  <c r="Y83" i="3"/>
  <c r="AC84" i="3"/>
  <c r="AE62" i="3"/>
  <c r="AL71" i="3"/>
  <c r="K58" i="3"/>
  <c r="AM66" i="3"/>
  <c r="P63" i="3"/>
  <c r="J59" i="3"/>
  <c r="AL93" i="3"/>
  <c r="L64" i="3"/>
  <c r="T65" i="3"/>
  <c r="AE65" i="3"/>
  <c r="O59" i="3"/>
  <c r="AH68" i="3"/>
  <c r="M89" i="3"/>
  <c r="X91" i="3"/>
  <c r="U96" i="3"/>
  <c r="M72" i="3"/>
  <c r="J55" i="3"/>
  <c r="O77" i="3"/>
  <c r="H58" i="3"/>
  <c r="S87" i="3"/>
  <c r="I48" i="3"/>
  <c r="AI97" i="3"/>
  <c r="AO82" i="3"/>
  <c r="Y87" i="3"/>
  <c r="J80" i="3"/>
  <c r="AL89" i="3"/>
  <c r="AO49" i="3"/>
  <c r="S58" i="3"/>
  <c r="J60" i="3"/>
  <c r="AH70" i="3"/>
  <c r="AJ48" i="3"/>
  <c r="M94" i="3"/>
  <c r="W96" i="3"/>
  <c r="O71" i="3"/>
  <c r="AC69" i="3"/>
  <c r="AA91" i="3"/>
  <c r="AJ76" i="3"/>
  <c r="J73" i="3"/>
  <c r="L84" i="3"/>
  <c r="Z54" i="3"/>
  <c r="O95" i="3"/>
  <c r="J66" i="3"/>
  <c r="U66" i="3"/>
  <c r="H79" i="3"/>
  <c r="O84" i="3"/>
  <c r="S59" i="3"/>
  <c r="V71" i="3"/>
  <c r="AJ55" i="3"/>
  <c r="P67" i="3"/>
  <c r="I74" i="3"/>
  <c r="K78" i="3"/>
  <c r="N96" i="3"/>
  <c r="Y56" i="3"/>
  <c r="N93" i="3"/>
  <c r="AG84" i="3"/>
  <c r="AL57" i="3"/>
  <c r="V84" i="3"/>
  <c r="AC97" i="3"/>
  <c r="AE70" i="3"/>
  <c r="H86" i="3"/>
  <c r="L97" i="3"/>
  <c r="P94" i="3"/>
  <c r="S82" i="3"/>
  <c r="AA82" i="3"/>
  <c r="AQ75" i="3"/>
  <c r="AE81" i="3"/>
  <c r="V56" i="3"/>
  <c r="AO48" i="3"/>
  <c r="U61" i="3"/>
  <c r="H61" i="3"/>
  <c r="W68" i="3"/>
  <c r="R76" i="3"/>
  <c r="R96" i="3"/>
  <c r="AC60" i="3"/>
  <c r="AG77" i="3"/>
  <c r="AN47" i="3"/>
  <c r="AE64" i="3"/>
  <c r="AO96" i="3"/>
  <c r="AK57" i="3"/>
  <c r="S57" i="3"/>
  <c r="L89" i="3"/>
  <c r="R87" i="3"/>
  <c r="I50" i="3"/>
  <c r="M80" i="3"/>
  <c r="AN79" i="3"/>
  <c r="AC61" i="3"/>
  <c r="AN50" i="3"/>
  <c r="P71" i="3"/>
  <c r="J91" i="3"/>
  <c r="W86" i="3"/>
  <c r="R93" i="3"/>
  <c r="K60" i="3"/>
  <c r="AE89" i="3"/>
  <c r="J57" i="3"/>
  <c r="O61" i="3"/>
  <c r="AI59" i="3"/>
  <c r="AL55" i="3"/>
  <c r="P86" i="3"/>
  <c r="W60" i="3"/>
  <c r="P74" i="3"/>
  <c r="AN87" i="3"/>
  <c r="J84" i="3"/>
  <c r="H82" i="3"/>
  <c r="O81" i="3"/>
  <c r="W93" i="3"/>
  <c r="Q73" i="3"/>
  <c r="X64" i="3"/>
  <c r="AQ95" i="3"/>
  <c r="Q49" i="3"/>
  <c r="AG79" i="3"/>
  <c r="Z59" i="3"/>
  <c r="N59" i="3"/>
  <c r="K84" i="3"/>
  <c r="L58" i="3"/>
  <c r="AG71" i="3"/>
  <c r="AH63" i="3"/>
  <c r="AH79" i="3"/>
  <c r="AI73" i="3"/>
  <c r="AN73" i="3"/>
  <c r="AL49" i="3"/>
  <c r="AC66" i="3"/>
  <c r="T89" i="3"/>
  <c r="AM49" i="3"/>
  <c r="AL58" i="3"/>
  <c r="AC96" i="3"/>
  <c r="AQ69" i="3"/>
  <c r="V72" i="3"/>
  <c r="AK75" i="3"/>
  <c r="AO78" i="3"/>
  <c r="AK47" i="3"/>
  <c r="K97" i="3"/>
  <c r="AO80" i="3"/>
  <c r="AL74" i="3"/>
  <c r="J64" i="3"/>
  <c r="M97" i="3"/>
  <c r="V70" i="3"/>
  <c r="AK84" i="3"/>
  <c r="Z57" i="3"/>
  <c r="R63" i="3"/>
  <c r="W55" i="3"/>
  <c r="AO86" i="3"/>
  <c r="S61" i="3"/>
  <c r="V67" i="3"/>
  <c r="O64" i="3"/>
  <c r="K88" i="3"/>
  <c r="K71" i="3"/>
  <c r="AE84" i="3"/>
  <c r="Z58" i="3"/>
  <c r="AO58" i="3"/>
  <c r="Y64" i="3"/>
  <c r="U94" i="3"/>
  <c r="P58" i="3"/>
  <c r="AK85" i="3"/>
  <c r="T58" i="3"/>
  <c r="AI56" i="3"/>
  <c r="M76" i="3"/>
  <c r="P47" i="3"/>
  <c r="AE49" i="3"/>
  <c r="U67" i="3"/>
  <c r="Z86" i="3"/>
  <c r="H74" i="3"/>
  <c r="AQ48" i="3"/>
  <c r="Z47" i="3"/>
  <c r="R86" i="3"/>
  <c r="R90" i="3"/>
  <c r="Y82" i="3"/>
  <c r="AC78" i="3"/>
  <c r="AO83" i="3"/>
  <c r="L65" i="3"/>
  <c r="V49" i="3"/>
  <c r="AL86" i="3"/>
  <c r="K47" i="3"/>
  <c r="M54" i="3"/>
  <c r="AG62" i="3"/>
  <c r="S55" i="3"/>
  <c r="N87" i="3"/>
  <c r="N88" i="3"/>
  <c r="S77" i="3"/>
  <c r="P90" i="3"/>
  <c r="N69" i="3"/>
  <c r="W66" i="3"/>
  <c r="AG50" i="3"/>
  <c r="AN64" i="3"/>
  <c r="M56" i="3"/>
  <c r="T77" i="3"/>
  <c r="I82" i="3"/>
  <c r="AH86" i="3"/>
  <c r="AQ94" i="3"/>
  <c r="M61" i="3"/>
  <c r="Y89" i="3"/>
  <c r="O55" i="3"/>
  <c r="T78" i="3"/>
  <c r="AI80" i="3"/>
  <c r="AK76" i="3"/>
  <c r="AJ75" i="3"/>
  <c r="V97" i="3"/>
  <c r="J83" i="3"/>
  <c r="H72" i="3"/>
  <c r="AC94" i="3"/>
  <c r="AJ71" i="3"/>
  <c r="AQ67" i="3"/>
  <c r="O68" i="3"/>
  <c r="U62" i="3"/>
  <c r="AJ73" i="3"/>
  <c r="AH94" i="3"/>
  <c r="Z60" i="3"/>
  <c r="V48" i="3"/>
  <c r="T56" i="3"/>
  <c r="Y78" i="3"/>
  <c r="U81" i="3"/>
  <c r="J65" i="3"/>
  <c r="S89" i="3"/>
  <c r="H94" i="3"/>
  <c r="M95" i="3"/>
  <c r="S73" i="3"/>
  <c r="AA88" i="3"/>
  <c r="AE68" i="3"/>
  <c r="AM88" i="3"/>
  <c r="AO84" i="3"/>
  <c r="AJ67" i="3"/>
  <c r="AL61" i="3"/>
  <c r="AQ58" i="3"/>
  <c r="O83" i="3"/>
  <c r="N91" i="3"/>
  <c r="AJ50" i="3"/>
  <c r="AI49" i="3"/>
  <c r="AJ95" i="3"/>
  <c r="AH66" i="3"/>
  <c r="I57" i="3"/>
  <c r="AI57" i="3"/>
  <c r="S95" i="3"/>
  <c r="Y61" i="3"/>
  <c r="Y69" i="3"/>
  <c r="P56" i="3"/>
  <c r="V69" i="3"/>
  <c r="M91" i="3"/>
  <c r="AC76" i="3"/>
  <c r="X81" i="3"/>
  <c r="O74" i="3"/>
  <c r="W74" i="3"/>
  <c r="Y88" i="3"/>
  <c r="AO89" i="3"/>
  <c r="AA48" i="3"/>
  <c r="X50" i="3"/>
  <c r="X61" i="3"/>
  <c r="AI90" i="3"/>
  <c r="W82" i="3"/>
  <c r="AO63" i="3"/>
  <c r="AI77" i="3"/>
  <c r="AQ73" i="3"/>
  <c r="M78" i="3"/>
  <c r="K49" i="3"/>
  <c r="AC56" i="3"/>
  <c r="Y70" i="3"/>
  <c r="Z81" i="3"/>
  <c r="J47" i="3"/>
  <c r="J79" i="3"/>
  <c r="AJ89" i="3"/>
  <c r="T93" i="3"/>
  <c r="AH59" i="3"/>
  <c r="N94" i="3"/>
  <c r="Z92" i="3"/>
  <c r="I64" i="3"/>
  <c r="Y85" i="3"/>
  <c r="AJ63" i="3"/>
  <c r="AG64" i="3"/>
  <c r="R72" i="3"/>
  <c r="AK72" i="3"/>
  <c r="Y57" i="3"/>
  <c r="O80" i="3"/>
  <c r="Y71" i="3"/>
  <c r="Q96" i="3"/>
  <c r="AN74" i="3"/>
  <c r="AO65" i="3"/>
  <c r="T97" i="3"/>
  <c r="AL82" i="3"/>
  <c r="AH95" i="3"/>
  <c r="AL54" i="3"/>
  <c r="R89" i="3"/>
  <c r="AL67" i="3"/>
  <c r="M68" i="3"/>
  <c r="W91" i="3"/>
  <c r="O88" i="3"/>
  <c r="M96" i="3"/>
  <c r="AG61" i="3"/>
  <c r="R80" i="3"/>
  <c r="AI82" i="3"/>
  <c r="T95" i="3"/>
  <c r="Y76" i="3"/>
  <c r="AH80" i="3"/>
  <c r="AI81" i="3"/>
  <c r="V90" i="3"/>
  <c r="AN95" i="3"/>
  <c r="P91" i="3"/>
  <c r="S50" i="3"/>
  <c r="AE77" i="3"/>
  <c r="AN55" i="3"/>
  <c r="W58" i="3"/>
  <c r="X57" i="3"/>
  <c r="O82" i="3"/>
  <c r="AH69" i="3"/>
  <c r="H56" i="3"/>
  <c r="W94" i="3"/>
  <c r="AO72" i="3"/>
  <c r="L95" i="3"/>
  <c r="AO93" i="3"/>
  <c r="AE88" i="3"/>
  <c r="V74" i="3"/>
  <c r="R83" i="3"/>
  <c r="X72" i="3"/>
  <c r="N74" i="3"/>
  <c r="AE55" i="3"/>
  <c r="N82" i="3"/>
  <c r="P70" i="3"/>
  <c r="AL97" i="3"/>
  <c r="Q83" i="3"/>
  <c r="Z90" i="3"/>
  <c r="I83" i="3"/>
  <c r="AI92" i="3"/>
  <c r="AO75" i="3"/>
  <c r="U72" i="3"/>
  <c r="K85" i="3"/>
  <c r="AJ92" i="3"/>
  <c r="X85" i="3"/>
  <c r="AI60" i="3"/>
  <c r="V78" i="3"/>
  <c r="Z87" i="3"/>
  <c r="AJ56" i="3"/>
  <c r="AH97" i="3"/>
  <c r="V80" i="3"/>
  <c r="K68" i="3"/>
  <c r="X66" i="3"/>
  <c r="T80" i="3"/>
  <c r="AK79" i="3"/>
  <c r="H59" i="3"/>
  <c r="T62" i="3"/>
  <c r="AC57" i="3"/>
  <c r="AM64" i="3"/>
  <c r="P89" i="3"/>
  <c r="Z91" i="3"/>
  <c r="W79" i="3"/>
  <c r="S93" i="3"/>
  <c r="AG86" i="3"/>
  <c r="T94" i="3"/>
  <c r="AI72" i="3"/>
  <c r="T74" i="3"/>
  <c r="AH62" i="3"/>
  <c r="O85" i="3"/>
  <c r="Y67" i="3"/>
  <c r="M84" i="3"/>
  <c r="O79" i="3"/>
  <c r="S76" i="3"/>
  <c r="AM77" i="3"/>
  <c r="AA84" i="3"/>
  <c r="BA246" i="1" l="1"/>
  <c r="BA12" i="1"/>
  <c r="BP246" i="1"/>
  <c r="BP12" i="1"/>
  <c r="BS246" i="1"/>
  <c r="BS12" i="1"/>
  <c r="BE246" i="1"/>
  <c r="BE12" i="1"/>
  <c r="BI246" i="1"/>
  <c r="BI12" i="1"/>
  <c r="BV246" i="1"/>
  <c r="BV12" i="1"/>
  <c r="BC246" i="1"/>
  <c r="BC12" i="1"/>
  <c r="BU246" i="1"/>
  <c r="BU12" i="1"/>
  <c r="BR246" i="1"/>
  <c r="BR12" i="1"/>
  <c r="BH246" i="1"/>
  <c r="BH12" i="1"/>
  <c r="F149" i="1"/>
  <c r="F153" i="1" s="1"/>
  <c r="R149" i="1"/>
  <c r="R48" i="1" s="1"/>
  <c r="D135" i="1"/>
  <c r="Q217" i="1"/>
  <c r="I176" i="1"/>
  <c r="J224" i="1" s="1"/>
  <c r="O135" i="1"/>
  <c r="T217" i="1"/>
  <c r="L135" i="1"/>
  <c r="N135" i="1"/>
  <c r="O222" i="1" s="1"/>
  <c r="D143" i="1"/>
  <c r="D52" i="1" s="1"/>
  <c r="C135" i="1"/>
  <c r="C69" i="1" s="1"/>
  <c r="N176" i="1"/>
  <c r="O224" i="1" s="1"/>
  <c r="U176" i="1"/>
  <c r="I163" i="1"/>
  <c r="I197" i="1" s="1"/>
  <c r="I196" i="1" s="1"/>
  <c r="O176" i="1"/>
  <c r="C143" i="1"/>
  <c r="U195" i="1"/>
  <c r="U163" i="1"/>
  <c r="U197" i="1" s="1"/>
  <c r="E135" i="1"/>
  <c r="B80" i="1"/>
  <c r="S217" i="1"/>
  <c r="N149" i="1"/>
  <c r="M135" i="1"/>
  <c r="F143" i="1"/>
  <c r="F52" i="1" s="1"/>
  <c r="L149" i="1"/>
  <c r="V176" i="1"/>
  <c r="W224" i="1" s="1"/>
  <c r="C217" i="1"/>
  <c r="V217" i="1"/>
  <c r="M176" i="1"/>
  <c r="S188" i="1"/>
  <c r="T176" i="1"/>
  <c r="B188" i="1"/>
  <c r="C149" i="1"/>
  <c r="Q188" i="1"/>
  <c r="H135" i="1"/>
  <c r="S176" i="1"/>
  <c r="T224" i="1" s="1"/>
  <c r="R143" i="1"/>
  <c r="R52" i="1" s="1"/>
  <c r="V143" i="1"/>
  <c r="S163" i="1"/>
  <c r="T135" i="1"/>
  <c r="H188" i="1"/>
  <c r="C188" i="1"/>
  <c r="I135" i="1"/>
  <c r="J149" i="1"/>
  <c r="M163" i="1"/>
  <c r="M197" i="1" s="1"/>
  <c r="M196" i="1" s="1"/>
  <c r="U149" i="1"/>
  <c r="B171" i="1"/>
  <c r="B200" i="1" s="1"/>
  <c r="B199" i="1" s="1"/>
  <c r="S149" i="1"/>
  <c r="B149" i="1"/>
  <c r="K217" i="1"/>
  <c r="H176" i="1"/>
  <c r="C80" i="1"/>
  <c r="S143" i="1"/>
  <c r="S171" i="1"/>
  <c r="C163" i="1"/>
  <c r="K176" i="1"/>
  <c r="D176" i="1"/>
  <c r="F176" i="1"/>
  <c r="M217" i="1"/>
  <c r="F135" i="1"/>
  <c r="T149" i="1"/>
  <c r="T48" i="1" s="1"/>
  <c r="B135" i="1"/>
  <c r="G149" i="1"/>
  <c r="T143" i="1"/>
  <c r="M188" i="1"/>
  <c r="O143" i="1"/>
  <c r="L217" i="1"/>
  <c r="B143" i="1"/>
  <c r="N188" i="1"/>
  <c r="D80" i="1"/>
  <c r="D122" i="1" s="1"/>
  <c r="K163" i="1"/>
  <c r="K143" i="1"/>
  <c r="F163" i="1"/>
  <c r="J176" i="1"/>
  <c r="G135" i="1"/>
  <c r="D188" i="1"/>
  <c r="J143" i="1"/>
  <c r="N217" i="1"/>
  <c r="E188" i="1"/>
  <c r="R217" i="1"/>
  <c r="L163" i="1"/>
  <c r="D217" i="1"/>
  <c r="G163" i="1"/>
  <c r="G197" i="1" s="1"/>
  <c r="G196" i="1" s="1"/>
  <c r="K135" i="1"/>
  <c r="C176" i="1"/>
  <c r="T153" i="1"/>
  <c r="P163" i="1"/>
  <c r="W143" i="1"/>
  <c r="D163" i="1"/>
  <c r="U135" i="1"/>
  <c r="F171" i="1"/>
  <c r="F200" i="1" s="1"/>
  <c r="R163" i="1"/>
  <c r="C171" i="1"/>
  <c r="W188" i="1"/>
  <c r="E217" i="1"/>
  <c r="J163" i="1"/>
  <c r="E149" i="1"/>
  <c r="H171" i="1"/>
  <c r="H200" i="1" s="1"/>
  <c r="H199" i="1" s="1"/>
  <c r="H143" i="1"/>
  <c r="U217" i="1"/>
  <c r="I149" i="1"/>
  <c r="V188" i="1"/>
  <c r="P143" i="1"/>
  <c r="G188" i="1"/>
  <c r="J135" i="1"/>
  <c r="Q176" i="1"/>
  <c r="N171" i="1"/>
  <c r="N200" i="1" s="1"/>
  <c r="N199" i="1" s="1"/>
  <c r="V163" i="1"/>
  <c r="O163" i="1"/>
  <c r="I143" i="1"/>
  <c r="I183" i="1" s="1"/>
  <c r="I124" i="1" s="1"/>
  <c r="O217" i="1"/>
  <c r="D149" i="1"/>
  <c r="G176" i="1"/>
  <c r="Q149" i="1"/>
  <c r="T163" i="1"/>
  <c r="E143" i="1"/>
  <c r="M149" i="1"/>
  <c r="Q135" i="1"/>
  <c r="P188" i="1"/>
  <c r="E163" i="1"/>
  <c r="L188" i="1"/>
  <c r="K188" i="1"/>
  <c r="K149" i="1"/>
  <c r="N143" i="1"/>
  <c r="O188" i="1"/>
  <c r="L143" i="1"/>
  <c r="P135" i="1"/>
  <c r="B163" i="1"/>
  <c r="T188" i="1"/>
  <c r="J188" i="1"/>
  <c r="P149" i="1"/>
  <c r="G143" i="1"/>
  <c r="U143" i="1"/>
  <c r="D171" i="1"/>
  <c r="H217" i="1"/>
  <c r="S135" i="1"/>
  <c r="W149" i="1"/>
  <c r="F188" i="1"/>
  <c r="O149" i="1"/>
  <c r="L176" i="1"/>
  <c r="R176" i="1"/>
  <c r="I188" i="1"/>
  <c r="R135" i="1"/>
  <c r="Q163" i="1"/>
  <c r="V135" i="1"/>
  <c r="Q143" i="1"/>
  <c r="K171" i="1"/>
  <c r="N194" i="1"/>
  <c r="N163" i="1"/>
  <c r="P171" i="1"/>
  <c r="P200" i="1" s="1"/>
  <c r="P199" i="1" s="1"/>
  <c r="T171" i="1"/>
  <c r="J171" i="1"/>
  <c r="E171" i="1"/>
  <c r="G171" i="1"/>
  <c r="O171" i="1"/>
  <c r="U171" i="1"/>
  <c r="L171" i="1"/>
  <c r="H194" i="1"/>
  <c r="H163" i="1"/>
  <c r="R188" i="1"/>
  <c r="J217" i="1"/>
  <c r="I217" i="1"/>
  <c r="U188" i="1"/>
  <c r="G217" i="1"/>
  <c r="F217" i="1"/>
  <c r="X217" i="1"/>
  <c r="W217" i="1"/>
  <c r="M169" i="1"/>
  <c r="M171" i="1" s="1"/>
  <c r="M143" i="1"/>
  <c r="V149" i="1"/>
  <c r="I171" i="1"/>
  <c r="H149" i="1"/>
  <c r="Q171" i="1"/>
  <c r="V171" i="1"/>
  <c r="R171" i="1"/>
  <c r="BH149" i="1"/>
  <c r="BH153" i="1" s="1"/>
  <c r="AX155" i="1"/>
  <c r="AY155" i="1" s="1"/>
  <c r="AZ168" i="1"/>
  <c r="AZ198" i="1" s="1"/>
  <c r="BA198" i="1" s="1"/>
  <c r="BR141" i="1"/>
  <c r="BS141" i="1" s="1"/>
  <c r="AZ169" i="1"/>
  <c r="BA169" i="1" s="1"/>
  <c r="BT146" i="1"/>
  <c r="BP170" i="1"/>
  <c r="BQ170" i="1" s="1"/>
  <c r="BP88" i="1"/>
  <c r="BF140" i="1"/>
  <c r="BG140" i="1" s="1"/>
  <c r="AP161" i="1"/>
  <c r="AQ161" i="1" s="1"/>
  <c r="BI88" i="1"/>
  <c r="AX159" i="1"/>
  <c r="AX194" i="1" s="1"/>
  <c r="BR174" i="1"/>
  <c r="BF89" i="1"/>
  <c r="AZ167" i="1"/>
  <c r="BA167" i="1" s="1"/>
  <c r="BD150" i="1"/>
  <c r="BE150" i="1" s="1"/>
  <c r="AZ132" i="1"/>
  <c r="BA132" i="1" s="1"/>
  <c r="BN179" i="1"/>
  <c r="BO179" i="1" s="1"/>
  <c r="BF162" i="1"/>
  <c r="BG162" i="1" s="1"/>
  <c r="BT166" i="1"/>
  <c r="BU166" i="1" s="1"/>
  <c r="BN134" i="1"/>
  <c r="AX133" i="1"/>
  <c r="AY133" i="1" s="1"/>
  <c r="BW89" i="1"/>
  <c r="BN141" i="1"/>
  <c r="BO141" i="1" s="1"/>
  <c r="AX166" i="1"/>
  <c r="AY166" i="1" s="1"/>
  <c r="AP140" i="1"/>
  <c r="AQ140" i="1" s="1"/>
  <c r="AT146" i="1"/>
  <c r="AZ146" i="1"/>
  <c r="BF169" i="1"/>
  <c r="BG169" i="1" s="1"/>
  <c r="BR142" i="1"/>
  <c r="BS142" i="1" s="1"/>
  <c r="BD162" i="1"/>
  <c r="BE162" i="1" s="1"/>
  <c r="AP158" i="1"/>
  <c r="AQ158" i="1" s="1"/>
  <c r="AV150" i="1"/>
  <c r="AW150" i="1" s="1"/>
  <c r="BB150" i="1"/>
  <c r="BC150" i="1" s="1"/>
  <c r="AN132" i="1"/>
  <c r="AR179" i="1"/>
  <c r="AS179" i="1" s="1"/>
  <c r="AQ88" i="1"/>
  <c r="AT166" i="1"/>
  <c r="AU166" i="1" s="1"/>
  <c r="AX89" i="1"/>
  <c r="BA88" i="1"/>
  <c r="BF166" i="1"/>
  <c r="BG166" i="1" s="1"/>
  <c r="BN137" i="1"/>
  <c r="BO137" i="1" s="1"/>
  <c r="BP142" i="1"/>
  <c r="BQ142" i="1" s="1"/>
  <c r="BF139" i="1"/>
  <c r="BG139" i="1" s="1"/>
  <c r="BF178" i="1"/>
  <c r="BG178" i="1" s="1"/>
  <c r="AZ175" i="1"/>
  <c r="AW88" i="1"/>
  <c r="BP141" i="1"/>
  <c r="BQ141" i="1" s="1"/>
  <c r="BD167" i="1"/>
  <c r="BE167" i="1" s="1"/>
  <c r="BG88" i="1"/>
  <c r="AZ157" i="1"/>
  <c r="BA157" i="1" s="1"/>
  <c r="BD175" i="1"/>
  <c r="BT132" i="1"/>
  <c r="BU132" i="1" s="1"/>
  <c r="BN167" i="1"/>
  <c r="BO167" i="1" s="1"/>
  <c r="BD164" i="1"/>
  <c r="BE164" i="1" s="1"/>
  <c r="BT167" i="1"/>
  <c r="BU167" i="1" s="1"/>
  <c r="BM89" i="1"/>
  <c r="BN142" i="1"/>
  <c r="BO142" i="1" s="1"/>
  <c r="BR147" i="1"/>
  <c r="BP159" i="1"/>
  <c r="BP194" i="1" s="1"/>
  <c r="BQ194" i="1" s="1"/>
  <c r="AT174" i="1"/>
  <c r="BF179" i="1"/>
  <c r="BG179" i="1" s="1"/>
  <c r="AZ150" i="1"/>
  <c r="BA150" i="1" s="1"/>
  <c r="BT161" i="1"/>
  <c r="BU161" i="1" s="1"/>
  <c r="BP139" i="1"/>
  <c r="BQ139" i="1" s="1"/>
  <c r="BP157" i="1"/>
  <c r="BQ157" i="1" s="1"/>
  <c r="BT89" i="1"/>
  <c r="AR158" i="1"/>
  <c r="AS158" i="1" s="1"/>
  <c r="BF133" i="1"/>
  <c r="BG133" i="1" s="1"/>
  <c r="AX88" i="1"/>
  <c r="AX162" i="1"/>
  <c r="AY162" i="1" s="1"/>
  <c r="AX167" i="1"/>
  <c r="AY167" i="1" s="1"/>
  <c r="BB139" i="1"/>
  <c r="BF132" i="1"/>
  <c r="BG132" i="1" s="1"/>
  <c r="AZ162" i="1"/>
  <c r="BA162" i="1" s="1"/>
  <c r="BP146" i="1"/>
  <c r="AV159" i="1"/>
  <c r="AV194" i="1" s="1"/>
  <c r="AW194" i="1" s="1"/>
  <c r="BW88" i="1"/>
  <c r="BN170" i="1"/>
  <c r="BO170" i="1" s="1"/>
  <c r="BR164" i="1"/>
  <c r="BS164" i="1" s="1"/>
  <c r="BP134" i="1"/>
  <c r="BR88" i="1"/>
  <c r="BB89" i="1"/>
  <c r="BD89" i="1"/>
  <c r="AT140" i="1"/>
  <c r="AU140" i="1" s="1"/>
  <c r="BN140" i="1"/>
  <c r="BO140" i="1" s="1"/>
  <c r="BB161" i="1"/>
  <c r="BC161" i="1" s="1"/>
  <c r="BF147" i="1"/>
  <c r="AT137" i="1"/>
  <c r="AU137" i="1" s="1"/>
  <c r="BB147" i="1"/>
  <c r="AN137" i="1"/>
  <c r="AO137" i="1" s="1"/>
  <c r="BB141" i="1"/>
  <c r="BC141" i="1" s="1"/>
  <c r="BP155" i="1"/>
  <c r="BQ155" i="1" s="1"/>
  <c r="AP155" i="1"/>
  <c r="AV155" i="1"/>
  <c r="AV165" i="1"/>
  <c r="AW165" i="1" s="1"/>
  <c r="AN133" i="1"/>
  <c r="AO133" i="1" s="1"/>
  <c r="AN89" i="1"/>
  <c r="BE89" i="1"/>
  <c r="AX137" i="1"/>
  <c r="AY137" i="1" s="1"/>
  <c r="AX175" i="1"/>
  <c r="BB134" i="1"/>
  <c r="AZ160" i="1"/>
  <c r="AZ195" i="1" s="1"/>
  <c r="BA195" i="1" s="1"/>
  <c r="BT159" i="1"/>
  <c r="BT194" i="1" s="1"/>
  <c r="BU194" i="1" s="1"/>
  <c r="AP134" i="1"/>
  <c r="BR166" i="1"/>
  <c r="BS166" i="1" s="1"/>
  <c r="AT148" i="1"/>
  <c r="AX165" i="1"/>
  <c r="AY165" i="1" s="1"/>
  <c r="BN161" i="1"/>
  <c r="BO161" i="1" s="1"/>
  <c r="BN147" i="1"/>
  <c r="AY89" i="1"/>
  <c r="BR159" i="1"/>
  <c r="BR194" i="1" s="1"/>
  <c r="BS194" i="1" s="1"/>
  <c r="BB175" i="1"/>
  <c r="BD146" i="1"/>
  <c r="BT168" i="1"/>
  <c r="BT198" i="1" s="1"/>
  <c r="BU198" i="1" s="1"/>
  <c r="BA89" i="1"/>
  <c r="BR161" i="1"/>
  <c r="BS161" i="1" s="1"/>
  <c r="BB142" i="1"/>
  <c r="BC142" i="1" s="1"/>
  <c r="BP160" i="1"/>
  <c r="BP195" i="1" s="1"/>
  <c r="BQ195" i="1" s="1"/>
  <c r="AT159" i="1"/>
  <c r="AT194" i="1" s="1"/>
  <c r="AU194" i="1" s="1"/>
  <c r="BC88" i="1"/>
  <c r="BD166" i="1"/>
  <c r="BE166" i="1" s="1"/>
  <c r="BR160" i="1"/>
  <c r="BR195" i="1" s="1"/>
  <c r="BS195" i="1" s="1"/>
  <c r="BT174" i="1"/>
  <c r="AV164" i="1"/>
  <c r="AW164" i="1" s="1"/>
  <c r="BN157" i="1"/>
  <c r="BO157" i="1" s="1"/>
  <c r="AZ159" i="1"/>
  <c r="AZ194" i="1" s="1"/>
  <c r="BA194" i="1" s="1"/>
  <c r="AP139" i="1"/>
  <c r="AQ139" i="1" s="1"/>
  <c r="BP132" i="1"/>
  <c r="BQ132" i="1" s="1"/>
  <c r="BD141" i="1"/>
  <c r="BE141" i="1" s="1"/>
  <c r="BP147" i="1"/>
  <c r="AP165" i="1"/>
  <c r="AQ165" i="1" s="1"/>
  <c r="BD179" i="1"/>
  <c r="BE179" i="1" s="1"/>
  <c r="AV174" i="1"/>
  <c r="AV132" i="1"/>
  <c r="AW132" i="1" s="1"/>
  <c r="AR134" i="1"/>
  <c r="AR157" i="1"/>
  <c r="AS157" i="1" s="1"/>
  <c r="AZ155" i="1"/>
  <c r="BA155" i="1" s="1"/>
  <c r="AP178" i="1"/>
  <c r="AQ178" i="1" s="1"/>
  <c r="AP157" i="1"/>
  <c r="AN152" i="1"/>
  <c r="AO152" i="1" s="1"/>
  <c r="AV140" i="1"/>
  <c r="AW140" i="1" s="1"/>
  <c r="AV141" i="1"/>
  <c r="AW141" i="1" s="1"/>
  <c r="AR169" i="1"/>
  <c r="AS169" i="1" s="1"/>
  <c r="AV148" i="1"/>
  <c r="AR133" i="1"/>
  <c r="AS133" i="1" s="1"/>
  <c r="AR167" i="1"/>
  <c r="AS167" i="1" s="1"/>
  <c r="BP174" i="1"/>
  <c r="AN165" i="1"/>
  <c r="AO165" i="1" s="1"/>
  <c r="AR139" i="1"/>
  <c r="AN175" i="1"/>
  <c r="AV179" i="1"/>
  <c r="AW179" i="1" s="1"/>
  <c r="AR168" i="1"/>
  <c r="AR198" i="1" s="1"/>
  <c r="AN141" i="1"/>
  <c r="AO141" i="1" s="1"/>
  <c r="AR137" i="1"/>
  <c r="AS137" i="1" s="1"/>
  <c r="AR161" i="1"/>
  <c r="AS161" i="1" s="1"/>
  <c r="BB146" i="1"/>
  <c r="AV88" i="1"/>
  <c r="AU88" i="1"/>
  <c r="AR175" i="1"/>
  <c r="AV168" i="1"/>
  <c r="AV198" i="1" s="1"/>
  <c r="AT164" i="1"/>
  <c r="AU164" i="1" s="1"/>
  <c r="AT168" i="1"/>
  <c r="AT198" i="1" s="1"/>
  <c r="AU198" i="1" s="1"/>
  <c r="AR88" i="1"/>
  <c r="BO89" i="1"/>
  <c r="BT155" i="1"/>
  <c r="AP148" i="1"/>
  <c r="BF165" i="1"/>
  <c r="BG165" i="1" s="1"/>
  <c r="BN88" i="1"/>
  <c r="AV175" i="1"/>
  <c r="AR159" i="1"/>
  <c r="AR194" i="1" s="1"/>
  <c r="AS194" i="1" s="1"/>
  <c r="BP164" i="1"/>
  <c r="BQ164" i="1" s="1"/>
  <c r="AV166" i="1"/>
  <c r="AW166" i="1" s="1"/>
  <c r="BT142" i="1"/>
  <c r="BU142" i="1" s="1"/>
  <c r="AR162" i="1"/>
  <c r="AS162" i="1" s="1"/>
  <c r="BB160" i="1"/>
  <c r="BB195" i="1" s="1"/>
  <c r="BC195" i="1" s="1"/>
  <c r="AT133" i="1"/>
  <c r="AU133" i="1" s="1"/>
  <c r="BO88" i="1"/>
  <c r="AX178" i="1"/>
  <c r="AY178" i="1" s="1"/>
  <c r="BB155" i="1"/>
  <c r="BC155" i="1" s="1"/>
  <c r="BD132" i="1"/>
  <c r="BR150" i="1"/>
  <c r="BS150" i="1" s="1"/>
  <c r="BB168" i="1"/>
  <c r="BB198" i="1" s="1"/>
  <c r="BF175" i="1"/>
  <c r="BP168" i="1"/>
  <c r="BP198" i="1" s="1"/>
  <c r="BQ198" i="1" s="1"/>
  <c r="AX170" i="1"/>
  <c r="AY170" i="1" s="1"/>
  <c r="BN174" i="1"/>
  <c r="AZ141" i="1"/>
  <c r="BA141" i="1" s="1"/>
  <c r="AX146" i="1"/>
  <c r="BN159" i="1"/>
  <c r="BN194" i="1" s="1"/>
  <c r="BO194" i="1" s="1"/>
  <c r="BR133" i="1"/>
  <c r="BS133" i="1" s="1"/>
  <c r="BF160" i="1"/>
  <c r="BF195" i="1" s="1"/>
  <c r="BG195" i="1" s="1"/>
  <c r="BS88" i="1"/>
  <c r="BQ89" i="1"/>
  <c r="AT150" i="1"/>
  <c r="AU150" i="1" s="1"/>
  <c r="AT141" i="1"/>
  <c r="AU141" i="1" s="1"/>
  <c r="AZ137" i="1"/>
  <c r="BA137" i="1" s="1"/>
  <c r="BD178" i="1"/>
  <c r="BE178" i="1" s="1"/>
  <c r="BD137" i="1"/>
  <c r="BE137" i="1" s="1"/>
  <c r="BT134" i="1"/>
  <c r="BB169" i="1"/>
  <c r="BC169" i="1" s="1"/>
  <c r="BF146" i="1"/>
  <c r="AX134" i="1"/>
  <c r="AX150" i="1"/>
  <c r="AY150" i="1" s="1"/>
  <c r="AX160" i="1"/>
  <c r="AX195" i="1" s="1"/>
  <c r="AY195" i="1" s="1"/>
  <c r="AZ148" i="1"/>
  <c r="AZ170" i="1"/>
  <c r="BA170" i="1" s="1"/>
  <c r="BF168" i="1"/>
  <c r="BF198" i="1" s="1"/>
  <c r="BG198" i="1" s="1"/>
  <c r="BF150" i="1"/>
  <c r="BG150" i="1" s="1"/>
  <c r="BD165" i="1"/>
  <c r="BE165" i="1" s="1"/>
  <c r="BN165" i="1"/>
  <c r="BO165" i="1" s="1"/>
  <c r="AQ89" i="1"/>
  <c r="BR89" i="1"/>
  <c r="AZ142" i="1"/>
  <c r="BA142" i="1" s="1"/>
  <c r="BD161" i="1"/>
  <c r="BE161" i="1" s="1"/>
  <c r="BD139" i="1"/>
  <c r="BE139" i="1" s="1"/>
  <c r="BT150" i="1"/>
  <c r="BU150" i="1" s="1"/>
  <c r="BP89" i="1"/>
  <c r="AV169" i="1"/>
  <c r="AW169" i="1" s="1"/>
  <c r="BN89" i="1"/>
  <c r="BR179" i="1"/>
  <c r="BS179" i="1" s="1"/>
  <c r="AN179" i="1"/>
  <c r="AO179" i="1" s="1"/>
  <c r="AT165" i="1"/>
  <c r="AO88" i="1"/>
  <c r="AX164" i="1"/>
  <c r="AX147" i="1"/>
  <c r="AX152" i="1"/>
  <c r="AY152" i="1" s="1"/>
  <c r="BE88" i="1"/>
  <c r="BN148" i="1"/>
  <c r="BN178" i="1"/>
  <c r="BO178" i="1" s="1"/>
  <c r="BN139" i="1"/>
  <c r="BN160" i="1"/>
  <c r="BN195" i="1" s="1"/>
  <c r="BO195" i="1" s="1"/>
  <c r="BN169" i="1"/>
  <c r="BO169" i="1" s="1"/>
  <c r="AY88" i="1"/>
  <c r="BR157" i="1"/>
  <c r="BS157" i="1" s="1"/>
  <c r="BB164" i="1"/>
  <c r="BC164" i="1" s="1"/>
  <c r="BB166" i="1"/>
  <c r="BC166" i="1" s="1"/>
  <c r="AZ166" i="1"/>
  <c r="BA166" i="1" s="1"/>
  <c r="BF157" i="1"/>
  <c r="BG157" i="1" s="1"/>
  <c r="BD160" i="1"/>
  <c r="BD195" i="1" s="1"/>
  <c r="BE195" i="1" s="1"/>
  <c r="BT169" i="1"/>
  <c r="BU169" i="1" s="1"/>
  <c r="BT175" i="1"/>
  <c r="BP158" i="1"/>
  <c r="BQ158" i="1" s="1"/>
  <c r="BP166" i="1"/>
  <c r="BQ166" i="1" s="1"/>
  <c r="AP133" i="1"/>
  <c r="AQ133" i="1" s="1"/>
  <c r="AZ133" i="1"/>
  <c r="BA133" i="1" s="1"/>
  <c r="AX141" i="1"/>
  <c r="AY141" i="1" s="1"/>
  <c r="AX157" i="1"/>
  <c r="AY157" i="1" s="1"/>
  <c r="BN162" i="1"/>
  <c r="BO162" i="1" s="1"/>
  <c r="BR148" i="1"/>
  <c r="BR170" i="1"/>
  <c r="BS170" i="1" s="1"/>
  <c r="BR165" i="1"/>
  <c r="BS165" i="1" s="1"/>
  <c r="BB137" i="1"/>
  <c r="BC137" i="1" s="1"/>
  <c r="AZ147" i="1"/>
  <c r="AP164" i="1"/>
  <c r="AQ164" i="1" s="1"/>
  <c r="AW89" i="1"/>
  <c r="AS88" i="1"/>
  <c r="AT142" i="1"/>
  <c r="AU142" i="1" s="1"/>
  <c r="AT160" i="1"/>
  <c r="AT195" i="1" s="1"/>
  <c r="AU195" i="1" s="1"/>
  <c r="AT170" i="1"/>
  <c r="AU170" i="1" s="1"/>
  <c r="AT161" i="1"/>
  <c r="AU161" i="1" s="1"/>
  <c r="AT169" i="1"/>
  <c r="AU169" i="1" s="1"/>
  <c r="AT132" i="1"/>
  <c r="BB165" i="1"/>
  <c r="BC165" i="1" s="1"/>
  <c r="AZ178" i="1"/>
  <c r="BA178" i="1" s="1"/>
  <c r="AZ165" i="1"/>
  <c r="BA165" i="1" s="1"/>
  <c r="BF134" i="1"/>
  <c r="BD134" i="1"/>
  <c r="BD155" i="1"/>
  <c r="BE155" i="1" s="1"/>
  <c r="AP89" i="1"/>
  <c r="BG89" i="1"/>
  <c r="BF137" i="1"/>
  <c r="BG137" i="1" s="1"/>
  <c r="AZ179" i="1"/>
  <c r="BA179" i="1" s="1"/>
  <c r="BF155" i="1"/>
  <c r="BG155" i="1" s="1"/>
  <c r="BH217" i="1" s="1"/>
  <c r="BD157" i="1"/>
  <c r="BE157" i="1" s="1"/>
  <c r="BP137" i="1"/>
  <c r="BQ137" i="1" s="1"/>
  <c r="BK88" i="1"/>
  <c r="AP137" i="1"/>
  <c r="AQ137" i="1" s="1"/>
  <c r="AT158" i="1"/>
  <c r="AU158" i="1" s="1"/>
  <c r="AT134" i="1"/>
  <c r="BN168" i="1"/>
  <c r="BN198" i="1" s="1"/>
  <c r="BO198" i="1" s="1"/>
  <c r="BB148" i="1"/>
  <c r="BB157" i="1"/>
  <c r="BC157" i="1" s="1"/>
  <c r="AZ164" i="1"/>
  <c r="BA164" i="1" s="1"/>
  <c r="BP161" i="1"/>
  <c r="BQ161" i="1" s="1"/>
  <c r="AN161" i="1"/>
  <c r="AO161" i="1" s="1"/>
  <c r="BT160" i="1"/>
  <c r="BT195" i="1" s="1"/>
  <c r="BU195" i="1" s="1"/>
  <c r="BD168" i="1"/>
  <c r="BD198" i="1" s="1"/>
  <c r="BE198" i="1" s="1"/>
  <c r="BF141" i="1"/>
  <c r="BG141" i="1" s="1"/>
  <c r="BT165" i="1"/>
  <c r="BU165" i="1" s="1"/>
  <c r="AN174" i="1"/>
  <c r="AZ152" i="1"/>
  <c r="BA152" i="1" s="1"/>
  <c r="AP141" i="1"/>
  <c r="AQ141" i="1" s="1"/>
  <c r="AP159" i="1"/>
  <c r="AP194" i="1" s="1"/>
  <c r="AQ194" i="1" s="1"/>
  <c r="AN167" i="1"/>
  <c r="AO167" i="1" s="1"/>
  <c r="BP140" i="1"/>
  <c r="BQ140" i="1" s="1"/>
  <c r="AV161" i="1"/>
  <c r="AW161" i="1" s="1"/>
  <c r="AR140" i="1"/>
  <c r="AS140" i="1" s="1"/>
  <c r="AR89" i="1"/>
  <c r="BT162" i="1"/>
  <c r="BU162" i="1" s="1"/>
  <c r="BP167" i="1"/>
  <c r="BQ167" i="1" s="1"/>
  <c r="AN178" i="1"/>
  <c r="AO178" i="1" s="1"/>
  <c r="AV89" i="1"/>
  <c r="AP142" i="1"/>
  <c r="AQ142" i="1" s="1"/>
  <c r="AV133" i="1"/>
  <c r="AW133" i="1" s="1"/>
  <c r="AV178" i="1"/>
  <c r="AW178" i="1" s="1"/>
  <c r="AR132" i="1"/>
  <c r="AV139" i="1"/>
  <c r="BD88" i="1"/>
  <c r="AP168" i="1"/>
  <c r="AP198" i="1" s="1"/>
  <c r="AQ198" i="1" s="1"/>
  <c r="BP148" i="1"/>
  <c r="AN162" i="1"/>
  <c r="AO162" i="1" s="1"/>
  <c r="AR152" i="1"/>
  <c r="AS152" i="1" s="1"/>
  <c r="BI89" i="1"/>
  <c r="AS89" i="1"/>
  <c r="AR165" i="1"/>
  <c r="AS165" i="1" s="1"/>
  <c r="AP175" i="1"/>
  <c r="AN169" i="1"/>
  <c r="AO169" i="1" s="1"/>
  <c r="AV142" i="1"/>
  <c r="AW142" i="1" s="1"/>
  <c r="BP169" i="1"/>
  <c r="BQ169" i="1" s="1"/>
  <c r="AN166" i="1"/>
  <c r="AO166" i="1" s="1"/>
  <c r="AN150" i="1"/>
  <c r="AO150" i="1" s="1"/>
  <c r="AR142" i="1"/>
  <c r="AS142" i="1" s="1"/>
  <c r="AV167" i="1"/>
  <c r="AW167" i="1" s="1"/>
  <c r="BQ88" i="1"/>
  <c r="BS89" i="1"/>
  <c r="AR164" i="1"/>
  <c r="AS164" i="1" s="1"/>
  <c r="AP88" i="1"/>
  <c r="BR139" i="1"/>
  <c r="BS139" i="1" s="1"/>
  <c r="AV157" i="1"/>
  <c r="AW157" i="1" s="1"/>
  <c r="AN158" i="1"/>
  <c r="AO158" i="1" s="1"/>
  <c r="AN147" i="1"/>
  <c r="AR178" i="1"/>
  <c r="AS178" i="1" s="1"/>
  <c r="AV160" i="1"/>
  <c r="AV195" i="1" s="1"/>
  <c r="AW195" i="1" s="1"/>
  <c r="AN157" i="1"/>
  <c r="AR141" i="1"/>
  <c r="AS141" i="1" s="1"/>
  <c r="AX168" i="1"/>
  <c r="AX198" i="1" s="1"/>
  <c r="AY198" i="1" s="1"/>
  <c r="BB88" i="1"/>
  <c r="AZ161" i="1"/>
  <c r="BA161" i="1" s="1"/>
  <c r="BD174" i="1"/>
  <c r="BR169" i="1"/>
  <c r="BS169" i="1" s="1"/>
  <c r="BT147" i="1"/>
  <c r="BK89" i="1"/>
  <c r="AX132" i="1"/>
  <c r="AX169" i="1"/>
  <c r="AY169" i="1" s="1"/>
  <c r="BB140" i="1"/>
  <c r="BC140" i="1" s="1"/>
  <c r="BF159" i="1"/>
  <c r="BF194" i="1" s="1"/>
  <c r="BG194" i="1" s="1"/>
  <c r="BT140" i="1"/>
  <c r="BU140" i="1" s="1"/>
  <c r="AX139" i="1"/>
  <c r="BR155" i="1"/>
  <c r="BT139" i="1"/>
  <c r="AP170" i="1"/>
  <c r="AQ170" i="1" s="1"/>
  <c r="AT179" i="1"/>
  <c r="AU179" i="1" s="1"/>
  <c r="AT167" i="1"/>
  <c r="AU167" i="1" s="1"/>
  <c r="BC89" i="1"/>
  <c r="AZ139" i="1"/>
  <c r="BA139" i="1" s="1"/>
  <c r="BF167" i="1"/>
  <c r="BG167" i="1" s="1"/>
  <c r="BD159" i="1"/>
  <c r="BD194" i="1" s="1"/>
  <c r="BE194" i="1" s="1"/>
  <c r="AT89" i="1"/>
  <c r="BB159" i="1"/>
  <c r="BB194" i="1" s="1"/>
  <c r="BC194" i="1" s="1"/>
  <c r="BT170" i="1"/>
  <c r="BU170" i="1" s="1"/>
  <c r="BB162" i="1"/>
  <c r="BC162" i="1" s="1"/>
  <c r="AN155" i="1"/>
  <c r="BP165" i="1"/>
  <c r="BQ165" i="1" s="1"/>
  <c r="AN148" i="1"/>
  <c r="BT88" i="1"/>
  <c r="AP160" i="1"/>
  <c r="AP195" i="1" s="1"/>
  <c r="AQ195" i="1" s="1"/>
  <c r="AV146" i="1"/>
  <c r="BD142" i="1"/>
  <c r="BE142" i="1" s="1"/>
  <c r="AX174" i="1"/>
  <c r="AX179" i="1"/>
  <c r="AY179" i="1" s="1"/>
  <c r="AX140" i="1"/>
  <c r="AY140" i="1" s="1"/>
  <c r="BB178" i="1"/>
  <c r="BC178" i="1" s="1"/>
  <c r="BU88" i="1"/>
  <c r="AZ89" i="1"/>
  <c r="BF161" i="1"/>
  <c r="BG161" i="1" s="1"/>
  <c r="BF142" i="1"/>
  <c r="BG142" i="1" s="1"/>
  <c r="BD148" i="1"/>
  <c r="BN155" i="1"/>
  <c r="BR167" i="1"/>
  <c r="BS167" i="1" s="1"/>
  <c r="BR134" i="1"/>
  <c r="BR140" i="1"/>
  <c r="BS140" i="1" s="1"/>
  <c r="BR132" i="1"/>
  <c r="BB179" i="1"/>
  <c r="BC179" i="1" s="1"/>
  <c r="AZ134" i="1"/>
  <c r="BF164" i="1"/>
  <c r="BG164" i="1" s="1"/>
  <c r="BD133" i="1"/>
  <c r="BE133" i="1" s="1"/>
  <c r="BT179" i="1"/>
  <c r="BU179" i="1" s="1"/>
  <c r="BP175" i="1"/>
  <c r="AP147" i="1"/>
  <c r="AV147" i="1"/>
  <c r="BN146" i="1"/>
  <c r="BR162" i="1"/>
  <c r="BS162" i="1" s="1"/>
  <c r="AX148" i="1"/>
  <c r="AX161" i="1"/>
  <c r="AY161" i="1" s="1"/>
  <c r="BN175" i="1"/>
  <c r="BN133" i="1"/>
  <c r="BO133" i="1" s="1"/>
  <c r="BN164" i="1"/>
  <c r="BO164" i="1" s="1"/>
  <c r="BR175" i="1"/>
  <c r="BR137" i="1"/>
  <c r="BS137" i="1" s="1"/>
  <c r="BB174" i="1"/>
  <c r="BF148" i="1"/>
  <c r="BT133" i="1"/>
  <c r="BU133" i="1" s="1"/>
  <c r="BP178" i="1"/>
  <c r="BQ178" i="1" s="1"/>
  <c r="BP162" i="1"/>
  <c r="BQ162" i="1" s="1"/>
  <c r="BM88" i="1"/>
  <c r="AX142" i="1"/>
  <c r="AY142" i="1" s="1"/>
  <c r="BN166" i="1"/>
  <c r="BO166" i="1" s="1"/>
  <c r="BN132" i="1"/>
  <c r="BO132" i="1" s="1"/>
  <c r="BR146" i="1"/>
  <c r="BR178" i="1"/>
  <c r="BS178" i="1" s="1"/>
  <c r="BR168" i="1"/>
  <c r="BR198" i="1" s="1"/>
  <c r="BS198" i="1" s="1"/>
  <c r="BB170" i="1"/>
  <c r="BC170" i="1" s="1"/>
  <c r="AZ174" i="1"/>
  <c r="BD170" i="1"/>
  <c r="BE170" i="1" s="1"/>
  <c r="BT148" i="1"/>
  <c r="AP166" i="1"/>
  <c r="AQ166" i="1" s="1"/>
  <c r="AT155" i="1"/>
  <c r="AU155" i="1" s="1"/>
  <c r="AT175" i="1"/>
  <c r="AT139" i="1"/>
  <c r="AU139" i="1" s="1"/>
  <c r="AT157" i="1"/>
  <c r="BN150" i="1"/>
  <c r="BO150" i="1" s="1"/>
  <c r="BB167" i="1"/>
  <c r="BC167" i="1" s="1"/>
  <c r="BU89" i="1"/>
  <c r="AZ140" i="1"/>
  <c r="BA140" i="1" s="1"/>
  <c r="BF170" i="1"/>
  <c r="BG170" i="1" s="1"/>
  <c r="BP133" i="1"/>
  <c r="BQ133" i="1" s="1"/>
  <c r="BF174" i="1"/>
  <c r="BF88" i="1"/>
  <c r="BD140" i="1"/>
  <c r="BE140" i="1" s="1"/>
  <c r="BT137" i="1"/>
  <c r="BU137" i="1" s="1"/>
  <c r="AP167" i="1"/>
  <c r="AQ167" i="1" s="1"/>
  <c r="AT178" i="1"/>
  <c r="AU178" i="1" s="1"/>
  <c r="AT162" i="1"/>
  <c r="AU162" i="1" s="1"/>
  <c r="BT141" i="1"/>
  <c r="BU141" i="1" s="1"/>
  <c r="AU89" i="1"/>
  <c r="BB133" i="1"/>
  <c r="BC133" i="1" s="1"/>
  <c r="AZ88" i="1"/>
  <c r="BT157" i="1"/>
  <c r="BU157" i="1" s="1"/>
  <c r="AP179" i="1"/>
  <c r="AQ179" i="1" s="1"/>
  <c r="BB132" i="1"/>
  <c r="AN160" i="1"/>
  <c r="AN195" i="1" s="1"/>
  <c r="AO195" i="1" s="1"/>
  <c r="BD169" i="1"/>
  <c r="BE169" i="1" s="1"/>
  <c r="BT178" i="1"/>
  <c r="BU178" i="1" s="1"/>
  <c r="BP150" i="1"/>
  <c r="BQ150" i="1" s="1"/>
  <c r="AP150" i="1"/>
  <c r="AQ150" i="1" s="1"/>
  <c r="AN139" i="1"/>
  <c r="BP179" i="1"/>
  <c r="BQ179" i="1" s="1"/>
  <c r="AP132" i="1"/>
  <c r="AQ132" i="1" s="1"/>
  <c r="AN134" i="1"/>
  <c r="AV137" i="1"/>
  <c r="AW137" i="1" s="1"/>
  <c r="AR150" i="1"/>
  <c r="AS150" i="1" s="1"/>
  <c r="AR155" i="1"/>
  <c r="AS155" i="1" s="1"/>
  <c r="AR148" i="1"/>
  <c r="AP174" i="1"/>
  <c r="AP162" i="1"/>
  <c r="AQ162" i="1" s="1"/>
  <c r="AN168" i="1"/>
  <c r="AN198" i="1" s="1"/>
  <c r="AO198" i="1" s="1"/>
  <c r="AV170" i="1"/>
  <c r="AW170" i="1" s="1"/>
  <c r="AP146" i="1"/>
  <c r="AR147" i="1"/>
  <c r="AR146" i="1"/>
  <c r="AR174" i="1"/>
  <c r="BD147" i="1"/>
  <c r="AN159" i="1"/>
  <c r="AN194" i="1" s="1"/>
  <c r="AO194" i="1" s="1"/>
  <c r="AV134" i="1"/>
  <c r="AR160" i="1"/>
  <c r="BT164" i="1"/>
  <c r="BU164" i="1" s="1"/>
  <c r="AN164" i="1"/>
  <c r="AO164" i="1" s="1"/>
  <c r="AR170" i="1"/>
  <c r="AS170" i="1" s="1"/>
  <c r="AP169" i="1"/>
  <c r="AQ169" i="1" s="1"/>
  <c r="AN142" i="1"/>
  <c r="AO142" i="1" s="1"/>
  <c r="AN170" i="1"/>
  <c r="AO170" i="1" s="1"/>
  <c r="AR166" i="1"/>
  <c r="AS166" i="1" s="1"/>
  <c r="AN146" i="1"/>
  <c r="AT147" i="1"/>
  <c r="AT88" i="1"/>
  <c r="AN88" i="1"/>
  <c r="AN140" i="1"/>
  <c r="AO140" i="1" s="1"/>
  <c r="AO89" i="1"/>
  <c r="AV162" i="1"/>
  <c r="AW162" i="1" s="1"/>
  <c r="BH176" i="1"/>
  <c r="BI157" i="1"/>
  <c r="BH163" i="1"/>
  <c r="BH197" i="1" s="1"/>
  <c r="BI164" i="1"/>
  <c r="BH171" i="1"/>
  <c r="BH200" i="1" s="1"/>
  <c r="BI139" i="1"/>
  <c r="BI143" i="1" s="1"/>
  <c r="BH143" i="1"/>
  <c r="AV152" i="1"/>
  <c r="AW152" i="1" s="1"/>
  <c r="AV158" i="1"/>
  <c r="AZ25" i="1"/>
  <c r="AZ31" i="1" s="1"/>
  <c r="AP152" i="1"/>
  <c r="AQ152" i="1" s="1"/>
  <c r="BF152" i="1"/>
  <c r="BG152" i="1" s="1"/>
  <c r="AT152" i="1"/>
  <c r="AU152" i="1" s="1"/>
  <c r="BP152" i="1"/>
  <c r="BQ152" i="1" s="1"/>
  <c r="BD152" i="1"/>
  <c r="BE152" i="1" s="1"/>
  <c r="BN152" i="1"/>
  <c r="BO152" i="1" s="1"/>
  <c r="BR152" i="1"/>
  <c r="BS152" i="1" s="1"/>
  <c r="BT152" i="1"/>
  <c r="BU152" i="1" s="1"/>
  <c r="BB152" i="1"/>
  <c r="BC152" i="1" s="1"/>
  <c r="BT158" i="1"/>
  <c r="BB158" i="1"/>
  <c r="BF158" i="1"/>
  <c r="AX158" i="1"/>
  <c r="BD158" i="1"/>
  <c r="AZ158" i="1"/>
  <c r="BR158" i="1"/>
  <c r="BN158" i="1"/>
  <c r="AN267" i="1"/>
  <c r="AI52" i="1"/>
  <c r="BV176" i="1"/>
  <c r="BW224" i="1" s="1"/>
  <c r="AP267" i="1"/>
  <c r="BK267" i="1"/>
  <c r="BO41" i="1"/>
  <c r="AU113" i="1"/>
  <c r="AU114" i="1" s="1"/>
  <c r="BH267" i="1"/>
  <c r="BI267" i="1"/>
  <c r="BU41" i="1"/>
  <c r="BD41" i="1"/>
  <c r="BK25" i="1"/>
  <c r="AT246" i="1"/>
  <c r="AP209" i="1"/>
  <c r="AP268" i="1"/>
  <c r="AY25" i="1"/>
  <c r="AM63" i="1"/>
  <c r="BO267" i="1"/>
  <c r="BR41" i="1"/>
  <c r="BW41" i="1"/>
  <c r="BF267" i="1"/>
  <c r="AX41" i="1"/>
  <c r="BI132" i="1"/>
  <c r="BH135" i="1"/>
  <c r="BH107" i="1" s="1"/>
  <c r="BH111" i="1" s="1"/>
  <c r="AZ246" i="1"/>
  <c r="BC113" i="1"/>
  <c r="BC114" i="1" s="1"/>
  <c r="AY267" i="1"/>
  <c r="AW25" i="1"/>
  <c r="AW31" i="1" s="1"/>
  <c r="BN268" i="1"/>
  <c r="AP25" i="1"/>
  <c r="BJ113" i="1"/>
  <c r="BJ114" i="1" s="1"/>
  <c r="BJ117" i="1" s="1"/>
  <c r="AI198" i="1"/>
  <c r="AI200" i="1"/>
  <c r="AI197" i="1"/>
  <c r="AN209" i="1"/>
  <c r="AN48" i="1"/>
  <c r="V224" i="1"/>
  <c r="AW41" i="1"/>
  <c r="AU41" i="1"/>
  <c r="BQ267" i="1"/>
  <c r="BN113" i="1"/>
  <c r="BN114" i="1" s="1"/>
  <c r="BM25" i="1"/>
  <c r="AO268" i="1"/>
  <c r="BA25" i="1"/>
  <c r="BA31" i="1" s="1"/>
  <c r="BW268" i="1"/>
  <c r="BR113" i="1"/>
  <c r="BR114" i="1" s="1"/>
  <c r="BP267" i="1"/>
  <c r="BQ25" i="1"/>
  <c r="BQ246" i="1"/>
  <c r="BS113" i="1"/>
  <c r="BS114" i="1" s="1"/>
  <c r="BB209" i="1"/>
  <c r="BB268" i="1"/>
  <c r="BN267" i="1"/>
  <c r="BO113" i="1"/>
  <c r="BO114" i="1" s="1"/>
  <c r="BO117" i="1" s="1"/>
  <c r="BN246" i="1"/>
  <c r="BM246" i="1"/>
  <c r="BP113" i="1"/>
  <c r="BP114" i="1" s="1"/>
  <c r="BK41" i="1"/>
  <c r="BU267" i="1"/>
  <c r="BU25" i="1"/>
  <c r="O69" i="1"/>
  <c r="O190" i="1"/>
  <c r="D69" i="1"/>
  <c r="D190" i="1"/>
  <c r="BD25" i="1"/>
  <c r="BD268" i="1"/>
  <c r="BD246" i="1"/>
  <c r="BG113" i="1"/>
  <c r="BG114" i="1" s="1"/>
  <c r="AI218" i="1"/>
  <c r="AI216" i="1" s="1"/>
  <c r="AI41" i="1"/>
  <c r="BV268" i="1"/>
  <c r="BJ42" i="1"/>
  <c r="BV25" i="1"/>
  <c r="BV31" i="1" s="1"/>
  <c r="BO25" i="1"/>
  <c r="BK52" i="1"/>
  <c r="AR268" i="1"/>
  <c r="BU113" i="1"/>
  <c r="BU114" i="1" s="1"/>
  <c r="BW143" i="1"/>
  <c r="BW113" i="1"/>
  <c r="BW114" i="1" s="1"/>
  <c r="AZ113" i="1"/>
  <c r="AZ114" i="1" s="1"/>
  <c r="AZ117" i="1" s="1"/>
  <c r="BG41" i="1"/>
  <c r="BA267" i="1"/>
  <c r="AY268" i="1"/>
  <c r="AT25" i="1"/>
  <c r="AT31" i="1" s="1"/>
  <c r="AZ41" i="1"/>
  <c r="AS41" i="1"/>
  <c r="BO246" i="1"/>
  <c r="AS267" i="1"/>
  <c r="BA41" i="1"/>
  <c r="AZ267" i="1"/>
  <c r="BE41" i="1"/>
  <c r="BV163" i="1"/>
  <c r="BV197" i="1" s="1"/>
  <c r="BR25" i="1"/>
  <c r="AR41" i="1"/>
  <c r="BD267" i="1"/>
  <c r="BI41" i="1"/>
  <c r="BM52" i="1"/>
  <c r="BQ41" i="1"/>
  <c r="AR25" i="1"/>
  <c r="AS25" i="1"/>
  <c r="AT41" i="1"/>
  <c r="BP41" i="1"/>
  <c r="BT268" i="1"/>
  <c r="AP41" i="1"/>
  <c r="AI25" i="1"/>
  <c r="BV194" i="1"/>
  <c r="BW194" i="1" s="1"/>
  <c r="BX113" i="1"/>
  <c r="BX114" i="1" s="1"/>
  <c r="BG268" i="1"/>
  <c r="BV113" i="1"/>
  <c r="BV114" i="1" s="1"/>
  <c r="AL113" i="1"/>
  <c r="AL114" i="1" s="1"/>
  <c r="AL119" i="1" s="1"/>
  <c r="AT267" i="1"/>
  <c r="AT113" i="1"/>
  <c r="AT114" i="1" s="1"/>
  <c r="BT113" i="1"/>
  <c r="BT114" i="1" s="1"/>
  <c r="AW268" i="1"/>
  <c r="BS267" i="1"/>
  <c r="AX267" i="1"/>
  <c r="AO267" i="1"/>
  <c r="AN41" i="1"/>
  <c r="BT41" i="1"/>
  <c r="AQ41" i="1"/>
  <c r="AV41" i="1"/>
  <c r="BH41" i="1"/>
  <c r="BI25" i="1"/>
  <c r="BP25" i="1"/>
  <c r="AY41" i="1"/>
  <c r="BF41" i="1"/>
  <c r="BN41" i="1"/>
  <c r="AU25" i="1"/>
  <c r="AY246" i="1"/>
  <c r="BV267" i="1"/>
  <c r="AI195" i="1"/>
  <c r="BV143" i="1"/>
  <c r="BS25" i="1"/>
  <c r="BQ113" i="1"/>
  <c r="BQ114" i="1" s="1"/>
  <c r="BQ117" i="1" s="1"/>
  <c r="BV198" i="1"/>
  <c r="BE25" i="1"/>
  <c r="BY113" i="1"/>
  <c r="BY114" i="1" s="1"/>
  <c r="BE267" i="1"/>
  <c r="BL113" i="1"/>
  <c r="BL114" i="1" s="1"/>
  <c r="AT268" i="1"/>
  <c r="BT267" i="1"/>
  <c r="BM268" i="1"/>
  <c r="BM218" i="1"/>
  <c r="BM216" i="1" s="1"/>
  <c r="BM48" i="1"/>
  <c r="BM209" i="1"/>
  <c r="BP268" i="1"/>
  <c r="BP209" i="1"/>
  <c r="BR268" i="1"/>
  <c r="BR209" i="1"/>
  <c r="BC25" i="1"/>
  <c r="AU268" i="1"/>
  <c r="BV195" i="1"/>
  <c r="BW195" i="1" s="1"/>
  <c r="BH113" i="1"/>
  <c r="BH114" i="1" s="1"/>
  <c r="BH118" i="1" s="1"/>
  <c r="BF268" i="1"/>
  <c r="BD113" i="1"/>
  <c r="BD114" i="1" s="1"/>
  <c r="AI48" i="1"/>
  <c r="BH25" i="1"/>
  <c r="BH195" i="1"/>
  <c r="BI195" i="1" s="1"/>
  <c r="AX113" i="1"/>
  <c r="AX114" i="1" s="1"/>
  <c r="BQ268" i="1"/>
  <c r="BK113" i="1"/>
  <c r="BK114" i="1" s="1"/>
  <c r="BK119" i="1" s="1"/>
  <c r="AX268" i="1"/>
  <c r="AR113" i="1"/>
  <c r="AR114" i="1" s="1"/>
  <c r="AQ267" i="1"/>
  <c r="AS113" i="1"/>
  <c r="AS114" i="1" s="1"/>
  <c r="AQ25" i="1"/>
  <c r="BT209" i="1"/>
  <c r="BH194" i="1"/>
  <c r="BI194" i="1" s="1"/>
  <c r="AR267" i="1"/>
  <c r="BU209" i="1"/>
  <c r="BU268" i="1"/>
  <c r="BW132" i="1"/>
  <c r="BV135" i="1"/>
  <c r="BK268" i="1"/>
  <c r="BK209" i="1"/>
  <c r="BK48" i="1"/>
  <c r="BK218" i="1"/>
  <c r="BK216" i="1" s="1"/>
  <c r="BK246" i="1"/>
  <c r="BM113" i="1"/>
  <c r="BM114" i="1" s="1"/>
  <c r="BM267" i="1"/>
  <c r="BS41" i="1"/>
  <c r="AN25" i="1"/>
  <c r="AN246" i="1"/>
  <c r="AN113" i="1"/>
  <c r="AN114" i="1" s="1"/>
  <c r="AO113" i="1"/>
  <c r="AO114" i="1" s="1"/>
  <c r="AU246" i="1"/>
  <c r="BO268" i="1"/>
  <c r="BF113" i="1"/>
  <c r="BF114" i="1" s="1"/>
  <c r="BF25" i="1"/>
  <c r="AV25" i="1"/>
  <c r="AY113" i="1"/>
  <c r="AY114" i="1" s="1"/>
  <c r="AW113" i="1"/>
  <c r="AW114" i="1" s="1"/>
  <c r="AV267" i="1"/>
  <c r="AP113" i="1"/>
  <c r="AP114" i="1" s="1"/>
  <c r="AV113" i="1"/>
  <c r="AV114" i="1" s="1"/>
  <c r="BW25" i="1"/>
  <c r="BW246" i="1"/>
  <c r="BZ113" i="1"/>
  <c r="BZ114" i="1" s="1"/>
  <c r="BV149" i="1"/>
  <c r="AO41" i="1"/>
  <c r="BR267" i="1"/>
  <c r="BN48" i="1"/>
  <c r="BN209" i="1"/>
  <c r="AQ268" i="1"/>
  <c r="AQ209" i="1"/>
  <c r="BN25" i="1"/>
  <c r="BW267" i="1"/>
  <c r="BI268" i="1"/>
  <c r="BI209" i="1"/>
  <c r="BB246" i="1"/>
  <c r="BB25" i="1"/>
  <c r="BM41" i="1"/>
  <c r="BI113" i="1"/>
  <c r="BI114" i="1" s="1"/>
  <c r="BI118" i="1" s="1"/>
  <c r="BF246" i="1"/>
  <c r="BE113" i="1"/>
  <c r="BE114" i="1" s="1"/>
  <c r="BE119" i="1" s="1"/>
  <c r="AN268" i="1"/>
  <c r="BC267" i="1"/>
  <c r="AV268" i="1"/>
  <c r="BC268" i="1"/>
  <c r="BE268" i="1"/>
  <c r="AQ113" i="1"/>
  <c r="AQ114" i="1" s="1"/>
  <c r="AQ119" i="1" s="1"/>
  <c r="BH268" i="1"/>
  <c r="BV171" i="1"/>
  <c r="BV200" i="1" s="1"/>
  <c r="BB267" i="1"/>
  <c r="BV41" i="1"/>
  <c r="BJ268" i="1"/>
  <c r="BJ209" i="1"/>
  <c r="BG267" i="1"/>
  <c r="BG246" i="1"/>
  <c r="BC41" i="1"/>
  <c r="AX246" i="1"/>
  <c r="AX25" i="1"/>
  <c r="AZ268" i="1"/>
  <c r="AZ209" i="1"/>
  <c r="BT246" i="1"/>
  <c r="BT25" i="1"/>
  <c r="BH198" i="1"/>
  <c r="BI198" i="1" s="1"/>
  <c r="BG25" i="1"/>
  <c r="AU267" i="1"/>
  <c r="BA268" i="1"/>
  <c r="BA209" i="1"/>
  <c r="AO246" i="1"/>
  <c r="AO25" i="1"/>
  <c r="AW267" i="1"/>
  <c r="AW246" i="1"/>
  <c r="AI194" i="1"/>
  <c r="AI246" i="1"/>
  <c r="BB41" i="1"/>
  <c r="BA113" i="1"/>
  <c r="BA114" i="1" s="1"/>
  <c r="BB113" i="1"/>
  <c r="BB114" i="1" s="1"/>
  <c r="AS268" i="1"/>
  <c r="AS209" i="1"/>
  <c r="BS268" i="1"/>
  <c r="BI217" i="1"/>
  <c r="BW217" i="1"/>
  <c r="BJ43" i="1"/>
  <c r="BJ32" i="1"/>
  <c r="CQ149" i="1"/>
  <c r="DB92" i="1"/>
  <c r="CY80" i="1"/>
  <c r="CZ78" i="1"/>
  <c r="L190" i="1" l="1"/>
  <c r="L69" i="1"/>
  <c r="R153" i="1"/>
  <c r="F48" i="1"/>
  <c r="C190" i="1"/>
  <c r="R190" i="1"/>
  <c r="D222" i="1"/>
  <c r="N263" i="1"/>
  <c r="N69" i="1"/>
  <c r="U196" i="1"/>
  <c r="N190" i="1"/>
  <c r="D144" i="1"/>
  <c r="D70" i="1" s="1"/>
  <c r="P211" i="1"/>
  <c r="C222" i="1"/>
  <c r="AR149" i="1"/>
  <c r="AR153" i="1" s="1"/>
  <c r="P212" i="1"/>
  <c r="R69" i="1"/>
  <c r="E221" i="1"/>
  <c r="U211" i="1"/>
  <c r="C264" i="1"/>
  <c r="C266" i="1" s="1"/>
  <c r="D212" i="1"/>
  <c r="E211" i="1"/>
  <c r="P224" i="1"/>
  <c r="O263" i="1"/>
  <c r="D264" i="1"/>
  <c r="D266" i="1" s="1"/>
  <c r="C144" i="1"/>
  <c r="C70" i="1" s="1"/>
  <c r="C52" i="1"/>
  <c r="D221" i="1"/>
  <c r="P153" i="1"/>
  <c r="P261" i="1" s="1"/>
  <c r="P48" i="1"/>
  <c r="T200" i="1"/>
  <c r="T199" i="1" s="1"/>
  <c r="U212" i="1"/>
  <c r="R222" i="1"/>
  <c r="C172" i="1"/>
  <c r="E190" i="1"/>
  <c r="E222" i="1"/>
  <c r="E69" i="1"/>
  <c r="B81" i="1"/>
  <c r="B122" i="1"/>
  <c r="B123" i="1"/>
  <c r="N153" i="1"/>
  <c r="N48" i="1"/>
  <c r="N222" i="1"/>
  <c r="M190" i="1"/>
  <c r="M69" i="1"/>
  <c r="M222" i="1"/>
  <c r="C153" i="1"/>
  <c r="C48" i="1"/>
  <c r="V183" i="1"/>
  <c r="V124" i="1" s="1"/>
  <c r="V52" i="1"/>
  <c r="B48" i="1"/>
  <c r="B153" i="1"/>
  <c r="C123" i="1"/>
  <c r="C122" i="1"/>
  <c r="C81" i="1"/>
  <c r="V264" i="1"/>
  <c r="V266" i="1" s="1"/>
  <c r="R183" i="1"/>
  <c r="R124" i="1" s="1"/>
  <c r="R144" i="1"/>
  <c r="R70" i="1" s="1"/>
  <c r="S212" i="1"/>
  <c r="L48" i="1"/>
  <c r="L153" i="1"/>
  <c r="N224" i="1"/>
  <c r="M263" i="1"/>
  <c r="U224" i="1"/>
  <c r="T263" i="1"/>
  <c r="H190" i="1"/>
  <c r="H222" i="1"/>
  <c r="H69" i="1"/>
  <c r="S197" i="1"/>
  <c r="S172" i="1"/>
  <c r="T69" i="1"/>
  <c r="T190" i="1"/>
  <c r="T222" i="1"/>
  <c r="I190" i="1"/>
  <c r="I69" i="1"/>
  <c r="I263" i="1"/>
  <c r="I222" i="1"/>
  <c r="J48" i="1"/>
  <c r="J153" i="1"/>
  <c r="U153" i="1"/>
  <c r="U48" i="1"/>
  <c r="S48" i="1"/>
  <c r="S153" i="1"/>
  <c r="I224" i="1"/>
  <c r="H263" i="1"/>
  <c r="S221" i="1"/>
  <c r="S52" i="1"/>
  <c r="S264" i="1"/>
  <c r="S266" i="1" s="1"/>
  <c r="S183" i="1"/>
  <c r="S124" i="1" s="1"/>
  <c r="S200" i="1"/>
  <c r="S199" i="1" s="1"/>
  <c r="T212" i="1"/>
  <c r="E224" i="1"/>
  <c r="D263" i="1"/>
  <c r="D183" i="1"/>
  <c r="D124" i="1" s="1"/>
  <c r="D125" i="1" s="1"/>
  <c r="D128" i="1" s="1"/>
  <c r="G224" i="1"/>
  <c r="F183" i="1"/>
  <c r="F124" i="1" s="1"/>
  <c r="F263" i="1"/>
  <c r="F222" i="1"/>
  <c r="F69" i="1"/>
  <c r="F190" i="1"/>
  <c r="F144" i="1"/>
  <c r="F70" i="1" s="1"/>
  <c r="T221" i="1"/>
  <c r="T183" i="1"/>
  <c r="T124" i="1" s="1"/>
  <c r="U264" i="1"/>
  <c r="U266" i="1" s="1"/>
  <c r="O221" i="1"/>
  <c r="O220" i="1" s="1"/>
  <c r="O144" i="1"/>
  <c r="O70" i="1" s="1"/>
  <c r="F197" i="1"/>
  <c r="F172" i="1"/>
  <c r="F180" i="1" s="1"/>
  <c r="G211" i="1"/>
  <c r="J263" i="1"/>
  <c r="K224" i="1"/>
  <c r="G69" i="1"/>
  <c r="G222" i="1"/>
  <c r="G190" i="1"/>
  <c r="J144" i="1"/>
  <c r="J70" i="1" s="1"/>
  <c r="J52" i="1"/>
  <c r="J183" i="1"/>
  <c r="J124" i="1" s="1"/>
  <c r="J264" i="1"/>
  <c r="J266" i="1" s="1"/>
  <c r="U69" i="1"/>
  <c r="U222" i="1"/>
  <c r="J211" i="1"/>
  <c r="J197" i="1"/>
  <c r="J196" i="1" s="1"/>
  <c r="K211" i="1"/>
  <c r="H52" i="1"/>
  <c r="H221" i="1"/>
  <c r="H144" i="1"/>
  <c r="H70" i="1" s="1"/>
  <c r="H183" i="1"/>
  <c r="H124" i="1" s="1"/>
  <c r="R224" i="1"/>
  <c r="Q263" i="1"/>
  <c r="E197" i="1"/>
  <c r="E196" i="1" s="1"/>
  <c r="F211" i="1"/>
  <c r="H153" i="1"/>
  <c r="H261" i="1" s="1"/>
  <c r="H48" i="1"/>
  <c r="Q183" i="1"/>
  <c r="Q124" i="1" s="1"/>
  <c r="H212" i="1"/>
  <c r="K222" i="1"/>
  <c r="G153" i="1"/>
  <c r="G48" i="1"/>
  <c r="I48" i="1"/>
  <c r="I153" i="1"/>
  <c r="V211" i="1"/>
  <c r="V197" i="1"/>
  <c r="V196" i="1" s="1"/>
  <c r="T259" i="1"/>
  <c r="T211" i="1"/>
  <c r="E144" i="1"/>
  <c r="E70" i="1" s="1"/>
  <c r="F264" i="1"/>
  <c r="F266" i="1" s="1"/>
  <c r="H264" i="1"/>
  <c r="H266" i="1" s="1"/>
  <c r="G221" i="1"/>
  <c r="G264" i="1"/>
  <c r="G266" i="1" s="1"/>
  <c r="BD176" i="1"/>
  <c r="BE224" i="1" s="1"/>
  <c r="Q211" i="1"/>
  <c r="E48" i="1"/>
  <c r="E153" i="1"/>
  <c r="J190" i="1"/>
  <c r="J69" i="1"/>
  <c r="J222" i="1"/>
  <c r="D48" i="1"/>
  <c r="D153" i="1"/>
  <c r="L200" i="1"/>
  <c r="L199" i="1" s="1"/>
  <c r="L172" i="1"/>
  <c r="C197" i="1"/>
  <c r="C196" i="1" s="1"/>
  <c r="D211" i="1"/>
  <c r="L224" i="1"/>
  <c r="K263" i="1"/>
  <c r="B190" i="1"/>
  <c r="B69" i="1"/>
  <c r="B263" i="1"/>
  <c r="T52" i="1"/>
  <c r="T144" i="1"/>
  <c r="T70" i="1" s="1"/>
  <c r="T264" i="1"/>
  <c r="T266" i="1" s="1"/>
  <c r="O52" i="1"/>
  <c r="O183" i="1"/>
  <c r="O124" i="1" s="1"/>
  <c r="B52" i="1"/>
  <c r="C221" i="1"/>
  <c r="B183" i="1"/>
  <c r="B124" i="1" s="1"/>
  <c r="B144" i="1"/>
  <c r="B70" i="1" s="1"/>
  <c r="K264" i="1"/>
  <c r="K266" i="1" s="1"/>
  <c r="K221" i="1"/>
  <c r="K144" i="1"/>
  <c r="K70" i="1" s="1"/>
  <c r="K52" i="1"/>
  <c r="K183" i="1"/>
  <c r="K124" i="1" s="1"/>
  <c r="K69" i="1"/>
  <c r="L222" i="1"/>
  <c r="K190" i="1"/>
  <c r="C183" i="1"/>
  <c r="C124" i="1" s="1"/>
  <c r="D224" i="1"/>
  <c r="C263" i="1"/>
  <c r="W264" i="1"/>
  <c r="W266" i="1" s="1"/>
  <c r="W221" i="1"/>
  <c r="W52" i="1"/>
  <c r="X264" i="1"/>
  <c r="X266" i="1" s="1"/>
  <c r="X221" i="1"/>
  <c r="U263" i="1"/>
  <c r="U190" i="1"/>
  <c r="M153" i="1"/>
  <c r="M48" i="1"/>
  <c r="S144" i="1"/>
  <c r="S70" i="1" s="1"/>
  <c r="S222" i="1"/>
  <c r="S69" i="1"/>
  <c r="Q197" i="1"/>
  <c r="Q196" i="1" s="1"/>
  <c r="R211" i="1"/>
  <c r="H197" i="1"/>
  <c r="I211" i="1"/>
  <c r="J172" i="1"/>
  <c r="D81" i="1"/>
  <c r="D123" i="1"/>
  <c r="K197" i="1"/>
  <c r="K196" i="1" s="1"/>
  <c r="K172" i="1"/>
  <c r="D197" i="1"/>
  <c r="D196" i="1" s="1"/>
  <c r="D172" i="1"/>
  <c r="I52" i="1"/>
  <c r="I221" i="1"/>
  <c r="J221" i="1"/>
  <c r="Q69" i="1"/>
  <c r="Q190" i="1"/>
  <c r="K48" i="1"/>
  <c r="K153" i="1"/>
  <c r="M221" i="1"/>
  <c r="L144" i="1"/>
  <c r="L70" i="1" s="1"/>
  <c r="D200" i="1"/>
  <c r="E212" i="1"/>
  <c r="W153" i="1"/>
  <c r="X218" i="1" s="1"/>
  <c r="X216" i="1" s="1"/>
  <c r="W48" i="1"/>
  <c r="S224" i="1"/>
  <c r="R263" i="1"/>
  <c r="V222" i="1"/>
  <c r="V263" i="1"/>
  <c r="N211" i="1"/>
  <c r="O211" i="1"/>
  <c r="K212" i="1"/>
  <c r="J200" i="1"/>
  <c r="AN176" i="1"/>
  <c r="AO224" i="1" s="1"/>
  <c r="Q222" i="1"/>
  <c r="L197" i="1"/>
  <c r="L211" i="1"/>
  <c r="M211" i="1"/>
  <c r="P197" i="1"/>
  <c r="P172" i="1"/>
  <c r="R197" i="1"/>
  <c r="R196" i="1" s="1"/>
  <c r="S211" i="1"/>
  <c r="C200" i="1"/>
  <c r="C212" i="1"/>
  <c r="O197" i="1"/>
  <c r="O196" i="1" s="1"/>
  <c r="O172" i="1"/>
  <c r="I264" i="1"/>
  <c r="I266" i="1" s="1"/>
  <c r="I144" i="1"/>
  <c r="I70" i="1" s="1"/>
  <c r="Q48" i="1"/>
  <c r="Q153" i="1"/>
  <c r="R218" i="1" s="1"/>
  <c r="R216" i="1" s="1"/>
  <c r="P190" i="1"/>
  <c r="G144" i="1"/>
  <c r="G70" i="1" s="1"/>
  <c r="G52" i="1"/>
  <c r="G183" i="1"/>
  <c r="G124" i="1" s="1"/>
  <c r="U221" i="1"/>
  <c r="U183" i="1"/>
  <c r="U124" i="1" s="1"/>
  <c r="U52" i="1"/>
  <c r="U144" i="1"/>
  <c r="U70" i="1" s="1"/>
  <c r="V221" i="1"/>
  <c r="S263" i="1"/>
  <c r="S190" i="1"/>
  <c r="Q264" i="1"/>
  <c r="Q266" i="1" s="1"/>
  <c r="R264" i="1"/>
  <c r="R266" i="1" s="1"/>
  <c r="Q221" i="1"/>
  <c r="H211" i="1"/>
  <c r="H172" i="1"/>
  <c r="AV176" i="1"/>
  <c r="AW224" i="1" s="1"/>
  <c r="BN176" i="1"/>
  <c r="BO224" i="1" s="1"/>
  <c r="I172" i="1"/>
  <c r="I212" i="1"/>
  <c r="I200" i="1"/>
  <c r="J212" i="1"/>
  <c r="Q200" i="1"/>
  <c r="Q172" i="1"/>
  <c r="Q212" i="1"/>
  <c r="R212" i="1"/>
  <c r="BR149" i="1"/>
  <c r="AX176" i="1"/>
  <c r="AY224" i="1" s="1"/>
  <c r="BS143" i="1"/>
  <c r="P144" i="1"/>
  <c r="P70" i="1" s="1"/>
  <c r="P221" i="1"/>
  <c r="P183" i="1"/>
  <c r="P124" i="1" s="1"/>
  <c r="P264" i="1"/>
  <c r="P266" i="1" s="1"/>
  <c r="P52" i="1"/>
  <c r="H224" i="1"/>
  <c r="G263" i="1"/>
  <c r="T197" i="1"/>
  <c r="T172" i="1"/>
  <c r="T180" i="1" s="1"/>
  <c r="T261" i="1"/>
  <c r="F221" i="1"/>
  <c r="E183" i="1"/>
  <c r="E124" i="1" s="1"/>
  <c r="E52" i="1"/>
  <c r="O264" i="1"/>
  <c r="O266" i="1" s="1"/>
  <c r="N144" i="1"/>
  <c r="N70" i="1" s="1"/>
  <c r="N264" i="1"/>
  <c r="N266" i="1" s="1"/>
  <c r="N52" i="1"/>
  <c r="N221" i="1"/>
  <c r="N183" i="1"/>
  <c r="N124" i="1" s="1"/>
  <c r="L183" i="1"/>
  <c r="L124" i="1" s="1"/>
  <c r="L52" i="1"/>
  <c r="L264" i="1"/>
  <c r="L266" i="1" s="1"/>
  <c r="L221" i="1"/>
  <c r="P222" i="1"/>
  <c r="P69" i="1"/>
  <c r="P263" i="1"/>
  <c r="B172" i="1"/>
  <c r="B197" i="1"/>
  <c r="C211" i="1"/>
  <c r="O153" i="1"/>
  <c r="O48" i="1"/>
  <c r="M224" i="1"/>
  <c r="L263" i="1"/>
  <c r="V69" i="1"/>
  <c r="V144" i="1"/>
  <c r="V70" i="1" s="1"/>
  <c r="V190" i="1"/>
  <c r="Q144" i="1"/>
  <c r="Q70" i="1" s="1"/>
  <c r="R221" i="1"/>
  <c r="Q52" i="1"/>
  <c r="K200" i="1"/>
  <c r="L212" i="1"/>
  <c r="N197" i="1"/>
  <c r="N172" i="1"/>
  <c r="E200" i="1"/>
  <c r="F212" i="1"/>
  <c r="E172" i="1"/>
  <c r="G200" i="1"/>
  <c r="G172" i="1"/>
  <c r="G212" i="1"/>
  <c r="O200" i="1"/>
  <c r="O212" i="1"/>
  <c r="U200" i="1"/>
  <c r="U172" i="1"/>
  <c r="M264" i="1"/>
  <c r="M266" i="1" s="1"/>
  <c r="M52" i="1"/>
  <c r="M144" i="1"/>
  <c r="M70" i="1" s="1"/>
  <c r="M183" i="1"/>
  <c r="M124" i="1" s="1"/>
  <c r="V153" i="1"/>
  <c r="V48" i="1"/>
  <c r="V200" i="1"/>
  <c r="V172" i="1"/>
  <c r="V212" i="1"/>
  <c r="AZ149" i="1"/>
  <c r="BP149" i="1"/>
  <c r="BT176" i="1"/>
  <c r="BU224" i="1" s="1"/>
  <c r="BP176" i="1"/>
  <c r="BQ224" i="1" s="1"/>
  <c r="BB176" i="1"/>
  <c r="AZ176" i="1"/>
  <c r="BA224" i="1" s="1"/>
  <c r="BE143" i="1"/>
  <c r="AR176" i="1"/>
  <c r="AS224" i="1" s="1"/>
  <c r="AQ155" i="1"/>
  <c r="AW155" i="1"/>
  <c r="AQ157" i="1"/>
  <c r="AP163" i="1"/>
  <c r="AP197" i="1" s="1"/>
  <c r="AP196" i="1" s="1"/>
  <c r="AS139" i="1"/>
  <c r="AS143" i="1" s="1"/>
  <c r="AR143" i="1"/>
  <c r="AU132" i="1"/>
  <c r="AT135" i="1"/>
  <c r="AT107" i="1" s="1"/>
  <c r="AS132" i="1"/>
  <c r="AR135" i="1"/>
  <c r="AX135" i="1"/>
  <c r="AY132" i="1"/>
  <c r="AY139" i="1"/>
  <c r="AY143" i="1" s="1"/>
  <c r="AX143" i="1"/>
  <c r="BO155" i="1"/>
  <c r="BN217" i="1"/>
  <c r="BT149" i="1"/>
  <c r="AT149" i="1"/>
  <c r="BF176" i="1"/>
  <c r="BG224" i="1" s="1"/>
  <c r="BF149" i="1"/>
  <c r="AV149" i="1"/>
  <c r="BD149" i="1"/>
  <c r="AP149" i="1"/>
  <c r="M212" i="1"/>
  <c r="N212" i="1"/>
  <c r="M172" i="1"/>
  <c r="M200" i="1"/>
  <c r="R200" i="1"/>
  <c r="R172" i="1"/>
  <c r="R180" i="1" s="1"/>
  <c r="AU157" i="1"/>
  <c r="AT163" i="1"/>
  <c r="BC132" i="1"/>
  <c r="BB135" i="1"/>
  <c r="BB107" i="1" s="1"/>
  <c r="AO139" i="1"/>
  <c r="AO143" i="1" s="1"/>
  <c r="AN143" i="1"/>
  <c r="AR195" i="1"/>
  <c r="AS195" i="1" s="1"/>
  <c r="AR163" i="1"/>
  <c r="AR197" i="1" s="1"/>
  <c r="AO132" i="1"/>
  <c r="AN135" i="1"/>
  <c r="BC139" i="1"/>
  <c r="BC143" i="1" s="1"/>
  <c r="BB143" i="1"/>
  <c r="BU155" i="1"/>
  <c r="BV217" i="1" s="1"/>
  <c r="BE132" i="1"/>
  <c r="BD135" i="1"/>
  <c r="AU165" i="1"/>
  <c r="AT171" i="1"/>
  <c r="AT200" i="1" s="1"/>
  <c r="AT199" i="1" s="1"/>
  <c r="AY164" i="1"/>
  <c r="AX171" i="1"/>
  <c r="AX200" i="1" s="1"/>
  <c r="AX199" i="1" s="1"/>
  <c r="BO139" i="1"/>
  <c r="BO143" i="1" s="1"/>
  <c r="BN143" i="1"/>
  <c r="AW139" i="1"/>
  <c r="AW143" i="1" s="1"/>
  <c r="AV143" i="1"/>
  <c r="AO157" i="1"/>
  <c r="AN163" i="1"/>
  <c r="BS155" i="1"/>
  <c r="BR217" i="1"/>
  <c r="BU139" i="1"/>
  <c r="BU143" i="1" s="1"/>
  <c r="BT143" i="1"/>
  <c r="AO155" i="1"/>
  <c r="AN217" i="1"/>
  <c r="BS132" i="1"/>
  <c r="BR135" i="1"/>
  <c r="BR107" i="1" s="1"/>
  <c r="BF217" i="1"/>
  <c r="AQ143" i="1"/>
  <c r="AT217" i="1"/>
  <c r="AI201" i="1"/>
  <c r="AN149" i="1"/>
  <c r="AP176" i="1"/>
  <c r="BT171" i="1"/>
  <c r="BT200" i="1" s="1"/>
  <c r="BT199" i="1" s="1"/>
  <c r="BN149" i="1"/>
  <c r="AX149" i="1"/>
  <c r="BB149" i="1"/>
  <c r="AT176" i="1"/>
  <c r="AU224" i="1" s="1"/>
  <c r="AZ135" i="1"/>
  <c r="BR176" i="1"/>
  <c r="AR171" i="1"/>
  <c r="BN135" i="1"/>
  <c r="AS217" i="1"/>
  <c r="BP171" i="1"/>
  <c r="BP200" i="1" s="1"/>
  <c r="BP199" i="1" s="1"/>
  <c r="BT135" i="1"/>
  <c r="BF143" i="1"/>
  <c r="BE217" i="1"/>
  <c r="BR171" i="1"/>
  <c r="BR200" i="1" s="1"/>
  <c r="BR199" i="1" s="1"/>
  <c r="BP163" i="1"/>
  <c r="BP197" i="1" s="1"/>
  <c r="BP196" i="1" s="1"/>
  <c r="AZ143" i="1"/>
  <c r="BQ217" i="1"/>
  <c r="BB171" i="1"/>
  <c r="BB200" i="1" s="1"/>
  <c r="BB199" i="1" s="1"/>
  <c r="AP143" i="1"/>
  <c r="AP135" i="1"/>
  <c r="AP107" i="1" s="1"/>
  <c r="BD171" i="1"/>
  <c r="BD200" i="1" s="1"/>
  <c r="BD199" i="1" s="1"/>
  <c r="BP135" i="1"/>
  <c r="BP107" i="1" s="1"/>
  <c r="BP109" i="1" s="1"/>
  <c r="BN171" i="1"/>
  <c r="BN200" i="1" s="1"/>
  <c r="AN171" i="1"/>
  <c r="AN200" i="1" s="1"/>
  <c r="BP143" i="1"/>
  <c r="BG143" i="1"/>
  <c r="BH221" i="1" s="1"/>
  <c r="BA143" i="1"/>
  <c r="AT143" i="1"/>
  <c r="AP171" i="1"/>
  <c r="BF171" i="1"/>
  <c r="BF200" i="1" s="1"/>
  <c r="BF199" i="1" s="1"/>
  <c r="AV171" i="1"/>
  <c r="AV200" i="1" s="1"/>
  <c r="AV199" i="1" s="1"/>
  <c r="BF135" i="1"/>
  <c r="BQ143" i="1"/>
  <c r="BR143" i="1"/>
  <c r="BD143" i="1"/>
  <c r="AZ171" i="1"/>
  <c r="AZ200" i="1" s="1"/>
  <c r="AZ199" i="1" s="1"/>
  <c r="AV135" i="1"/>
  <c r="AU143" i="1"/>
  <c r="AI199" i="1"/>
  <c r="AW158" i="1"/>
  <c r="AV163" i="1"/>
  <c r="BH172" i="1"/>
  <c r="BH180" i="1" s="1"/>
  <c r="BH144" i="1"/>
  <c r="AZ42" i="1"/>
  <c r="BK26" i="1"/>
  <c r="BC158" i="1"/>
  <c r="BB163" i="1"/>
  <c r="BG158" i="1"/>
  <c r="BF163" i="1"/>
  <c r="BE158" i="1"/>
  <c r="BD163" i="1"/>
  <c r="BO158" i="1"/>
  <c r="BN163" i="1"/>
  <c r="BU158" i="1"/>
  <c r="BT163" i="1"/>
  <c r="AY158" i="1"/>
  <c r="AX163" i="1"/>
  <c r="BS158" i="1"/>
  <c r="BR163" i="1"/>
  <c r="BA158" i="1"/>
  <c r="AZ163" i="1"/>
  <c r="AU217" i="1"/>
  <c r="AV217" i="1"/>
  <c r="BC117" i="1"/>
  <c r="BC119" i="1"/>
  <c r="BC118" i="1"/>
  <c r="O73" i="1"/>
  <c r="BF118" i="1"/>
  <c r="BF119" i="1"/>
  <c r="BF117" i="1"/>
  <c r="BB217" i="1"/>
  <c r="BA217" i="1"/>
  <c r="BH109" i="1"/>
  <c r="BH110" i="1"/>
  <c r="BK42" i="1"/>
  <c r="AW42" i="1"/>
  <c r="AU118" i="1"/>
  <c r="AU119" i="1"/>
  <c r="AU117" i="1"/>
  <c r="AY217" i="1"/>
  <c r="AZ217" i="1"/>
  <c r="BE42" i="1"/>
  <c r="BK27" i="1"/>
  <c r="BL27" i="1"/>
  <c r="BK31" i="1"/>
  <c r="AM67" i="1"/>
  <c r="AM134" i="1"/>
  <c r="AM135" i="1" s="1"/>
  <c r="AM144" i="1" s="1"/>
  <c r="AM208" i="1"/>
  <c r="AM210" i="1" s="1"/>
  <c r="AM81" i="1"/>
  <c r="AM84" i="1" s="1"/>
  <c r="AS27" i="1"/>
  <c r="AT27" i="1"/>
  <c r="AT42" i="1"/>
  <c r="AY42" i="1"/>
  <c r="AP240" i="1"/>
  <c r="AQ27" i="1"/>
  <c r="AZ27" i="1"/>
  <c r="AY31" i="1"/>
  <c r="AP31" i="1"/>
  <c r="AP26" i="1"/>
  <c r="BJ118" i="1"/>
  <c r="BJ119" i="1"/>
  <c r="BA42" i="1"/>
  <c r="BQ42" i="1"/>
  <c r="AP42" i="1"/>
  <c r="AQ203" i="1"/>
  <c r="BM42" i="1"/>
  <c r="BN118" i="1"/>
  <c r="BN119" i="1"/>
  <c r="BN117" i="1"/>
  <c r="BQ26" i="1"/>
  <c r="BM240" i="1"/>
  <c r="BM26" i="1"/>
  <c r="BR117" i="1"/>
  <c r="BR119" i="1"/>
  <c r="BR118" i="1"/>
  <c r="BU26" i="1"/>
  <c r="BQ31" i="1"/>
  <c r="BQ43" i="1" s="1"/>
  <c r="BQ27" i="1"/>
  <c r="BC217" i="1"/>
  <c r="BD217" i="1"/>
  <c r="BS117" i="1"/>
  <c r="BS118" i="1"/>
  <c r="BS119" i="1"/>
  <c r="BO118" i="1"/>
  <c r="BO119" i="1"/>
  <c r="BP118" i="1"/>
  <c r="BP119" i="1"/>
  <c r="BP117" i="1"/>
  <c r="BU42" i="1"/>
  <c r="BU31" i="1"/>
  <c r="BU119" i="1"/>
  <c r="BU118" i="1"/>
  <c r="BV107" i="1"/>
  <c r="BV263" i="1"/>
  <c r="BM31" i="1"/>
  <c r="BM27" i="1"/>
  <c r="BA26" i="1"/>
  <c r="BA27" i="1"/>
  <c r="AI42" i="1"/>
  <c r="BA34" i="1"/>
  <c r="BH42" i="1"/>
  <c r="AS31" i="1"/>
  <c r="AW26" i="1"/>
  <c r="BJ26" i="1"/>
  <c r="BF31" i="1"/>
  <c r="BF43" i="1" s="1"/>
  <c r="BJ45" i="1" s="1"/>
  <c r="BV42" i="1"/>
  <c r="BC42" i="1"/>
  <c r="AY203" i="1"/>
  <c r="BT240" i="1"/>
  <c r="AY194" i="1"/>
  <c r="AS198" i="1"/>
  <c r="BY26" i="1"/>
  <c r="BU203" i="1"/>
  <c r="F261" i="1"/>
  <c r="F259" i="1"/>
  <c r="R261" i="1"/>
  <c r="BD26" i="1"/>
  <c r="BE27" i="1"/>
  <c r="BG240" i="1"/>
  <c r="BH26" i="1"/>
  <c r="BD31" i="1"/>
  <c r="BD42" i="1"/>
  <c r="BD203" i="1"/>
  <c r="BG117" i="1"/>
  <c r="BG119" i="1"/>
  <c r="BG118" i="1"/>
  <c r="BV27" i="1"/>
  <c r="BV203" i="1"/>
  <c r="BJ264" i="1"/>
  <c r="BJ221" i="1"/>
  <c r="BI264" i="1"/>
  <c r="BO26" i="1"/>
  <c r="BP27" i="1"/>
  <c r="BO42" i="1"/>
  <c r="BO31" i="1"/>
  <c r="BR240" i="1"/>
  <c r="V73" i="1"/>
  <c r="BX221" i="1"/>
  <c r="BX264" i="1"/>
  <c r="BW221" i="1"/>
  <c r="BW119" i="1"/>
  <c r="BW117" i="1"/>
  <c r="AT26" i="1"/>
  <c r="AW240" i="1"/>
  <c r="AU27" i="1"/>
  <c r="AT203" i="1"/>
  <c r="BR42" i="1"/>
  <c r="BV26" i="1"/>
  <c r="BS27" i="1"/>
  <c r="BU240" i="1"/>
  <c r="AR31" i="1"/>
  <c r="AR43" i="1" s="1"/>
  <c r="AR44" i="1" s="1"/>
  <c r="AU240" i="1"/>
  <c r="AS240" i="1"/>
  <c r="AT32" i="1"/>
  <c r="AT43" i="1"/>
  <c r="BV32" i="1"/>
  <c r="BZ33" i="1"/>
  <c r="N73" i="1"/>
  <c r="AL259" i="1"/>
  <c r="AJ27" i="1"/>
  <c r="AM26" i="1"/>
  <c r="AL240" i="1"/>
  <c r="AI31" i="1"/>
  <c r="BX117" i="1"/>
  <c r="BX118" i="1"/>
  <c r="BX119" i="1"/>
  <c r="BV118" i="1"/>
  <c r="BV117" i="1"/>
  <c r="BV119" i="1"/>
  <c r="AT118" i="1"/>
  <c r="AT119" i="1"/>
  <c r="AT117" i="1"/>
  <c r="BT119" i="1"/>
  <c r="BT118" i="1"/>
  <c r="BT117" i="1"/>
  <c r="BA43" i="1"/>
  <c r="BA32" i="1"/>
  <c r="BI31" i="1"/>
  <c r="BI203" i="1"/>
  <c r="BJ203" i="1"/>
  <c r="BL259" i="1"/>
  <c r="BL240" i="1"/>
  <c r="AW32" i="1"/>
  <c r="AW43" i="1"/>
  <c r="BA33" i="1"/>
  <c r="BP31" i="1"/>
  <c r="BP203" i="1"/>
  <c r="BS240" i="1"/>
  <c r="BQ203" i="1"/>
  <c r="BC198" i="1"/>
  <c r="AY26" i="1"/>
  <c r="AU31" i="1"/>
  <c r="AU42" i="1"/>
  <c r="BV183" i="1"/>
  <c r="BV144" i="1"/>
  <c r="BS42" i="1"/>
  <c r="BW26" i="1"/>
  <c r="BS31" i="1"/>
  <c r="BT27" i="1"/>
  <c r="BS203" i="1"/>
  <c r="BX203" i="1"/>
  <c r="BW198" i="1"/>
  <c r="BV199" i="1"/>
  <c r="BE31" i="1"/>
  <c r="BE33" i="1" s="1"/>
  <c r="BE203" i="1"/>
  <c r="BI26" i="1"/>
  <c r="BF27" i="1"/>
  <c r="BE26" i="1"/>
  <c r="BY119" i="1"/>
  <c r="BY117" i="1"/>
  <c r="BC31" i="1"/>
  <c r="BC26" i="1"/>
  <c r="AW198" i="1"/>
  <c r="BD117" i="1"/>
  <c r="BD118" i="1"/>
  <c r="BD119" i="1"/>
  <c r="BK240" i="1"/>
  <c r="T73" i="1"/>
  <c r="BL203" i="1"/>
  <c r="BH203" i="1"/>
  <c r="AZ43" i="1"/>
  <c r="BF42" i="1"/>
  <c r="BR31" i="1"/>
  <c r="BV33" i="1" s="1"/>
  <c r="BG217" i="1"/>
  <c r="AX240" i="1"/>
  <c r="BF240" i="1"/>
  <c r="AV203" i="1"/>
  <c r="BF203" i="1"/>
  <c r="BK118" i="1"/>
  <c r="BK117" i="1"/>
  <c r="BS26" i="1"/>
  <c r="BR27" i="1"/>
  <c r="BT203" i="1"/>
  <c r="AY27" i="1"/>
  <c r="BI240" i="1"/>
  <c r="BG27" i="1"/>
  <c r="AZ32" i="1"/>
  <c r="BW264" i="1"/>
  <c r="BH183" i="1"/>
  <c r="BP42" i="1"/>
  <c r="AR42" i="1"/>
  <c r="BW118" i="1"/>
  <c r="BI221" i="1"/>
  <c r="AI196" i="1"/>
  <c r="BZ26" i="1"/>
  <c r="BZ203" i="1"/>
  <c r="BY118" i="1"/>
  <c r="AZ119" i="1"/>
  <c r="BK203" i="1"/>
  <c r="BH240" i="1"/>
  <c r="AR240" i="1"/>
  <c r="S73" i="1"/>
  <c r="W73" i="1"/>
  <c r="AV240" i="1"/>
  <c r="AS42" i="1"/>
  <c r="AZ118" i="1"/>
  <c r="AS203" i="1"/>
  <c r="AN42" i="1"/>
  <c r="BU117" i="1"/>
  <c r="Q73" i="1"/>
  <c r="BE118" i="1"/>
  <c r="BV240" i="1"/>
  <c r="AP27" i="1"/>
  <c r="BV196" i="1"/>
  <c r="BA240" i="1"/>
  <c r="AZ203" i="1"/>
  <c r="AU26" i="1"/>
  <c r="AY240" i="1"/>
  <c r="AU203" i="1"/>
  <c r="BV201" i="1"/>
  <c r="BZ204" i="1" s="1"/>
  <c r="BP26" i="1"/>
  <c r="BJ27" i="1"/>
  <c r="BT42" i="1"/>
  <c r="BQ118" i="1"/>
  <c r="BQ119" i="1"/>
  <c r="BI42" i="1"/>
  <c r="AX42" i="1"/>
  <c r="AL117" i="1"/>
  <c r="AL118" i="1"/>
  <c r="BE117" i="1"/>
  <c r="AQ240" i="1"/>
  <c r="BH196" i="1"/>
  <c r="AQ118" i="1"/>
  <c r="BM203" i="1"/>
  <c r="BL119" i="1"/>
  <c r="BL117" i="1"/>
  <c r="BL118" i="1"/>
  <c r="BB27" i="1"/>
  <c r="BB203" i="1"/>
  <c r="R73" i="1"/>
  <c r="BD240" i="1"/>
  <c r="BB31" i="1"/>
  <c r="BN26" i="1"/>
  <c r="BN203" i="1"/>
  <c r="BN31" i="1"/>
  <c r="BN27" i="1"/>
  <c r="BR26" i="1"/>
  <c r="BR203" i="1"/>
  <c r="BZ118" i="1"/>
  <c r="BZ117" i="1"/>
  <c r="BZ119" i="1"/>
  <c r="AN117" i="1"/>
  <c r="AN118" i="1"/>
  <c r="AN119" i="1"/>
  <c r="BM119" i="1"/>
  <c r="BM117" i="1"/>
  <c r="BM118" i="1"/>
  <c r="AR117" i="1"/>
  <c r="AR118" i="1"/>
  <c r="AR119" i="1"/>
  <c r="U73" i="1"/>
  <c r="BE240" i="1"/>
  <c r="BQ240" i="1"/>
  <c r="BO27" i="1"/>
  <c r="AP203" i="1"/>
  <c r="AQ117" i="1"/>
  <c r="BB42" i="1"/>
  <c r="BX26" i="1"/>
  <c r="BU27" i="1"/>
  <c r="BT31" i="1"/>
  <c r="BY203" i="1"/>
  <c r="BW240" i="1"/>
  <c r="AX203" i="1"/>
  <c r="AX27" i="1"/>
  <c r="AX31" i="1"/>
  <c r="BB26" i="1"/>
  <c r="AZ240" i="1"/>
  <c r="BI149" i="1"/>
  <c r="AV117" i="1"/>
  <c r="AV119" i="1"/>
  <c r="AV118" i="1"/>
  <c r="AY117" i="1"/>
  <c r="AY118" i="1"/>
  <c r="AY119" i="1"/>
  <c r="AT240" i="1"/>
  <c r="P73" i="1"/>
  <c r="AQ31" i="1"/>
  <c r="AQ26" i="1"/>
  <c r="AR27" i="1"/>
  <c r="AX117" i="1"/>
  <c r="AX119" i="1"/>
  <c r="AX118" i="1"/>
  <c r="BH119" i="1"/>
  <c r="BH117" i="1"/>
  <c r="AX26" i="1"/>
  <c r="BV172" i="1"/>
  <c r="AR203" i="1"/>
  <c r="BC27" i="1"/>
  <c r="BP240" i="1"/>
  <c r="BC240" i="1"/>
  <c r="BO240" i="1"/>
  <c r="BB119" i="1"/>
  <c r="BB118" i="1"/>
  <c r="BB117" i="1"/>
  <c r="AO26" i="1"/>
  <c r="AS26" i="1"/>
  <c r="AO203" i="1"/>
  <c r="AO31" i="1"/>
  <c r="BH199" i="1"/>
  <c r="BI224" i="1"/>
  <c r="BH263" i="1"/>
  <c r="AO42" i="1"/>
  <c r="BX259" i="1"/>
  <c r="CA203" i="1"/>
  <c r="CB203" i="1"/>
  <c r="X73" i="1"/>
  <c r="BW31" i="1"/>
  <c r="BZ259" i="1"/>
  <c r="CA26" i="1"/>
  <c r="BW27" i="1"/>
  <c r="BY240" i="1"/>
  <c r="BZ240" i="1"/>
  <c r="BX27" i="1"/>
  <c r="BX240" i="1"/>
  <c r="AV42" i="1"/>
  <c r="AW203" i="1"/>
  <c r="AV31" i="1"/>
  <c r="AW27" i="1"/>
  <c r="BA203" i="1"/>
  <c r="AZ26" i="1"/>
  <c r="AN26" i="1"/>
  <c r="AO240" i="1"/>
  <c r="AN31" i="1"/>
  <c r="AN27" i="1"/>
  <c r="AN240" i="1"/>
  <c r="AO27" i="1"/>
  <c r="AR26" i="1"/>
  <c r="AS117" i="1"/>
  <c r="AS119" i="1"/>
  <c r="AS118" i="1"/>
  <c r="BH31" i="1"/>
  <c r="BL26" i="1"/>
  <c r="BI27" i="1"/>
  <c r="BT26" i="1"/>
  <c r="AV27" i="1"/>
  <c r="BN42" i="1"/>
  <c r="BI48" i="1"/>
  <c r="BC203" i="1"/>
  <c r="BI119" i="1"/>
  <c r="BB240" i="1"/>
  <c r="BO203" i="1"/>
  <c r="BI117" i="1"/>
  <c r="BN240" i="1"/>
  <c r="BA119" i="1"/>
  <c r="BA117" i="1"/>
  <c r="BA118" i="1"/>
  <c r="BG203" i="1"/>
  <c r="BG42" i="1"/>
  <c r="BJ240" i="1"/>
  <c r="BJ259" i="1"/>
  <c r="BH27" i="1"/>
  <c r="BG31" i="1"/>
  <c r="BW203" i="1"/>
  <c r="BV153" i="1"/>
  <c r="BW48" i="1"/>
  <c r="BW149" i="1"/>
  <c r="AP117" i="1"/>
  <c r="AP119" i="1"/>
  <c r="AP118" i="1"/>
  <c r="AW117" i="1"/>
  <c r="AW119" i="1"/>
  <c r="AW118" i="1"/>
  <c r="BF26" i="1"/>
  <c r="BV43" i="1"/>
  <c r="AO117" i="1"/>
  <c r="AO119" i="1"/>
  <c r="AO118" i="1"/>
  <c r="BW42" i="1"/>
  <c r="BD27" i="1"/>
  <c r="BG26" i="1"/>
  <c r="AN203" i="1"/>
  <c r="AV26" i="1"/>
  <c r="AQ42" i="1"/>
  <c r="BH201" i="1"/>
  <c r="BL204" i="1" s="1"/>
  <c r="BJ44" i="1"/>
  <c r="BJ49" i="1"/>
  <c r="BJ53" i="1" s="1"/>
  <c r="BJ247" i="1"/>
  <c r="BJ248" i="1" s="1"/>
  <c r="F199" i="1"/>
  <c r="CQ153" i="1"/>
  <c r="CR47" i="1"/>
  <c r="AE92" i="1"/>
  <c r="AB140" i="1"/>
  <c r="AB143" i="1" s="1"/>
  <c r="AB264" i="1" s="1"/>
  <c r="AD157" i="1"/>
  <c r="CZ80" i="1"/>
  <c r="DA78" i="1"/>
  <c r="R259" i="1" l="1"/>
  <c r="P213" i="1"/>
  <c r="P214" i="1" s="1"/>
  <c r="BR264" i="1"/>
  <c r="AS48" i="1"/>
  <c r="AS149" i="1"/>
  <c r="AS153" i="1" s="1"/>
  <c r="C220" i="1"/>
  <c r="J213" i="1"/>
  <c r="J214" i="1" s="1"/>
  <c r="C218" i="1"/>
  <c r="C216" i="1" s="1"/>
  <c r="D220" i="1"/>
  <c r="P259" i="1"/>
  <c r="P180" i="1"/>
  <c r="P181" i="1" s="1"/>
  <c r="V180" i="1"/>
  <c r="V181" i="1" s="1"/>
  <c r="W218" i="1"/>
  <c r="W216" i="1" s="1"/>
  <c r="U213" i="1"/>
  <c r="U214" i="1" s="1"/>
  <c r="G213" i="1"/>
  <c r="G214" i="1" s="1"/>
  <c r="F181" i="1"/>
  <c r="F220" i="1"/>
  <c r="H180" i="1"/>
  <c r="H181" i="1" s="1"/>
  <c r="H259" i="1"/>
  <c r="BU217" i="1"/>
  <c r="F213" i="1"/>
  <c r="F214" i="1" s="1"/>
  <c r="G220" i="1"/>
  <c r="E220" i="1"/>
  <c r="C180" i="1"/>
  <c r="S180" i="1"/>
  <c r="S181" i="1" s="1"/>
  <c r="T220" i="1"/>
  <c r="D213" i="1"/>
  <c r="D214" i="1" s="1"/>
  <c r="J180" i="1"/>
  <c r="J181" i="1" s="1"/>
  <c r="M220" i="1"/>
  <c r="E213" i="1"/>
  <c r="E214" i="1" s="1"/>
  <c r="K213" i="1"/>
  <c r="K214" i="1" s="1"/>
  <c r="B180" i="1"/>
  <c r="R220" i="1"/>
  <c r="N180" i="1"/>
  <c r="N181" i="1" s="1"/>
  <c r="U180" i="1"/>
  <c r="U181" i="1" s="1"/>
  <c r="K220" i="1"/>
  <c r="S213" i="1"/>
  <c r="S214" i="1" s="1"/>
  <c r="V220" i="1"/>
  <c r="N220" i="1"/>
  <c r="H220" i="1"/>
  <c r="T213" i="1"/>
  <c r="T214" i="1" s="1"/>
  <c r="D218" i="1"/>
  <c r="D216" i="1" s="1"/>
  <c r="L180" i="1"/>
  <c r="L181" i="1" s="1"/>
  <c r="S220" i="1"/>
  <c r="D126" i="1"/>
  <c r="D129" i="1" s="1"/>
  <c r="I220" i="1"/>
  <c r="L218" i="1"/>
  <c r="L216" i="1" s="1"/>
  <c r="R181" i="1"/>
  <c r="B83" i="1"/>
  <c r="B84" i="1"/>
  <c r="N261" i="1"/>
  <c r="N259" i="1"/>
  <c r="C83" i="1"/>
  <c r="C84" i="1"/>
  <c r="L261" i="1"/>
  <c r="L259" i="1"/>
  <c r="J261" i="1"/>
  <c r="J259" i="1"/>
  <c r="K218" i="1"/>
  <c r="K216" i="1" s="1"/>
  <c r="U218" i="1"/>
  <c r="U216" i="1" s="1"/>
  <c r="U261" i="1"/>
  <c r="U259" i="1"/>
  <c r="S261" i="1"/>
  <c r="T218" i="1"/>
  <c r="T216" i="1" s="1"/>
  <c r="S218" i="1"/>
  <c r="S216" i="1" s="1"/>
  <c r="S259" i="1"/>
  <c r="F196" i="1"/>
  <c r="F201" i="1"/>
  <c r="AX217" i="1"/>
  <c r="AW217" i="1"/>
  <c r="S201" i="1"/>
  <c r="S196" i="1"/>
  <c r="U220" i="1"/>
  <c r="AR196" i="1"/>
  <c r="D180" i="1"/>
  <c r="J220" i="1"/>
  <c r="H213" i="1"/>
  <c r="H214" i="1" s="1"/>
  <c r="I180" i="1"/>
  <c r="I181" i="1" s="1"/>
  <c r="Q213" i="1"/>
  <c r="Q214" i="1" s="1"/>
  <c r="T181" i="1"/>
  <c r="L220" i="1"/>
  <c r="E180" i="1"/>
  <c r="E181" i="1" s="1"/>
  <c r="G180" i="1"/>
  <c r="G181" i="1" s="1"/>
  <c r="V213" i="1"/>
  <c r="V214" i="1" s="1"/>
  <c r="G218" i="1"/>
  <c r="G216" i="1" s="1"/>
  <c r="G259" i="1"/>
  <c r="G261" i="1"/>
  <c r="H218" i="1"/>
  <c r="H216" i="1" s="1"/>
  <c r="I218" i="1"/>
  <c r="I216" i="1" s="1"/>
  <c r="I259" i="1"/>
  <c r="I261" i="1"/>
  <c r="J218" i="1"/>
  <c r="J216" i="1" s="1"/>
  <c r="E259" i="1"/>
  <c r="E261" i="1"/>
  <c r="F218" i="1"/>
  <c r="F216" i="1" s="1"/>
  <c r="B125" i="1"/>
  <c r="B128" i="1" s="1"/>
  <c r="B126" i="1"/>
  <c r="B129" i="1" s="1"/>
  <c r="C125" i="1"/>
  <c r="C128" i="1" s="1"/>
  <c r="C126" i="1"/>
  <c r="C129" i="1" s="1"/>
  <c r="N218" i="1"/>
  <c r="N216" i="1" s="1"/>
  <c r="M218" i="1"/>
  <c r="M216" i="1" s="1"/>
  <c r="M259" i="1"/>
  <c r="M261" i="1"/>
  <c r="K180" i="1"/>
  <c r="K181" i="1" s="1"/>
  <c r="E218" i="1"/>
  <c r="E216" i="1" s="1"/>
  <c r="L196" i="1"/>
  <c r="L201" i="1"/>
  <c r="C213" i="1"/>
  <c r="C214" i="1" s="1"/>
  <c r="H196" i="1"/>
  <c r="H201" i="1"/>
  <c r="D199" i="1"/>
  <c r="D201" i="1"/>
  <c r="Q220" i="1"/>
  <c r="I213" i="1"/>
  <c r="I214" i="1" s="1"/>
  <c r="Q180" i="1"/>
  <c r="Q181" i="1" s="1"/>
  <c r="R213" i="1"/>
  <c r="R214" i="1" s="1"/>
  <c r="M213" i="1"/>
  <c r="M214" i="1" s="1"/>
  <c r="N213" i="1"/>
  <c r="N214" i="1" s="1"/>
  <c r="M180" i="1"/>
  <c r="M181" i="1" s="1"/>
  <c r="D84" i="1"/>
  <c r="D83" i="1"/>
  <c r="B201" i="1"/>
  <c r="B196" i="1"/>
  <c r="AR217" i="1"/>
  <c r="AQ217" i="1"/>
  <c r="O213" i="1"/>
  <c r="O214" i="1" s="1"/>
  <c r="BB183" i="1"/>
  <c r="J199" i="1"/>
  <c r="J201" i="1"/>
  <c r="L213" i="1"/>
  <c r="L214" i="1" s="1"/>
  <c r="AV183" i="1"/>
  <c r="P220" i="1"/>
  <c r="K259" i="1"/>
  <c r="K261" i="1"/>
  <c r="C199" i="1"/>
  <c r="C201" i="1"/>
  <c r="BS48" i="1"/>
  <c r="BS149" i="1"/>
  <c r="BR153" i="1"/>
  <c r="V218" i="1"/>
  <c r="V216" i="1" s="1"/>
  <c r="V259" i="1"/>
  <c r="V261" i="1"/>
  <c r="AQ264" i="1"/>
  <c r="AN107" i="1"/>
  <c r="AN110" i="1" s="1"/>
  <c r="AN263" i="1"/>
  <c r="P201" i="1"/>
  <c r="P196" i="1"/>
  <c r="O180" i="1"/>
  <c r="O181" i="1" s="1"/>
  <c r="AV264" i="1"/>
  <c r="Q261" i="1"/>
  <c r="Q259" i="1"/>
  <c r="Q218" i="1"/>
  <c r="Q216" i="1" s="1"/>
  <c r="O261" i="1"/>
  <c r="P218" i="1"/>
  <c r="P216" i="1" s="1"/>
  <c r="AR221" i="1"/>
  <c r="AR264" i="1"/>
  <c r="AO149" i="1"/>
  <c r="AO48" i="1"/>
  <c r="AN153" i="1"/>
  <c r="AN261" i="1" s="1"/>
  <c r="BC48" i="1"/>
  <c r="BB153" i="1"/>
  <c r="BC149" i="1"/>
  <c r="Q201" i="1"/>
  <c r="Q199" i="1"/>
  <c r="AV221" i="1"/>
  <c r="BT144" i="1"/>
  <c r="I199" i="1"/>
  <c r="I201" i="1"/>
  <c r="K199" i="1"/>
  <c r="K201" i="1"/>
  <c r="E199" i="1"/>
  <c r="E201" i="1"/>
  <c r="U199" i="1"/>
  <c r="U201" i="1"/>
  <c r="V199" i="1"/>
  <c r="V201" i="1"/>
  <c r="BN183" i="1"/>
  <c r="BN144" i="1"/>
  <c r="BC221" i="1"/>
  <c r="BC264" i="1"/>
  <c r="T201" i="1"/>
  <c r="T196" i="1"/>
  <c r="O218" i="1"/>
  <c r="O216" i="1" s="1"/>
  <c r="O259" i="1"/>
  <c r="N201" i="1"/>
  <c r="N196" i="1"/>
  <c r="G201" i="1"/>
  <c r="G199" i="1"/>
  <c r="O201" i="1"/>
  <c r="O199" i="1"/>
  <c r="BB144" i="1"/>
  <c r="AT263" i="1"/>
  <c r="AS221" i="1"/>
  <c r="AS264" i="1"/>
  <c r="AR183" i="1"/>
  <c r="AS52" i="1" s="1"/>
  <c r="AR144" i="1"/>
  <c r="AR107" i="1"/>
  <c r="AR261" i="1"/>
  <c r="AX107" i="1"/>
  <c r="AX263" i="1"/>
  <c r="BU48" i="1"/>
  <c r="BT153" i="1"/>
  <c r="BU149" i="1"/>
  <c r="BG149" i="1"/>
  <c r="BG48" i="1"/>
  <c r="BF153" i="1"/>
  <c r="AW48" i="1"/>
  <c r="AV153" i="1"/>
  <c r="AW149" i="1"/>
  <c r="BE48" i="1"/>
  <c r="BE149" i="1"/>
  <c r="BD153" i="1"/>
  <c r="AQ149" i="1"/>
  <c r="AP153" i="1"/>
  <c r="AQ48" i="1"/>
  <c r="R201" i="1"/>
  <c r="R199" i="1"/>
  <c r="AT197" i="1"/>
  <c r="AT172" i="1"/>
  <c r="BB110" i="1"/>
  <c r="BB111" i="1"/>
  <c r="BB109" i="1"/>
  <c r="AO264" i="1"/>
  <c r="AO221" i="1"/>
  <c r="AN264" i="1"/>
  <c r="AN221" i="1"/>
  <c r="AN144" i="1"/>
  <c r="AN183" i="1"/>
  <c r="BN153" i="1"/>
  <c r="BO149" i="1"/>
  <c r="BO48" i="1"/>
  <c r="AY149" i="1"/>
  <c r="AX153" i="1"/>
  <c r="AY48" i="1"/>
  <c r="AR200" i="1"/>
  <c r="AR172" i="1"/>
  <c r="AR180" i="1" s="1"/>
  <c r="BN263" i="1"/>
  <c r="BN107" i="1"/>
  <c r="BF221" i="1"/>
  <c r="BF183" i="1"/>
  <c r="BP264" i="1"/>
  <c r="BP221" i="1"/>
  <c r="BP183" i="1"/>
  <c r="BR144" i="1"/>
  <c r="BS264" i="1"/>
  <c r="BS221" i="1"/>
  <c r="BR183" i="1"/>
  <c r="BA149" i="1"/>
  <c r="BA48" i="1"/>
  <c r="AZ153" i="1"/>
  <c r="BQ48" i="1"/>
  <c r="BP153" i="1"/>
  <c r="BQ149" i="1"/>
  <c r="BC224" i="1"/>
  <c r="BB263" i="1"/>
  <c r="AR263" i="1"/>
  <c r="AR259" i="1"/>
  <c r="AX221" i="1"/>
  <c r="AX183" i="1"/>
  <c r="AX144" i="1"/>
  <c r="AX264" i="1"/>
  <c r="BO217" i="1"/>
  <c r="BP217" i="1"/>
  <c r="AT153" i="1"/>
  <c r="AU48" i="1"/>
  <c r="AU149" i="1"/>
  <c r="BD107" i="1"/>
  <c r="BD263" i="1"/>
  <c r="BO221" i="1"/>
  <c r="BO264" i="1"/>
  <c r="BN264" i="1"/>
  <c r="BN221" i="1"/>
  <c r="AW264" i="1"/>
  <c r="AW221" i="1"/>
  <c r="AN197" i="1"/>
  <c r="AN172" i="1"/>
  <c r="BT217" i="1"/>
  <c r="BS217" i="1"/>
  <c r="BV264" i="1"/>
  <c r="BU264" i="1"/>
  <c r="BU221" i="1"/>
  <c r="BV221" i="1"/>
  <c r="BT183" i="1"/>
  <c r="BT264" i="1"/>
  <c r="BT221" i="1"/>
  <c r="AP217" i="1"/>
  <c r="AO217" i="1"/>
  <c r="M201" i="1"/>
  <c r="M199" i="1"/>
  <c r="AZ183" i="1"/>
  <c r="AZ264" i="1"/>
  <c r="AZ144" i="1"/>
  <c r="AZ221" i="1"/>
  <c r="AN199" i="1"/>
  <c r="AT144" i="1"/>
  <c r="AT264" i="1"/>
  <c r="AT221" i="1"/>
  <c r="AT183" i="1"/>
  <c r="BD221" i="1"/>
  <c r="BD144" i="1"/>
  <c r="BE264" i="1"/>
  <c r="BE221" i="1"/>
  <c r="BD183" i="1"/>
  <c r="BD264" i="1"/>
  <c r="AV107" i="1"/>
  <c r="AV263" i="1"/>
  <c r="AQ221" i="1"/>
  <c r="AP221" i="1"/>
  <c r="AP264" i="1"/>
  <c r="BG264" i="1"/>
  <c r="BH264" i="1"/>
  <c r="BB221" i="1"/>
  <c r="BA264" i="1"/>
  <c r="BB264" i="1"/>
  <c r="BA221" i="1"/>
  <c r="AU221" i="1"/>
  <c r="AU264" i="1"/>
  <c r="BP201" i="1"/>
  <c r="BP204" i="1" s="1"/>
  <c r="BR221" i="1"/>
  <c r="AY221" i="1"/>
  <c r="AY264" i="1"/>
  <c r="AQ224" i="1"/>
  <c r="AP263" i="1"/>
  <c r="AZ107" i="1"/>
  <c r="AZ263" i="1"/>
  <c r="BS224" i="1"/>
  <c r="BR263" i="1"/>
  <c r="BT107" i="1"/>
  <c r="BT263" i="1"/>
  <c r="BF264" i="1"/>
  <c r="BF144" i="1"/>
  <c r="AP183" i="1"/>
  <c r="AP144" i="1"/>
  <c r="AP110" i="1"/>
  <c r="AP109" i="1"/>
  <c r="AP111" i="1"/>
  <c r="AP200" i="1"/>
  <c r="AP172" i="1"/>
  <c r="BF107" i="1"/>
  <c r="BF263" i="1"/>
  <c r="BP111" i="1"/>
  <c r="AV144" i="1"/>
  <c r="BQ264" i="1"/>
  <c r="BP263" i="1"/>
  <c r="BP144" i="1"/>
  <c r="BP172" i="1"/>
  <c r="BG221" i="1"/>
  <c r="BQ221" i="1"/>
  <c r="BP110" i="1"/>
  <c r="AV197" i="1"/>
  <c r="AV201" i="1" s="1"/>
  <c r="AV172" i="1"/>
  <c r="BH181" i="1"/>
  <c r="BB197" i="1"/>
  <c r="BB172" i="1"/>
  <c r="BD197" i="1"/>
  <c r="BD172" i="1"/>
  <c r="AX197" i="1"/>
  <c r="AX172" i="1"/>
  <c r="BF197" i="1"/>
  <c r="BF172" i="1"/>
  <c r="BT197" i="1"/>
  <c r="BT172" i="1"/>
  <c r="BR197" i="1"/>
  <c r="BR201" i="1" s="1"/>
  <c r="BV204" i="1" s="1"/>
  <c r="BR172" i="1"/>
  <c r="BN197" i="1"/>
  <c r="BN172" i="1"/>
  <c r="AZ197" i="1"/>
  <c r="AZ172" i="1"/>
  <c r="BV111" i="1"/>
  <c r="BV110" i="1"/>
  <c r="BV109" i="1"/>
  <c r="BA265" i="1"/>
  <c r="AP34" i="1"/>
  <c r="BL34" i="1"/>
  <c r="BK32" i="1"/>
  <c r="BK43" i="1"/>
  <c r="BK34" i="1"/>
  <c r="AM69" i="1"/>
  <c r="AM222" i="1"/>
  <c r="AM220" i="1" s="1"/>
  <c r="AM70" i="1"/>
  <c r="AM107" i="1"/>
  <c r="AM101" i="1"/>
  <c r="AM100" i="1"/>
  <c r="AM102" i="1"/>
  <c r="AY43" i="1"/>
  <c r="AY32" i="1"/>
  <c r="AZ34" i="1"/>
  <c r="AT33" i="1"/>
  <c r="AP43" i="1"/>
  <c r="AP33" i="1"/>
  <c r="AP32" i="1"/>
  <c r="BQ32" i="1"/>
  <c r="BU33" i="1"/>
  <c r="BU43" i="1"/>
  <c r="BV34" i="1"/>
  <c r="BY33" i="1"/>
  <c r="BU32" i="1"/>
  <c r="BQ49" i="1"/>
  <c r="BQ53" i="1" s="1"/>
  <c r="BQ44" i="1"/>
  <c r="BQ247" i="1"/>
  <c r="BQ248" i="1" s="1"/>
  <c r="AS32" i="1"/>
  <c r="AS43" i="1"/>
  <c r="AS46" i="1" s="1"/>
  <c r="AT34" i="1"/>
  <c r="AW33" i="1"/>
  <c r="AR32" i="1"/>
  <c r="AS34" i="1"/>
  <c r="BI33" i="1"/>
  <c r="BI32" i="1"/>
  <c r="BM33" i="1"/>
  <c r="BI43" i="1"/>
  <c r="BJ34" i="1"/>
  <c r="BP43" i="1"/>
  <c r="BP33" i="1"/>
  <c r="BP32" i="1"/>
  <c r="BQ34" i="1"/>
  <c r="BN199" i="1"/>
  <c r="BM32" i="1"/>
  <c r="BQ33" i="1"/>
  <c r="BM43" i="1"/>
  <c r="BM34" i="1"/>
  <c r="BF32" i="1"/>
  <c r="BJ33" i="1"/>
  <c r="BE34" i="1"/>
  <c r="BS34" i="1"/>
  <c r="BD32" i="1"/>
  <c r="BD43" i="1"/>
  <c r="BD45" i="1" s="1"/>
  <c r="BD33" i="1"/>
  <c r="BE43" i="1"/>
  <c r="BE32" i="1"/>
  <c r="BF34" i="1"/>
  <c r="BC34" i="1"/>
  <c r="BT34" i="1"/>
  <c r="AU33" i="1"/>
  <c r="BW33" i="1"/>
  <c r="Q74" i="1"/>
  <c r="BF44" i="1"/>
  <c r="BF49" i="1"/>
  <c r="BF53" i="1" s="1"/>
  <c r="BF247" i="1"/>
  <c r="BF248" i="1" s="1"/>
  <c r="BO43" i="1"/>
  <c r="V74" i="1"/>
  <c r="BP34" i="1"/>
  <c r="BS33" i="1"/>
  <c r="BO33" i="1"/>
  <c r="BO32" i="1"/>
  <c r="AT49" i="1"/>
  <c r="AT53" i="1" s="1"/>
  <c r="AT44" i="1"/>
  <c r="AT247" i="1"/>
  <c r="AT248" i="1" s="1"/>
  <c r="AJ34" i="1"/>
  <c r="AI32" i="1"/>
  <c r="AM33" i="1"/>
  <c r="AI43" i="1"/>
  <c r="N74" i="1"/>
  <c r="BA44" i="1"/>
  <c r="BA247" i="1"/>
  <c r="BA248" i="1" s="1"/>
  <c r="BA49" i="1"/>
  <c r="BA53" i="1" s="1"/>
  <c r="BA45" i="1"/>
  <c r="AW247" i="1"/>
  <c r="AW248" i="1" s="1"/>
  <c r="AW44" i="1"/>
  <c r="AW49" i="1"/>
  <c r="AW53" i="1" s="1"/>
  <c r="AU34" i="1"/>
  <c r="AV34" i="1"/>
  <c r="AU43" i="1"/>
  <c r="AY33" i="1"/>
  <c r="AU32" i="1"/>
  <c r="BV124" i="1"/>
  <c r="BW52" i="1"/>
  <c r="BS43" i="1"/>
  <c r="BS32" i="1"/>
  <c r="BD34" i="1"/>
  <c r="S74" i="1"/>
  <c r="BC43" i="1"/>
  <c r="BC32" i="1"/>
  <c r="BC33" i="1"/>
  <c r="BA46" i="1"/>
  <c r="BH124" i="1"/>
  <c r="BI52" i="1"/>
  <c r="BR43" i="1"/>
  <c r="BR34" i="1"/>
  <c r="BR32" i="1"/>
  <c r="AZ44" i="1"/>
  <c r="AZ247" i="1"/>
  <c r="AZ248" i="1" s="1"/>
  <c r="AZ49" i="1"/>
  <c r="AZ53" i="1" s="1"/>
  <c r="AQ34" i="1"/>
  <c r="BH43" i="1"/>
  <c r="BH32" i="1"/>
  <c r="BL33" i="1"/>
  <c r="BH33" i="1"/>
  <c r="BB33" i="1"/>
  <c r="AX34" i="1"/>
  <c r="AX32" i="1"/>
  <c r="AX33" i="1"/>
  <c r="AX43" i="1"/>
  <c r="AT110" i="1"/>
  <c r="AT111" i="1"/>
  <c r="AT109" i="1"/>
  <c r="BN33" i="1"/>
  <c r="BR33" i="1"/>
  <c r="BN43" i="1"/>
  <c r="U74" i="1"/>
  <c r="BN32" i="1"/>
  <c r="BN34" i="1"/>
  <c r="AR247" i="1"/>
  <c r="AR248" i="1" s="1"/>
  <c r="BO34" i="1"/>
  <c r="BG34" i="1"/>
  <c r="BG33" i="1"/>
  <c r="BG32" i="1"/>
  <c r="BH34" i="1"/>
  <c r="BK33" i="1"/>
  <c r="T74" i="1"/>
  <c r="BG43" i="1"/>
  <c r="AN43" i="1"/>
  <c r="AO34" i="1"/>
  <c r="AN33" i="1"/>
  <c r="AR33" i="1"/>
  <c r="AN34" i="1"/>
  <c r="AN32" i="1"/>
  <c r="AV43" i="1"/>
  <c r="AV32" i="1"/>
  <c r="AW34" i="1"/>
  <c r="AV33" i="1"/>
  <c r="AZ33" i="1"/>
  <c r="BW34" i="1"/>
  <c r="BW32" i="1"/>
  <c r="X74" i="1"/>
  <c r="CA33" i="1"/>
  <c r="BX34" i="1"/>
  <c r="BW43" i="1"/>
  <c r="BU34" i="1"/>
  <c r="BT43" i="1"/>
  <c r="BX33" i="1"/>
  <c r="BT32" i="1"/>
  <c r="BT33" i="1"/>
  <c r="BV49" i="1"/>
  <c r="BV53" i="1" s="1"/>
  <c r="BZ45" i="1"/>
  <c r="BV44" i="1"/>
  <c r="BV247" i="1"/>
  <c r="BV248" i="1" s="1"/>
  <c r="BW153" i="1"/>
  <c r="BX48" i="1"/>
  <c r="AR49" i="1"/>
  <c r="AR53" i="1" s="1"/>
  <c r="AY34" i="1"/>
  <c r="BI34" i="1"/>
  <c r="BV259" i="1"/>
  <c r="BV261" i="1"/>
  <c r="BR111" i="1"/>
  <c r="BR109" i="1"/>
  <c r="BR110" i="1"/>
  <c r="AO33" i="1"/>
  <c r="AO43" i="1"/>
  <c r="AO32" i="1"/>
  <c r="AS33" i="1"/>
  <c r="BH261" i="1"/>
  <c r="BH259" i="1"/>
  <c r="O74" i="1"/>
  <c r="BV180" i="1"/>
  <c r="BV181" i="1" s="1"/>
  <c r="AQ43" i="1"/>
  <c r="P74" i="1"/>
  <c r="AQ33" i="1"/>
  <c r="AQ32" i="1"/>
  <c r="AR34" i="1"/>
  <c r="BJ48" i="1"/>
  <c r="BI153" i="1"/>
  <c r="BJ218" i="1" s="1"/>
  <c r="BJ216" i="1" s="1"/>
  <c r="BB32" i="1"/>
  <c r="R74" i="1"/>
  <c r="BB43" i="1"/>
  <c r="BF33" i="1"/>
  <c r="BB34" i="1"/>
  <c r="BJ56" i="1"/>
  <c r="BJ55" i="1"/>
  <c r="CR209" i="1"/>
  <c r="CR147" i="1"/>
  <c r="CQ218" i="1"/>
  <c r="CQ216" i="1" s="1"/>
  <c r="AB221" i="1"/>
  <c r="DB78" i="1"/>
  <c r="DB80" i="1" s="1"/>
  <c r="DA80" i="1"/>
  <c r="J228" i="1" l="1"/>
  <c r="P228" i="1"/>
  <c r="AT48" i="1"/>
  <c r="S228" i="1"/>
  <c r="T225" i="1"/>
  <c r="T226" i="1" s="1"/>
  <c r="V204" i="1"/>
  <c r="V205" i="1" s="1"/>
  <c r="M228" i="1"/>
  <c r="N228" i="1"/>
  <c r="C259" i="1"/>
  <c r="C181" i="1"/>
  <c r="B259" i="1"/>
  <c r="B181" i="1"/>
  <c r="Q228" i="1"/>
  <c r="Q225" i="1"/>
  <c r="Q226" i="1" s="1"/>
  <c r="T228" i="1"/>
  <c r="S225" i="1"/>
  <c r="S226" i="1" s="1"/>
  <c r="H225" i="1"/>
  <c r="H226" i="1" s="1"/>
  <c r="D85" i="1"/>
  <c r="P225" i="1"/>
  <c r="P226" i="1" s="1"/>
  <c r="D225" i="1"/>
  <c r="D226" i="1" s="1"/>
  <c r="D228" i="1"/>
  <c r="B102" i="1"/>
  <c r="B100" i="1"/>
  <c r="B101" i="1"/>
  <c r="C102" i="1"/>
  <c r="C100" i="1"/>
  <c r="C85" i="1"/>
  <c r="C101" i="1"/>
  <c r="B104" i="1"/>
  <c r="K228" i="1"/>
  <c r="K225" i="1"/>
  <c r="K226" i="1" s="1"/>
  <c r="U228" i="1"/>
  <c r="U225" i="1"/>
  <c r="U226" i="1" s="1"/>
  <c r="D259" i="1"/>
  <c r="D181" i="1"/>
  <c r="J225" i="1"/>
  <c r="J226" i="1" s="1"/>
  <c r="H228" i="1"/>
  <c r="I225" i="1"/>
  <c r="I226" i="1" s="1"/>
  <c r="I228" i="1"/>
  <c r="N225" i="1"/>
  <c r="N226" i="1" s="1"/>
  <c r="M225" i="1"/>
  <c r="M226" i="1" s="1"/>
  <c r="I204" i="1"/>
  <c r="I205" i="1" s="1"/>
  <c r="G225" i="1"/>
  <c r="G226" i="1" s="1"/>
  <c r="G228" i="1"/>
  <c r="F228" i="1"/>
  <c r="F225" i="1"/>
  <c r="F226" i="1" s="1"/>
  <c r="E225" i="1"/>
  <c r="E226" i="1" s="1"/>
  <c r="E228" i="1"/>
  <c r="C225" i="1"/>
  <c r="C226" i="1" s="1"/>
  <c r="C228" i="1"/>
  <c r="AW52" i="1"/>
  <c r="AV124" i="1"/>
  <c r="BS153" i="1"/>
  <c r="BT48" i="1"/>
  <c r="BR261" i="1"/>
  <c r="BR259" i="1"/>
  <c r="V225" i="1"/>
  <c r="V226" i="1" s="1"/>
  <c r="V228" i="1"/>
  <c r="AP48" i="1"/>
  <c r="AO153" i="1"/>
  <c r="AN109" i="1"/>
  <c r="AN111" i="1"/>
  <c r="O228" i="1"/>
  <c r="J204" i="1"/>
  <c r="J205" i="1" s="1"/>
  <c r="Q204" i="1"/>
  <c r="Q205" i="1" s="1"/>
  <c r="O225" i="1"/>
  <c r="O226" i="1" s="1"/>
  <c r="BR180" i="1"/>
  <c r="BR181" i="1" s="1"/>
  <c r="R225" i="1"/>
  <c r="R226" i="1" s="1"/>
  <c r="R228" i="1"/>
  <c r="BB124" i="1"/>
  <c r="BC52" i="1"/>
  <c r="L228" i="1"/>
  <c r="L225" i="1"/>
  <c r="L226" i="1" s="1"/>
  <c r="D100" i="1"/>
  <c r="D101" i="1"/>
  <c r="D102" i="1"/>
  <c r="C104" i="1"/>
  <c r="AR181" i="1"/>
  <c r="AN180" i="1"/>
  <c r="AN181" i="1" s="1"/>
  <c r="BP180" i="1"/>
  <c r="BP181" i="1" s="1"/>
  <c r="BA266" i="1"/>
  <c r="BN124" i="1"/>
  <c r="BO52" i="1"/>
  <c r="AZ48" i="1"/>
  <c r="AY153" i="1"/>
  <c r="L204" i="1"/>
  <c r="L205" i="1" s="1"/>
  <c r="K204" i="1"/>
  <c r="K205" i="1" s="1"/>
  <c r="E204" i="1"/>
  <c r="E205" i="1" s="1"/>
  <c r="F204" i="1"/>
  <c r="F205" i="1" s="1"/>
  <c r="H204" i="1"/>
  <c r="H205" i="1" s="1"/>
  <c r="G204" i="1"/>
  <c r="G205" i="1" s="1"/>
  <c r="BN218" i="1"/>
  <c r="BN216" i="1" s="1"/>
  <c r="BN261" i="1"/>
  <c r="BN259" i="1"/>
  <c r="BN111" i="1"/>
  <c r="BN110" i="1"/>
  <c r="BN109" i="1"/>
  <c r="BP124" i="1"/>
  <c r="BQ52" i="1"/>
  <c r="C204" i="1"/>
  <c r="C205" i="1" s="1"/>
  <c r="D204" i="1"/>
  <c r="D205" i="1" s="1"/>
  <c r="BB180" i="1"/>
  <c r="BB181" i="1" s="1"/>
  <c r="BF180" i="1"/>
  <c r="BF181" i="1" s="1"/>
  <c r="BT180" i="1"/>
  <c r="BT181" i="1" s="1"/>
  <c r="BF261" i="1"/>
  <c r="BF259" i="1"/>
  <c r="AP261" i="1"/>
  <c r="AP259" i="1"/>
  <c r="BG52" i="1"/>
  <c r="BF124" i="1"/>
  <c r="BD48" i="1"/>
  <c r="BC153" i="1"/>
  <c r="BN180" i="1"/>
  <c r="BN181" i="1" s="1"/>
  <c r="AZ180" i="1"/>
  <c r="AZ181" i="1" s="1"/>
  <c r="AN259" i="1"/>
  <c r="AN218" i="1"/>
  <c r="AN216" i="1" s="1"/>
  <c r="BT261" i="1"/>
  <c r="BT259" i="1"/>
  <c r="AW153" i="1"/>
  <c r="AX48" i="1"/>
  <c r="BS52" i="1"/>
  <c r="BR124" i="1"/>
  <c r="BA153" i="1"/>
  <c r="BB48" i="1"/>
  <c r="AZ259" i="1"/>
  <c r="AZ261" i="1"/>
  <c r="BR48" i="1"/>
  <c r="BQ153" i="1"/>
  <c r="AN196" i="1"/>
  <c r="AN201" i="1"/>
  <c r="BB261" i="1"/>
  <c r="BB259" i="1"/>
  <c r="BG153" i="1"/>
  <c r="BH48" i="1"/>
  <c r="AV259" i="1"/>
  <c r="AV261" i="1"/>
  <c r="BE153" i="1"/>
  <c r="BF48" i="1"/>
  <c r="BD259" i="1"/>
  <c r="BD261" i="1"/>
  <c r="S204" i="1"/>
  <c r="S205" i="1" s="1"/>
  <c r="R204" i="1"/>
  <c r="R205" i="1" s="1"/>
  <c r="AX261" i="1"/>
  <c r="AX259" i="1"/>
  <c r="AU52" i="1"/>
  <c r="AT124" i="1"/>
  <c r="AP180" i="1"/>
  <c r="AP181" i="1" s="1"/>
  <c r="BD180" i="1"/>
  <c r="BD181" i="1" s="1"/>
  <c r="AR109" i="1"/>
  <c r="AR111" i="1"/>
  <c r="AR110" i="1"/>
  <c r="AX111" i="1"/>
  <c r="AX110" i="1"/>
  <c r="AX109" i="1"/>
  <c r="BV48" i="1"/>
  <c r="BU153" i="1"/>
  <c r="AQ153" i="1"/>
  <c r="AR48" i="1"/>
  <c r="AT201" i="1"/>
  <c r="AT196" i="1"/>
  <c r="AO52" i="1"/>
  <c r="AN124" i="1"/>
  <c r="AR201" i="1"/>
  <c r="AR199" i="1"/>
  <c r="AV48" i="1"/>
  <c r="AU153" i="1"/>
  <c r="BD110" i="1"/>
  <c r="BD109" i="1"/>
  <c r="BD111" i="1"/>
  <c r="BU52" i="1"/>
  <c r="BT124" i="1"/>
  <c r="BE52" i="1"/>
  <c r="BD124" i="1"/>
  <c r="AV111" i="1"/>
  <c r="AV109" i="1"/>
  <c r="AV110" i="1"/>
  <c r="T204" i="1"/>
  <c r="T205" i="1" s="1"/>
  <c r="U204" i="1"/>
  <c r="U205" i="1" s="1"/>
  <c r="P204" i="1"/>
  <c r="P205" i="1" s="1"/>
  <c r="O204" i="1"/>
  <c r="O205" i="1" s="1"/>
  <c r="AV180" i="1"/>
  <c r="AV181" i="1" s="1"/>
  <c r="AX180" i="1"/>
  <c r="AX181" i="1" s="1"/>
  <c r="BP48" i="1"/>
  <c r="BO153" i="1"/>
  <c r="BP261" i="1"/>
  <c r="BP259" i="1"/>
  <c r="AY52" i="1"/>
  <c r="AX124" i="1"/>
  <c r="AT180" i="1"/>
  <c r="AT181" i="1" s="1"/>
  <c r="AT261" i="1"/>
  <c r="AT259" i="1"/>
  <c r="AP124" i="1"/>
  <c r="AQ52" i="1"/>
  <c r="AZ124" i="1"/>
  <c r="BA52" i="1"/>
  <c r="M204" i="1"/>
  <c r="M205" i="1" s="1"/>
  <c r="N204" i="1"/>
  <c r="N205" i="1" s="1"/>
  <c r="AZ110" i="1"/>
  <c r="AZ111" i="1"/>
  <c r="AZ109" i="1"/>
  <c r="AP201" i="1"/>
  <c r="AP204" i="1" s="1"/>
  <c r="AP199" i="1"/>
  <c r="AX196" i="1"/>
  <c r="AX201" i="1"/>
  <c r="BF196" i="1"/>
  <c r="BF201" i="1"/>
  <c r="BJ204" i="1" s="1"/>
  <c r="BT111" i="1"/>
  <c r="BT110" i="1"/>
  <c r="BT109" i="1"/>
  <c r="BF110" i="1"/>
  <c r="BF111" i="1"/>
  <c r="BF109" i="1"/>
  <c r="AV196" i="1"/>
  <c r="BR196" i="1"/>
  <c r="BN196" i="1"/>
  <c r="BN201" i="1"/>
  <c r="BB201" i="1"/>
  <c r="BB196" i="1"/>
  <c r="BD196" i="1"/>
  <c r="BD201" i="1"/>
  <c r="BT201" i="1"/>
  <c r="BT196" i="1"/>
  <c r="BX218" i="1"/>
  <c r="BX216" i="1" s="1"/>
  <c r="BW218" i="1"/>
  <c r="BW216" i="1" s="1"/>
  <c r="AZ201" i="1"/>
  <c r="AZ204" i="1" s="1"/>
  <c r="AZ196" i="1"/>
  <c r="BA241" i="1"/>
  <c r="BL127" i="1"/>
  <c r="AQ265" i="1"/>
  <c r="AQ266" i="1" s="1"/>
  <c r="AT45" i="1"/>
  <c r="AQ46" i="1"/>
  <c r="BS241" i="1"/>
  <c r="BO45" i="1"/>
  <c r="BK45" i="1"/>
  <c r="BX241" i="1"/>
  <c r="BK46" i="1"/>
  <c r="BK44" i="1"/>
  <c r="BL46" i="1"/>
  <c r="BK247" i="1"/>
  <c r="BK248" i="1" s="1"/>
  <c r="BK49" i="1"/>
  <c r="BK53" i="1" s="1"/>
  <c r="BK265" i="1"/>
  <c r="BK266" i="1" s="1"/>
  <c r="BL265" i="1"/>
  <c r="BL266" i="1" s="1"/>
  <c r="AM109" i="1"/>
  <c r="AM110" i="1"/>
  <c r="AM111" i="1"/>
  <c r="AY44" i="1"/>
  <c r="AY247" i="1"/>
  <c r="AY248" i="1" s="1"/>
  <c r="AY49" i="1"/>
  <c r="AY53" i="1" s="1"/>
  <c r="AZ265" i="1"/>
  <c r="AZ266" i="1" s="1"/>
  <c r="AZ46" i="1"/>
  <c r="AP44" i="1"/>
  <c r="AP45" i="1"/>
  <c r="AP247" i="1"/>
  <c r="AP248" i="1" s="1"/>
  <c r="AP49" i="1"/>
  <c r="AP53" i="1" s="1"/>
  <c r="BV265" i="1"/>
  <c r="BV266" i="1" s="1"/>
  <c r="BV46" i="1"/>
  <c r="BM127" i="1"/>
  <c r="BM241" i="1"/>
  <c r="BU45" i="1"/>
  <c r="BU44" i="1"/>
  <c r="BU247" i="1"/>
  <c r="BU248" i="1" s="1"/>
  <c r="BY45" i="1"/>
  <c r="BU49" i="1"/>
  <c r="BU53" i="1" s="1"/>
  <c r="S75" i="1"/>
  <c r="BK127" i="1"/>
  <c r="U75" i="1"/>
  <c r="AS218" i="1"/>
  <c r="AS216" i="1" s="1"/>
  <c r="AT218" i="1"/>
  <c r="AT216" i="1" s="1"/>
  <c r="AS247" i="1"/>
  <c r="AS248" i="1" s="1"/>
  <c r="AS49" i="1"/>
  <c r="AS53" i="1" s="1"/>
  <c r="AW45" i="1"/>
  <c r="AT46" i="1"/>
  <c r="AS265" i="1"/>
  <c r="AS266" i="1" s="1"/>
  <c r="AS44" i="1"/>
  <c r="AT265" i="1"/>
  <c r="AT266" i="1" s="1"/>
  <c r="AS241" i="1"/>
  <c r="AS127" i="1"/>
  <c r="BF265" i="1"/>
  <c r="BF266" i="1" s="1"/>
  <c r="BE45" i="1"/>
  <c r="BI247" i="1"/>
  <c r="BI248" i="1" s="1"/>
  <c r="BI49" i="1"/>
  <c r="BI44" i="1"/>
  <c r="BL241" i="1"/>
  <c r="BJ46" i="1"/>
  <c r="BJ265" i="1"/>
  <c r="BJ266" i="1" s="1"/>
  <c r="BQ46" i="1"/>
  <c r="BP44" i="1"/>
  <c r="BP45" i="1"/>
  <c r="BP247" i="1"/>
  <c r="BP248" i="1" s="1"/>
  <c r="BP49" i="1"/>
  <c r="BP53" i="1" s="1"/>
  <c r="BQ265" i="1"/>
  <c r="BQ266" i="1" s="1"/>
  <c r="BM49" i="1"/>
  <c r="BM53" i="1" s="1"/>
  <c r="BM44" i="1"/>
  <c r="BQ45" i="1"/>
  <c r="BM46" i="1"/>
  <c r="BM45" i="1"/>
  <c r="BM247" i="1"/>
  <c r="BM248" i="1" s="1"/>
  <c r="BM265" i="1"/>
  <c r="BM266" i="1" s="1"/>
  <c r="BD265" i="1"/>
  <c r="BD266" i="1" s="1"/>
  <c r="O75" i="1"/>
  <c r="AP46" i="1"/>
  <c r="BE46" i="1"/>
  <c r="BD49" i="1"/>
  <c r="BD53" i="1" s="1"/>
  <c r="BD44" i="1"/>
  <c r="BD247" i="1"/>
  <c r="BD248" i="1" s="1"/>
  <c r="BE265" i="1"/>
  <c r="BE266" i="1" s="1"/>
  <c r="BI45" i="1"/>
  <c r="BE247" i="1"/>
  <c r="BE248" i="1" s="1"/>
  <c r="BE44" i="1"/>
  <c r="BE49" i="1"/>
  <c r="BE53" i="1" s="1"/>
  <c r="BF46" i="1"/>
  <c r="BF56" i="1"/>
  <c r="BF55" i="1"/>
  <c r="BO44" i="1"/>
  <c r="BO49" i="1"/>
  <c r="BO53" i="1" s="1"/>
  <c r="BO247" i="1"/>
  <c r="BO248" i="1" s="1"/>
  <c r="BP46" i="1"/>
  <c r="BP265" i="1"/>
  <c r="BP266" i="1" s="1"/>
  <c r="BH125" i="1"/>
  <c r="BH126" i="1"/>
  <c r="AX241" i="1"/>
  <c r="BT265" i="1"/>
  <c r="BT266" i="1" s="1"/>
  <c r="BC46" i="1"/>
  <c r="AJ46" i="1"/>
  <c r="AL127" i="1"/>
  <c r="AI44" i="1"/>
  <c r="AM45" i="1"/>
  <c r="AI49" i="1"/>
  <c r="N75" i="1"/>
  <c r="AL241" i="1"/>
  <c r="AI247" i="1"/>
  <c r="AI248" i="1" s="1"/>
  <c r="AW241" i="1"/>
  <c r="AU241" i="1"/>
  <c r="AW127" i="1"/>
  <c r="AU46" i="1"/>
  <c r="AU265" i="1"/>
  <c r="AU266" i="1" s="1"/>
  <c r="AU127" i="1"/>
  <c r="AV241" i="1"/>
  <c r="AU247" i="1"/>
  <c r="AU248" i="1" s="1"/>
  <c r="AU44" i="1"/>
  <c r="AU49" i="1"/>
  <c r="AU53" i="1" s="1"/>
  <c r="AY45" i="1"/>
  <c r="AV46" i="1"/>
  <c r="AV265" i="1"/>
  <c r="AV266" i="1" s="1"/>
  <c r="AU45" i="1"/>
  <c r="BV125" i="1"/>
  <c r="BV126" i="1"/>
  <c r="BS45" i="1"/>
  <c r="BS49" i="1"/>
  <c r="BS53" i="1" s="1"/>
  <c r="BS44" i="1"/>
  <c r="BS247" i="1"/>
  <c r="BS248" i="1" s="1"/>
  <c r="BS265" i="1"/>
  <c r="BS266" i="1" s="1"/>
  <c r="BD46" i="1"/>
  <c r="BG45" i="1"/>
  <c r="BF127" i="1"/>
  <c r="BC49" i="1"/>
  <c r="BC44" i="1"/>
  <c r="BC247" i="1"/>
  <c r="BC248" i="1" s="1"/>
  <c r="BF241" i="1"/>
  <c r="BC45" i="1"/>
  <c r="BV45" i="1"/>
  <c r="BS127" i="1"/>
  <c r="BT241" i="1"/>
  <c r="AQ241" i="1"/>
  <c r="AZ56" i="1"/>
  <c r="AZ55" i="1"/>
  <c r="BV241" i="1"/>
  <c r="BR265" i="1"/>
  <c r="BR266" i="1" s="1"/>
  <c r="BR44" i="1"/>
  <c r="BR46" i="1"/>
  <c r="BS46" i="1"/>
  <c r="V75" i="1"/>
  <c r="BR241" i="1"/>
  <c r="BR247" i="1"/>
  <c r="BR248" i="1" s="1"/>
  <c r="BR127" i="1"/>
  <c r="BR49" i="1"/>
  <c r="BN127" i="1"/>
  <c r="BN241" i="1"/>
  <c r="BA127" i="1"/>
  <c r="AX127" i="1"/>
  <c r="AY127" i="1"/>
  <c r="AY241" i="1"/>
  <c r="AY46" i="1"/>
  <c r="AY265" i="1"/>
  <c r="AY266" i="1" s="1"/>
  <c r="AZ127" i="1"/>
  <c r="BV127" i="1"/>
  <c r="AQ127" i="1"/>
  <c r="BT127" i="1"/>
  <c r="BT46" i="1"/>
  <c r="AR241" i="1"/>
  <c r="AP241" i="1"/>
  <c r="AP265" i="1"/>
  <c r="AP266" i="1" s="1"/>
  <c r="AP127" i="1"/>
  <c r="BK241" i="1"/>
  <c r="BX127" i="1"/>
  <c r="AV127" i="1"/>
  <c r="Q75" i="1"/>
  <c r="BI218" i="1"/>
  <c r="BI216" i="1" s="1"/>
  <c r="BV55" i="1"/>
  <c r="BV56" i="1"/>
  <c r="BD241" i="1"/>
  <c r="BC127" i="1"/>
  <c r="BC241" i="1"/>
  <c r="BB241" i="1"/>
  <c r="R75" i="1"/>
  <c r="AV49" i="1"/>
  <c r="AZ45" i="1"/>
  <c r="AV44" i="1"/>
  <c r="AV247" i="1"/>
  <c r="AV248" i="1" s="1"/>
  <c r="AW265" i="1"/>
  <c r="AW266" i="1" s="1"/>
  <c r="AW46" i="1"/>
  <c r="BG44" i="1"/>
  <c r="BH241" i="1"/>
  <c r="T75" i="1"/>
  <c r="BG127" i="1"/>
  <c r="BJ127" i="1"/>
  <c r="BG265" i="1"/>
  <c r="BG266" i="1" s="1"/>
  <c r="BI241" i="1"/>
  <c r="BG49" i="1"/>
  <c r="BI127" i="1"/>
  <c r="BG247" i="1"/>
  <c r="BG248" i="1" s="1"/>
  <c r="BH127" i="1"/>
  <c r="BJ241" i="1"/>
  <c r="BH46" i="1"/>
  <c r="BG241" i="1"/>
  <c r="BG46" i="1"/>
  <c r="BL45" i="1"/>
  <c r="BH44" i="1"/>
  <c r="BH49" i="1"/>
  <c r="BH53" i="1" s="1"/>
  <c r="BH247" i="1"/>
  <c r="BH248" i="1" s="1"/>
  <c r="BH265" i="1"/>
  <c r="BH266" i="1" s="1"/>
  <c r="BH45" i="1"/>
  <c r="BI265" i="1"/>
  <c r="BI266" i="1" s="1"/>
  <c r="BI46" i="1"/>
  <c r="BW45" i="1"/>
  <c r="AN265" i="1"/>
  <c r="AN266" i="1" s="1"/>
  <c r="AN49" i="1"/>
  <c r="AO241" i="1"/>
  <c r="AN46" i="1"/>
  <c r="AN44" i="1"/>
  <c r="AN247" i="1"/>
  <c r="AN248" i="1" s="1"/>
  <c r="AN241" i="1"/>
  <c r="AR45" i="1"/>
  <c r="AO127" i="1"/>
  <c r="AN127" i="1"/>
  <c r="AO46" i="1"/>
  <c r="AN45" i="1"/>
  <c r="BW46" i="1"/>
  <c r="BN49" i="1"/>
  <c r="BP241" i="1"/>
  <c r="BO241" i="1"/>
  <c r="BR45" i="1"/>
  <c r="BQ127" i="1"/>
  <c r="BN44" i="1"/>
  <c r="BO46" i="1"/>
  <c r="BN46" i="1"/>
  <c r="BN247" i="1"/>
  <c r="BN248" i="1" s="1"/>
  <c r="BO265" i="1"/>
  <c r="BO266" i="1" s="1"/>
  <c r="BN265" i="1"/>
  <c r="BN266" i="1" s="1"/>
  <c r="BN45" i="1"/>
  <c r="BP127" i="1"/>
  <c r="BQ241" i="1"/>
  <c r="BO127" i="1"/>
  <c r="AX265" i="1"/>
  <c r="AX266" i="1" s="1"/>
  <c r="AX247" i="1"/>
  <c r="AX248" i="1" s="1"/>
  <c r="AX45" i="1"/>
  <c r="BB45" i="1"/>
  <c r="AZ241" i="1"/>
  <c r="AX49" i="1"/>
  <c r="AX46" i="1"/>
  <c r="AX44" i="1"/>
  <c r="BB49" i="1"/>
  <c r="BF45" i="1"/>
  <c r="BB247" i="1"/>
  <c r="BB248" i="1" s="1"/>
  <c r="BB127" i="1"/>
  <c r="BD127" i="1"/>
  <c r="BB44" i="1"/>
  <c r="BB265" i="1"/>
  <c r="BB266" i="1" s="1"/>
  <c r="BB46" i="1"/>
  <c r="BW241" i="1"/>
  <c r="BW247" i="1"/>
  <c r="BW248" i="1" s="1"/>
  <c r="BX46" i="1"/>
  <c r="X75" i="1"/>
  <c r="BW44" i="1"/>
  <c r="BZ127" i="1"/>
  <c r="BZ241" i="1"/>
  <c r="BW265" i="1"/>
  <c r="BW266" i="1" s="1"/>
  <c r="BW49" i="1"/>
  <c r="BY127" i="1"/>
  <c r="CA45" i="1"/>
  <c r="BX265" i="1"/>
  <c r="BX266" i="1" s="1"/>
  <c r="BY241" i="1"/>
  <c r="BC265" i="1"/>
  <c r="BC266" i="1" s="1"/>
  <c r="BE241" i="1"/>
  <c r="BE127" i="1"/>
  <c r="AQ44" i="1"/>
  <c r="AT241" i="1"/>
  <c r="AQ247" i="1"/>
  <c r="AQ248" i="1" s="1"/>
  <c r="P75" i="1"/>
  <c r="AQ49" i="1"/>
  <c r="AQ45" i="1"/>
  <c r="AR46" i="1"/>
  <c r="AR265" i="1"/>
  <c r="AR266" i="1" s="1"/>
  <c r="AT127" i="1"/>
  <c r="AO247" i="1"/>
  <c r="AO248" i="1" s="1"/>
  <c r="AO49" i="1"/>
  <c r="AO53" i="1" s="1"/>
  <c r="AO55" i="1" s="1"/>
  <c r="AR127" i="1"/>
  <c r="AO265" i="1"/>
  <c r="AO266" i="1" s="1"/>
  <c r="AO45" i="1"/>
  <c r="AS45" i="1"/>
  <c r="AO44" i="1"/>
  <c r="AR56" i="1"/>
  <c r="AR55" i="1"/>
  <c r="BT49" i="1"/>
  <c r="BU265" i="1"/>
  <c r="BU266" i="1" s="1"/>
  <c r="BT44" i="1"/>
  <c r="BX45" i="1"/>
  <c r="BU46" i="1"/>
  <c r="BT247" i="1"/>
  <c r="BT248" i="1" s="1"/>
  <c r="BT45" i="1"/>
  <c r="BW127" i="1"/>
  <c r="BU127" i="1"/>
  <c r="AV45" i="1"/>
  <c r="BJ249" i="1"/>
  <c r="BJ57" i="1"/>
  <c r="BJ260" i="1" s="1"/>
  <c r="BJ63" i="1"/>
  <c r="BQ55" i="1"/>
  <c r="BQ56" i="1"/>
  <c r="BA56" i="1"/>
  <c r="BA55" i="1"/>
  <c r="AW55" i="1"/>
  <c r="AW56" i="1"/>
  <c r="AT56" i="1"/>
  <c r="AT55" i="1"/>
  <c r="CR149" i="1"/>
  <c r="AE157" i="1"/>
  <c r="AC139" i="1"/>
  <c r="AV125" i="1" l="1"/>
  <c r="AV128" i="1" s="1"/>
  <c r="AV126" i="1"/>
  <c r="AV129" i="1" s="1"/>
  <c r="BT218" i="1"/>
  <c r="BT216" i="1" s="1"/>
  <c r="BS218" i="1"/>
  <c r="BS216" i="1" s="1"/>
  <c r="AP218" i="1"/>
  <c r="AP216" i="1" s="1"/>
  <c r="AO218" i="1"/>
  <c r="AO216" i="1" s="1"/>
  <c r="BB126" i="1"/>
  <c r="BB129" i="1" s="1"/>
  <c r="BB125" i="1"/>
  <c r="BB128" i="1" s="1"/>
  <c r="BN126" i="1"/>
  <c r="BN129" i="1" s="1"/>
  <c r="BN125" i="1"/>
  <c r="BN128" i="1" s="1"/>
  <c r="BP125" i="1"/>
  <c r="BP128" i="1" s="1"/>
  <c r="BP126" i="1"/>
  <c r="BP129" i="1" s="1"/>
  <c r="AY218" i="1"/>
  <c r="AY216" i="1" s="1"/>
  <c r="AZ218" i="1"/>
  <c r="AZ216" i="1" s="1"/>
  <c r="BF126" i="1"/>
  <c r="BF129" i="1" s="1"/>
  <c r="BF125" i="1"/>
  <c r="BF128" i="1" s="1"/>
  <c r="BC218" i="1"/>
  <c r="BC216" i="1" s="1"/>
  <c r="BD218" i="1"/>
  <c r="BD216" i="1" s="1"/>
  <c r="AX218" i="1"/>
  <c r="AX216" i="1" s="1"/>
  <c r="AW218" i="1"/>
  <c r="AW216" i="1" s="1"/>
  <c r="BB218" i="1"/>
  <c r="BB216" i="1" s="1"/>
  <c r="BA218" i="1"/>
  <c r="BA216" i="1" s="1"/>
  <c r="BR218" i="1"/>
  <c r="BR216" i="1" s="1"/>
  <c r="BQ218" i="1"/>
  <c r="BQ216" i="1" s="1"/>
  <c r="BH218" i="1"/>
  <c r="BH216" i="1" s="1"/>
  <c r="BG218" i="1"/>
  <c r="BG216" i="1" s="1"/>
  <c r="AR218" i="1"/>
  <c r="AR216" i="1" s="1"/>
  <c r="AQ218" i="1"/>
  <c r="AQ216" i="1" s="1"/>
  <c r="AR204" i="1"/>
  <c r="AV204" i="1"/>
  <c r="BR125" i="1"/>
  <c r="BR128" i="1" s="1"/>
  <c r="BR126" i="1"/>
  <c r="BR129" i="1" s="1"/>
  <c r="BE218" i="1"/>
  <c r="BE216" i="1" s="1"/>
  <c r="BF218" i="1"/>
  <c r="BF216" i="1" s="1"/>
  <c r="AT126" i="1"/>
  <c r="AT129" i="1" s="1"/>
  <c r="AT125" i="1"/>
  <c r="AT128" i="1" s="1"/>
  <c r="AN126" i="1"/>
  <c r="AN129" i="1" s="1"/>
  <c r="AN125" i="1"/>
  <c r="AN128" i="1" s="1"/>
  <c r="AT204" i="1"/>
  <c r="AX204" i="1"/>
  <c r="BV218" i="1"/>
  <c r="BV216" i="1" s="1"/>
  <c r="BU218" i="1"/>
  <c r="BU216" i="1" s="1"/>
  <c r="AV218" i="1"/>
  <c r="AV216" i="1" s="1"/>
  <c r="AU218" i="1"/>
  <c r="AU216" i="1" s="1"/>
  <c r="BT126" i="1"/>
  <c r="BT129" i="1" s="1"/>
  <c r="BT125" i="1"/>
  <c r="BT128" i="1" s="1"/>
  <c r="BD126" i="1"/>
  <c r="BD129" i="1" s="1"/>
  <c r="BD125" i="1"/>
  <c r="BD128" i="1" s="1"/>
  <c r="BO218" i="1"/>
  <c r="BO216" i="1" s="1"/>
  <c r="BP218" i="1"/>
  <c r="BP216" i="1" s="1"/>
  <c r="AX125" i="1"/>
  <c r="AX128" i="1" s="1"/>
  <c r="AX126" i="1"/>
  <c r="AX129" i="1" s="1"/>
  <c r="AP125" i="1"/>
  <c r="AP128" i="1" s="1"/>
  <c r="AP126" i="1"/>
  <c r="AP129" i="1" s="1"/>
  <c r="AZ125" i="1"/>
  <c r="AZ128" i="1" s="1"/>
  <c r="AZ126" i="1"/>
  <c r="AZ129" i="1" s="1"/>
  <c r="BH204" i="1"/>
  <c r="BD204" i="1"/>
  <c r="BN204" i="1"/>
  <c r="BR204" i="1"/>
  <c r="BB204" i="1"/>
  <c r="BF204" i="1"/>
  <c r="BT204" i="1"/>
  <c r="BX204" i="1"/>
  <c r="BL128" i="1"/>
  <c r="BL129" i="1"/>
  <c r="BK56" i="1"/>
  <c r="BK55" i="1"/>
  <c r="AY55" i="1"/>
  <c r="AY56" i="1"/>
  <c r="AP55" i="1"/>
  <c r="AP56" i="1"/>
  <c r="AP58" i="1" s="1"/>
  <c r="BU56" i="1"/>
  <c r="BY58" i="1" s="1"/>
  <c r="BU55" i="1"/>
  <c r="AS55" i="1"/>
  <c r="AS56" i="1"/>
  <c r="AS59" i="1" s="1"/>
  <c r="BP55" i="1"/>
  <c r="BP56" i="1"/>
  <c r="BQ59" i="1" s="1"/>
  <c r="BI53" i="1"/>
  <c r="BL70" i="1"/>
  <c r="BM55" i="1"/>
  <c r="BM56" i="1"/>
  <c r="BV128" i="1"/>
  <c r="BE55" i="1"/>
  <c r="BE56" i="1"/>
  <c r="BF249" i="1"/>
  <c r="BF57" i="1"/>
  <c r="BF260" i="1" s="1"/>
  <c r="BF63" i="1"/>
  <c r="BJ58" i="1"/>
  <c r="BD70" i="1"/>
  <c r="BV70" i="1"/>
  <c r="BD55" i="1"/>
  <c r="BD56" i="1"/>
  <c r="BO56" i="1"/>
  <c r="BO55" i="1"/>
  <c r="AL129" i="1"/>
  <c r="AL128" i="1"/>
  <c r="AI53" i="1"/>
  <c r="AL70" i="1"/>
  <c r="AU56" i="1"/>
  <c r="AU55" i="1"/>
  <c r="BC53" i="1"/>
  <c r="BF70" i="1"/>
  <c r="BX128" i="1"/>
  <c r="BX129" i="1"/>
  <c r="AZ249" i="1"/>
  <c r="AZ63" i="1"/>
  <c r="AZ57" i="1"/>
  <c r="AZ260" i="1" s="1"/>
  <c r="BR53" i="1"/>
  <c r="BR70" i="1"/>
  <c r="AR70" i="1"/>
  <c r="AP70" i="1"/>
  <c r="BV129" i="1"/>
  <c r="AO56" i="1"/>
  <c r="AR57" i="1"/>
  <c r="AR260" i="1" s="1"/>
  <c r="AR63" i="1"/>
  <c r="AR249" i="1"/>
  <c r="AX53" i="1"/>
  <c r="AZ70" i="1"/>
  <c r="BN53" i="1"/>
  <c r="BP70" i="1"/>
  <c r="BV57" i="1"/>
  <c r="BV260" i="1" s="1"/>
  <c r="BV63" i="1"/>
  <c r="BV249" i="1"/>
  <c r="BZ58" i="1"/>
  <c r="BH56" i="1"/>
  <c r="BH55" i="1"/>
  <c r="AQ53" i="1"/>
  <c r="AT70" i="1"/>
  <c r="BX70" i="1"/>
  <c r="BZ70" i="1"/>
  <c r="BW53" i="1"/>
  <c r="BB53" i="1"/>
  <c r="BB70" i="1"/>
  <c r="AN70" i="1"/>
  <c r="AN53" i="1"/>
  <c r="BH128" i="1"/>
  <c r="BH129" i="1"/>
  <c r="AV53" i="1"/>
  <c r="AV70" i="1"/>
  <c r="AX70" i="1"/>
  <c r="BT53" i="1"/>
  <c r="BT70" i="1"/>
  <c r="BJ128" i="1"/>
  <c r="BJ129" i="1"/>
  <c r="BN70" i="1"/>
  <c r="BY70" i="1"/>
  <c r="BZ128" i="1"/>
  <c r="BZ129" i="1"/>
  <c r="BJ70" i="1"/>
  <c r="BG53" i="1"/>
  <c r="BH70" i="1"/>
  <c r="BS55" i="1"/>
  <c r="BS56" i="1"/>
  <c r="BJ67" i="1"/>
  <c r="BJ208" i="1"/>
  <c r="BJ210" i="1" s="1"/>
  <c r="BJ81" i="1"/>
  <c r="BQ57" i="1"/>
  <c r="BQ260" i="1" s="1"/>
  <c r="BQ63" i="1"/>
  <c r="BQ249" i="1"/>
  <c r="AT63" i="1"/>
  <c r="AT249" i="1"/>
  <c r="AT57" i="1"/>
  <c r="AT260" i="1" s="1"/>
  <c r="BA249" i="1"/>
  <c r="BA57" i="1"/>
  <c r="BA260" i="1" s="1"/>
  <c r="BA59" i="1"/>
  <c r="BA63" i="1"/>
  <c r="AW63" i="1"/>
  <c r="AW249" i="1"/>
  <c r="AW57" i="1"/>
  <c r="AW260" i="1" s="1"/>
  <c r="BA58" i="1"/>
  <c r="CR153" i="1"/>
  <c r="CS47" i="1"/>
  <c r="BL59" i="1" l="1"/>
  <c r="BK63" i="1"/>
  <c r="BK57" i="1"/>
  <c r="BK260" i="1" s="1"/>
  <c r="AY249" i="1"/>
  <c r="AY57" i="1"/>
  <c r="AY260" i="1" s="1"/>
  <c r="AT58" i="1"/>
  <c r="AP249" i="1"/>
  <c r="AP63" i="1"/>
  <c r="AP57" i="1"/>
  <c r="AP260" i="1" s="1"/>
  <c r="AZ59" i="1"/>
  <c r="AY63" i="1"/>
  <c r="BU57" i="1"/>
  <c r="BU260" i="1" s="1"/>
  <c r="BU249" i="1"/>
  <c r="BU63" i="1"/>
  <c r="BK59" i="1"/>
  <c r="BK249" i="1"/>
  <c r="AS63" i="1"/>
  <c r="AS57" i="1"/>
  <c r="AS260" i="1" s="1"/>
  <c r="BV59" i="1"/>
  <c r="BU58" i="1"/>
  <c r="AS249" i="1"/>
  <c r="AT59" i="1"/>
  <c r="AW58" i="1"/>
  <c r="BP63" i="1"/>
  <c r="BP58" i="1"/>
  <c r="BP249" i="1"/>
  <c r="BP57" i="1"/>
  <c r="BP260" i="1" s="1"/>
  <c r="BI56" i="1"/>
  <c r="BI59" i="1" s="1"/>
  <c r="BI55" i="1"/>
  <c r="BM63" i="1"/>
  <c r="BM59" i="1"/>
  <c r="BM249" i="1"/>
  <c r="BM242" i="1"/>
  <c r="BQ58" i="1"/>
  <c r="BM57" i="1"/>
  <c r="BM260" i="1" s="1"/>
  <c r="BE57" i="1"/>
  <c r="BE260" i="1" s="1"/>
  <c r="BE63" i="1"/>
  <c r="BE249" i="1"/>
  <c r="BF59" i="1"/>
  <c r="BF67" i="1"/>
  <c r="BF208" i="1"/>
  <c r="BF210" i="1" s="1"/>
  <c r="BF81" i="1"/>
  <c r="BC56" i="1"/>
  <c r="BC55" i="1"/>
  <c r="BS58" i="1"/>
  <c r="BE58" i="1"/>
  <c r="BD63" i="1"/>
  <c r="BD249" i="1"/>
  <c r="BD57" i="1"/>
  <c r="BD260" i="1" s="1"/>
  <c r="BD58" i="1"/>
  <c r="BE59" i="1"/>
  <c r="BO249" i="1"/>
  <c r="BO57" i="1"/>
  <c r="BO260" i="1" s="1"/>
  <c r="BO63" i="1"/>
  <c r="BP59" i="1"/>
  <c r="BO58" i="1"/>
  <c r="AI56" i="1"/>
  <c r="AI55" i="1"/>
  <c r="AU57" i="1"/>
  <c r="AU260" i="1" s="1"/>
  <c r="AU249" i="1"/>
  <c r="AY58" i="1"/>
  <c r="AU63" i="1"/>
  <c r="AU242" i="1"/>
  <c r="AU59" i="1"/>
  <c r="AP59" i="1"/>
  <c r="AO63" i="1"/>
  <c r="AZ81" i="1"/>
  <c r="AZ67" i="1"/>
  <c r="AZ208" i="1"/>
  <c r="AZ210" i="1" s="1"/>
  <c r="BR56" i="1"/>
  <c r="BR55" i="1"/>
  <c r="AO58" i="1"/>
  <c r="BH58" i="1"/>
  <c r="AO249" i="1"/>
  <c r="AS58" i="1"/>
  <c r="AO57" i="1"/>
  <c r="AO260" i="1" s="1"/>
  <c r="BW56" i="1"/>
  <c r="BW58" i="1" s="1"/>
  <c r="BW55" i="1"/>
  <c r="BN56" i="1"/>
  <c r="BN55" i="1"/>
  <c r="AQ56" i="1"/>
  <c r="AQ55" i="1"/>
  <c r="AR67" i="1"/>
  <c r="AR208" i="1"/>
  <c r="AR210" i="1" s="1"/>
  <c r="AR81" i="1"/>
  <c r="BT56" i="1"/>
  <c r="BT55" i="1"/>
  <c r="AV55" i="1"/>
  <c r="AV56" i="1"/>
  <c r="AN56" i="1"/>
  <c r="AN55" i="1"/>
  <c r="BH63" i="1"/>
  <c r="BL58" i="1"/>
  <c r="BH249" i="1"/>
  <c r="BH57" i="1"/>
  <c r="BH260" i="1" s="1"/>
  <c r="AX56" i="1"/>
  <c r="AX55" i="1"/>
  <c r="BV208" i="1"/>
  <c r="BV210" i="1" s="1"/>
  <c r="BV81" i="1"/>
  <c r="BV67" i="1"/>
  <c r="BG55" i="1"/>
  <c r="BG56" i="1"/>
  <c r="BB56" i="1"/>
  <c r="BB55" i="1"/>
  <c r="BS249" i="1"/>
  <c r="BS57" i="1"/>
  <c r="BS260" i="1" s="1"/>
  <c r="BS63" i="1"/>
  <c r="BQ208" i="1"/>
  <c r="BQ210" i="1" s="1"/>
  <c r="BQ134" i="1"/>
  <c r="BQ135" i="1" s="1"/>
  <c r="BQ81" i="1"/>
  <c r="BQ67" i="1"/>
  <c r="AT81" i="1"/>
  <c r="AT208" i="1"/>
  <c r="AT210" i="1" s="1"/>
  <c r="AT67" i="1"/>
  <c r="AW208" i="1"/>
  <c r="AW210" i="1" s="1"/>
  <c r="AW81" i="1"/>
  <c r="AW134" i="1"/>
  <c r="AW135" i="1" s="1"/>
  <c r="AW67" i="1"/>
  <c r="BA67" i="1"/>
  <c r="BA208" i="1"/>
  <c r="BA210" i="1" s="1"/>
  <c r="BA81" i="1"/>
  <c r="BA134" i="1"/>
  <c r="BA135" i="1" s="1"/>
  <c r="CS209" i="1"/>
  <c r="CS147" i="1"/>
  <c r="CR218" i="1"/>
  <c r="CR216" i="1" s="1"/>
  <c r="AC140" i="1"/>
  <c r="AC143" i="1" s="1"/>
  <c r="AC264" i="1" s="1"/>
  <c r="BK67" i="1" l="1"/>
  <c r="BK208" i="1"/>
  <c r="BK210" i="1" s="1"/>
  <c r="BK134" i="1"/>
  <c r="BK135" i="1" s="1"/>
  <c r="BK81" i="1"/>
  <c r="AP208" i="1"/>
  <c r="AP210" i="1" s="1"/>
  <c r="AP81" i="1"/>
  <c r="AP67" i="1"/>
  <c r="BU134" i="1"/>
  <c r="BU135" i="1" s="1"/>
  <c r="BU67" i="1"/>
  <c r="BU208" i="1"/>
  <c r="BU210" i="1" s="1"/>
  <c r="BU81" i="1"/>
  <c r="BS59" i="1"/>
  <c r="BS242" i="1"/>
  <c r="AY208" i="1"/>
  <c r="AY210" i="1" s="1"/>
  <c r="AY81" i="1"/>
  <c r="AY134" i="1"/>
  <c r="AY135" i="1" s="1"/>
  <c r="AY67" i="1"/>
  <c r="AS67" i="1"/>
  <c r="AS134" i="1"/>
  <c r="AS135" i="1" s="1"/>
  <c r="AS208" i="1"/>
  <c r="AS210" i="1" s="1"/>
  <c r="AS81" i="1"/>
  <c r="BI58" i="1"/>
  <c r="BK242" i="1"/>
  <c r="BM81" i="1"/>
  <c r="BM67" i="1"/>
  <c r="BP67" i="1"/>
  <c r="BP208" i="1"/>
  <c r="BP210" i="1" s="1"/>
  <c r="BP81" i="1"/>
  <c r="BM58" i="1"/>
  <c r="BL242" i="1"/>
  <c r="BI63" i="1"/>
  <c r="BI249" i="1"/>
  <c r="BJ59" i="1"/>
  <c r="BI57" i="1"/>
  <c r="BI260" i="1" s="1"/>
  <c r="BM134" i="1"/>
  <c r="BM135" i="1" s="1"/>
  <c r="BM208" i="1"/>
  <c r="BM210" i="1" s="1"/>
  <c r="BE81" i="1"/>
  <c r="BE208" i="1"/>
  <c r="BE210" i="1" s="1"/>
  <c r="BE67" i="1"/>
  <c r="BE134" i="1"/>
  <c r="BE135" i="1" s="1"/>
  <c r="BF242" i="1"/>
  <c r="BD59" i="1"/>
  <c r="BC58" i="1"/>
  <c r="BC63" i="1"/>
  <c r="BC249" i="1"/>
  <c r="BC57" i="1"/>
  <c r="BC260" i="1" s="1"/>
  <c r="BD67" i="1"/>
  <c r="BD208" i="1"/>
  <c r="BD210" i="1" s="1"/>
  <c r="BD81" i="1"/>
  <c r="BO67" i="1"/>
  <c r="BO81" i="1"/>
  <c r="BO208" i="1"/>
  <c r="BO210" i="1" s="1"/>
  <c r="BO134" i="1"/>
  <c r="BO135" i="1" s="1"/>
  <c r="AI57" i="1"/>
  <c r="AI249" i="1"/>
  <c r="AJ59" i="1"/>
  <c r="AM58" i="1"/>
  <c r="AI63" i="1"/>
  <c r="AL242" i="1"/>
  <c r="AU67" i="1"/>
  <c r="AU81" i="1"/>
  <c r="AU208" i="1"/>
  <c r="AU210" i="1" s="1"/>
  <c r="AU134" i="1"/>
  <c r="AU135" i="1" s="1"/>
  <c r="AO208" i="1"/>
  <c r="AO210" i="1" s="1"/>
  <c r="AO81" i="1"/>
  <c r="AO134" i="1"/>
  <c r="AO135" i="1" s="1"/>
  <c r="AO67" i="1"/>
  <c r="BR57" i="1"/>
  <c r="BR260" i="1" s="1"/>
  <c r="BR249" i="1"/>
  <c r="BR63" i="1"/>
  <c r="BR222" i="1" s="1"/>
  <c r="BR220" i="1" s="1"/>
  <c r="BV58" i="1"/>
  <c r="BR59" i="1"/>
  <c r="BR242" i="1"/>
  <c r="AN57" i="1"/>
  <c r="AN260" i="1" s="1"/>
  <c r="AQ242" i="1"/>
  <c r="AO59" i="1"/>
  <c r="AN242" i="1"/>
  <c r="AN58" i="1"/>
  <c r="AP242" i="1"/>
  <c r="AR58" i="1"/>
  <c r="AO242" i="1"/>
  <c r="AN63" i="1"/>
  <c r="AN59" i="1"/>
  <c r="AN249" i="1"/>
  <c r="BX58" i="1"/>
  <c r="BT57" i="1"/>
  <c r="BT260" i="1" s="1"/>
  <c r="BT249" i="1"/>
  <c r="BT63" i="1"/>
  <c r="BU59" i="1"/>
  <c r="BT58" i="1"/>
  <c r="BW242" i="1"/>
  <c r="BV242" i="1"/>
  <c r="AZ58" i="1"/>
  <c r="AV57" i="1"/>
  <c r="AV260" i="1" s="1"/>
  <c r="AV249" i="1"/>
  <c r="AV63" i="1"/>
  <c r="AY242" i="1"/>
  <c r="AW242" i="1"/>
  <c r="AW59" i="1"/>
  <c r="AV58" i="1"/>
  <c r="AV59" i="1"/>
  <c r="AX242" i="1"/>
  <c r="AV242" i="1"/>
  <c r="AR59" i="1"/>
  <c r="AQ58" i="1"/>
  <c r="AQ249" i="1"/>
  <c r="AQ63" i="1"/>
  <c r="AQ57" i="1"/>
  <c r="AQ260" i="1" s="1"/>
  <c r="AQ59" i="1"/>
  <c r="AU58" i="1"/>
  <c r="AT242" i="1"/>
  <c r="AS242" i="1"/>
  <c r="AR242" i="1"/>
  <c r="BN249" i="1"/>
  <c r="BR58" i="1"/>
  <c r="BN63" i="1"/>
  <c r="BQ69" i="1" s="1"/>
  <c r="BN58" i="1"/>
  <c r="BN57" i="1"/>
  <c r="BN260" i="1" s="1"/>
  <c r="BO59" i="1"/>
  <c r="BN242" i="1"/>
  <c r="BQ242" i="1"/>
  <c r="BN59" i="1"/>
  <c r="BO242" i="1"/>
  <c r="BP242" i="1"/>
  <c r="BB57" i="1"/>
  <c r="BB260" i="1" s="1"/>
  <c r="BF58" i="1"/>
  <c r="BB249" i="1"/>
  <c r="BB63" i="1"/>
  <c r="BB222" i="1" s="1"/>
  <c r="BB220" i="1" s="1"/>
  <c r="BC59" i="1"/>
  <c r="BD242" i="1"/>
  <c r="BB242" i="1"/>
  <c r="BB59" i="1"/>
  <c r="BC242" i="1"/>
  <c r="BE242" i="1"/>
  <c r="BB58" i="1"/>
  <c r="AX63" i="1"/>
  <c r="AX249" i="1"/>
  <c r="AX57" i="1"/>
  <c r="AX260" i="1" s="1"/>
  <c r="AZ242" i="1"/>
  <c r="AX59" i="1"/>
  <c r="AY59" i="1"/>
  <c r="AX58" i="1"/>
  <c r="BA242" i="1"/>
  <c r="BH67" i="1"/>
  <c r="BH81" i="1"/>
  <c r="BH208" i="1"/>
  <c r="BH210" i="1" s="1"/>
  <c r="BT242" i="1"/>
  <c r="BT59" i="1"/>
  <c r="BK58" i="1"/>
  <c r="BG63" i="1"/>
  <c r="BH242" i="1"/>
  <c r="BG58" i="1"/>
  <c r="BG57" i="1"/>
  <c r="BG260" i="1" s="1"/>
  <c r="BH59" i="1"/>
  <c r="BG242" i="1"/>
  <c r="BG249" i="1"/>
  <c r="BJ242" i="1"/>
  <c r="BG59" i="1"/>
  <c r="BI242" i="1"/>
  <c r="BX242" i="1"/>
  <c r="BW249" i="1"/>
  <c r="BW59" i="1"/>
  <c r="BX59" i="1"/>
  <c r="BW63" i="1"/>
  <c r="X76" i="1"/>
  <c r="BY242" i="1"/>
  <c r="CA58" i="1"/>
  <c r="BW57" i="1"/>
  <c r="BW260" i="1" s="1"/>
  <c r="BZ242" i="1"/>
  <c r="BS208" i="1"/>
  <c r="BS210" i="1" s="1"/>
  <c r="BS67" i="1"/>
  <c r="BS134" i="1"/>
  <c r="BS135" i="1" s="1"/>
  <c r="BS81" i="1"/>
  <c r="BQ222" i="1"/>
  <c r="BQ220" i="1" s="1"/>
  <c r="BQ144" i="1"/>
  <c r="BQ70" i="1" s="1"/>
  <c r="BQ107" i="1"/>
  <c r="AW144" i="1"/>
  <c r="AW70" i="1" s="1"/>
  <c r="AW222" i="1"/>
  <c r="AW220" i="1" s="1"/>
  <c r="AW107" i="1"/>
  <c r="BA222" i="1"/>
  <c r="BA220" i="1" s="1"/>
  <c r="BA107" i="1"/>
  <c r="BA144" i="1"/>
  <c r="BA70" i="1" s="1"/>
  <c r="CS149" i="1"/>
  <c r="AC221" i="1"/>
  <c r="CA241" i="1"/>
  <c r="CB241" i="1"/>
  <c r="BU241" i="1"/>
  <c r="BK69" i="1" l="1"/>
  <c r="BM84" i="1"/>
  <c r="BI104" i="1" s="1"/>
  <c r="BK107" i="1"/>
  <c r="BL222" i="1"/>
  <c r="BL220" i="1" s="1"/>
  <c r="BK222" i="1"/>
  <c r="BK220" i="1" s="1"/>
  <c r="BK144" i="1"/>
  <c r="BK70" i="1" s="1"/>
  <c r="BV222" i="1"/>
  <c r="BV220" i="1" s="1"/>
  <c r="BU222" i="1"/>
  <c r="BU220" i="1" s="1"/>
  <c r="BU107" i="1"/>
  <c r="BU144" i="1"/>
  <c r="BU70" i="1" s="1"/>
  <c r="AU84" i="1"/>
  <c r="AY107" i="1"/>
  <c r="AY222" i="1"/>
  <c r="AY220" i="1" s="1"/>
  <c r="AY144" i="1"/>
  <c r="AY70" i="1" s="1"/>
  <c r="AZ222" i="1"/>
  <c r="AZ220" i="1" s="1"/>
  <c r="AS222" i="1"/>
  <c r="AS220" i="1" s="1"/>
  <c r="AS107" i="1"/>
  <c r="AS144" i="1"/>
  <c r="AS70" i="1" s="1"/>
  <c r="AT222" i="1"/>
  <c r="AT220" i="1" s="1"/>
  <c r="AO69" i="1"/>
  <c r="BL69" i="1"/>
  <c r="BI67" i="1"/>
  <c r="BI208" i="1"/>
  <c r="BI210" i="1" s="1"/>
  <c r="BI81" i="1"/>
  <c r="BI134" i="1"/>
  <c r="BI135" i="1" s="1"/>
  <c r="BM69" i="1"/>
  <c r="BM222" i="1"/>
  <c r="BM220" i="1" s="1"/>
  <c r="BM144" i="1"/>
  <c r="BM70" i="1" s="1"/>
  <c r="BM107" i="1"/>
  <c r="AX222" i="1"/>
  <c r="AX220" i="1" s="1"/>
  <c r="BA69" i="1"/>
  <c r="BF222" i="1"/>
  <c r="BF220" i="1" s="1"/>
  <c r="BE107" i="1"/>
  <c r="BE144" i="1"/>
  <c r="BE70" i="1" s="1"/>
  <c r="BE222" i="1"/>
  <c r="BE220" i="1" s="1"/>
  <c r="S76" i="1"/>
  <c r="BF69" i="1"/>
  <c r="BC81" i="1"/>
  <c r="BF84" i="1" s="1"/>
  <c r="BC134" i="1"/>
  <c r="BC135" i="1" s="1"/>
  <c r="BC208" i="1"/>
  <c r="BC210" i="1" s="1"/>
  <c r="BC67" i="1"/>
  <c r="BO222" i="1"/>
  <c r="BO220" i="1" s="1"/>
  <c r="BO144" i="1"/>
  <c r="BO70" i="1" s="1"/>
  <c r="BP222" i="1"/>
  <c r="BP220" i="1" s="1"/>
  <c r="BO107" i="1"/>
  <c r="AI81" i="1"/>
  <c r="AL84" i="1" s="1"/>
  <c r="AI67" i="1"/>
  <c r="AL69" i="1"/>
  <c r="N76" i="1"/>
  <c r="AI222" i="1"/>
  <c r="AI220" i="1" s="1"/>
  <c r="AI208" i="1"/>
  <c r="AI210" i="1" s="1"/>
  <c r="AI214" i="1" s="1"/>
  <c r="AI228" i="1" s="1"/>
  <c r="AU107" i="1"/>
  <c r="AU222" i="1"/>
  <c r="AU220" i="1" s="1"/>
  <c r="AU144" i="1"/>
  <c r="AU70" i="1" s="1"/>
  <c r="AU69" i="1"/>
  <c r="AP222" i="1"/>
  <c r="AP220" i="1" s="1"/>
  <c r="AO107" i="1"/>
  <c r="AO144" i="1"/>
  <c r="AO70" i="1" s="1"/>
  <c r="AO222" i="1"/>
  <c r="AO220" i="1" s="1"/>
  <c r="AV222" i="1"/>
  <c r="AV220" i="1" s="1"/>
  <c r="AY69" i="1"/>
  <c r="BT69" i="1"/>
  <c r="BR67" i="1"/>
  <c r="BR208" i="1"/>
  <c r="BR210" i="1" s="1"/>
  <c r="BR81" i="1"/>
  <c r="BR69" i="1"/>
  <c r="V76" i="1"/>
  <c r="AW69" i="1"/>
  <c r="BV69" i="1"/>
  <c r="BO69" i="1"/>
  <c r="BN222" i="1"/>
  <c r="BN220" i="1" s="1"/>
  <c r="BU69" i="1"/>
  <c r="BX69" i="1"/>
  <c r="BW134" i="1"/>
  <c r="BW135" i="1" s="1"/>
  <c r="BY69" i="1"/>
  <c r="BW208" i="1"/>
  <c r="BW210" i="1" s="1"/>
  <c r="BW67" i="1"/>
  <c r="BZ69" i="1"/>
  <c r="BW81" i="1"/>
  <c r="BN67" i="1"/>
  <c r="BN81" i="1"/>
  <c r="BN208" i="1"/>
  <c r="BN210" i="1" s="1"/>
  <c r="BN69" i="1"/>
  <c r="U76" i="1"/>
  <c r="BP69" i="1"/>
  <c r="AV208" i="1"/>
  <c r="AV210" i="1" s="1"/>
  <c r="AV67" i="1"/>
  <c r="AV81" i="1"/>
  <c r="AV69" i="1"/>
  <c r="Q76" i="1"/>
  <c r="AX69" i="1"/>
  <c r="BT208" i="1"/>
  <c r="BT210" i="1" s="1"/>
  <c r="BT67" i="1"/>
  <c r="BT81" i="1"/>
  <c r="BV84" i="1" s="1"/>
  <c r="BR104" i="1" s="1"/>
  <c r="AX67" i="1"/>
  <c r="AX81" i="1"/>
  <c r="AX208" i="1"/>
  <c r="AX210" i="1" s="1"/>
  <c r="AZ69" i="1"/>
  <c r="BB81" i="1"/>
  <c r="BB67" i="1"/>
  <c r="BB208" i="1"/>
  <c r="BB210" i="1" s="1"/>
  <c r="BB69" i="1"/>
  <c r="R76" i="1"/>
  <c r="BD69" i="1"/>
  <c r="BE69" i="1"/>
  <c r="AQ134" i="1"/>
  <c r="AQ135" i="1" s="1"/>
  <c r="AQ208" i="1"/>
  <c r="AQ210" i="1" s="1"/>
  <c r="AQ67" i="1"/>
  <c r="AQ81" i="1"/>
  <c r="AS69" i="1"/>
  <c r="AR69" i="1"/>
  <c r="AT69" i="1"/>
  <c r="P76" i="1"/>
  <c r="BG67" i="1"/>
  <c r="BG81" i="1"/>
  <c r="BG134" i="1"/>
  <c r="BG135" i="1" s="1"/>
  <c r="BJ69" i="1"/>
  <c r="BH69" i="1"/>
  <c r="BG208" i="1"/>
  <c r="BG210" i="1" s="1"/>
  <c r="T76" i="1"/>
  <c r="AN67" i="1"/>
  <c r="AP69" i="1"/>
  <c r="AN81" i="1"/>
  <c r="AN208" i="1"/>
  <c r="AN210" i="1" s="1"/>
  <c r="AN69" i="1"/>
  <c r="O76" i="1"/>
  <c r="AN222" i="1"/>
  <c r="AN220" i="1" s="1"/>
  <c r="BT222" i="1"/>
  <c r="BT220" i="1" s="1"/>
  <c r="BS107" i="1"/>
  <c r="BS144" i="1"/>
  <c r="BS70" i="1" s="1"/>
  <c r="BS222" i="1"/>
  <c r="BS220" i="1" s="1"/>
  <c r="BS69" i="1"/>
  <c r="BQ109" i="1"/>
  <c r="BQ110" i="1"/>
  <c r="BQ111" i="1"/>
  <c r="BA110" i="1"/>
  <c r="BA109" i="1"/>
  <c r="BA111" i="1"/>
  <c r="AW110" i="1"/>
  <c r="AW109" i="1"/>
  <c r="AW111" i="1"/>
  <c r="CS153" i="1"/>
  <c r="CT47" i="1"/>
  <c r="AD139" i="1"/>
  <c r="W74" i="1"/>
  <c r="BM100" i="1" l="1"/>
  <c r="BM102" i="1"/>
  <c r="BM101" i="1"/>
  <c r="BK111" i="1"/>
  <c r="BK109" i="1"/>
  <c r="BK110" i="1"/>
  <c r="BU109" i="1"/>
  <c r="BU111" i="1"/>
  <c r="BU110" i="1"/>
  <c r="AU102" i="1"/>
  <c r="AU101" i="1"/>
  <c r="AQ104" i="1"/>
  <c r="AU100" i="1"/>
  <c r="AY109" i="1"/>
  <c r="AY110" i="1"/>
  <c r="AY111" i="1"/>
  <c r="BL84" i="1"/>
  <c r="BK84" i="1"/>
  <c r="BR84" i="1"/>
  <c r="BR101" i="1" s="1"/>
  <c r="BT84" i="1"/>
  <c r="BS84" i="1"/>
  <c r="AS110" i="1"/>
  <c r="AS111" i="1"/>
  <c r="AS109" i="1"/>
  <c r="BI107" i="1"/>
  <c r="BI144" i="1"/>
  <c r="BI70" i="1" s="1"/>
  <c r="BI222" i="1"/>
  <c r="BI220" i="1" s="1"/>
  <c r="BI69" i="1"/>
  <c r="BJ222" i="1"/>
  <c r="BJ220" i="1" s="1"/>
  <c r="AI225" i="1"/>
  <c r="AI226" i="1" s="1"/>
  <c r="BM110" i="1"/>
  <c r="BM111" i="1"/>
  <c r="BM109" i="1"/>
  <c r="BU84" i="1"/>
  <c r="BU100" i="1" s="1"/>
  <c r="BE109" i="1"/>
  <c r="BE111" i="1"/>
  <c r="BE110" i="1"/>
  <c r="BC222" i="1"/>
  <c r="BC220" i="1" s="1"/>
  <c r="BC144" i="1"/>
  <c r="BC70" i="1" s="1"/>
  <c r="BC107" i="1"/>
  <c r="BC69" i="1"/>
  <c r="BD222" i="1"/>
  <c r="BD220" i="1" s="1"/>
  <c r="BB104" i="1"/>
  <c r="BF100" i="1"/>
  <c r="BF102" i="1"/>
  <c r="BF101" i="1"/>
  <c r="BO109" i="1"/>
  <c r="BO110" i="1"/>
  <c r="BO111" i="1"/>
  <c r="AL100" i="1"/>
  <c r="AL101" i="1"/>
  <c r="AL102" i="1"/>
  <c r="AU110" i="1"/>
  <c r="AU111" i="1"/>
  <c r="AU109" i="1"/>
  <c r="AO111" i="1"/>
  <c r="AO109" i="1"/>
  <c r="AO110" i="1"/>
  <c r="BA84" i="1"/>
  <c r="AZ84" i="1"/>
  <c r="AY84" i="1"/>
  <c r="AY101" i="1" s="1"/>
  <c r="AX84" i="1"/>
  <c r="AV84" i="1"/>
  <c r="AW84" i="1"/>
  <c r="AT84" i="1"/>
  <c r="AR84" i="1"/>
  <c r="AS84" i="1"/>
  <c r="BQ84" i="1"/>
  <c r="BO84" i="1"/>
  <c r="BN84" i="1"/>
  <c r="BP84" i="1"/>
  <c r="AQ84" i="1"/>
  <c r="AN84" i="1"/>
  <c r="AP84" i="1"/>
  <c r="AO84" i="1"/>
  <c r="BJ84" i="1"/>
  <c r="BF104" i="1" s="1"/>
  <c r="BG84" i="1"/>
  <c r="BH84" i="1"/>
  <c r="BI84" i="1"/>
  <c r="BE84" i="1"/>
  <c r="BE101" i="1" s="1"/>
  <c r="BD84" i="1"/>
  <c r="BB84" i="1"/>
  <c r="BC84" i="1"/>
  <c r="BZ84" i="1"/>
  <c r="BX84" i="1"/>
  <c r="BY84" i="1"/>
  <c r="BW84" i="1"/>
  <c r="BG222" i="1"/>
  <c r="BG220" i="1" s="1"/>
  <c r="BG144" i="1"/>
  <c r="BG70" i="1" s="1"/>
  <c r="BG107" i="1"/>
  <c r="BG69" i="1"/>
  <c r="BH222" i="1"/>
  <c r="BH220" i="1" s="1"/>
  <c r="AQ144" i="1"/>
  <c r="AQ70" i="1" s="1"/>
  <c r="AQ222" i="1"/>
  <c r="AQ220" i="1" s="1"/>
  <c r="AQ107" i="1"/>
  <c r="AR222" i="1"/>
  <c r="AR220" i="1" s="1"/>
  <c r="AQ69" i="1"/>
  <c r="BW222" i="1"/>
  <c r="BW220" i="1" s="1"/>
  <c r="BX222" i="1"/>
  <c r="BX220" i="1" s="1"/>
  <c r="BW144" i="1"/>
  <c r="BW70" i="1" s="1"/>
  <c r="BW69" i="1"/>
  <c r="BW107" i="1"/>
  <c r="BV102" i="1"/>
  <c r="BV101" i="1"/>
  <c r="BV100" i="1"/>
  <c r="BS109" i="1"/>
  <c r="BS110" i="1"/>
  <c r="BS111" i="1"/>
  <c r="AC47" i="1"/>
  <c r="CT209" i="1"/>
  <c r="CT147" i="1"/>
  <c r="CS218" i="1"/>
  <c r="CS216" i="1" s="1"/>
  <c r="W75" i="1"/>
  <c r="BL100" i="1" l="1"/>
  <c r="BL101" i="1"/>
  <c r="BN104" i="1"/>
  <c r="BR100" i="1"/>
  <c r="BR102" i="1"/>
  <c r="BV85" i="1"/>
  <c r="BP104" i="1"/>
  <c r="BT102" i="1"/>
  <c r="BT100" i="1"/>
  <c r="BT101" i="1"/>
  <c r="BS102" i="1"/>
  <c r="BO104" i="1"/>
  <c r="BS101" i="1"/>
  <c r="BS100" i="1"/>
  <c r="BH104" i="1"/>
  <c r="BL102" i="1"/>
  <c r="BK100" i="1"/>
  <c r="BK101" i="1"/>
  <c r="BK102" i="1"/>
  <c r="BG104" i="1"/>
  <c r="BT85" i="1"/>
  <c r="BV104" i="1"/>
  <c r="BZ85" i="1"/>
  <c r="BY85" i="1"/>
  <c r="BI110" i="1"/>
  <c r="BI111" i="1"/>
  <c r="BI109" i="1"/>
  <c r="BQ104" i="1"/>
  <c r="BU102" i="1"/>
  <c r="BU101" i="1"/>
  <c r="BW100" i="1"/>
  <c r="BW85" i="1"/>
  <c r="BC110" i="1"/>
  <c r="BC109" i="1"/>
  <c r="BC111" i="1"/>
  <c r="AW104" i="1"/>
  <c r="BE85" i="1"/>
  <c r="BQ101" i="1"/>
  <c r="BM104" i="1"/>
  <c r="AQ101" i="1"/>
  <c r="AQ100" i="1"/>
  <c r="BU85" i="1"/>
  <c r="BA102" i="1"/>
  <c r="AX85" i="1"/>
  <c r="CD85" i="1"/>
  <c r="BZ102" i="1"/>
  <c r="BX101" i="1"/>
  <c r="BT104" i="1"/>
  <c r="BX102" i="1"/>
  <c r="CB85" i="1"/>
  <c r="BX100" i="1"/>
  <c r="AN102" i="1"/>
  <c r="AR85" i="1"/>
  <c r="AN101" i="1"/>
  <c r="AN100" i="1"/>
  <c r="BO100" i="1"/>
  <c r="BK104" i="1"/>
  <c r="BO101" i="1"/>
  <c r="BO85" i="1"/>
  <c r="BO102" i="1"/>
  <c r="AP104" i="1"/>
  <c r="CA85" i="1"/>
  <c r="BS104" i="1"/>
  <c r="BW102" i="1"/>
  <c r="BE102" i="1"/>
  <c r="BI85" i="1"/>
  <c r="BE100" i="1"/>
  <c r="BJ101" i="1"/>
  <c r="BJ85" i="1"/>
  <c r="BJ100" i="1"/>
  <c r="AU85" i="1"/>
  <c r="AQ85" i="1"/>
  <c r="AQ102" i="1"/>
  <c r="BQ100" i="1"/>
  <c r="BQ85" i="1"/>
  <c r="BQ102" i="1"/>
  <c r="AW100" i="1"/>
  <c r="AW101" i="1"/>
  <c r="AS104" i="1"/>
  <c r="BA85" i="1"/>
  <c r="AW102" i="1"/>
  <c r="AV104" i="1"/>
  <c r="AZ102" i="1"/>
  <c r="AZ101" i="1"/>
  <c r="BD85" i="1"/>
  <c r="AZ100" i="1"/>
  <c r="AZ104" i="1"/>
  <c r="BD100" i="1"/>
  <c r="BH85" i="1"/>
  <c r="BD102" i="1"/>
  <c r="BD101" i="1"/>
  <c r="AY102" i="1"/>
  <c r="AU104" i="1"/>
  <c r="BC85" i="1"/>
  <c r="AY85" i="1"/>
  <c r="AT101" i="1"/>
  <c r="BJ102" i="1"/>
  <c r="BW101" i="1"/>
  <c r="AM104" i="1"/>
  <c r="BS85" i="1"/>
  <c r="BC102" i="1"/>
  <c r="AY104" i="1"/>
  <c r="BG85" i="1"/>
  <c r="BC101" i="1"/>
  <c r="BC100" i="1"/>
  <c r="BM85" i="1"/>
  <c r="BI102" i="1"/>
  <c r="BI100" i="1"/>
  <c r="BI101" i="1"/>
  <c r="BE104" i="1"/>
  <c r="AO102" i="1"/>
  <c r="AO100" i="1"/>
  <c r="AS85" i="1"/>
  <c r="AO101" i="1"/>
  <c r="BP85" i="1"/>
  <c r="BL104" i="1"/>
  <c r="BP101" i="1"/>
  <c r="BP102" i="1"/>
  <c r="BP100" i="1"/>
  <c r="AS101" i="1"/>
  <c r="AO104" i="1"/>
  <c r="AS102" i="1"/>
  <c r="AS100" i="1"/>
  <c r="AW85" i="1"/>
  <c r="AV101" i="1"/>
  <c r="AV100" i="1"/>
  <c r="AZ85" i="1"/>
  <c r="AV102" i="1"/>
  <c r="AR104" i="1"/>
  <c r="BA100" i="1"/>
  <c r="BA101" i="1"/>
  <c r="BC104" i="1"/>
  <c r="BG100" i="1"/>
  <c r="BG101" i="1"/>
  <c r="BG102" i="1"/>
  <c r="BK85" i="1"/>
  <c r="AT102" i="1"/>
  <c r="AT100" i="1"/>
  <c r="AY100" i="1"/>
  <c r="BZ101" i="1"/>
  <c r="CC105" i="1" s="1"/>
  <c r="BA104" i="1"/>
  <c r="BN85" i="1"/>
  <c r="BZ100" i="1"/>
  <c r="CC85" i="1"/>
  <c r="BY102" i="1"/>
  <c r="BU104" i="1"/>
  <c r="BY101" i="1"/>
  <c r="BY100" i="1"/>
  <c r="AX104" i="1"/>
  <c r="BF85" i="1"/>
  <c r="BB102" i="1"/>
  <c r="BB101" i="1"/>
  <c r="BB100" i="1"/>
  <c r="BH102" i="1"/>
  <c r="BH100" i="1"/>
  <c r="BD104" i="1"/>
  <c r="BL85" i="1"/>
  <c r="BH101" i="1"/>
  <c r="AT85" i="1"/>
  <c r="AP102" i="1"/>
  <c r="AP85" i="1"/>
  <c r="AL104" i="1"/>
  <c r="AP101" i="1"/>
  <c r="AP100" i="1"/>
  <c r="BR85" i="1"/>
  <c r="BJ104" i="1"/>
  <c r="BN102" i="1"/>
  <c r="BN100" i="1"/>
  <c r="BN101" i="1"/>
  <c r="AN104" i="1"/>
  <c r="AR102" i="1"/>
  <c r="AR101" i="1"/>
  <c r="AR100" i="1"/>
  <c r="AV85" i="1"/>
  <c r="AX101" i="1"/>
  <c r="BB85" i="1"/>
  <c r="AX100" i="1"/>
  <c r="AT104" i="1"/>
  <c r="AX102" i="1"/>
  <c r="BX85" i="1"/>
  <c r="BW109" i="1"/>
  <c r="BW111" i="1"/>
  <c r="BW110" i="1"/>
  <c r="BG109" i="1"/>
  <c r="BG111" i="1"/>
  <c r="BG110" i="1"/>
  <c r="AQ110" i="1"/>
  <c r="AQ111" i="1"/>
  <c r="AQ109" i="1"/>
  <c r="AC209" i="1"/>
  <c r="AC147" i="1"/>
  <c r="AC149" i="1" s="1"/>
  <c r="AC48" i="1" s="1"/>
  <c r="CT149" i="1"/>
  <c r="AD140" i="1"/>
  <c r="AD143" i="1" s="1"/>
  <c r="AD264" i="1" s="1"/>
  <c r="AR124" i="1"/>
  <c r="W76" i="1"/>
  <c r="CB105" i="1" l="1"/>
  <c r="BT105" i="1"/>
  <c r="BH105" i="1"/>
  <c r="BM105" i="1"/>
  <c r="BG105" i="1"/>
  <c r="BN105" i="1"/>
  <c r="BB105" i="1"/>
  <c r="BI105" i="1"/>
  <c r="AW105" i="1"/>
  <c r="BL105" i="1"/>
  <c r="BY105" i="1"/>
  <c r="AZ105" i="1"/>
  <c r="AR105" i="1"/>
  <c r="AV105" i="1"/>
  <c r="BJ105" i="1"/>
  <c r="BE105" i="1"/>
  <c r="AS105" i="1"/>
  <c r="AU105" i="1"/>
  <c r="BA105" i="1"/>
  <c r="AT105" i="1"/>
  <c r="AQ105" i="1"/>
  <c r="AP105" i="1"/>
  <c r="AO105" i="1"/>
  <c r="BP105" i="1"/>
  <c r="BO105" i="1"/>
  <c r="AY105" i="1"/>
  <c r="AX105" i="1"/>
  <c r="CA105" i="1"/>
  <c r="BR105" i="1"/>
  <c r="BC105" i="1"/>
  <c r="BZ105" i="1"/>
  <c r="BF105" i="1"/>
  <c r="BS105" i="1"/>
  <c r="BD105" i="1"/>
  <c r="BK105" i="1"/>
  <c r="BQ105" i="1"/>
  <c r="BX105" i="1"/>
  <c r="BW105" i="1"/>
  <c r="BV105" i="1"/>
  <c r="BU105" i="1"/>
  <c r="CU47" i="1"/>
  <c r="CT153" i="1"/>
  <c r="AD221" i="1"/>
  <c r="AB153" i="1"/>
  <c r="AR125" i="1"/>
  <c r="AR128" i="1" s="1"/>
  <c r="AR126" i="1"/>
  <c r="AR129" i="1" s="1"/>
  <c r="CA242" i="1"/>
  <c r="CB242" i="1"/>
  <c r="W208" i="1"/>
  <c r="W210" i="1" s="1"/>
  <c r="BU242" i="1"/>
  <c r="CT218" i="1" l="1"/>
  <c r="CT216" i="1" s="1"/>
  <c r="CU209" i="1"/>
  <c r="CU147" i="1"/>
  <c r="AB218" i="1"/>
  <c r="AB216" i="1" s="1"/>
  <c r="AE139" i="1"/>
  <c r="CA104" i="1"/>
  <c r="CU149" i="1" l="1"/>
  <c r="CF104" i="1"/>
  <c r="CU153" i="1" l="1"/>
  <c r="CV47" i="1"/>
  <c r="AE140" i="1"/>
  <c r="AE143" i="1" s="1"/>
  <c r="AE264" i="1" s="1"/>
  <c r="CV209" i="1" l="1"/>
  <c r="CV147" i="1"/>
  <c r="CU218" i="1"/>
  <c r="CU216" i="1" s="1"/>
  <c r="AE221" i="1"/>
  <c r="AC153" i="1"/>
  <c r="W135" i="1"/>
  <c r="CV149" i="1" l="1"/>
  <c r="W69" i="1"/>
  <c r="AC218" i="1"/>
  <c r="AC216" i="1" s="1"/>
  <c r="X222" i="1"/>
  <c r="X220" i="1" s="1"/>
  <c r="W222" i="1"/>
  <c r="W220" i="1" s="1"/>
  <c r="W144" i="1"/>
  <c r="W70" i="1" s="1"/>
  <c r="W190" i="1"/>
  <c r="CW47" i="1" l="1"/>
  <c r="CV153" i="1"/>
  <c r="CV218" i="1" l="1"/>
  <c r="CV216" i="1" s="1"/>
  <c r="CW209" i="1"/>
  <c r="CW147" i="1"/>
  <c r="CW149" i="1" l="1"/>
  <c r="CW153" i="1" l="1"/>
  <c r="CX47" i="1"/>
  <c r="AD47" i="1" l="1"/>
  <c r="CX209" i="1"/>
  <c r="CX147" i="1"/>
  <c r="CW218" i="1"/>
  <c r="CW216" i="1" s="1"/>
  <c r="AD209" i="1" l="1"/>
  <c r="AD147" i="1"/>
  <c r="AD149" i="1" s="1"/>
  <c r="CX149" i="1"/>
  <c r="AD153" i="1" l="1"/>
  <c r="AD218" i="1" s="1"/>
  <c r="AD216" i="1" s="1"/>
  <c r="AD48" i="1"/>
  <c r="CX153" i="1"/>
  <c r="CY47" i="1"/>
  <c r="CY209" i="1" l="1"/>
  <c r="CY147" i="1"/>
  <c r="CX218" i="1"/>
  <c r="CX216" i="1" s="1"/>
  <c r="CY149" i="1" l="1"/>
  <c r="W195" i="1"/>
  <c r="CY153" i="1" l="1"/>
  <c r="CZ47" i="1"/>
  <c r="W198" i="1"/>
  <c r="W171" i="1"/>
  <c r="X212" i="1" s="1"/>
  <c r="CZ209" i="1" l="1"/>
  <c r="CZ147" i="1"/>
  <c r="CY218" i="1"/>
  <c r="CY216" i="1" s="1"/>
  <c r="W200" i="1"/>
  <c r="W199" i="1" s="1"/>
  <c r="W212" i="1"/>
  <c r="W163" i="1"/>
  <c r="X211" i="1" s="1"/>
  <c r="X213" i="1" s="1"/>
  <c r="X214" i="1" s="1"/>
  <c r="X228" i="1" s="1"/>
  <c r="W194" i="1"/>
  <c r="CZ149" i="1" l="1"/>
  <c r="W197" i="1"/>
  <c r="W172" i="1"/>
  <c r="W211" i="1"/>
  <c r="W213" i="1" s="1"/>
  <c r="W214" i="1" s="1"/>
  <c r="CZ153" i="1" l="1"/>
  <c r="CZ218" i="1" s="1"/>
  <c r="CZ216" i="1" s="1"/>
  <c r="DA47" i="1"/>
  <c r="W196" i="1"/>
  <c r="W201" i="1"/>
  <c r="W225" i="1"/>
  <c r="W228" i="1"/>
  <c r="DA209" i="1" l="1"/>
  <c r="DA147" i="1"/>
  <c r="W204" i="1"/>
  <c r="W205" i="1" s="1"/>
  <c r="X204" i="1"/>
  <c r="X205" i="1" s="1"/>
  <c r="DA149" i="1" l="1"/>
  <c r="W176" i="1"/>
  <c r="X224" i="1" l="1"/>
  <c r="X225" i="1" s="1"/>
  <c r="X226" i="1" s="1"/>
  <c r="W261" i="1"/>
  <c r="W263" i="1"/>
  <c r="W259" i="1"/>
  <c r="DA153" i="1"/>
  <c r="DA218" i="1" s="1"/>
  <c r="DA216" i="1" s="1"/>
  <c r="DB47" i="1"/>
  <c r="W183" i="1"/>
  <c r="W124" i="1" s="1"/>
  <c r="W180" i="1"/>
  <c r="W226" i="1"/>
  <c r="AE47" i="1" l="1"/>
  <c r="AE209" i="1" s="1"/>
  <c r="DB209" i="1"/>
  <c r="DB147" i="1"/>
  <c r="W181" i="1"/>
  <c r="DB149" i="1" l="1"/>
  <c r="DB153" i="1" s="1"/>
  <c r="DB218" i="1" s="1"/>
  <c r="DB216" i="1" s="1"/>
  <c r="AE147" i="1"/>
  <c r="AE149" i="1" s="1"/>
  <c r="C111" i="2"/>
  <c r="C113" i="2"/>
  <c r="C112" i="2"/>
  <c r="AE153" i="1" l="1"/>
  <c r="AE218" i="1" s="1"/>
  <c r="AE216" i="1" s="1"/>
  <c r="AE48" i="1"/>
  <c r="B88" i="1"/>
  <c r="B89" i="1"/>
  <c r="AK194" i="1" l="1"/>
  <c r="AK159" i="1" s="1"/>
  <c r="AM159" i="1" l="1"/>
  <c r="AO159" i="1" l="1"/>
  <c r="AQ159" i="1" l="1"/>
  <c r="AS159" i="1" l="1"/>
  <c r="AU159" i="1" l="1"/>
  <c r="AW159" i="1" l="1"/>
  <c r="AY159" i="1" l="1"/>
  <c r="BA159" i="1" l="1"/>
  <c r="BC159" i="1" l="1"/>
  <c r="BE159" i="1" l="1"/>
  <c r="BG159" i="1" l="1"/>
  <c r="BI159" i="1" l="1"/>
  <c r="BK159" i="1" l="1"/>
  <c r="BM159" i="1" l="1"/>
  <c r="BO159" i="1" l="1"/>
  <c r="BQ159" i="1" l="1"/>
  <c r="BS159" i="1" l="1"/>
  <c r="BU159" i="1" l="1"/>
  <c r="BW159" i="1" l="1"/>
  <c r="BY159" i="1" l="1"/>
  <c r="AK160" i="1" l="1"/>
  <c r="AK163" i="1" s="1"/>
  <c r="AL211" i="1" l="1"/>
  <c r="AK211" i="1"/>
  <c r="AK197" i="1"/>
  <c r="AM160" i="1"/>
  <c r="AM163" i="1" s="1"/>
  <c r="AM197" i="1" l="1"/>
  <c r="AM196" i="1" s="1"/>
  <c r="AN211" i="1"/>
  <c r="AM211" i="1"/>
  <c r="AJ196" i="1"/>
  <c r="AK196" i="1"/>
  <c r="AO160" i="1" l="1"/>
  <c r="AO163" i="1" s="1"/>
  <c r="AP211" i="1" l="1"/>
  <c r="AO197" i="1"/>
  <c r="AO196" i="1" s="1"/>
  <c r="AO211" i="1"/>
  <c r="AQ160" i="1" l="1"/>
  <c r="AQ163" i="1" s="1"/>
  <c r="AQ197" i="1" l="1"/>
  <c r="AQ196" i="1" s="1"/>
  <c r="AR211" i="1"/>
  <c r="AQ211" i="1"/>
  <c r="AS160" i="1" l="1"/>
  <c r="AS163" i="1" s="1"/>
  <c r="AT211" i="1" l="1"/>
  <c r="AS197" i="1"/>
  <c r="AS196" i="1" s="1"/>
  <c r="AS211" i="1"/>
  <c r="AU160" i="1" l="1"/>
  <c r="AU163" i="1" s="1"/>
  <c r="AU197" i="1" l="1"/>
  <c r="AU196" i="1" s="1"/>
  <c r="AV211" i="1"/>
  <c r="AU211" i="1"/>
  <c r="AW160" i="1" l="1"/>
  <c r="AW163" i="1" s="1"/>
  <c r="AW197" i="1" l="1"/>
  <c r="AW196" i="1" s="1"/>
  <c r="AX211" i="1"/>
  <c r="AW211" i="1"/>
  <c r="AY160" i="1" l="1"/>
  <c r="AY163" i="1" s="1"/>
  <c r="AY197" i="1" l="1"/>
  <c r="AY196" i="1" s="1"/>
  <c r="AZ211" i="1"/>
  <c r="AY211" i="1"/>
  <c r="BA160" i="1" l="1"/>
  <c r="BA163" i="1" s="1"/>
  <c r="BB211" i="1" l="1"/>
  <c r="BA197" i="1"/>
  <c r="BA196" i="1" s="1"/>
  <c r="BA211" i="1"/>
  <c r="BC160" i="1" l="1"/>
  <c r="BC163" i="1" s="1"/>
  <c r="BD211" i="1" l="1"/>
  <c r="BC197" i="1"/>
  <c r="BC196" i="1" s="1"/>
  <c r="BC211" i="1"/>
  <c r="BE160" i="1" l="1"/>
  <c r="BE163" i="1" s="1"/>
  <c r="BF211" i="1" l="1"/>
  <c r="BE197" i="1"/>
  <c r="BE196" i="1" s="1"/>
  <c r="BE211" i="1"/>
  <c r="BG160" i="1" l="1"/>
  <c r="BG163" i="1" s="1"/>
  <c r="BG197" i="1" l="1"/>
  <c r="BG196" i="1" s="1"/>
  <c r="BH211" i="1"/>
  <c r="BG211" i="1"/>
  <c r="BI160" i="1" l="1"/>
  <c r="BI163" i="1" s="1"/>
  <c r="BJ211" i="1" l="1"/>
  <c r="BI197" i="1"/>
  <c r="BI196" i="1" s="1"/>
  <c r="BI211" i="1"/>
  <c r="BK160" i="1" l="1"/>
  <c r="BK163" i="1" s="1"/>
  <c r="BL211" i="1" l="1"/>
  <c r="BK197" i="1"/>
  <c r="BK196" i="1" s="1"/>
  <c r="BK211" i="1"/>
  <c r="BM160" i="1" l="1"/>
  <c r="BM163" i="1" s="1"/>
  <c r="BM197" i="1" l="1"/>
  <c r="BM196" i="1" s="1"/>
  <c r="BN211" i="1"/>
  <c r="BM211" i="1"/>
  <c r="BO160" i="1" l="1"/>
  <c r="BO163" i="1" s="1"/>
  <c r="BO197" i="1" l="1"/>
  <c r="BO196" i="1" s="1"/>
  <c r="BP211" i="1"/>
  <c r="BO211" i="1"/>
  <c r="BQ160" i="1" l="1"/>
  <c r="BQ163" i="1" s="1"/>
  <c r="BR211" i="1" l="1"/>
  <c r="BQ197" i="1"/>
  <c r="BQ196" i="1" s="1"/>
  <c r="BQ211" i="1"/>
  <c r="BS160" i="1" l="1"/>
  <c r="BS163" i="1" s="1"/>
  <c r="BT211" i="1" l="1"/>
  <c r="BS197" i="1"/>
  <c r="BS196" i="1" s="1"/>
  <c r="BS211" i="1"/>
  <c r="BU160" i="1" l="1"/>
  <c r="BU163" i="1" s="1"/>
  <c r="BU197" i="1" l="1"/>
  <c r="BU196" i="1" s="1"/>
  <c r="BV211" i="1"/>
  <c r="BU211" i="1"/>
  <c r="BW160" i="1" l="1"/>
  <c r="BW163" i="1" s="1"/>
  <c r="BW197" i="1" l="1"/>
  <c r="BW196" i="1" s="1"/>
  <c r="BX211" i="1"/>
  <c r="BW211" i="1"/>
  <c r="BY160" i="1" l="1"/>
  <c r="BY163" i="1" s="1"/>
  <c r="BZ211" i="1" l="1"/>
  <c r="BY197" i="1"/>
  <c r="BY196" i="1" s="1"/>
  <c r="BY211" i="1"/>
  <c r="AK198" i="1" l="1"/>
  <c r="AK168" i="1" s="1"/>
  <c r="AK171" i="1" s="1"/>
  <c r="AK172" i="1" l="1"/>
  <c r="AK200" i="1"/>
  <c r="AL212" i="1"/>
  <c r="AL213" i="1" s="1"/>
  <c r="AL214" i="1" s="1"/>
  <c r="AL228" i="1" s="1"/>
  <c r="AK212" i="1"/>
  <c r="AK213" i="1" s="1"/>
  <c r="AK214" i="1" s="1"/>
  <c r="AM168" i="1"/>
  <c r="AM171" i="1" s="1"/>
  <c r="AK228" i="1" l="1"/>
  <c r="AK225" i="1"/>
  <c r="AK175" i="1" s="1"/>
  <c r="AK176" i="1" s="1"/>
  <c r="AK180" i="1" s="1"/>
  <c r="AK181" i="1" s="1"/>
  <c r="AN212" i="1"/>
  <c r="AN213" i="1" s="1"/>
  <c r="AN214" i="1" s="1"/>
  <c r="AN228" i="1" s="1"/>
  <c r="AM200" i="1"/>
  <c r="AM199" i="1" s="1"/>
  <c r="AM212" i="1"/>
  <c r="AM213" i="1" s="1"/>
  <c r="AM214" i="1" s="1"/>
  <c r="AM172" i="1"/>
  <c r="AJ199" i="1"/>
  <c r="AJ201" i="1"/>
  <c r="AN204" i="1" s="1"/>
  <c r="AK199" i="1"/>
  <c r="AK201" i="1"/>
  <c r="AO168" i="1"/>
  <c r="AO171" i="1" s="1"/>
  <c r="AM201" i="1" l="1"/>
  <c r="AO200" i="1"/>
  <c r="AO199" i="1" s="1"/>
  <c r="AP212" i="1"/>
  <c r="AP213" i="1" s="1"/>
  <c r="AP214" i="1" s="1"/>
  <c r="AP228" i="1" s="1"/>
  <c r="AO212" i="1"/>
  <c r="AO213" i="1" s="1"/>
  <c r="AO214" i="1" s="1"/>
  <c r="AM228" i="1"/>
  <c r="AM225" i="1"/>
  <c r="AO172" i="1"/>
  <c r="AL224" i="1" l="1"/>
  <c r="AL225" i="1" s="1"/>
  <c r="AL226" i="1" s="1"/>
  <c r="AK226" i="1"/>
  <c r="AO201" i="1"/>
  <c r="AO204" i="1" s="1"/>
  <c r="AO228" i="1"/>
  <c r="AO225" i="1"/>
  <c r="AQ168" i="1"/>
  <c r="AQ171" i="1" s="1"/>
  <c r="AK183" i="1"/>
  <c r="AL52" i="1" s="1"/>
  <c r="AM175" i="1"/>
  <c r="AM176" i="1" s="1"/>
  <c r="AM180" i="1" s="1"/>
  <c r="AN224" i="1" l="1"/>
  <c r="AN225" i="1" s="1"/>
  <c r="AN226" i="1" s="1"/>
  <c r="AM263" i="1"/>
  <c r="AM261" i="1"/>
  <c r="AM259" i="1"/>
  <c r="AQ200" i="1"/>
  <c r="AQ199" i="1" s="1"/>
  <c r="AR212" i="1"/>
  <c r="AR213" i="1" s="1"/>
  <c r="AR214" i="1" s="1"/>
  <c r="AR228" i="1" s="1"/>
  <c r="AQ212" i="1"/>
  <c r="AQ213" i="1" s="1"/>
  <c r="AQ214" i="1" s="1"/>
  <c r="AM226" i="1"/>
  <c r="AQ172" i="1"/>
  <c r="AO175" i="1"/>
  <c r="AO176" i="1" s="1"/>
  <c r="AM183" i="1"/>
  <c r="AO261" i="1" l="1"/>
  <c r="AO263" i="1"/>
  <c r="AO259" i="1"/>
  <c r="AM124" i="1"/>
  <c r="AM125" i="1" s="1"/>
  <c r="AM128" i="1" s="1"/>
  <c r="AN52" i="1"/>
  <c r="AQ201" i="1"/>
  <c r="AQ204" i="1" s="1"/>
  <c r="AQ228" i="1"/>
  <c r="AQ225" i="1"/>
  <c r="AP224" i="1"/>
  <c r="AP225" i="1" s="1"/>
  <c r="AP226" i="1" s="1"/>
  <c r="AO226" i="1"/>
  <c r="AS168" i="1"/>
  <c r="AS171" i="1" s="1"/>
  <c r="AO183" i="1"/>
  <c r="AO180" i="1"/>
  <c r="AM181" i="1"/>
  <c r="AM126" i="1" l="1"/>
  <c r="AM129" i="1" s="1"/>
  <c r="AO124" i="1"/>
  <c r="AO126" i="1" s="1"/>
  <c r="AO129" i="1" s="1"/>
  <c r="AP52" i="1"/>
  <c r="AS200" i="1"/>
  <c r="AS199" i="1" s="1"/>
  <c r="AT212" i="1"/>
  <c r="AT213" i="1" s="1"/>
  <c r="AT214" i="1" s="1"/>
  <c r="AT228" i="1" s="1"/>
  <c r="AS212" i="1"/>
  <c r="AS213" i="1" s="1"/>
  <c r="AS214" i="1" s="1"/>
  <c r="AO181" i="1"/>
  <c r="AS172" i="1"/>
  <c r="AQ175" i="1"/>
  <c r="AQ176" i="1" s="1"/>
  <c r="AQ261" i="1" l="1"/>
  <c r="AQ263" i="1"/>
  <c r="AQ259" i="1"/>
  <c r="AO125" i="1"/>
  <c r="AO128" i="1" s="1"/>
  <c r="AS201" i="1"/>
  <c r="AS204" i="1" s="1"/>
  <c r="AS228" i="1"/>
  <c r="AS225" i="1"/>
  <c r="AR224" i="1"/>
  <c r="AR225" i="1" s="1"/>
  <c r="AR226" i="1" s="1"/>
  <c r="AQ226" i="1"/>
  <c r="AQ180" i="1"/>
  <c r="AQ183" i="1"/>
  <c r="AU168" i="1"/>
  <c r="AU171" i="1" s="1"/>
  <c r="AQ124" i="1" l="1"/>
  <c r="AQ125" i="1" s="1"/>
  <c r="AQ128" i="1" s="1"/>
  <c r="AR52" i="1"/>
  <c r="AU200" i="1"/>
  <c r="AU199" i="1" s="1"/>
  <c r="AV212" i="1"/>
  <c r="AV213" i="1" s="1"/>
  <c r="AV214" i="1" s="1"/>
  <c r="AV228" i="1" s="1"/>
  <c r="AU212" i="1"/>
  <c r="AU213" i="1" s="1"/>
  <c r="AU214" i="1" s="1"/>
  <c r="AU172" i="1"/>
  <c r="AS175" i="1"/>
  <c r="AS176" i="1" s="1"/>
  <c r="AQ181" i="1"/>
  <c r="AS263" i="1" l="1"/>
  <c r="AS261" i="1"/>
  <c r="AS259" i="1"/>
  <c r="AQ126" i="1"/>
  <c r="AQ129" i="1" s="1"/>
  <c r="AU201" i="1"/>
  <c r="AU204" i="1" s="1"/>
  <c r="AU228" i="1"/>
  <c r="AU225" i="1"/>
  <c r="AT224" i="1"/>
  <c r="AT225" i="1" s="1"/>
  <c r="AT226" i="1" s="1"/>
  <c r="AS226" i="1"/>
  <c r="AS183" i="1"/>
  <c r="AS180" i="1"/>
  <c r="AW168" i="1"/>
  <c r="AW171" i="1" s="1"/>
  <c r="AS124" i="1" l="1"/>
  <c r="AS125" i="1" s="1"/>
  <c r="AS128" i="1" s="1"/>
  <c r="AT52" i="1"/>
  <c r="AW200" i="1"/>
  <c r="AW201" i="1" s="1"/>
  <c r="AW204" i="1" s="1"/>
  <c r="AX212" i="1"/>
  <c r="AX213" i="1" s="1"/>
  <c r="AX214" i="1" s="1"/>
  <c r="AX228" i="1" s="1"/>
  <c r="AW212" i="1"/>
  <c r="AW213" i="1" s="1"/>
  <c r="AW214" i="1" s="1"/>
  <c r="AU175" i="1"/>
  <c r="AU176" i="1" s="1"/>
  <c r="AS181" i="1"/>
  <c r="AW172" i="1"/>
  <c r="AU263" i="1" l="1"/>
  <c r="AU261" i="1"/>
  <c r="AU259" i="1"/>
  <c r="AS126" i="1"/>
  <c r="AS129" i="1" s="1"/>
  <c r="AW199" i="1"/>
  <c r="AW228" i="1"/>
  <c r="AW225" i="1"/>
  <c r="AV224" i="1"/>
  <c r="AV225" i="1" s="1"/>
  <c r="AV226" i="1" s="1"/>
  <c r="AU226" i="1"/>
  <c r="AU183" i="1"/>
  <c r="AU180" i="1"/>
  <c r="AY168" i="1"/>
  <c r="AY171" i="1" s="1"/>
  <c r="AU124" i="1" l="1"/>
  <c r="AU126" i="1" s="1"/>
  <c r="AU129" i="1" s="1"/>
  <c r="AV52" i="1"/>
  <c r="AY200" i="1"/>
  <c r="AY199" i="1" s="1"/>
  <c r="AZ212" i="1"/>
  <c r="AZ213" i="1" s="1"/>
  <c r="AZ214" i="1" s="1"/>
  <c r="AZ228" i="1" s="1"/>
  <c r="AY212" i="1"/>
  <c r="AY213" i="1" s="1"/>
  <c r="AY214" i="1" s="1"/>
  <c r="AW175" i="1"/>
  <c r="AW176" i="1" s="1"/>
  <c r="AY172" i="1"/>
  <c r="AU181" i="1"/>
  <c r="AW261" i="1" l="1"/>
  <c r="AW263" i="1"/>
  <c r="AW259" i="1"/>
  <c r="AU125" i="1"/>
  <c r="AU128" i="1" s="1"/>
  <c r="AY201" i="1"/>
  <c r="AY204" i="1" s="1"/>
  <c r="AY228" i="1"/>
  <c r="AY225" i="1"/>
  <c r="AX224" i="1"/>
  <c r="AX225" i="1" s="1"/>
  <c r="AX226" i="1" s="1"/>
  <c r="AW226" i="1"/>
  <c r="BA168" i="1"/>
  <c r="BA171" i="1" s="1"/>
  <c r="AW180" i="1"/>
  <c r="AW183" i="1"/>
  <c r="AW124" i="1" l="1"/>
  <c r="AW126" i="1" s="1"/>
  <c r="AW129" i="1" s="1"/>
  <c r="AX52" i="1"/>
  <c r="BB212" i="1"/>
  <c r="BB213" i="1" s="1"/>
  <c r="BB214" i="1" s="1"/>
  <c r="BB228" i="1" s="1"/>
  <c r="BA200" i="1"/>
  <c r="BA199" i="1" s="1"/>
  <c r="BA212" i="1"/>
  <c r="BA213" i="1" s="1"/>
  <c r="BA214" i="1" s="1"/>
  <c r="AW181" i="1"/>
  <c r="BA172" i="1"/>
  <c r="AY175" i="1"/>
  <c r="AY176" i="1" s="1"/>
  <c r="AY261" i="1" l="1"/>
  <c r="AY263" i="1"/>
  <c r="AY259" i="1"/>
  <c r="AW125" i="1"/>
  <c r="AW128" i="1" s="1"/>
  <c r="BA201" i="1"/>
  <c r="BA204" i="1" s="1"/>
  <c r="BA228" i="1"/>
  <c r="BA225" i="1"/>
  <c r="AZ224" i="1"/>
  <c r="AZ225" i="1" s="1"/>
  <c r="AZ226" i="1" s="1"/>
  <c r="AY226" i="1"/>
  <c r="AY180" i="1"/>
  <c r="AY183" i="1"/>
  <c r="BC168" i="1"/>
  <c r="BC171" i="1" s="1"/>
  <c r="AY124" i="1" l="1"/>
  <c r="AY126" i="1" s="1"/>
  <c r="AY129" i="1" s="1"/>
  <c r="AZ52" i="1"/>
  <c r="BC200" i="1"/>
  <c r="BC199" i="1" s="1"/>
  <c r="BD212" i="1"/>
  <c r="BD213" i="1" s="1"/>
  <c r="BD214" i="1" s="1"/>
  <c r="BD228" i="1" s="1"/>
  <c r="BC212" i="1"/>
  <c r="BC213" i="1" s="1"/>
  <c r="BC214" i="1" s="1"/>
  <c r="AY181" i="1"/>
  <c r="BC172" i="1"/>
  <c r="BA175" i="1"/>
  <c r="BA176" i="1" s="1"/>
  <c r="BA263" i="1" l="1"/>
  <c r="BA261" i="1"/>
  <c r="BA259" i="1"/>
  <c r="AY125" i="1"/>
  <c r="AY128" i="1" s="1"/>
  <c r="BC201" i="1"/>
  <c r="BC204" i="1" s="1"/>
  <c r="BC228" i="1"/>
  <c r="BC225" i="1"/>
  <c r="BB224" i="1"/>
  <c r="BB225" i="1" s="1"/>
  <c r="BB226" i="1" s="1"/>
  <c r="BA226" i="1"/>
  <c r="BE168" i="1"/>
  <c r="BE171" i="1" s="1"/>
  <c r="BA183" i="1"/>
  <c r="BA180" i="1"/>
  <c r="BA124" i="1" l="1"/>
  <c r="BA125" i="1" s="1"/>
  <c r="BA128" i="1" s="1"/>
  <c r="BB52" i="1"/>
  <c r="BE200" i="1"/>
  <c r="BE199" i="1" s="1"/>
  <c r="BF212" i="1"/>
  <c r="BF213" i="1" s="1"/>
  <c r="BF214" i="1" s="1"/>
  <c r="BF228" i="1" s="1"/>
  <c r="BE212" i="1"/>
  <c r="BE213" i="1" s="1"/>
  <c r="BE214" i="1" s="1"/>
  <c r="BC175" i="1"/>
  <c r="BC176" i="1" s="1"/>
  <c r="BA181" i="1"/>
  <c r="BE172" i="1"/>
  <c r="BC263" i="1" l="1"/>
  <c r="BC261" i="1"/>
  <c r="BC259" i="1"/>
  <c r="BA126" i="1"/>
  <c r="BA129" i="1" s="1"/>
  <c r="BE201" i="1"/>
  <c r="BE204" i="1" s="1"/>
  <c r="BE228" i="1"/>
  <c r="BE225" i="1"/>
  <c r="BD224" i="1"/>
  <c r="BD225" i="1" s="1"/>
  <c r="BD226" i="1" s="1"/>
  <c r="BC226" i="1"/>
  <c r="BG168" i="1"/>
  <c r="BG171" i="1" s="1"/>
  <c r="BC180" i="1"/>
  <c r="BC183" i="1"/>
  <c r="BC124" i="1" l="1"/>
  <c r="BC125" i="1" s="1"/>
  <c r="BC128" i="1" s="1"/>
  <c r="BD52" i="1"/>
  <c r="BG200" i="1"/>
  <c r="BG201" i="1" s="1"/>
  <c r="BG204" i="1" s="1"/>
  <c r="BH212" i="1"/>
  <c r="BH213" i="1" s="1"/>
  <c r="BH214" i="1" s="1"/>
  <c r="BH228" i="1" s="1"/>
  <c r="BG212" i="1"/>
  <c r="BG213" i="1" s="1"/>
  <c r="BG214" i="1" s="1"/>
  <c r="BC181" i="1"/>
  <c r="BE175" i="1"/>
  <c r="BE176" i="1" s="1"/>
  <c r="BG172" i="1"/>
  <c r="BE261" i="1" l="1"/>
  <c r="BE263" i="1"/>
  <c r="BE259" i="1"/>
  <c r="BC126" i="1"/>
  <c r="BC129" i="1" s="1"/>
  <c r="BG199" i="1"/>
  <c r="BG228" i="1"/>
  <c r="BG225" i="1"/>
  <c r="BF224" i="1"/>
  <c r="BF225" i="1" s="1"/>
  <c r="BF226" i="1" s="1"/>
  <c r="BE226" i="1"/>
  <c r="BE183" i="1"/>
  <c r="BE180" i="1"/>
  <c r="BI168" i="1"/>
  <c r="BI171" i="1" s="1"/>
  <c r="BE124" i="1" l="1"/>
  <c r="BE125" i="1" s="1"/>
  <c r="BE128" i="1" s="1"/>
  <c r="BF52" i="1"/>
  <c r="BI200" i="1"/>
  <c r="BI199" i="1" s="1"/>
  <c r="BJ212" i="1"/>
  <c r="BJ213" i="1" s="1"/>
  <c r="BJ214" i="1" s="1"/>
  <c r="BJ228" i="1" s="1"/>
  <c r="BI212" i="1"/>
  <c r="BI213" i="1" s="1"/>
  <c r="BI214" i="1" s="1"/>
  <c r="BE181" i="1"/>
  <c r="BG175" i="1"/>
  <c r="BG176" i="1" s="1"/>
  <c r="BI172" i="1"/>
  <c r="BG261" i="1" l="1"/>
  <c r="BG263" i="1"/>
  <c r="BG259" i="1"/>
  <c r="BE126" i="1"/>
  <c r="BE129" i="1" s="1"/>
  <c r="BI201" i="1"/>
  <c r="BI204" i="1" s="1"/>
  <c r="BI228" i="1"/>
  <c r="BI225" i="1"/>
  <c r="BH224" i="1"/>
  <c r="BH225" i="1" s="1"/>
  <c r="BH226" i="1" s="1"/>
  <c r="BG226" i="1"/>
  <c r="BG180" i="1"/>
  <c r="BG183" i="1"/>
  <c r="BK168" i="1"/>
  <c r="BK171" i="1" s="1"/>
  <c r="BG124" i="1" l="1"/>
  <c r="BG125" i="1" s="1"/>
  <c r="BG128" i="1" s="1"/>
  <c r="BH52" i="1"/>
  <c r="BL212" i="1"/>
  <c r="BL213" i="1" s="1"/>
  <c r="BL214" i="1" s="1"/>
  <c r="BL228" i="1" s="1"/>
  <c r="BK200" i="1"/>
  <c r="BK199" i="1" s="1"/>
  <c r="BK212" i="1"/>
  <c r="BK213" i="1" s="1"/>
  <c r="BK214" i="1" s="1"/>
  <c r="BK172" i="1"/>
  <c r="BG181" i="1"/>
  <c r="BI175" i="1"/>
  <c r="BI176" i="1" s="1"/>
  <c r="BI263" i="1" l="1"/>
  <c r="BI261" i="1"/>
  <c r="BI259" i="1"/>
  <c r="BG126" i="1"/>
  <c r="BG129" i="1" s="1"/>
  <c r="BK201" i="1"/>
  <c r="BK204" i="1" s="1"/>
  <c r="BK228" i="1"/>
  <c r="BK225" i="1"/>
  <c r="BJ224" i="1"/>
  <c r="BJ225" i="1" s="1"/>
  <c r="BJ226" i="1" s="1"/>
  <c r="BI226" i="1"/>
  <c r="BI183" i="1"/>
  <c r="BI180" i="1"/>
  <c r="BM168" i="1"/>
  <c r="BM171" i="1" s="1"/>
  <c r="BI124" i="1" l="1"/>
  <c r="BI126" i="1" s="1"/>
  <c r="BI129" i="1" s="1"/>
  <c r="BJ52" i="1"/>
  <c r="BM200" i="1"/>
  <c r="BM199" i="1" s="1"/>
  <c r="BN212" i="1"/>
  <c r="BN213" i="1" s="1"/>
  <c r="BN214" i="1" s="1"/>
  <c r="BN228" i="1" s="1"/>
  <c r="BM212" i="1"/>
  <c r="BM213" i="1" s="1"/>
  <c r="BM214" i="1" s="1"/>
  <c r="BM172" i="1"/>
  <c r="BI181" i="1"/>
  <c r="BK175" i="1"/>
  <c r="BK176" i="1" s="1"/>
  <c r="BK263" i="1" l="1"/>
  <c r="BK261" i="1"/>
  <c r="BK259" i="1"/>
  <c r="BI125" i="1"/>
  <c r="BI128" i="1" s="1"/>
  <c r="BM201" i="1"/>
  <c r="BM204" i="1" s="1"/>
  <c r="BM228" i="1"/>
  <c r="BM225" i="1"/>
  <c r="BL224" i="1"/>
  <c r="BL225" i="1" s="1"/>
  <c r="BL226" i="1" s="1"/>
  <c r="BK226" i="1"/>
  <c r="BK183" i="1"/>
  <c r="BK180" i="1"/>
  <c r="BO168" i="1"/>
  <c r="BO171" i="1" s="1"/>
  <c r="BK124" i="1" l="1"/>
  <c r="BK126" i="1" s="1"/>
  <c r="BK129" i="1" s="1"/>
  <c r="BL52" i="1"/>
  <c r="BO200" i="1"/>
  <c r="BO199" i="1" s="1"/>
  <c r="BP212" i="1"/>
  <c r="BP213" i="1" s="1"/>
  <c r="BP214" i="1" s="1"/>
  <c r="BP228" i="1" s="1"/>
  <c r="BO212" i="1"/>
  <c r="BO213" i="1" s="1"/>
  <c r="BO214" i="1" s="1"/>
  <c r="BM175" i="1"/>
  <c r="BM176" i="1" s="1"/>
  <c r="BK181" i="1"/>
  <c r="BO172" i="1"/>
  <c r="BM261" i="1" l="1"/>
  <c r="BM263" i="1"/>
  <c r="BM259" i="1"/>
  <c r="BK125" i="1"/>
  <c r="BK128" i="1" s="1"/>
  <c r="BO201" i="1"/>
  <c r="BO204" i="1" s="1"/>
  <c r="BO228" i="1"/>
  <c r="BO225" i="1"/>
  <c r="BN224" i="1"/>
  <c r="BN225" i="1" s="1"/>
  <c r="BN226" i="1" s="1"/>
  <c r="BM226" i="1"/>
  <c r="BM180" i="1"/>
  <c r="BM183" i="1"/>
  <c r="BQ168" i="1"/>
  <c r="BQ171" i="1" s="1"/>
  <c r="BM124" i="1" l="1"/>
  <c r="BM125" i="1" s="1"/>
  <c r="BM128" i="1" s="1"/>
  <c r="BN52" i="1"/>
  <c r="BQ200" i="1"/>
  <c r="BQ199" i="1" s="1"/>
  <c r="BR212" i="1"/>
  <c r="BR213" i="1" s="1"/>
  <c r="BR214" i="1" s="1"/>
  <c r="BR228" i="1" s="1"/>
  <c r="BQ212" i="1"/>
  <c r="BQ213" i="1" s="1"/>
  <c r="BQ214" i="1" s="1"/>
  <c r="BO175" i="1"/>
  <c r="BO176" i="1" s="1"/>
  <c r="BQ172" i="1"/>
  <c r="BM181" i="1"/>
  <c r="BO261" i="1" l="1"/>
  <c r="BO263" i="1"/>
  <c r="BO259" i="1"/>
  <c r="BM126" i="1"/>
  <c r="BM129" i="1" s="1"/>
  <c r="BQ201" i="1"/>
  <c r="BQ204" i="1" s="1"/>
  <c r="BQ228" i="1"/>
  <c r="BQ225" i="1"/>
  <c r="BP224" i="1"/>
  <c r="BP225" i="1" s="1"/>
  <c r="BP226" i="1" s="1"/>
  <c r="BO226" i="1"/>
  <c r="BS168" i="1"/>
  <c r="BS171" i="1" s="1"/>
  <c r="BO180" i="1"/>
  <c r="BO183" i="1"/>
  <c r="BO124" i="1" l="1"/>
  <c r="BO125" i="1" s="1"/>
  <c r="BO128" i="1" s="1"/>
  <c r="BP52" i="1"/>
  <c r="BS200" i="1"/>
  <c r="BS199" i="1" s="1"/>
  <c r="BT212" i="1"/>
  <c r="BT213" i="1" s="1"/>
  <c r="BT214" i="1" s="1"/>
  <c r="BT228" i="1" s="1"/>
  <c r="BS212" i="1"/>
  <c r="BS213" i="1" s="1"/>
  <c r="BS214" i="1" s="1"/>
  <c r="BO181" i="1"/>
  <c r="BS172" i="1"/>
  <c r="BQ175" i="1"/>
  <c r="BQ176" i="1" s="1"/>
  <c r="BQ263" i="1" l="1"/>
  <c r="BQ261" i="1"/>
  <c r="BQ259" i="1"/>
  <c r="BO126" i="1"/>
  <c r="BO129" i="1" s="1"/>
  <c r="BS201" i="1"/>
  <c r="BS204" i="1" s="1"/>
  <c r="BS228" i="1"/>
  <c r="BS225" i="1"/>
  <c r="BR224" i="1"/>
  <c r="BR225" i="1" s="1"/>
  <c r="BR226" i="1" s="1"/>
  <c r="BQ226" i="1"/>
  <c r="BQ180" i="1"/>
  <c r="BQ183" i="1"/>
  <c r="BU168" i="1"/>
  <c r="BU171" i="1" s="1"/>
  <c r="BQ124" i="1" l="1"/>
  <c r="BQ125" i="1" s="1"/>
  <c r="BQ128" i="1" s="1"/>
  <c r="BR52" i="1"/>
  <c r="BU200" i="1"/>
  <c r="BU199" i="1" s="1"/>
  <c r="BV212" i="1"/>
  <c r="BV213" i="1" s="1"/>
  <c r="BV214" i="1" s="1"/>
  <c r="BV228" i="1" s="1"/>
  <c r="BU212" i="1"/>
  <c r="BU213" i="1" s="1"/>
  <c r="BU214" i="1" s="1"/>
  <c r="BS175" i="1"/>
  <c r="BS176" i="1" s="1"/>
  <c r="BQ181" i="1"/>
  <c r="BU172" i="1"/>
  <c r="BS263" i="1" l="1"/>
  <c r="BS261" i="1"/>
  <c r="BS259" i="1"/>
  <c r="BQ126" i="1"/>
  <c r="BQ129" i="1" s="1"/>
  <c r="BU201" i="1"/>
  <c r="BU204" i="1" s="1"/>
  <c r="BU228" i="1"/>
  <c r="BU225" i="1"/>
  <c r="BT224" i="1"/>
  <c r="BT225" i="1" s="1"/>
  <c r="BT226" i="1" s="1"/>
  <c r="BS226" i="1"/>
  <c r="BS180" i="1"/>
  <c r="BS183" i="1"/>
  <c r="BW168" i="1"/>
  <c r="BW171" i="1" s="1"/>
  <c r="BS124" i="1" l="1"/>
  <c r="BS126" i="1" s="1"/>
  <c r="BS129" i="1" s="1"/>
  <c r="BT52" i="1"/>
  <c r="BW200" i="1"/>
  <c r="BW199" i="1" s="1"/>
  <c r="BX212" i="1"/>
  <c r="BX213" i="1" s="1"/>
  <c r="BX214" i="1" s="1"/>
  <c r="BX228" i="1" s="1"/>
  <c r="BW212" i="1"/>
  <c r="BW213" i="1" s="1"/>
  <c r="BW214" i="1" s="1"/>
  <c r="BW172" i="1"/>
  <c r="BS181" i="1"/>
  <c r="BU175" i="1"/>
  <c r="BU176" i="1" s="1"/>
  <c r="BU261" i="1" l="1"/>
  <c r="BU263" i="1"/>
  <c r="BU259" i="1"/>
  <c r="BS125" i="1"/>
  <c r="BS128" i="1" s="1"/>
  <c r="BW201" i="1"/>
  <c r="BW204" i="1" s="1"/>
  <c r="BW228" i="1"/>
  <c r="BW225" i="1"/>
  <c r="BV224" i="1"/>
  <c r="BV225" i="1" s="1"/>
  <c r="BV226" i="1" s="1"/>
  <c r="BU226" i="1"/>
  <c r="BU180" i="1"/>
  <c r="BU183" i="1"/>
  <c r="BY168" i="1"/>
  <c r="BY171" i="1" s="1"/>
  <c r="BU124" i="1" l="1"/>
  <c r="BU126" i="1" s="1"/>
  <c r="BU129" i="1" s="1"/>
  <c r="BV52" i="1"/>
  <c r="BZ212" i="1"/>
  <c r="BZ213" i="1" s="1"/>
  <c r="BZ214" i="1" s="1"/>
  <c r="BZ228" i="1" s="1"/>
  <c r="BY200" i="1"/>
  <c r="BY199" i="1" s="1"/>
  <c r="BY212" i="1"/>
  <c r="BY213" i="1" s="1"/>
  <c r="BY214" i="1" s="1"/>
  <c r="BW175" i="1"/>
  <c r="BW176" i="1" s="1"/>
  <c r="BY172" i="1"/>
  <c r="BU181" i="1"/>
  <c r="BW261" i="1" l="1"/>
  <c r="BW263" i="1"/>
  <c r="BW259" i="1"/>
  <c r="BU125" i="1"/>
  <c r="BU128" i="1" s="1"/>
  <c r="BY201" i="1"/>
  <c r="BY204" i="1" s="1"/>
  <c r="BY228" i="1"/>
  <c r="BY225" i="1"/>
  <c r="BX224" i="1"/>
  <c r="BX225" i="1" s="1"/>
  <c r="BX226" i="1" s="1"/>
  <c r="BW226" i="1"/>
  <c r="BW180" i="1"/>
  <c r="BW183" i="1"/>
  <c r="BW124" i="1" l="1"/>
  <c r="BW126" i="1" s="1"/>
  <c r="BW129" i="1" s="1"/>
  <c r="BX52" i="1"/>
  <c r="BW181" i="1"/>
  <c r="BY175" i="1"/>
  <c r="BY176" i="1" s="1"/>
  <c r="BY263" i="1" l="1"/>
  <c r="BY261" i="1"/>
  <c r="BY259" i="1"/>
  <c r="BW125" i="1"/>
  <c r="BW128" i="1" s="1"/>
  <c r="BZ224" i="1"/>
  <c r="BZ225" i="1" s="1"/>
  <c r="BZ226" i="1" s="1"/>
  <c r="BY226" i="1"/>
  <c r="BY183" i="1"/>
  <c r="BY180" i="1"/>
  <c r="BY124" i="1" l="1"/>
  <c r="BY125" i="1" s="1"/>
  <c r="BY128" i="1" s="1"/>
  <c r="BZ52" i="1"/>
  <c r="BY181" i="1"/>
  <c r="CC160" i="1"/>
  <c r="CC159" i="1"/>
  <c r="CA159" i="1"/>
  <c r="CA168" i="1"/>
  <c r="CA171" i="1" s="1"/>
  <c r="CA160" i="1"/>
  <c r="BY126" i="1" l="1"/>
  <c r="BY129" i="1" s="1"/>
  <c r="CA163" i="1"/>
  <c r="CA197" i="1" s="1"/>
  <c r="CA196" i="1" s="1"/>
  <c r="CB212" i="1"/>
  <c r="CA200" i="1"/>
  <c r="CA199" i="1" s="1"/>
  <c r="CA212" i="1"/>
  <c r="CC168" i="1"/>
  <c r="CC171" i="1" s="1"/>
  <c r="CC163" i="1"/>
  <c r="CA172" i="1" l="1"/>
  <c r="CA211" i="1"/>
  <c r="CA213" i="1" s="1"/>
  <c r="CA214" i="1" s="1"/>
  <c r="CA228" i="1" s="1"/>
  <c r="CB211" i="1"/>
  <c r="CB213" i="1" s="1"/>
  <c r="CB214" i="1" s="1"/>
  <c r="CB228" i="1" s="1"/>
  <c r="CA201" i="1"/>
  <c r="CD211" i="1"/>
  <c r="CC197" i="1"/>
  <c r="CC196" i="1" s="1"/>
  <c r="CC211" i="1"/>
  <c r="CC200" i="1"/>
  <c r="CC199" i="1" s="1"/>
  <c r="CD212" i="1"/>
  <c r="CC212" i="1"/>
  <c r="CC172" i="1"/>
  <c r="CA204" i="1" l="1"/>
  <c r="CE204" i="1"/>
  <c r="CC213" i="1"/>
  <c r="CC214" i="1" s="1"/>
  <c r="CC228" i="1" s="1"/>
  <c r="CD213" i="1"/>
  <c r="CD214" i="1" s="1"/>
  <c r="CD228" i="1" s="1"/>
  <c r="CA225" i="1"/>
  <c r="CA175" i="1" s="1"/>
  <c r="CA176" i="1" s="1"/>
  <c r="CC201" i="1"/>
  <c r="CA263" i="1" l="1"/>
  <c r="CA261" i="1"/>
  <c r="CA259" i="1"/>
  <c r="CC204" i="1"/>
  <c r="CG204" i="1"/>
  <c r="CC225" i="1"/>
  <c r="CC175" i="1" s="1"/>
  <c r="CC176" i="1" s="1"/>
  <c r="CB224" i="1"/>
  <c r="CB225" i="1" s="1"/>
  <c r="CB226" i="1" s="1"/>
  <c r="CA226" i="1"/>
  <c r="CA183" i="1"/>
  <c r="CA180" i="1"/>
  <c r="CC261" i="1" l="1"/>
  <c r="CC263" i="1"/>
  <c r="CC259" i="1"/>
  <c r="CA124" i="1"/>
  <c r="CA125" i="1" s="1"/>
  <c r="CA128" i="1" s="1"/>
  <c r="CB52" i="1"/>
  <c r="CD224" i="1"/>
  <c r="CD225" i="1" s="1"/>
  <c r="CD226" i="1" s="1"/>
  <c r="CC226" i="1"/>
  <c r="CC180" i="1"/>
  <c r="CC183" i="1"/>
  <c r="CA181" i="1"/>
  <c r="CA126" i="1" l="1"/>
  <c r="CA129" i="1" s="1"/>
  <c r="CC124" i="1"/>
  <c r="CC125" i="1" s="1"/>
  <c r="CC128" i="1" s="1"/>
  <c r="CD52" i="1"/>
  <c r="CC181" i="1"/>
  <c r="CC126" i="1" l="1"/>
  <c r="CC129" i="1" s="1"/>
  <c r="CE104" i="1"/>
  <c r="CD104" i="1"/>
  <c r="CC104" i="1"/>
  <c r="CB104" i="1"/>
  <c r="CI160" i="1" l="1"/>
  <c r="CI168" i="1"/>
  <c r="CI171" i="1" s="1"/>
  <c r="CI159" i="1"/>
  <c r="CJ212" i="1" l="1"/>
  <c r="CI163" i="1"/>
  <c r="CI212" i="1"/>
  <c r="CJ211" i="1" l="1"/>
  <c r="CJ213" i="1" s="1"/>
  <c r="CJ214" i="1" s="1"/>
  <c r="CJ228" i="1" s="1"/>
  <c r="CI172" i="1"/>
  <c r="CI211" i="1"/>
  <c r="CI213" i="1" s="1"/>
  <c r="CI214" i="1" s="1"/>
  <c r="CI228" i="1" s="1"/>
  <c r="CI201" i="1" l="1"/>
  <c r="CI204" i="1" s="1"/>
  <c r="CI225" i="1"/>
  <c r="CI175" i="1" s="1"/>
  <c r="CI176" i="1" s="1"/>
  <c r="CI263" i="1" l="1"/>
  <c r="CI261" i="1"/>
  <c r="CI259" i="1"/>
  <c r="CI226" i="1"/>
  <c r="CJ224" i="1"/>
  <c r="CJ225" i="1" s="1"/>
  <c r="CI183" i="1"/>
  <c r="CI180" i="1"/>
  <c r="CI124" i="1" l="1"/>
  <c r="CI126" i="1" s="1"/>
  <c r="CI129" i="1" s="1"/>
  <c r="CJ52" i="1"/>
  <c r="CJ226" i="1"/>
  <c r="CI181" i="1"/>
  <c r="CI125" i="1" l="1"/>
  <c r="CI128" i="1" s="1"/>
  <c r="CJ183" i="1"/>
  <c r="CJ124" i="1" l="1"/>
  <c r="CK52" i="1"/>
  <c r="CN52" i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J125" i="1" l="1"/>
  <c r="CJ128" i="1" s="1"/>
  <c r="CJ126" i="1"/>
  <c r="CJ129" i="1" s="1"/>
  <c r="CK246" i="1"/>
  <c r="CK268" i="1"/>
  <c r="CK267" i="1"/>
  <c r="CN268" i="1"/>
  <c r="CM268" i="1"/>
  <c r="CN246" i="1"/>
  <c r="CM246" i="1"/>
  <c r="CM113" i="1"/>
  <c r="CM114" i="1" s="1"/>
  <c r="CM117" i="1" s="1"/>
  <c r="CN113" i="1"/>
  <c r="CN114" i="1" s="1"/>
  <c r="CN117" i="1" s="1"/>
  <c r="CM161" i="1" l="1"/>
  <c r="CQ268" i="1"/>
  <c r="CN41" i="1"/>
  <c r="CN38" i="1" s="1"/>
  <c r="CR268" i="1"/>
  <c r="CN160" i="1"/>
  <c r="CN31" i="1"/>
  <c r="CN159" i="1"/>
  <c r="CN168" i="1"/>
  <c r="CM41" i="1"/>
  <c r="CM38" i="1" s="1"/>
  <c r="CM168" i="1"/>
  <c r="CN167" i="1"/>
  <c r="CN161" i="1"/>
  <c r="CM160" i="1"/>
  <c r="CM31" i="1"/>
  <c r="CM30" i="1" s="1"/>
  <c r="CM167" i="1"/>
  <c r="CM159" i="1"/>
  <c r="CK159" i="1"/>
  <c r="CK168" i="1"/>
  <c r="CK160" i="1"/>
  <c r="CM240" i="1"/>
  <c r="CK167" i="1"/>
  <c r="CK240" i="1"/>
  <c r="CK161" i="1"/>
  <c r="CN240" i="1"/>
  <c r="CO240" i="1" l="1"/>
  <c r="CM171" i="1"/>
  <c r="CK171" i="1"/>
  <c r="CN30" i="1"/>
  <c r="CN33" i="1"/>
  <c r="CN43" i="1"/>
  <c r="CN163" i="1"/>
  <c r="CM163" i="1"/>
  <c r="CN171" i="1"/>
  <c r="CM33" i="1"/>
  <c r="CR246" i="1"/>
  <c r="CQ246" i="1"/>
  <c r="CM43" i="1"/>
  <c r="CR113" i="1"/>
  <c r="CR114" i="1" s="1"/>
  <c r="CR117" i="1" s="1"/>
  <c r="CP268" i="1"/>
  <c r="CN34" i="1"/>
  <c r="CO113" i="1"/>
  <c r="CO114" i="1" s="1"/>
  <c r="CO117" i="1" s="1"/>
  <c r="CO268" i="1"/>
  <c r="CO246" i="1"/>
  <c r="CK163" i="1"/>
  <c r="CM34" i="1"/>
  <c r="CP246" i="1"/>
  <c r="CQ113" i="1"/>
  <c r="CQ114" i="1" s="1"/>
  <c r="CQ117" i="1" s="1"/>
  <c r="AB23" i="1"/>
  <c r="AB268" i="1" s="1"/>
  <c r="CP113" i="1"/>
  <c r="CP114" i="1" s="1"/>
  <c r="CP117" i="1" s="1"/>
  <c r="CO159" i="1"/>
  <c r="CO31" i="1"/>
  <c r="CO167" i="1"/>
  <c r="CO168" i="1"/>
  <c r="CO41" i="1"/>
  <c r="CO38" i="1" s="1"/>
  <c r="CO160" i="1"/>
  <c r="CO161" i="1"/>
  <c r="CK212" i="1" l="1"/>
  <c r="CL212" i="1"/>
  <c r="CK211" i="1"/>
  <c r="CL211" i="1"/>
  <c r="CL213" i="1" s="1"/>
  <c r="CL214" i="1" s="1"/>
  <c r="CL228" i="1" s="1"/>
  <c r="CN265" i="1"/>
  <c r="CN266" i="1" s="1"/>
  <c r="CN212" i="1"/>
  <c r="CN44" i="1"/>
  <c r="CN247" i="1"/>
  <c r="CN248" i="1" s="1"/>
  <c r="CN45" i="1"/>
  <c r="CN49" i="1"/>
  <c r="CN172" i="1"/>
  <c r="CM172" i="1"/>
  <c r="CN211" i="1"/>
  <c r="CR167" i="1"/>
  <c r="CR31" i="1"/>
  <c r="CR159" i="1"/>
  <c r="CR160" i="1"/>
  <c r="CR161" i="1"/>
  <c r="CR41" i="1"/>
  <c r="CR38" i="1" s="1"/>
  <c r="CR168" i="1"/>
  <c r="CK213" i="1"/>
  <c r="CQ41" i="1"/>
  <c r="CQ38" i="1" s="1"/>
  <c r="CQ161" i="1"/>
  <c r="CQ160" i="1"/>
  <c r="CQ167" i="1"/>
  <c r="CQ168" i="1"/>
  <c r="CQ159" i="1"/>
  <c r="CN46" i="1"/>
  <c r="CM45" i="1"/>
  <c r="CM247" i="1"/>
  <c r="CM248" i="1" s="1"/>
  <c r="CM44" i="1"/>
  <c r="CM49" i="1"/>
  <c r="CQ31" i="1"/>
  <c r="CK172" i="1"/>
  <c r="CK265" i="1"/>
  <c r="CK266" i="1" s="1"/>
  <c r="CS113" i="1"/>
  <c r="CS114" i="1" s="1"/>
  <c r="CS117" i="1" s="1"/>
  <c r="CS268" i="1"/>
  <c r="CM265" i="1"/>
  <c r="CM266" i="1" s="1"/>
  <c r="CK247" i="1"/>
  <c r="CK248" i="1" s="1"/>
  <c r="CK241" i="1"/>
  <c r="CN241" i="1"/>
  <c r="CR240" i="1"/>
  <c r="CP240" i="1"/>
  <c r="AB25" i="1"/>
  <c r="CO171" i="1"/>
  <c r="CS246" i="1"/>
  <c r="CO163" i="1"/>
  <c r="CM127" i="1"/>
  <c r="CN127" i="1"/>
  <c r="CM212" i="1"/>
  <c r="CP160" i="1"/>
  <c r="AB160" i="1" s="1"/>
  <c r="AB195" i="1" s="1"/>
  <c r="CP159" i="1"/>
  <c r="CP167" i="1"/>
  <c r="CP31" i="1"/>
  <c r="CP30" i="1" s="1"/>
  <c r="CP168" i="1"/>
  <c r="AB168" i="1" s="1"/>
  <c r="AB198" i="1" s="1"/>
  <c r="CP161" i="1"/>
  <c r="AB161" i="1" s="1"/>
  <c r="CP41" i="1"/>
  <c r="CP38" i="1" s="1"/>
  <c r="CT268" i="1"/>
  <c r="CO43" i="1"/>
  <c r="CO33" i="1"/>
  <c r="CO34" i="1"/>
  <c r="CM211" i="1"/>
  <c r="CQ240" i="1"/>
  <c r="CO30" i="1"/>
  <c r="CM241" i="1"/>
  <c r="CM46" i="1"/>
  <c r="CU268" i="1" l="1"/>
  <c r="CU160" i="1"/>
  <c r="CU246" i="1"/>
  <c r="CS240" i="1"/>
  <c r="CW268" i="1"/>
  <c r="CR163" i="1"/>
  <c r="CQ171" i="1"/>
  <c r="AB38" i="1"/>
  <c r="AB41" i="1" s="1"/>
  <c r="AB42" i="1" s="1"/>
  <c r="CN213" i="1"/>
  <c r="CR171" i="1"/>
  <c r="CR33" i="1"/>
  <c r="CR34" i="1"/>
  <c r="CR43" i="1"/>
  <c r="CR30" i="1"/>
  <c r="CV268" i="1"/>
  <c r="CV246" i="1"/>
  <c r="CQ30" i="1"/>
  <c r="CQ33" i="1"/>
  <c r="CQ43" i="1"/>
  <c r="CQ163" i="1"/>
  <c r="CO127" i="1"/>
  <c r="CO265" i="1"/>
  <c r="CO266" i="1" s="1"/>
  <c r="AB113" i="1"/>
  <c r="AB203" i="1"/>
  <c r="CQ34" i="1"/>
  <c r="AB30" i="1"/>
  <c r="AB31" i="1" s="1"/>
  <c r="CM213" i="1"/>
  <c r="CO172" i="1"/>
  <c r="CO211" i="1"/>
  <c r="CO241" i="1"/>
  <c r="AC23" i="1"/>
  <c r="AC268" i="1" s="1"/>
  <c r="CV113" i="1"/>
  <c r="CV114" i="1" s="1"/>
  <c r="CV117" i="1" s="1"/>
  <c r="AB26" i="1"/>
  <c r="AB73" i="1"/>
  <c r="AB159" i="1"/>
  <c r="CP163" i="1"/>
  <c r="CS159" i="1"/>
  <c r="CS31" i="1"/>
  <c r="CS30" i="1" s="1"/>
  <c r="CS167" i="1"/>
  <c r="CS160" i="1"/>
  <c r="CS168" i="1"/>
  <c r="CS161" i="1"/>
  <c r="CS41" i="1"/>
  <c r="CS38" i="1" s="1"/>
  <c r="CT113" i="1"/>
  <c r="CT114" i="1" s="1"/>
  <c r="CT117" i="1" s="1"/>
  <c r="CO212" i="1"/>
  <c r="CO45" i="1"/>
  <c r="CO247" i="1"/>
  <c r="CO248" i="1" s="1"/>
  <c r="CO49" i="1"/>
  <c r="CO46" i="1"/>
  <c r="CO44" i="1"/>
  <c r="CU159" i="1"/>
  <c r="CU31" i="1"/>
  <c r="CU30" i="1" s="1"/>
  <c r="CU167" i="1"/>
  <c r="CU168" i="1"/>
  <c r="CU161" i="1"/>
  <c r="CP33" i="1"/>
  <c r="CP43" i="1"/>
  <c r="CP34" i="1"/>
  <c r="CT246" i="1"/>
  <c r="AB167" i="1"/>
  <c r="AB171" i="1" s="1"/>
  <c r="CP171" i="1"/>
  <c r="CU113" i="1"/>
  <c r="CU114" i="1" s="1"/>
  <c r="CU117" i="1" s="1"/>
  <c r="CY268" i="1" l="1"/>
  <c r="CU41" i="1"/>
  <c r="CQ212" i="1"/>
  <c r="CV159" i="1"/>
  <c r="CV31" i="1"/>
  <c r="CV33" i="1" s="1"/>
  <c r="CV167" i="1"/>
  <c r="CR212" i="1"/>
  <c r="CR172" i="1"/>
  <c r="CR247" i="1"/>
  <c r="CR248" i="1" s="1"/>
  <c r="CR44" i="1"/>
  <c r="CR49" i="1"/>
  <c r="CR45" i="1"/>
  <c r="CV161" i="1"/>
  <c r="CV160" i="1"/>
  <c r="CV41" i="1"/>
  <c r="CV38" i="1" s="1"/>
  <c r="CV168" i="1"/>
  <c r="CQ49" i="1"/>
  <c r="CQ44" i="1"/>
  <c r="CQ45" i="1"/>
  <c r="CR46" i="1"/>
  <c r="CR265" i="1"/>
  <c r="CR266" i="1" s="1"/>
  <c r="CQ247" i="1"/>
  <c r="CQ248" i="1" s="1"/>
  <c r="CR211" i="1"/>
  <c r="CQ172" i="1"/>
  <c r="AB33" i="1"/>
  <c r="CP127" i="1"/>
  <c r="CP265" i="1"/>
  <c r="CP266" i="1" s="1"/>
  <c r="CQ265" i="1"/>
  <c r="CQ266" i="1" s="1"/>
  <c r="CS171" i="1"/>
  <c r="CS212" i="1" s="1"/>
  <c r="CV240" i="1"/>
  <c r="CP212" i="1"/>
  <c r="CP247" i="1"/>
  <c r="CP248" i="1" s="1"/>
  <c r="CP45" i="1"/>
  <c r="CP46" i="1"/>
  <c r="CP44" i="1"/>
  <c r="CP49" i="1"/>
  <c r="CT240" i="1"/>
  <c r="CP241" i="1"/>
  <c r="CU240" i="1"/>
  <c r="CR241" i="1"/>
  <c r="CQ241" i="1"/>
  <c r="CS43" i="1"/>
  <c r="CS265" i="1" s="1"/>
  <c r="CS266" i="1" s="1"/>
  <c r="CS33" i="1"/>
  <c r="CS34" i="1"/>
  <c r="AC25" i="1"/>
  <c r="CO213" i="1"/>
  <c r="CW246" i="1"/>
  <c r="CQ127" i="1"/>
  <c r="CU171" i="1"/>
  <c r="CW113" i="1"/>
  <c r="CW114" i="1" s="1"/>
  <c r="CW117" i="1" s="1"/>
  <c r="CU33" i="1"/>
  <c r="CS163" i="1"/>
  <c r="CT159" i="1"/>
  <c r="CT168" i="1"/>
  <c r="AC168" i="1" s="1"/>
  <c r="AC198" i="1" s="1"/>
  <c r="CT31" i="1"/>
  <c r="CT30" i="1" s="1"/>
  <c r="AC30" i="1" s="1"/>
  <c r="CT160" i="1"/>
  <c r="AC160" i="1" s="1"/>
  <c r="AC195" i="1" s="1"/>
  <c r="CT167" i="1"/>
  <c r="CT41" i="1"/>
  <c r="CT38" i="1" s="1"/>
  <c r="CT161" i="1"/>
  <c r="AC161" i="1" s="1"/>
  <c r="AB74" i="1"/>
  <c r="AB32" i="1"/>
  <c r="AB43" i="1"/>
  <c r="AB265" i="1" s="1"/>
  <c r="AB266" i="1" s="1"/>
  <c r="CU163" i="1"/>
  <c r="CQ46" i="1"/>
  <c r="CQ211" i="1"/>
  <c r="CP172" i="1"/>
  <c r="CP211" i="1"/>
  <c r="AB200" i="1"/>
  <c r="AB199" i="1" s="1"/>
  <c r="AB212" i="1"/>
  <c r="CR127" i="1"/>
  <c r="AB163" i="1"/>
  <c r="AB194" i="1"/>
  <c r="CY246" i="1" l="1"/>
  <c r="CU38" i="1"/>
  <c r="CU43" i="1"/>
  <c r="CW240" i="1"/>
  <c r="DA268" i="1"/>
  <c r="CQ213" i="1"/>
  <c r="AC38" i="1"/>
  <c r="AC41" i="1" s="1"/>
  <c r="AC42" i="1" s="1"/>
  <c r="CV163" i="1"/>
  <c r="CV211" i="1" s="1"/>
  <c r="CV30" i="1"/>
  <c r="CV34" i="1"/>
  <c r="CV171" i="1"/>
  <c r="CV43" i="1"/>
  <c r="CZ268" i="1"/>
  <c r="CZ246" i="1"/>
  <c r="CZ168" i="1"/>
  <c r="CR213" i="1"/>
  <c r="CX113" i="1"/>
  <c r="CX114" i="1" s="1"/>
  <c r="CX117" i="1" s="1"/>
  <c r="CX268" i="1"/>
  <c r="CP213" i="1"/>
  <c r="AC113" i="1"/>
  <c r="AC203" i="1"/>
  <c r="AB45" i="1"/>
  <c r="CT163" i="1"/>
  <c r="CT211" i="1" s="1"/>
  <c r="AC159" i="1"/>
  <c r="CS172" i="1"/>
  <c r="CS211" i="1"/>
  <c r="CS213" i="1" s="1"/>
  <c r="CY113" i="1"/>
  <c r="CY114" i="1" s="1"/>
  <c r="CY117" i="1" s="1"/>
  <c r="CS46" i="1"/>
  <c r="CS44" i="1"/>
  <c r="CS49" i="1"/>
  <c r="CS247" i="1"/>
  <c r="CS248" i="1" s="1"/>
  <c r="CS45" i="1"/>
  <c r="AB172" i="1"/>
  <c r="AB197" i="1"/>
  <c r="AB211" i="1"/>
  <c r="AB213" i="1" s="1"/>
  <c r="AB75" i="1"/>
  <c r="AB49" i="1"/>
  <c r="AB127" i="1"/>
  <c r="AB44" i="1"/>
  <c r="CW31" i="1"/>
  <c r="CW30" i="1" s="1"/>
  <c r="CW167" i="1"/>
  <c r="CW159" i="1"/>
  <c r="CW161" i="1"/>
  <c r="CW160" i="1"/>
  <c r="CW168" i="1"/>
  <c r="CW41" i="1"/>
  <c r="CW38" i="1" s="1"/>
  <c r="CT171" i="1"/>
  <c r="AC167" i="1"/>
  <c r="AC171" i="1" s="1"/>
  <c r="CS127" i="1"/>
  <c r="CK260" i="1"/>
  <c r="CK242" i="1"/>
  <c r="CK249" i="1"/>
  <c r="CS241" i="1"/>
  <c r="CT34" i="1"/>
  <c r="CT33" i="1"/>
  <c r="CT43" i="1"/>
  <c r="AC26" i="1"/>
  <c r="AC31" i="1"/>
  <c r="AC73" i="1"/>
  <c r="CX246" i="1"/>
  <c r="CZ113" i="1"/>
  <c r="CZ114" i="1" s="1"/>
  <c r="CZ117" i="1" s="1"/>
  <c r="CY160" i="1"/>
  <c r="CY31" i="1"/>
  <c r="CY30" i="1" s="1"/>
  <c r="CY168" i="1"/>
  <c r="CY161" i="1"/>
  <c r="CY167" i="1"/>
  <c r="CY41" i="1"/>
  <c r="CY38" i="1" s="1"/>
  <c r="CY159" i="1"/>
  <c r="CU172" i="1"/>
  <c r="CU34" i="1"/>
  <c r="AD23" i="1"/>
  <c r="AD268" i="1" s="1"/>
  <c r="CU44" i="1" l="1"/>
  <c r="CU247" i="1"/>
  <c r="CU248" i="1" s="1"/>
  <c r="CU49" i="1"/>
  <c r="CU45" i="1"/>
  <c r="CZ240" i="1"/>
  <c r="CV265" i="1"/>
  <c r="CV266" i="1" s="1"/>
  <c r="CV49" i="1"/>
  <c r="CV247" i="1"/>
  <c r="CV248" i="1" s="1"/>
  <c r="CV44" i="1"/>
  <c r="CV46" i="1"/>
  <c r="CV45" i="1"/>
  <c r="CZ41" i="1"/>
  <c r="CZ38" i="1" s="1"/>
  <c r="CZ159" i="1"/>
  <c r="CZ167" i="1"/>
  <c r="CZ171" i="1" s="1"/>
  <c r="CZ161" i="1"/>
  <c r="CZ160" i="1"/>
  <c r="CZ31" i="1"/>
  <c r="CV172" i="1"/>
  <c r="CV212" i="1"/>
  <c r="CV213" i="1" s="1"/>
  <c r="AC33" i="1"/>
  <c r="CU127" i="1"/>
  <c r="CT265" i="1"/>
  <c r="CT266" i="1" s="1"/>
  <c r="CU265" i="1"/>
  <c r="CU266" i="1" s="1"/>
  <c r="CW171" i="1"/>
  <c r="CW212" i="1" s="1"/>
  <c r="CX240" i="1"/>
  <c r="CY240" i="1"/>
  <c r="CU212" i="1"/>
  <c r="CT212" i="1"/>
  <c r="CT213" i="1" s="1"/>
  <c r="CK208" i="1"/>
  <c r="CK210" i="1" s="1"/>
  <c r="CK214" i="1" s="1"/>
  <c r="CK228" i="1" s="1"/>
  <c r="CK134" i="1"/>
  <c r="CV241" i="1"/>
  <c r="AC43" i="1"/>
  <c r="AC265" i="1" s="1"/>
  <c r="AC266" i="1" s="1"/>
  <c r="AC74" i="1"/>
  <c r="AC32" i="1"/>
  <c r="CW163" i="1"/>
  <c r="CT241" i="1"/>
  <c r="AC194" i="1"/>
  <c r="AC163" i="1"/>
  <c r="DA246" i="1"/>
  <c r="DA240" i="1"/>
  <c r="CT172" i="1"/>
  <c r="CU211" i="1"/>
  <c r="CY163" i="1"/>
  <c r="CY171" i="1"/>
  <c r="CX159" i="1"/>
  <c r="CX160" i="1"/>
  <c r="AD160" i="1" s="1"/>
  <c r="AD195" i="1" s="1"/>
  <c r="CX31" i="1"/>
  <c r="CY34" i="1" s="1"/>
  <c r="CX168" i="1"/>
  <c r="AD168" i="1" s="1"/>
  <c r="AD198" i="1" s="1"/>
  <c r="CX167" i="1"/>
  <c r="CX41" i="1"/>
  <c r="CX38" i="1" s="1"/>
  <c r="CX161" i="1"/>
  <c r="AD161" i="1" s="1"/>
  <c r="CT49" i="1"/>
  <c r="CT45" i="1"/>
  <c r="CT44" i="1"/>
  <c r="CT247" i="1"/>
  <c r="CT248" i="1" s="1"/>
  <c r="CT46" i="1"/>
  <c r="CW34" i="1"/>
  <c r="CW33" i="1"/>
  <c r="CW43" i="1"/>
  <c r="CU241" i="1"/>
  <c r="CU46" i="1"/>
  <c r="CY33" i="1"/>
  <c r="CY43" i="1"/>
  <c r="AD25" i="1"/>
  <c r="DA113" i="1"/>
  <c r="DA114" i="1" s="1"/>
  <c r="DA117" i="1" s="1"/>
  <c r="AC200" i="1"/>
  <c r="AC199" i="1" s="1"/>
  <c r="AC212" i="1"/>
  <c r="AB196" i="1"/>
  <c r="AB201" i="1"/>
  <c r="AB204" i="1" s="1"/>
  <c r="AB205" i="1" s="1"/>
  <c r="CT127" i="1"/>
  <c r="CV127" i="1"/>
  <c r="AD38" i="1" l="1"/>
  <c r="AD41" i="1" s="1"/>
  <c r="AD42" i="1" s="1"/>
  <c r="CZ163" i="1"/>
  <c r="CZ30" i="1"/>
  <c r="CZ33" i="1"/>
  <c r="CZ43" i="1"/>
  <c r="CZ34" i="1"/>
  <c r="CZ212" i="1"/>
  <c r="CW241" i="1"/>
  <c r="CW265" i="1"/>
  <c r="CW266" i="1" s="1"/>
  <c r="DB113" i="1"/>
  <c r="DB114" i="1" s="1"/>
  <c r="DB117" i="1" s="1"/>
  <c r="DB268" i="1"/>
  <c r="AD113" i="1"/>
  <c r="AD203" i="1"/>
  <c r="CU213" i="1"/>
  <c r="AC45" i="1"/>
  <c r="AD167" i="1"/>
  <c r="AD171" i="1" s="1"/>
  <c r="CX171" i="1"/>
  <c r="CY49" i="1"/>
  <c r="CY45" i="1"/>
  <c r="CY44" i="1"/>
  <c r="CY247" i="1"/>
  <c r="CY248" i="1" s="1"/>
  <c r="CY172" i="1"/>
  <c r="DA167" i="1"/>
  <c r="DA168" i="1"/>
  <c r="DA160" i="1"/>
  <c r="DA31" i="1"/>
  <c r="DA159" i="1"/>
  <c r="DA41" i="1"/>
  <c r="DA38" i="1" s="1"/>
  <c r="DA161" i="1"/>
  <c r="CK135" i="1"/>
  <c r="CL222" i="1" s="1"/>
  <c r="CL220" i="1" s="1"/>
  <c r="CX34" i="1"/>
  <c r="CX43" i="1"/>
  <c r="CY265" i="1" s="1"/>
  <c r="CY266" i="1" s="1"/>
  <c r="CX33" i="1"/>
  <c r="AC197" i="1"/>
  <c r="AC172" i="1"/>
  <c r="AC211" i="1"/>
  <c r="AC213" i="1" s="1"/>
  <c r="AC49" i="1"/>
  <c r="AC75" i="1"/>
  <c r="AC44" i="1"/>
  <c r="AC127" i="1"/>
  <c r="DB240" i="1"/>
  <c r="DB246" i="1"/>
  <c r="CW172" i="1"/>
  <c r="CW211" i="1"/>
  <c r="CW213" i="1" s="1"/>
  <c r="AD159" i="1"/>
  <c r="CX163" i="1"/>
  <c r="AD73" i="1"/>
  <c r="AD26" i="1"/>
  <c r="CW49" i="1"/>
  <c r="CW45" i="1"/>
  <c r="CW247" i="1"/>
  <c r="CW248" i="1" s="1"/>
  <c r="CW46" i="1"/>
  <c r="CW44" i="1"/>
  <c r="CW127" i="1"/>
  <c r="CX30" i="1"/>
  <c r="AD30" i="1" s="1"/>
  <c r="AD31" i="1" s="1"/>
  <c r="AE23" i="1"/>
  <c r="AE268" i="1" s="1"/>
  <c r="CK107" i="1" l="1"/>
  <c r="CK69" i="1"/>
  <c r="CZ211" i="1"/>
  <c r="CZ213" i="1" s="1"/>
  <c r="CZ172" i="1"/>
  <c r="CZ265" i="1"/>
  <c r="CZ266" i="1" s="1"/>
  <c r="CZ44" i="1"/>
  <c r="CZ247" i="1"/>
  <c r="CZ248" i="1" s="1"/>
  <c r="CZ46" i="1"/>
  <c r="CZ49" i="1"/>
  <c r="CZ45" i="1"/>
  <c r="AD33" i="1"/>
  <c r="CZ127" i="1"/>
  <c r="CX265" i="1"/>
  <c r="CX266" i="1" s="1"/>
  <c r="CY241" i="1"/>
  <c r="CY46" i="1"/>
  <c r="CZ241" i="1"/>
  <c r="CX241" i="1"/>
  <c r="CY127" i="1"/>
  <c r="CX127" i="1"/>
  <c r="DA163" i="1"/>
  <c r="DA211" i="1" s="1"/>
  <c r="AD32" i="1"/>
  <c r="AD74" i="1"/>
  <c r="AD43" i="1"/>
  <c r="AD265" i="1" s="1"/>
  <c r="AD266" i="1" s="1"/>
  <c r="CY211" i="1"/>
  <c r="CX172" i="1"/>
  <c r="CY212" i="1"/>
  <c r="CX212" i="1"/>
  <c r="AD200" i="1"/>
  <c r="AD199" i="1" s="1"/>
  <c r="AD212" i="1"/>
  <c r="CG104" i="1"/>
  <c r="DA34" i="1"/>
  <c r="DA33" i="1"/>
  <c r="DA43" i="1"/>
  <c r="DA265" i="1" s="1"/>
  <c r="DA266" i="1" s="1"/>
  <c r="CX211" i="1"/>
  <c r="CX49" i="1"/>
  <c r="CX45" i="1"/>
  <c r="CX44" i="1"/>
  <c r="CX247" i="1"/>
  <c r="CX248" i="1" s="1"/>
  <c r="CX46" i="1"/>
  <c r="AD194" i="1"/>
  <c r="AD163" i="1"/>
  <c r="CK222" i="1"/>
  <c r="CK220" i="1" s="1"/>
  <c r="CK225" i="1" s="1"/>
  <c r="CK144" i="1"/>
  <c r="CK70" i="1" s="1"/>
  <c r="AC196" i="1"/>
  <c r="AC201" i="1"/>
  <c r="AC204" i="1" s="1"/>
  <c r="AC205" i="1" s="1"/>
  <c r="DA30" i="1"/>
  <c r="DB160" i="1"/>
  <c r="AE160" i="1" s="1"/>
  <c r="AE195" i="1" s="1"/>
  <c r="DB31" i="1"/>
  <c r="DB30" i="1" s="1"/>
  <c r="DB159" i="1"/>
  <c r="DB41" i="1"/>
  <c r="DB38" i="1" s="1"/>
  <c r="DB168" i="1"/>
  <c r="AE168" i="1" s="1"/>
  <c r="AE198" i="1" s="1"/>
  <c r="DB161" i="1"/>
  <c r="AE161" i="1" s="1"/>
  <c r="DB167" i="1"/>
  <c r="AE25" i="1"/>
  <c r="DA171" i="1"/>
  <c r="CK109" i="1" l="1"/>
  <c r="CK111" i="1"/>
  <c r="CK110" i="1"/>
  <c r="AE38" i="1"/>
  <c r="AE41" i="1" s="1"/>
  <c r="AE42" i="1" s="1"/>
  <c r="AE113" i="1"/>
  <c r="AE203" i="1"/>
  <c r="AD45" i="1"/>
  <c r="DA172" i="1"/>
  <c r="CK175" i="1"/>
  <c r="CK176" i="1" s="1"/>
  <c r="CL224" i="1" s="1"/>
  <c r="CL225" i="1" s="1"/>
  <c r="CL226" i="1" s="1"/>
  <c r="DB34" i="1"/>
  <c r="DB43" i="1"/>
  <c r="DB265" i="1" s="1"/>
  <c r="DB266" i="1" s="1"/>
  <c r="DB33" i="1"/>
  <c r="CX213" i="1"/>
  <c r="CY213" i="1"/>
  <c r="AD172" i="1"/>
  <c r="AD197" i="1"/>
  <c r="AD211" i="1"/>
  <c r="AD213" i="1" s="1"/>
  <c r="DB163" i="1"/>
  <c r="AE159" i="1"/>
  <c r="DA49" i="1"/>
  <c r="DA44" i="1"/>
  <c r="DA45" i="1"/>
  <c r="DA46" i="1"/>
  <c r="DA247" i="1"/>
  <c r="DA248" i="1" s="1"/>
  <c r="AD49" i="1"/>
  <c r="AD44" i="1"/>
  <c r="AD127" i="1"/>
  <c r="AD75" i="1"/>
  <c r="AE26" i="1"/>
  <c r="AE73" i="1"/>
  <c r="AE30" i="1"/>
  <c r="AE31" i="1" s="1"/>
  <c r="AE33" i="1" s="1"/>
  <c r="DA127" i="1"/>
  <c r="DA241" i="1"/>
  <c r="AE167" i="1"/>
  <c r="AE171" i="1" s="1"/>
  <c r="DB171" i="1"/>
  <c r="DB212" i="1" s="1"/>
  <c r="DA212" i="1"/>
  <c r="DA213" i="1" s="1"/>
  <c r="CK226" i="1" l="1"/>
  <c r="CK263" i="1"/>
  <c r="CK259" i="1"/>
  <c r="CK261" i="1"/>
  <c r="AE43" i="1"/>
  <c r="AE32" i="1"/>
  <c r="AE74" i="1"/>
  <c r="DB49" i="1"/>
  <c r="DB46" i="1"/>
  <c r="DB247" i="1"/>
  <c r="DB248" i="1" s="1"/>
  <c r="DB44" i="1"/>
  <c r="DB45" i="1"/>
  <c r="DB127" i="1"/>
  <c r="AD201" i="1"/>
  <c r="AD204" i="1" s="1"/>
  <c r="AD205" i="1" s="1"/>
  <c r="AD196" i="1"/>
  <c r="AE163" i="1"/>
  <c r="AE194" i="1"/>
  <c r="CK180" i="1"/>
  <c r="CK183" i="1"/>
  <c r="DB172" i="1"/>
  <c r="DB211" i="1"/>
  <c r="DB213" i="1" s="1"/>
  <c r="AE200" i="1"/>
  <c r="AE199" i="1" s="1"/>
  <c r="AE212" i="1"/>
  <c r="DB241" i="1"/>
  <c r="CK124" i="1" l="1"/>
  <c r="CL52" i="1"/>
  <c r="CK126" i="1"/>
  <c r="CK129" i="1" s="1"/>
  <c r="CK125" i="1"/>
  <c r="CK128" i="1" s="1"/>
  <c r="AE45" i="1"/>
  <c r="AE265" i="1"/>
  <c r="AE266" i="1" s="1"/>
  <c r="CK181" i="1"/>
  <c r="AE172" i="1"/>
  <c r="AE197" i="1"/>
  <c r="AE211" i="1"/>
  <c r="AE213" i="1" s="1"/>
  <c r="AE49" i="1"/>
  <c r="AE44" i="1"/>
  <c r="AE75" i="1"/>
  <c r="AE127" i="1"/>
  <c r="AE201" i="1" l="1"/>
  <c r="AE204" i="1" s="1"/>
  <c r="AE205" i="1" s="1"/>
  <c r="AE196" i="1"/>
  <c r="AG50" i="1" l="1"/>
  <c r="CN102" i="1" l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H104" i="1"/>
  <c r="CN101" i="1" l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M224" i="1" l="1"/>
  <c r="AB224" i="1"/>
  <c r="CM51" i="1" l="1"/>
  <c r="CM267" i="1" s="1"/>
  <c r="CM53" i="1" l="1"/>
  <c r="CM54" i="1" l="1"/>
  <c r="CM56" i="1" l="1"/>
  <c r="CM58" i="1" l="1"/>
  <c r="CM59" i="1"/>
  <c r="CM249" i="1"/>
  <c r="CM63" i="1"/>
  <c r="CM57" i="1"/>
  <c r="CM260" i="1" s="1"/>
  <c r="CM242" i="1"/>
  <c r="CM208" i="1" l="1"/>
  <c r="CM210" i="1" s="1"/>
  <c r="CM214" i="1" s="1"/>
  <c r="CM228" i="1" s="1"/>
  <c r="CM81" i="1"/>
  <c r="CM134" i="1"/>
  <c r="CM135" i="1" l="1"/>
  <c r="CM84" i="1"/>
  <c r="CM85" i="1" l="1"/>
  <c r="CM93" i="1"/>
  <c r="CI104" i="1"/>
  <c r="CM100" i="1"/>
  <c r="CM94" i="1"/>
  <c r="CM144" i="1"/>
  <c r="CM70" i="1" s="1"/>
  <c r="CM107" i="1"/>
  <c r="CM109" i="1" s="1"/>
  <c r="CM222" i="1"/>
  <c r="CM220" i="1" s="1"/>
  <c r="CM225" i="1" s="1"/>
  <c r="CM69" i="1"/>
  <c r="CM175" i="1" l="1"/>
  <c r="CM176" i="1" s="1"/>
  <c r="CM97" i="1"/>
  <c r="CM123" i="1"/>
  <c r="CM96" i="1"/>
  <c r="CM122" i="1"/>
  <c r="CM226" i="1" l="1"/>
  <c r="CM263" i="1"/>
  <c r="CM261" i="1"/>
  <c r="CM259" i="1"/>
  <c r="CN224" i="1"/>
  <c r="CM180" i="1"/>
  <c r="CM183" i="1"/>
  <c r="CM181" i="1" l="1"/>
  <c r="CN51" i="1"/>
  <c r="CN267" i="1" s="1"/>
  <c r="CM124" i="1"/>
  <c r="CM125" i="1" l="1"/>
  <c r="CM128" i="1" s="1"/>
  <c r="CM126" i="1"/>
  <c r="CM129" i="1" s="1"/>
  <c r="CN53" i="1"/>
  <c r="CN54" i="1" l="1"/>
  <c r="CN56" i="1" s="1"/>
  <c r="CN58" i="1" l="1"/>
  <c r="CN59" i="1"/>
  <c r="CN63" i="1"/>
  <c r="CN249" i="1"/>
  <c r="CN57" i="1"/>
  <c r="CN260" i="1" s="1"/>
  <c r="CN242" i="1"/>
  <c r="CN81" i="1" l="1"/>
  <c r="CN208" i="1"/>
  <c r="CN210" i="1" s="1"/>
  <c r="CN214" i="1" s="1"/>
  <c r="CN228" i="1" s="1"/>
  <c r="CN134" i="1"/>
  <c r="CN84" i="1" l="1"/>
  <c r="CN135" i="1"/>
  <c r="CN85" i="1" l="1"/>
  <c r="CN144" i="1"/>
  <c r="CN70" i="1" s="1"/>
  <c r="CN222" i="1"/>
  <c r="CN220" i="1" s="1"/>
  <c r="CN225" i="1" s="1"/>
  <c r="CN107" i="1"/>
  <c r="CN109" i="1" s="1"/>
  <c r="CN69" i="1"/>
  <c r="CN100" i="1"/>
  <c r="CN93" i="1"/>
  <c r="CN94" i="1"/>
  <c r="CJ104" i="1"/>
  <c r="CN96" i="1" l="1"/>
  <c r="CN122" i="1"/>
  <c r="CN175" i="1"/>
  <c r="CN176" i="1" s="1"/>
  <c r="CN123" i="1"/>
  <c r="CN97" i="1"/>
  <c r="CN226" i="1" l="1"/>
  <c r="CN263" i="1"/>
  <c r="CN261" i="1"/>
  <c r="CN259" i="1"/>
  <c r="CN180" i="1"/>
  <c r="CN183" i="1"/>
  <c r="CO224" i="1"/>
  <c r="CN181" i="1" l="1"/>
  <c r="CO51" i="1"/>
  <c r="CO267" i="1" s="1"/>
  <c r="CN124" i="1"/>
  <c r="CO53" i="1" l="1"/>
  <c r="CN126" i="1"/>
  <c r="CN129" i="1" s="1"/>
  <c r="CN125" i="1"/>
  <c r="CN128" i="1" s="1"/>
  <c r="CO54" i="1" l="1"/>
  <c r="CO56" i="1" l="1"/>
  <c r="CO57" i="1" l="1"/>
  <c r="CO260" i="1" s="1"/>
  <c r="CO59" i="1"/>
  <c r="CO58" i="1"/>
  <c r="CO249" i="1"/>
  <c r="CO63" i="1"/>
  <c r="CO242" i="1"/>
  <c r="CO81" i="1" l="1"/>
  <c r="CO208" i="1"/>
  <c r="CO210" i="1" s="1"/>
  <c r="CO214" i="1" s="1"/>
  <c r="CO228" i="1" s="1"/>
  <c r="CO134" i="1"/>
  <c r="CO135" i="1" l="1"/>
  <c r="CO84" i="1"/>
  <c r="CK104" i="1" s="1"/>
  <c r="CO85" i="1" l="1"/>
  <c r="CO94" i="1"/>
  <c r="CO100" i="1"/>
  <c r="CO93" i="1"/>
  <c r="CO107" i="1"/>
  <c r="CO109" i="1" s="1"/>
  <c r="CO222" i="1"/>
  <c r="CO220" i="1" s="1"/>
  <c r="CO225" i="1" s="1"/>
  <c r="CO144" i="1"/>
  <c r="CO70" i="1" s="1"/>
  <c r="CO69" i="1"/>
  <c r="CO175" i="1" l="1"/>
  <c r="CO176" i="1" s="1"/>
  <c r="CO96" i="1"/>
  <c r="CO122" i="1"/>
  <c r="CO123" i="1"/>
  <c r="CO97" i="1"/>
  <c r="CO226" i="1" l="1"/>
  <c r="CO261" i="1"/>
  <c r="CO259" i="1"/>
  <c r="CO263" i="1"/>
  <c r="CO180" i="1"/>
  <c r="CO183" i="1"/>
  <c r="CP224" i="1"/>
  <c r="CP51" i="1" l="1"/>
  <c r="CP267" i="1" s="1"/>
  <c r="CO124" i="1"/>
  <c r="CO181" i="1"/>
  <c r="CO126" i="1" l="1"/>
  <c r="CO129" i="1" s="1"/>
  <c r="CO125" i="1"/>
  <c r="CO128" i="1" s="1"/>
  <c r="CP53" i="1"/>
  <c r="AB51" i="1"/>
  <c r="AB52" i="1" l="1"/>
  <c r="AB267" i="1"/>
  <c r="AB53" i="1"/>
  <c r="CP54" i="1"/>
  <c r="AB54" i="1" s="1"/>
  <c r="AB55" i="1" l="1"/>
  <c r="CP56" i="1"/>
  <c r="CP57" i="1" s="1"/>
  <c r="CP260" i="1" s="1"/>
  <c r="AB56" i="1"/>
  <c r="CP58" i="1" l="1"/>
  <c r="CP242" i="1"/>
  <c r="CP249" i="1"/>
  <c r="CP63" i="1"/>
  <c r="CP134" i="1" s="1"/>
  <c r="CP59" i="1"/>
  <c r="AB58" i="1"/>
  <c r="AB63" i="1"/>
  <c r="AB57" i="1"/>
  <c r="AB260" i="1" s="1"/>
  <c r="AB76" i="1"/>
  <c r="CP208" i="1" l="1"/>
  <c r="CP210" i="1" s="1"/>
  <c r="CP214" i="1" s="1"/>
  <c r="CP228" i="1" s="1"/>
  <c r="CP81" i="1"/>
  <c r="CP84" i="1" s="1"/>
  <c r="AB134" i="1"/>
  <c r="AB135" i="1" s="1"/>
  <c r="AB69" i="1" s="1"/>
  <c r="CP135" i="1"/>
  <c r="AB66" i="1"/>
  <c r="AB67" i="1" s="1"/>
  <c r="AB208" i="1"/>
  <c r="AB210" i="1" s="1"/>
  <c r="AB214" i="1" s="1"/>
  <c r="AB228" i="1" s="1"/>
  <c r="CL104" i="1" l="1"/>
  <c r="CP87" i="1"/>
  <c r="CP85" i="1"/>
  <c r="AB144" i="1"/>
  <c r="AB70" i="1" s="1"/>
  <c r="AB190" i="1"/>
  <c r="AB222" i="1"/>
  <c r="AB220" i="1" s="1"/>
  <c r="AB225" i="1" s="1"/>
  <c r="CP93" i="1"/>
  <c r="CP100" i="1"/>
  <c r="CP94" i="1"/>
  <c r="CP222" i="1"/>
  <c r="CP220" i="1" s="1"/>
  <c r="CP225" i="1" s="1"/>
  <c r="CP144" i="1"/>
  <c r="CP70" i="1" s="1"/>
  <c r="CP107" i="1"/>
  <c r="CP109" i="1" s="1"/>
  <c r="CP69" i="1"/>
  <c r="CP175" i="1" l="1"/>
  <c r="CP96" i="1"/>
  <c r="CP122" i="1"/>
  <c r="AB93" i="1"/>
  <c r="CP123" i="1"/>
  <c r="CP97" i="1"/>
  <c r="AB94" i="1"/>
  <c r="AB97" i="1" l="1"/>
  <c r="CP176" i="1"/>
  <c r="AB175" i="1"/>
  <c r="AB176" i="1" s="1"/>
  <c r="AB96" i="1"/>
  <c r="AB263" i="1" l="1"/>
  <c r="AB261" i="1"/>
  <c r="AB259" i="1"/>
  <c r="CP261" i="1"/>
  <c r="CP259" i="1"/>
  <c r="CP263" i="1"/>
  <c r="CP180" i="1"/>
  <c r="CQ224" i="1"/>
  <c r="CP183" i="1"/>
  <c r="CP226" i="1"/>
  <c r="AB183" i="1"/>
  <c r="AB124" i="1" s="1"/>
  <c r="AB180" i="1"/>
  <c r="AC224" i="1"/>
  <c r="AB226" i="1"/>
  <c r="AB181" i="1" l="1"/>
  <c r="CP124" i="1"/>
  <c r="CQ51" i="1"/>
  <c r="CQ267" i="1" s="1"/>
  <c r="CP181" i="1"/>
  <c r="CQ53" i="1" l="1"/>
  <c r="CP125" i="1"/>
  <c r="CP128" i="1" s="1"/>
  <c r="CP126" i="1"/>
  <c r="CP129" i="1" s="1"/>
  <c r="CQ54" i="1" l="1"/>
  <c r="CQ56" i="1" s="1"/>
  <c r="CQ63" i="1" l="1"/>
  <c r="CQ57" i="1"/>
  <c r="CQ260" i="1" s="1"/>
  <c r="CQ58" i="1"/>
  <c r="CQ59" i="1"/>
  <c r="CQ249" i="1"/>
  <c r="CQ242" i="1"/>
  <c r="CQ81" i="1" l="1"/>
  <c r="CQ208" i="1"/>
  <c r="CQ210" i="1" s="1"/>
  <c r="CQ214" i="1" s="1"/>
  <c r="CQ228" i="1" s="1"/>
  <c r="CQ134" i="1"/>
  <c r="CQ135" i="1" l="1"/>
  <c r="CQ84" i="1"/>
  <c r="CQ85" i="1" l="1"/>
  <c r="CQ94" i="1"/>
  <c r="CQ93" i="1"/>
  <c r="CQ100" i="1"/>
  <c r="CQ144" i="1"/>
  <c r="CQ70" i="1" s="1"/>
  <c r="CQ222" i="1"/>
  <c r="CQ220" i="1" s="1"/>
  <c r="CQ225" i="1" s="1"/>
  <c r="CQ107" i="1"/>
  <c r="CQ109" i="1" s="1"/>
  <c r="CQ69" i="1"/>
  <c r="CQ175" i="1" l="1"/>
  <c r="CQ176" i="1" s="1"/>
  <c r="CQ226" i="1" s="1"/>
  <c r="CQ122" i="1"/>
  <c r="CQ96" i="1"/>
  <c r="CQ123" i="1"/>
  <c r="CQ97" i="1"/>
  <c r="CQ263" i="1" l="1"/>
  <c r="CQ261" i="1"/>
  <c r="CQ259" i="1"/>
  <c r="CQ183" i="1"/>
  <c r="CR224" i="1"/>
  <c r="CQ180" i="1"/>
  <c r="CQ181" i="1" l="1"/>
  <c r="CQ124" i="1"/>
  <c r="CR51" i="1"/>
  <c r="CR267" i="1" s="1"/>
  <c r="CR53" i="1" l="1"/>
  <c r="CQ125" i="1"/>
  <c r="CQ128" i="1" s="1"/>
  <c r="CQ126" i="1"/>
  <c r="CQ129" i="1" s="1"/>
  <c r="CR54" i="1" l="1"/>
  <c r="CR56" i="1" s="1"/>
  <c r="CR249" i="1" l="1"/>
  <c r="CR57" i="1"/>
  <c r="CR260" i="1" s="1"/>
  <c r="CR63" i="1"/>
  <c r="CR58" i="1"/>
  <c r="CR59" i="1"/>
  <c r="CR242" i="1"/>
  <c r="CR81" i="1" l="1"/>
  <c r="CR208" i="1"/>
  <c r="CR210" i="1" s="1"/>
  <c r="CR214" i="1" s="1"/>
  <c r="CR228" i="1" s="1"/>
  <c r="CR134" i="1"/>
  <c r="CR135" i="1" l="1"/>
  <c r="CR84" i="1"/>
  <c r="CR85" i="1" l="1"/>
  <c r="CR100" i="1"/>
  <c r="CR93" i="1"/>
  <c r="CR94" i="1"/>
  <c r="CR144" i="1"/>
  <c r="CR70" i="1" s="1"/>
  <c r="CR222" i="1"/>
  <c r="CR220" i="1" s="1"/>
  <c r="CR225" i="1" s="1"/>
  <c r="CR107" i="1"/>
  <c r="CR109" i="1" s="1"/>
  <c r="CR69" i="1"/>
  <c r="CR175" i="1" l="1"/>
  <c r="CR176" i="1" s="1"/>
  <c r="CR123" i="1"/>
  <c r="CR97" i="1"/>
  <c r="CR122" i="1"/>
  <c r="CR96" i="1"/>
  <c r="CR263" i="1" l="1"/>
  <c r="CR261" i="1"/>
  <c r="CR259" i="1"/>
  <c r="CS224" i="1"/>
  <c r="CR183" i="1"/>
  <c r="CR180" i="1"/>
  <c r="CR226" i="1"/>
  <c r="CR181" i="1" l="1"/>
  <c r="CR124" i="1"/>
  <c r="CS51" i="1"/>
  <c r="CS267" i="1" s="1"/>
  <c r="CS53" i="1" l="1"/>
  <c r="CR125" i="1"/>
  <c r="CR128" i="1" s="1"/>
  <c r="CR126" i="1"/>
  <c r="CR129" i="1" s="1"/>
  <c r="CS54" i="1" l="1"/>
  <c r="CS56" i="1" l="1"/>
  <c r="CS63" i="1" l="1"/>
  <c r="CS59" i="1"/>
  <c r="CS249" i="1"/>
  <c r="CS58" i="1"/>
  <c r="CS57" i="1"/>
  <c r="CS260" i="1" s="1"/>
  <c r="CS242" i="1"/>
  <c r="CS81" i="1" l="1"/>
  <c r="CS208" i="1"/>
  <c r="CS210" i="1" s="1"/>
  <c r="CS214" i="1" s="1"/>
  <c r="CS228" i="1" s="1"/>
  <c r="CS134" i="1"/>
  <c r="CS135" i="1" l="1"/>
  <c r="CS84" i="1"/>
  <c r="CS85" i="1" l="1"/>
  <c r="CS93" i="1"/>
  <c r="CS94" i="1"/>
  <c r="CS100" i="1"/>
  <c r="CS144" i="1"/>
  <c r="CS70" i="1" s="1"/>
  <c r="CS107" i="1"/>
  <c r="CS109" i="1" s="1"/>
  <c r="CS222" i="1"/>
  <c r="CS220" i="1" s="1"/>
  <c r="CS225" i="1" s="1"/>
  <c r="CS69" i="1"/>
  <c r="CS175" i="1" l="1"/>
  <c r="CS176" i="1" s="1"/>
  <c r="CS123" i="1"/>
  <c r="CS97" i="1"/>
  <c r="CS122" i="1"/>
  <c r="CS96" i="1"/>
  <c r="CS261" i="1" l="1"/>
  <c r="CS263" i="1"/>
  <c r="CS259" i="1"/>
  <c r="CT224" i="1"/>
  <c r="CS180" i="1"/>
  <c r="CS183" i="1"/>
  <c r="CS226" i="1"/>
  <c r="CT51" i="1" l="1"/>
  <c r="CT267" i="1" s="1"/>
  <c r="CS124" i="1"/>
  <c r="CS181" i="1"/>
  <c r="CS126" i="1" l="1"/>
  <c r="CS129" i="1" s="1"/>
  <c r="CS125" i="1"/>
  <c r="CS128" i="1" s="1"/>
  <c r="CT53" i="1"/>
  <c r="AC51" i="1"/>
  <c r="AC52" i="1" l="1"/>
  <c r="AC267" i="1"/>
  <c r="AC53" i="1"/>
  <c r="CT54" i="1"/>
  <c r="AC54" i="1" s="1"/>
  <c r="AC55" i="1" l="1"/>
  <c r="CT56" i="1"/>
  <c r="CT59" i="1" s="1"/>
  <c r="AC56" i="1"/>
  <c r="CT58" i="1" l="1"/>
  <c r="CT63" i="1"/>
  <c r="CT249" i="1"/>
  <c r="CT242" i="1"/>
  <c r="CT57" i="1"/>
  <c r="CT260" i="1" s="1"/>
  <c r="AC58" i="1"/>
  <c r="AC57" i="1"/>
  <c r="AC260" i="1" s="1"/>
  <c r="AC76" i="1"/>
  <c r="AC63" i="1"/>
  <c r="CT134" i="1" l="1"/>
  <c r="CT81" i="1"/>
  <c r="CT84" i="1" s="1"/>
  <c r="CT87" i="1" s="1"/>
  <c r="CT208" i="1"/>
  <c r="CT210" i="1" s="1"/>
  <c r="CT214" i="1" s="1"/>
  <c r="CT228" i="1" s="1"/>
  <c r="AC66" i="1"/>
  <c r="AC67" i="1" s="1"/>
  <c r="AC208" i="1"/>
  <c r="AC210" i="1" s="1"/>
  <c r="AC214" i="1" s="1"/>
  <c r="AC228" i="1" s="1"/>
  <c r="CT135" i="1" l="1"/>
  <c r="AC134" i="1"/>
  <c r="AC135" i="1" s="1"/>
  <c r="AC144" i="1" s="1"/>
  <c r="AC70" i="1" s="1"/>
  <c r="CT85" i="1"/>
  <c r="CT100" i="1"/>
  <c r="CT93" i="1"/>
  <c r="CT94" i="1"/>
  <c r="CT144" i="1" l="1"/>
  <c r="CT70" i="1" s="1"/>
  <c r="CT107" i="1"/>
  <c r="CT109" i="1" s="1"/>
  <c r="CT222" i="1"/>
  <c r="CT220" i="1" s="1"/>
  <c r="CT225" i="1" s="1"/>
  <c r="CT175" i="1" s="1"/>
  <c r="CT69" i="1"/>
  <c r="AC69" i="1"/>
  <c r="AC222" i="1"/>
  <c r="AC220" i="1" s="1"/>
  <c r="AC225" i="1" s="1"/>
  <c r="AC190" i="1"/>
  <c r="CT122" i="1"/>
  <c r="CT96" i="1"/>
  <c r="AC93" i="1"/>
  <c r="CT123" i="1"/>
  <c r="CT97" i="1"/>
  <c r="AC94" i="1"/>
  <c r="AC96" i="1" l="1"/>
  <c r="CT176" i="1"/>
  <c r="AC175" i="1"/>
  <c r="AC176" i="1" s="1"/>
  <c r="AC97" i="1"/>
  <c r="CT261" i="1" l="1"/>
  <c r="CT263" i="1"/>
  <c r="CT259" i="1"/>
  <c r="AC263" i="1"/>
  <c r="AC261" i="1"/>
  <c r="AC259" i="1"/>
  <c r="CU224" i="1"/>
  <c r="CT180" i="1"/>
  <c r="CT183" i="1"/>
  <c r="CT226" i="1"/>
  <c r="AD224" i="1"/>
  <c r="AC183" i="1"/>
  <c r="AC124" i="1" s="1"/>
  <c r="AC180" i="1"/>
  <c r="AC226" i="1"/>
  <c r="AC181" i="1" l="1"/>
  <c r="CT181" i="1"/>
  <c r="CT124" i="1"/>
  <c r="CU51" i="1"/>
  <c r="CU267" i="1" s="1"/>
  <c r="CU53" i="1" l="1"/>
  <c r="CT125" i="1"/>
  <c r="CT128" i="1" s="1"/>
  <c r="CT126" i="1"/>
  <c r="CT129" i="1" s="1"/>
  <c r="CU54" i="1" l="1"/>
  <c r="CU56" i="1" s="1"/>
  <c r="CU57" i="1" l="1"/>
  <c r="CU260" i="1" s="1"/>
  <c r="CU58" i="1"/>
  <c r="CU59" i="1"/>
  <c r="CU63" i="1"/>
  <c r="CU249" i="1"/>
  <c r="CU242" i="1"/>
  <c r="CU208" i="1" l="1"/>
  <c r="CU210" i="1" s="1"/>
  <c r="CU214" i="1" s="1"/>
  <c r="CU228" i="1" s="1"/>
  <c r="CU81" i="1"/>
  <c r="CU134" i="1"/>
  <c r="CU135" i="1" l="1"/>
  <c r="CU84" i="1"/>
  <c r="CU85" i="1" l="1"/>
  <c r="CU100" i="1"/>
  <c r="CU94" i="1"/>
  <c r="CU93" i="1"/>
  <c r="CU144" i="1"/>
  <c r="CU70" i="1" s="1"/>
  <c r="CU222" i="1"/>
  <c r="CU220" i="1" s="1"/>
  <c r="CU225" i="1" s="1"/>
  <c r="CU107" i="1"/>
  <c r="CU109" i="1" s="1"/>
  <c r="CU69" i="1"/>
  <c r="CU175" i="1" l="1"/>
  <c r="CU176" i="1" s="1"/>
  <c r="CU122" i="1"/>
  <c r="CU96" i="1"/>
  <c r="CU123" i="1"/>
  <c r="CU97" i="1"/>
  <c r="CU263" i="1" l="1"/>
  <c r="CU259" i="1"/>
  <c r="CU261" i="1"/>
  <c r="CU180" i="1"/>
  <c r="CU183" i="1"/>
  <c r="CV224" i="1"/>
  <c r="CU226" i="1"/>
  <c r="CU181" i="1" l="1"/>
  <c r="CV51" i="1"/>
  <c r="CV267" i="1" s="1"/>
  <c r="CU124" i="1"/>
  <c r="CU125" i="1" l="1"/>
  <c r="CU128" i="1" s="1"/>
  <c r="CU126" i="1"/>
  <c r="CU129" i="1" s="1"/>
  <c r="CV53" i="1"/>
  <c r="CV54" i="1" l="1"/>
  <c r="CV56" i="1" l="1"/>
  <c r="CV63" i="1" l="1"/>
  <c r="CV249" i="1"/>
  <c r="CV57" i="1"/>
  <c r="CV260" i="1" s="1"/>
  <c r="CV59" i="1"/>
  <c r="CV58" i="1"/>
  <c r="CV242" i="1"/>
  <c r="CV208" i="1" l="1"/>
  <c r="CV210" i="1" s="1"/>
  <c r="CV214" i="1" s="1"/>
  <c r="CV228" i="1" s="1"/>
  <c r="CV81" i="1"/>
  <c r="CV134" i="1"/>
  <c r="CV135" i="1" l="1"/>
  <c r="CV84" i="1"/>
  <c r="CV85" i="1" l="1"/>
  <c r="CV93" i="1"/>
  <c r="CV94" i="1"/>
  <c r="CV100" i="1"/>
  <c r="CV107" i="1"/>
  <c r="CV109" i="1" s="1"/>
  <c r="CV144" i="1"/>
  <c r="CV70" i="1" s="1"/>
  <c r="CV222" i="1"/>
  <c r="CV220" i="1" s="1"/>
  <c r="CV225" i="1" s="1"/>
  <c r="CV69" i="1"/>
  <c r="CV175" i="1" l="1"/>
  <c r="CV176" i="1" s="1"/>
  <c r="CV123" i="1"/>
  <c r="CV97" i="1"/>
  <c r="CV122" i="1"/>
  <c r="CV96" i="1"/>
  <c r="CV261" i="1" l="1"/>
  <c r="CV259" i="1"/>
  <c r="CV263" i="1"/>
  <c r="CV183" i="1"/>
  <c r="CW224" i="1"/>
  <c r="CV180" i="1"/>
  <c r="CV226" i="1"/>
  <c r="CV181" i="1" l="1"/>
  <c r="CV124" i="1"/>
  <c r="CW51" i="1"/>
  <c r="CW267" i="1" s="1"/>
  <c r="CW53" i="1" l="1"/>
  <c r="CV126" i="1"/>
  <c r="CV129" i="1" s="1"/>
  <c r="CV125" i="1"/>
  <c r="CV128" i="1" s="1"/>
  <c r="CW54" i="1" l="1"/>
  <c r="CW56" i="1" l="1"/>
  <c r="CW57" i="1" l="1"/>
  <c r="CW260" i="1" s="1"/>
  <c r="CW59" i="1"/>
  <c r="CW63" i="1"/>
  <c r="CW58" i="1"/>
  <c r="CW249" i="1"/>
  <c r="CW242" i="1"/>
  <c r="CW208" i="1" l="1"/>
  <c r="CW210" i="1" s="1"/>
  <c r="CW214" i="1" s="1"/>
  <c r="CW228" i="1" s="1"/>
  <c r="CW81" i="1"/>
  <c r="CW134" i="1"/>
  <c r="CW135" i="1" l="1"/>
  <c r="CW84" i="1"/>
  <c r="CW85" i="1" l="1"/>
  <c r="CW100" i="1"/>
  <c r="CW94" i="1"/>
  <c r="CW93" i="1"/>
  <c r="CW222" i="1"/>
  <c r="CW220" i="1" s="1"/>
  <c r="CW225" i="1" s="1"/>
  <c r="CW144" i="1"/>
  <c r="CW70" i="1" s="1"/>
  <c r="CW107" i="1"/>
  <c r="CW109" i="1" s="1"/>
  <c r="CW69" i="1"/>
  <c r="CW175" i="1" l="1"/>
  <c r="CW176" i="1" s="1"/>
  <c r="CW122" i="1"/>
  <c r="CW96" i="1"/>
  <c r="CW123" i="1"/>
  <c r="CW97" i="1"/>
  <c r="CW261" i="1" l="1"/>
  <c r="CW259" i="1"/>
  <c r="CW263" i="1"/>
  <c r="CW180" i="1"/>
  <c r="CX224" i="1"/>
  <c r="CW183" i="1"/>
  <c r="CW226" i="1"/>
  <c r="CX51" i="1" l="1"/>
  <c r="CX267" i="1" s="1"/>
  <c r="CW124" i="1"/>
  <c r="CW181" i="1"/>
  <c r="CW125" i="1" l="1"/>
  <c r="CW128" i="1" s="1"/>
  <c r="CW126" i="1"/>
  <c r="CW129" i="1" s="1"/>
  <c r="CX53" i="1"/>
  <c r="AD51" i="1"/>
  <c r="AD52" i="1" l="1"/>
  <c r="AD267" i="1"/>
  <c r="AD53" i="1"/>
  <c r="CX54" i="1"/>
  <c r="AD54" i="1" s="1"/>
  <c r="AD55" i="1" l="1"/>
  <c r="CX56" i="1"/>
  <c r="CX242" i="1" s="1"/>
  <c r="AD56" i="1"/>
  <c r="CX59" i="1" l="1"/>
  <c r="CX249" i="1"/>
  <c r="CX63" i="1"/>
  <c r="CX57" i="1"/>
  <c r="CX260" i="1" s="1"/>
  <c r="CX58" i="1"/>
  <c r="AD58" i="1"/>
  <c r="AD76" i="1"/>
  <c r="AD63" i="1"/>
  <c r="AD57" i="1"/>
  <c r="AD260" i="1" s="1"/>
  <c r="CX81" i="1" l="1"/>
  <c r="CX84" i="1" s="1"/>
  <c r="CX87" i="1" s="1"/>
  <c r="CX208" i="1"/>
  <c r="CX210" i="1" s="1"/>
  <c r="CX214" i="1" s="1"/>
  <c r="CX228" i="1" s="1"/>
  <c r="CX134" i="1"/>
  <c r="AD66" i="1"/>
  <c r="AD67" i="1" s="1"/>
  <c r="AD208" i="1"/>
  <c r="AD210" i="1" s="1"/>
  <c r="AD214" i="1" s="1"/>
  <c r="AD228" i="1" s="1"/>
  <c r="AD134" i="1" l="1"/>
  <c r="AD135" i="1" s="1"/>
  <c r="CX135" i="1"/>
  <c r="CX222" i="1" s="1"/>
  <c r="CX220" i="1" s="1"/>
  <c r="CX225" i="1" s="1"/>
  <c r="CX85" i="1"/>
  <c r="CX93" i="1"/>
  <c r="CX100" i="1"/>
  <c r="CX94" i="1"/>
  <c r="AD190" i="1" l="1"/>
  <c r="AD144" i="1"/>
  <c r="AD70" i="1" s="1"/>
  <c r="AD69" i="1"/>
  <c r="AD222" i="1"/>
  <c r="AD220" i="1" s="1"/>
  <c r="AD225" i="1" s="1"/>
  <c r="CX144" i="1"/>
  <c r="CX70" i="1" s="1"/>
  <c r="CX107" i="1"/>
  <c r="CX109" i="1" s="1"/>
  <c r="CX69" i="1"/>
  <c r="CX175" i="1"/>
  <c r="CX97" i="1"/>
  <c r="CX123" i="1"/>
  <c r="AD94" i="1"/>
  <c r="CX122" i="1"/>
  <c r="CX96" i="1"/>
  <c r="AD93" i="1"/>
  <c r="AD97" i="1" l="1"/>
  <c r="AD96" i="1"/>
  <c r="CX176" i="1"/>
  <c r="AD175" i="1"/>
  <c r="AD176" i="1" s="1"/>
  <c r="AD263" i="1" l="1"/>
  <c r="AD261" i="1"/>
  <c r="AD259" i="1"/>
  <c r="CX263" i="1"/>
  <c r="CX261" i="1"/>
  <c r="CX259" i="1"/>
  <c r="AE224" i="1"/>
  <c r="AD180" i="1"/>
  <c r="AD183" i="1"/>
  <c r="AD124" i="1" s="1"/>
  <c r="AD226" i="1"/>
  <c r="CY224" i="1"/>
  <c r="CX180" i="1"/>
  <c r="CX183" i="1"/>
  <c r="CX226" i="1"/>
  <c r="AD181" i="1" l="1"/>
  <c r="CX124" i="1"/>
  <c r="CY51" i="1"/>
  <c r="CY267" i="1" s="1"/>
  <c r="CX181" i="1"/>
  <c r="CY53" i="1" l="1"/>
  <c r="CX125" i="1"/>
  <c r="CX128" i="1" s="1"/>
  <c r="CX126" i="1"/>
  <c r="CX129" i="1" s="1"/>
  <c r="CY54" i="1" l="1"/>
  <c r="CY56" i="1" l="1"/>
  <c r="CY57" i="1" l="1"/>
  <c r="CY260" i="1" s="1"/>
  <c r="CY249" i="1"/>
  <c r="CY58" i="1"/>
  <c r="CY59" i="1"/>
  <c r="CY63" i="1"/>
  <c r="CY242" i="1"/>
  <c r="CY81" i="1" l="1"/>
  <c r="CY208" i="1"/>
  <c r="CY210" i="1" s="1"/>
  <c r="CY214" i="1" s="1"/>
  <c r="CY228" i="1" s="1"/>
  <c r="CY134" i="1"/>
  <c r="CY135" i="1" l="1"/>
  <c r="CY84" i="1"/>
  <c r="CY85" i="1" s="1"/>
  <c r="CY93" i="1" l="1"/>
  <c r="CY100" i="1"/>
  <c r="CY94" i="1"/>
  <c r="CY107" i="1"/>
  <c r="CY109" i="1" s="1"/>
  <c r="CY144" i="1"/>
  <c r="CY70" i="1" s="1"/>
  <c r="CY222" i="1"/>
  <c r="CY220" i="1" s="1"/>
  <c r="CY225" i="1" s="1"/>
  <c r="CY69" i="1"/>
  <c r="CY175" i="1" l="1"/>
  <c r="CY176" i="1" s="1"/>
  <c r="CY123" i="1"/>
  <c r="CY97" i="1"/>
  <c r="CY96" i="1"/>
  <c r="CY122" i="1"/>
  <c r="CY226" i="1" l="1"/>
  <c r="CY263" i="1"/>
  <c r="CY261" i="1"/>
  <c r="CY259" i="1"/>
  <c r="CZ224" i="1"/>
  <c r="CY180" i="1"/>
  <c r="CY183" i="1"/>
  <c r="CY181" i="1" l="1"/>
  <c r="CZ51" i="1"/>
  <c r="CZ267" i="1" s="1"/>
  <c r="CY124" i="1"/>
  <c r="CY126" i="1" l="1"/>
  <c r="CY129" i="1" s="1"/>
  <c r="CY125" i="1"/>
  <c r="CY128" i="1" s="1"/>
  <c r="CZ53" i="1"/>
  <c r="CZ54" i="1" l="1"/>
  <c r="CZ56" i="1" l="1"/>
  <c r="CZ249" i="1" l="1"/>
  <c r="CZ58" i="1"/>
  <c r="CZ57" i="1"/>
  <c r="CZ260" i="1" s="1"/>
  <c r="CZ59" i="1"/>
  <c r="CZ63" i="1"/>
  <c r="CZ242" i="1"/>
  <c r="CZ208" i="1" l="1"/>
  <c r="CZ210" i="1" s="1"/>
  <c r="CZ214" i="1" s="1"/>
  <c r="CZ228" i="1" s="1"/>
  <c r="CZ81" i="1"/>
  <c r="CZ134" i="1"/>
  <c r="CZ135" i="1" l="1"/>
  <c r="CZ84" i="1"/>
  <c r="CZ85" i="1" s="1"/>
  <c r="CZ100" i="1" l="1"/>
  <c r="CZ94" i="1"/>
  <c r="CZ93" i="1"/>
  <c r="CZ144" i="1"/>
  <c r="CZ70" i="1" s="1"/>
  <c r="CZ222" i="1"/>
  <c r="CZ220" i="1" s="1"/>
  <c r="CZ225" i="1" s="1"/>
  <c r="CZ107" i="1"/>
  <c r="CZ109" i="1" s="1"/>
  <c r="CZ69" i="1"/>
  <c r="CZ175" i="1" l="1"/>
  <c r="CZ176" i="1" s="1"/>
  <c r="CZ122" i="1"/>
  <c r="CZ96" i="1"/>
  <c r="CZ97" i="1"/>
  <c r="CZ123" i="1"/>
  <c r="CZ261" i="1" l="1"/>
  <c r="CZ259" i="1"/>
  <c r="CZ263" i="1"/>
  <c r="CZ180" i="1"/>
  <c r="CZ183" i="1"/>
  <c r="DA224" i="1"/>
  <c r="CZ226" i="1"/>
  <c r="CZ124" i="1" l="1"/>
  <c r="DA51" i="1"/>
  <c r="DA267" i="1" s="1"/>
  <c r="CZ181" i="1"/>
  <c r="DA53" i="1" l="1"/>
  <c r="CZ125" i="1"/>
  <c r="CZ128" i="1" s="1"/>
  <c r="CZ126" i="1"/>
  <c r="CZ129" i="1" s="1"/>
  <c r="DA54" i="1" l="1"/>
  <c r="DA56" i="1" l="1"/>
  <c r="DA249" i="1" l="1"/>
  <c r="DA63" i="1"/>
  <c r="DA58" i="1"/>
  <c r="DA59" i="1"/>
  <c r="DA57" i="1"/>
  <c r="DA260" i="1" s="1"/>
  <c r="DA242" i="1"/>
  <c r="DA81" i="1" l="1"/>
  <c r="DA208" i="1"/>
  <c r="DA210" i="1" s="1"/>
  <c r="DA214" i="1" s="1"/>
  <c r="DA228" i="1" s="1"/>
  <c r="DA134" i="1"/>
  <c r="DA135" i="1" l="1"/>
  <c r="DA84" i="1"/>
  <c r="DA85" i="1" s="1"/>
  <c r="DA94" i="1" l="1"/>
  <c r="DA93" i="1"/>
  <c r="DA100" i="1"/>
  <c r="DA144" i="1"/>
  <c r="DA70" i="1" s="1"/>
  <c r="DA222" i="1"/>
  <c r="DA220" i="1" s="1"/>
  <c r="DA225" i="1" s="1"/>
  <c r="DA107" i="1"/>
  <c r="DA109" i="1" s="1"/>
  <c r="DA69" i="1"/>
  <c r="DA175" i="1" l="1"/>
  <c r="DA176" i="1" s="1"/>
  <c r="DA122" i="1"/>
  <c r="DA96" i="1"/>
  <c r="DA97" i="1"/>
  <c r="DA123" i="1"/>
  <c r="DA226" i="1" l="1"/>
  <c r="DA263" i="1"/>
  <c r="DA259" i="1"/>
  <c r="DA261" i="1"/>
  <c r="DA183" i="1"/>
  <c r="DB224" i="1"/>
  <c r="DA180" i="1"/>
  <c r="DA181" i="1" l="1"/>
  <c r="DA124" i="1"/>
  <c r="DB51" i="1"/>
  <c r="DB267" i="1" s="1"/>
  <c r="DA126" i="1" l="1"/>
  <c r="DA129" i="1" s="1"/>
  <c r="DA125" i="1"/>
  <c r="DA128" i="1" s="1"/>
  <c r="DB53" i="1"/>
  <c r="AE51" i="1"/>
  <c r="AE52" i="1" l="1"/>
  <c r="AE267" i="1"/>
  <c r="AE53" i="1"/>
  <c r="DB54" i="1"/>
  <c r="AE54" i="1" s="1"/>
  <c r="AE55" i="1" l="1"/>
  <c r="DB56" i="1"/>
  <c r="AE56" i="1"/>
  <c r="AE58" i="1" s="1"/>
  <c r="AE57" i="1" l="1"/>
  <c r="AE260" i="1" s="1"/>
  <c r="AE63" i="1"/>
  <c r="AE76" i="1"/>
  <c r="DB58" i="1"/>
  <c r="DB59" i="1"/>
  <c r="DB249" i="1"/>
  <c r="DB57" i="1"/>
  <c r="DB260" i="1" s="1"/>
  <c r="DB63" i="1"/>
  <c r="DB242" i="1"/>
  <c r="AE66" i="1" l="1"/>
  <c r="AE67" i="1" s="1"/>
  <c r="AE208" i="1"/>
  <c r="AE210" i="1" s="1"/>
  <c r="AE214" i="1" s="1"/>
  <c r="AE228" i="1" s="1"/>
  <c r="DB208" i="1"/>
  <c r="DB210" i="1" s="1"/>
  <c r="DB214" i="1" s="1"/>
  <c r="DB228" i="1" s="1"/>
  <c r="DB81" i="1"/>
  <c r="DB84" i="1" s="1"/>
  <c r="DB85" i="1" s="1"/>
  <c r="DB134" i="1"/>
  <c r="AE134" i="1" l="1"/>
  <c r="AE135" i="1" s="1"/>
  <c r="DB135" i="1"/>
  <c r="DB94" i="1"/>
  <c r="DB93" i="1"/>
  <c r="DB100" i="1"/>
  <c r="DB122" i="1" l="1"/>
  <c r="DB96" i="1"/>
  <c r="AE93" i="1"/>
  <c r="DB123" i="1"/>
  <c r="DB97" i="1"/>
  <c r="AE94" i="1"/>
  <c r="DB222" i="1"/>
  <c r="DB220" i="1" s="1"/>
  <c r="DB225" i="1" s="1"/>
  <c r="DB144" i="1"/>
  <c r="DB70" i="1" s="1"/>
  <c r="DB107" i="1"/>
  <c r="DB109" i="1" s="1"/>
  <c r="DB69" i="1"/>
  <c r="AE222" i="1"/>
  <c r="AE220" i="1" s="1"/>
  <c r="AE225" i="1" s="1"/>
  <c r="AE144" i="1"/>
  <c r="AE70" i="1" s="1"/>
  <c r="AE190" i="1"/>
  <c r="AE69" i="1"/>
  <c r="AE97" i="1" l="1"/>
  <c r="AE96" i="1"/>
  <c r="DB175" i="1"/>
  <c r="AE175" i="1" l="1"/>
  <c r="AE176" i="1" s="1"/>
  <c r="DB176" i="1"/>
  <c r="DB259" i="1" l="1"/>
  <c r="DB263" i="1"/>
  <c r="DB261" i="1"/>
  <c r="AE261" i="1"/>
  <c r="AE259" i="1"/>
  <c r="AE263" i="1"/>
  <c r="DB180" i="1"/>
  <c r="DB183" i="1"/>
  <c r="DB124" i="1" s="1"/>
  <c r="DB226" i="1"/>
  <c r="AE183" i="1"/>
  <c r="AE124" i="1" s="1"/>
  <c r="AE180" i="1"/>
  <c r="AE226" i="1"/>
  <c r="AE181" i="1" l="1"/>
  <c r="DB125" i="1"/>
  <c r="DB128" i="1" s="1"/>
  <c r="DB126" i="1"/>
  <c r="DB129" i="1" s="1"/>
  <c r="DB181" i="1"/>
  <c r="AA78" i="1" l="1"/>
  <c r="AB78" i="1"/>
  <c r="AA80" i="1"/>
  <c r="AA81" i="1"/>
  <c r="AA84" i="1"/>
  <c r="AA85" i="1"/>
  <c r="AA122" i="1"/>
  <c r="AA125" i="1"/>
  <c r="AA128" i="1"/>
  <c r="AA101" i="1"/>
  <c r="AA123" i="1"/>
  <c r="AA126" i="1"/>
  <c r="AA129" i="1"/>
  <c r="AA102" i="1"/>
  <c r="AA100" i="1"/>
  <c r="AA114" i="1"/>
  <c r="AA107" i="1"/>
  <c r="AA110" i="1"/>
  <c r="AA109" i="1"/>
  <c r="AA111" i="1"/>
  <c r="AA119" i="1"/>
  <c r="AA117" i="1"/>
  <c r="AA118" i="1"/>
  <c r="AA83" i="1"/>
  <c r="AA79" i="1"/>
  <c r="AB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AC79" i="1"/>
  <c r="AD79" i="1"/>
  <c r="AE79" i="1"/>
  <c r="AB80" i="1"/>
  <c r="Z78" i="1"/>
  <c r="AC78" i="1"/>
  <c r="Y78" i="1"/>
  <c r="Z80" i="1"/>
  <c r="AD78" i="1"/>
  <c r="Z114" i="1"/>
  <c r="Z107" i="1"/>
  <c r="Z81" i="1"/>
  <c r="AC80" i="1"/>
  <c r="Z123" i="1"/>
  <c r="Z126" i="1"/>
  <c r="Z129" i="1"/>
  <c r="Z122" i="1"/>
  <c r="Z125" i="1"/>
  <c r="Z128" i="1"/>
  <c r="X78" i="1"/>
  <c r="Y80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Y123" i="1"/>
  <c r="Y126" i="1"/>
  <c r="AB123" i="1"/>
  <c r="AB114" i="1"/>
  <c r="AC107" i="1"/>
  <c r="W80" i="1"/>
  <c r="W123" i="1"/>
  <c r="W126" i="1"/>
  <c r="AC123" i="1"/>
  <c r="AD80" i="1"/>
  <c r="AD81" i="1"/>
  <c r="AD84" i="1"/>
  <c r="AD102" i="1"/>
  <c r="AE78" i="1"/>
  <c r="AE80" i="1"/>
  <c r="AE123" i="1"/>
  <c r="AE126" i="1"/>
  <c r="AE129" i="1"/>
  <c r="AB122" i="1"/>
  <c r="K80" i="1"/>
  <c r="K123" i="1"/>
  <c r="AE107" i="1"/>
  <c r="H80" i="1"/>
  <c r="K126" i="1"/>
  <c r="H123" i="1"/>
  <c r="Q80" i="1"/>
  <c r="Q123" i="1"/>
  <c r="Q126" i="1"/>
  <c r="K122" i="1"/>
  <c r="AD123" i="1"/>
  <c r="I80" i="1"/>
  <c r="I81" i="1"/>
  <c r="I84" i="1"/>
  <c r="I85" i="1"/>
  <c r="H104" i="1"/>
  <c r="AE114" i="1"/>
  <c r="W114" i="1"/>
  <c r="AE109" i="1"/>
  <c r="AB126" i="1"/>
  <c r="AC126" i="1"/>
  <c r="AC104" i="1"/>
  <c r="Z109" i="1"/>
  <c r="W119" i="1"/>
  <c r="Z119" i="1"/>
  <c r="AD85" i="1"/>
  <c r="S80" i="1"/>
  <c r="S81" i="1"/>
  <c r="S83" i="1"/>
  <c r="Z117" i="1"/>
  <c r="Y81" i="1"/>
  <c r="Y84" i="1"/>
  <c r="Y100" i="1"/>
  <c r="Y102" i="1"/>
  <c r="F78" i="1"/>
  <c r="E78" i="1"/>
  <c r="E80" i="1"/>
  <c r="E81" i="1"/>
  <c r="E84" i="1"/>
  <c r="D104" i="1"/>
  <c r="E85" i="1"/>
  <c r="K107" i="1"/>
  <c r="U80" i="1"/>
  <c r="U114" i="1"/>
  <c r="U117" i="1"/>
  <c r="J80" i="1"/>
  <c r="J107" i="1"/>
  <c r="J109" i="1"/>
  <c r="U118" i="1"/>
  <c r="Q107" i="1"/>
  <c r="Q110" i="1"/>
  <c r="X80" i="1"/>
  <c r="X107" i="1"/>
  <c r="X110" i="1"/>
  <c r="O80" i="1"/>
  <c r="O122" i="1"/>
  <c r="O125" i="1"/>
  <c r="O128" i="1"/>
  <c r="AC109" i="1"/>
  <c r="W122" i="1"/>
  <c r="X81" i="1"/>
  <c r="X84" i="1"/>
  <c r="X83" i="1"/>
  <c r="X100" i="1"/>
  <c r="X102" i="1"/>
  <c r="X101" i="1"/>
  <c r="G80" i="1"/>
  <c r="G81" i="1"/>
  <c r="G84" i="1"/>
  <c r="T80" i="1"/>
  <c r="J114" i="1"/>
  <c r="J81" i="1"/>
  <c r="R80" i="1"/>
  <c r="R81" i="1"/>
  <c r="R84" i="1"/>
  <c r="Q104" i="1"/>
  <c r="AC111" i="1"/>
  <c r="AD122" i="1"/>
  <c r="AD125" i="1"/>
  <c r="L80" i="1"/>
  <c r="L107" i="1"/>
  <c r="L110" i="1"/>
  <c r="V80" i="1"/>
  <c r="V123" i="1"/>
  <c r="V126" i="1"/>
  <c r="V129" i="1"/>
  <c r="T107" i="1"/>
  <c r="G107" i="1"/>
  <c r="O107" i="1"/>
  <c r="O109" i="1"/>
  <c r="O111" i="1"/>
  <c r="O110" i="1"/>
  <c r="I122" i="1"/>
  <c r="I125" i="1"/>
  <c r="V122" i="1"/>
  <c r="F80" i="1"/>
  <c r="S107" i="1"/>
  <c r="T109" i="1"/>
  <c r="G109" i="1"/>
  <c r="J123" i="1"/>
  <c r="J126" i="1"/>
  <c r="J129" i="1"/>
  <c r="G123" i="1"/>
  <c r="G126" i="1"/>
  <c r="G129" i="1"/>
  <c r="O123" i="1"/>
  <c r="W125" i="1"/>
  <c r="J110" i="1"/>
  <c r="U119" i="1"/>
  <c r="AE119" i="1"/>
  <c r="AB107" i="1"/>
  <c r="L114" i="1"/>
  <c r="AB81" i="1"/>
  <c r="R101" i="1"/>
  <c r="S111" i="1"/>
  <c r="AB84" i="1"/>
  <c r="AB102" i="1"/>
  <c r="S84" i="1"/>
  <c r="F122" i="1"/>
  <c r="F125" i="1"/>
  <c r="Y129" i="1"/>
  <c r="AE117" i="1"/>
  <c r="E83" i="1"/>
  <c r="X111" i="1"/>
  <c r="F123" i="1"/>
  <c r="AD107" i="1"/>
  <c r="AB129" i="1"/>
  <c r="AD109" i="1"/>
  <c r="I101" i="1"/>
  <c r="AB83" i="1"/>
  <c r="AE110" i="1"/>
  <c r="G100" i="1"/>
  <c r="Z111" i="1"/>
  <c r="AC110" i="1"/>
  <c r="AC129" i="1"/>
  <c r="Z110" i="1"/>
  <c r="Z118" i="1"/>
  <c r="O81" i="1"/>
  <c r="V114" i="1"/>
  <c r="S85" i="1"/>
  <c r="O84" i="1"/>
  <c r="N104" i="1"/>
  <c r="S122" i="1"/>
  <c r="S125" i="1"/>
  <c r="S101" i="1"/>
  <c r="Y107" i="1"/>
  <c r="X123" i="1"/>
  <c r="X126" i="1"/>
  <c r="J83" i="1"/>
  <c r="J119" i="1"/>
  <c r="Y110" i="1"/>
  <c r="Y101" i="1"/>
  <c r="Y85" i="1"/>
  <c r="E102" i="1"/>
  <c r="E101" i="1"/>
  <c r="E100" i="1"/>
  <c r="H81" i="1"/>
  <c r="H84" i="1"/>
  <c r="H85" i="1"/>
  <c r="K111" i="1"/>
  <c r="J111" i="1"/>
  <c r="G114" i="1"/>
  <c r="G118" i="1"/>
  <c r="V119" i="1"/>
  <c r="I102" i="1"/>
  <c r="S102" i="1"/>
  <c r="S110" i="1"/>
  <c r="X109" i="1"/>
  <c r="X114" i="1"/>
  <c r="X119" i="1"/>
  <c r="Q122" i="1"/>
  <c r="Q125" i="1"/>
  <c r="Q128" i="1"/>
  <c r="Y122" i="1"/>
  <c r="Y125" i="1"/>
  <c r="Y128" i="1"/>
  <c r="S114" i="1"/>
  <c r="AC81" i="1"/>
  <c r="AC84" i="1"/>
  <c r="AC102" i="1"/>
  <c r="AC85" i="1"/>
  <c r="T81" i="1"/>
  <c r="T84" i="1"/>
  <c r="AD101" i="1"/>
  <c r="M80" i="1"/>
  <c r="I107" i="1"/>
  <c r="I110" i="1"/>
  <c r="M81" i="1"/>
  <c r="M84" i="1"/>
  <c r="M101" i="1"/>
  <c r="E107" i="1"/>
  <c r="E111" i="1"/>
  <c r="M107" i="1"/>
  <c r="M110" i="1"/>
  <c r="R114" i="1"/>
  <c r="R118" i="1"/>
  <c r="R100" i="1"/>
  <c r="P80" i="1"/>
  <c r="P107" i="1"/>
  <c r="P109" i="1"/>
  <c r="P110" i="1"/>
  <c r="P111" i="1"/>
  <c r="U122" i="1"/>
  <c r="U125" i="1"/>
  <c r="U128" i="1"/>
  <c r="U123" i="1"/>
  <c r="U126" i="1"/>
  <c r="U129" i="1"/>
  <c r="P123" i="1"/>
  <c r="P126" i="1"/>
  <c r="P129" i="1"/>
  <c r="Q114" i="1"/>
  <c r="Q119" i="1"/>
  <c r="R119" i="1"/>
  <c r="J118" i="1"/>
  <c r="T114" i="1"/>
  <c r="V81" i="1"/>
  <c r="N80" i="1"/>
  <c r="N114" i="1"/>
  <c r="N119" i="1"/>
  <c r="G85" i="1"/>
  <c r="AC101" i="1"/>
  <c r="Y114" i="1"/>
  <c r="L81" i="1"/>
  <c r="L84" i="1"/>
  <c r="L101" i="1"/>
  <c r="P122" i="1"/>
  <c r="P125" i="1"/>
  <c r="I123" i="1"/>
  <c r="I126" i="1"/>
  <c r="I129" i="1"/>
  <c r="H100" i="1"/>
  <c r="L111" i="1"/>
  <c r="G83" i="1"/>
  <c r="Q109" i="1"/>
  <c r="S117" i="1"/>
  <c r="M83" i="1"/>
  <c r="K109" i="1"/>
  <c r="J84" i="1"/>
  <c r="J101" i="1"/>
  <c r="AD128" i="1"/>
  <c r="I83" i="1"/>
  <c r="R107" i="1"/>
  <c r="O85" i="1"/>
  <c r="Z84" i="1"/>
  <c r="V117" i="1"/>
  <c r="J117" i="1"/>
  <c r="K110" i="1"/>
  <c r="T83" i="1"/>
  <c r="T102" i="1"/>
  <c r="J100" i="1"/>
  <c r="G117" i="1"/>
  <c r="N118" i="1"/>
  <c r="AB100" i="1"/>
  <c r="X117" i="1"/>
  <c r="AB101" i="1"/>
  <c r="S128" i="1"/>
  <c r="Z100" i="1"/>
  <c r="Y109" i="1"/>
  <c r="Y111" i="1"/>
  <c r="X118" i="1"/>
  <c r="T118" i="1"/>
  <c r="AC83" i="1"/>
  <c r="V118" i="1"/>
  <c r="AB109" i="1"/>
  <c r="M111" i="1"/>
  <c r="S119" i="1"/>
  <c r="Y119" i="1"/>
  <c r="Z102" i="1"/>
  <c r="S118" i="1"/>
  <c r="Q81" i="1"/>
  <c r="R110" i="1"/>
  <c r="P81" i="1"/>
  <c r="P84" i="1"/>
  <c r="P100" i="1"/>
  <c r="P101" i="1"/>
  <c r="Z104" i="1"/>
  <c r="S123" i="1"/>
  <c r="S126" i="1"/>
  <c r="S129" i="1"/>
  <c r="T123" i="1"/>
  <c r="J122" i="1"/>
  <c r="J125" i="1"/>
  <c r="J128" i="1"/>
  <c r="T110" i="1"/>
  <c r="H122" i="1"/>
  <c r="S109" i="1"/>
  <c r="V83" i="1"/>
  <c r="G119" i="1"/>
  <c r="L83" i="1"/>
  <c r="T119" i="1"/>
  <c r="P102" i="1"/>
  <c r="E109" i="1"/>
  <c r="P128" i="1"/>
  <c r="AE118" i="1"/>
  <c r="M102" i="1"/>
  <c r="AB110" i="1"/>
  <c r="F126" i="1"/>
  <c r="J85" i="1"/>
  <c r="L100" i="1"/>
  <c r="AB125" i="1"/>
  <c r="O126" i="1"/>
  <c r="O129" i="1"/>
  <c r="AD111" i="1"/>
  <c r="K114" i="1"/>
  <c r="AE122" i="1"/>
  <c r="AE125" i="1"/>
  <c r="AE128" i="1"/>
  <c r="AD126" i="1"/>
  <c r="M114" i="1"/>
  <c r="M118" i="1"/>
  <c r="H101" i="1"/>
  <c r="K81" i="1"/>
  <c r="K84" i="1"/>
  <c r="K85" i="1"/>
  <c r="E123" i="1"/>
  <c r="E126" i="1"/>
  <c r="E129" i="1"/>
  <c r="V107" i="1"/>
  <c r="V110" i="1"/>
  <c r="V109" i="1"/>
  <c r="H107" i="1"/>
  <c r="H110" i="1"/>
  <c r="U107" i="1"/>
  <c r="U109" i="1"/>
  <c r="E110" i="1"/>
  <c r="M109" i="1"/>
  <c r="R123" i="1"/>
  <c r="R126" i="1"/>
  <c r="R129" i="1"/>
  <c r="F107" i="1"/>
  <c r="F110" i="1"/>
  <c r="W104" i="1"/>
  <c r="W81" i="1"/>
  <c r="W84" i="1"/>
  <c r="W107" i="1"/>
  <c r="AB119" i="1"/>
  <c r="AE81" i="1"/>
  <c r="Q117" i="1"/>
  <c r="F81" i="1"/>
  <c r="Y117" i="1"/>
  <c r="X122" i="1"/>
  <c r="X125" i="1"/>
  <c r="X128" i="1"/>
  <c r="AD100" i="1"/>
  <c r="L123" i="1"/>
  <c r="L126" i="1"/>
  <c r="M123" i="1"/>
  <c r="M126" i="1"/>
  <c r="M129" i="1"/>
  <c r="M122" i="1"/>
  <c r="M125" i="1"/>
  <c r="M128" i="1"/>
  <c r="E122" i="1"/>
  <c r="U81" i="1"/>
  <c r="U84" i="1"/>
  <c r="U102" i="1"/>
  <c r="K102" i="1"/>
  <c r="K104" i="1"/>
  <c r="W101" i="1"/>
  <c r="K101" i="1"/>
  <c r="G101" i="1"/>
  <c r="E114" i="1"/>
  <c r="AB117" i="1"/>
  <c r="U85" i="1"/>
  <c r="P114" i="1"/>
  <c r="N122" i="1"/>
  <c r="N125" i="1"/>
  <c r="N128" i="1"/>
  <c r="U110" i="1"/>
  <c r="I109" i="1"/>
  <c r="W100" i="1"/>
  <c r="AB118" i="1"/>
  <c r="L85" i="1"/>
  <c r="AC114" i="1"/>
  <c r="N81" i="1"/>
  <c r="N84" i="1"/>
  <c r="V84" i="1"/>
  <c r="O114" i="1"/>
  <c r="O119" i="1"/>
  <c r="F114" i="1"/>
  <c r="I114" i="1"/>
  <c r="I118" i="1"/>
  <c r="X85" i="1"/>
  <c r="R85" i="1"/>
  <c r="AB85" i="1"/>
  <c r="S100" i="1"/>
  <c r="F128" i="1"/>
  <c r="N107" i="1"/>
  <c r="N110" i="1"/>
  <c r="F109" i="1"/>
  <c r="I100" i="1"/>
  <c r="N123" i="1"/>
  <c r="N126" i="1"/>
  <c r="N129" i="1"/>
  <c r="R122" i="1"/>
  <c r="R125" i="1"/>
  <c r="G104" i="1"/>
  <c r="N102" i="1"/>
  <c r="Y118" i="1"/>
  <c r="R128" i="1"/>
  <c r="AE111" i="1"/>
  <c r="G102" i="1"/>
  <c r="W129" i="1"/>
  <c r="AC122" i="1"/>
  <c r="AD83" i="1"/>
  <c r="AE84" i="1"/>
  <c r="Y83" i="1"/>
  <c r="H102" i="1"/>
  <c r="G122" i="1"/>
  <c r="G125" i="1"/>
  <c r="L122" i="1"/>
  <c r="AE101" i="1"/>
  <c r="L125" i="1"/>
  <c r="O101" i="1"/>
  <c r="O100" i="1"/>
  <c r="R104" i="1"/>
  <c r="Z83" i="1"/>
  <c r="X104" i="1"/>
  <c r="L118" i="1"/>
  <c r="U104" i="1"/>
  <c r="W117" i="1"/>
  <c r="T117" i="1"/>
  <c r="AA104" i="1"/>
  <c r="W118" i="1"/>
  <c r="T85" i="1"/>
  <c r="H83" i="1"/>
  <c r="L117" i="1"/>
  <c r="F84" i="1"/>
  <c r="AD129" i="1"/>
  <c r="AC119" i="1"/>
  <c r="R102" i="1"/>
  <c r="Q118" i="1"/>
  <c r="V104" i="1"/>
  <c r="W85" i="1"/>
  <c r="W128" i="1"/>
  <c r="W83" i="1"/>
  <c r="O102" i="1"/>
  <c r="P83" i="1"/>
  <c r="R83" i="1"/>
  <c r="O83" i="1"/>
  <c r="Z85" i="1"/>
  <c r="X129" i="1"/>
  <c r="M85" i="1"/>
  <c r="AD104" i="1"/>
  <c r="F119" i="1"/>
  <c r="F100" i="1"/>
  <c r="T101" i="1"/>
  <c r="V111" i="1"/>
  <c r="N117" i="1"/>
  <c r="F117" i="1"/>
  <c r="AB104" i="1"/>
  <c r="L129" i="1"/>
  <c r="J104" i="1"/>
  <c r="L102" i="1"/>
  <c r="P117" i="1"/>
  <c r="R117" i="1"/>
  <c r="E118" i="1"/>
  <c r="M100" i="1"/>
  <c r="Z101" i="1"/>
  <c r="Y104" i="1"/>
  <c r="Q129" i="1"/>
  <c r="O118" i="1"/>
  <c r="AE100" i="1"/>
  <c r="F101" i="1"/>
  <c r="O104" i="1"/>
  <c r="AB111" i="1"/>
  <c r="F102" i="1"/>
  <c r="P85" i="1"/>
  <c r="Q84" i="1"/>
  <c r="V125" i="1"/>
  <c r="H109" i="1"/>
  <c r="I111" i="1"/>
  <c r="Q100" i="1"/>
  <c r="AC117" i="1"/>
  <c r="Q85" i="1"/>
  <c r="AD114" i="1"/>
  <c r="G111" i="1"/>
  <c r="T122" i="1"/>
  <c r="T125" i="1"/>
  <c r="T128" i="1"/>
  <c r="T126" i="1"/>
  <c r="G110" i="1"/>
  <c r="AD117" i="1"/>
  <c r="R109" i="1"/>
  <c r="AD118" i="1"/>
  <c r="H126" i="1"/>
  <c r="H125" i="1"/>
  <c r="H128" i="1"/>
  <c r="I128" i="1"/>
  <c r="L109" i="1"/>
  <c r="T111" i="1"/>
  <c r="V100" i="1"/>
  <c r="L119" i="1"/>
  <c r="T100" i="1"/>
  <c r="K83" i="1"/>
  <c r="J102" i="1"/>
  <c r="F104" i="1"/>
  <c r="K100" i="1"/>
  <c r="I117" i="1"/>
  <c r="K125" i="1"/>
  <c r="K129" i="1"/>
  <c r="Q111" i="1"/>
  <c r="S104" i="1"/>
  <c r="M119" i="1"/>
  <c r="AE85" i="1"/>
  <c r="N111" i="1"/>
  <c r="V102" i="1"/>
  <c r="AC125" i="1"/>
  <c r="AC128" i="1"/>
  <c r="AC100" i="1"/>
  <c r="E125" i="1"/>
  <c r="E128" i="1"/>
  <c r="N101" i="1"/>
  <c r="T104" i="1"/>
  <c r="N83" i="1"/>
  <c r="K128" i="1"/>
  <c r="H114" i="1"/>
  <c r="Q83" i="1"/>
  <c r="H118" i="1"/>
  <c r="AD110" i="1"/>
  <c r="E117" i="1"/>
  <c r="R111" i="1"/>
  <c r="L104" i="1"/>
  <c r="AE102" i="1"/>
  <c r="F129" i="1"/>
  <c r="I104" i="1"/>
  <c r="I119" i="1"/>
  <c r="V85" i="1"/>
  <c r="N109" i="1"/>
  <c r="AB128" i="1"/>
  <c r="H119" i="1"/>
  <c r="M104" i="1"/>
  <c r="AC118" i="1"/>
  <c r="O117" i="1"/>
  <c r="W111" i="1"/>
  <c r="F85" i="1"/>
  <c r="E104" i="1"/>
  <c r="K118" i="1"/>
  <c r="W109" i="1"/>
  <c r="H111" i="1"/>
  <c r="V101" i="1"/>
  <c r="U101" i="1"/>
  <c r="K117" i="1"/>
  <c r="U100" i="1"/>
  <c r="W102" i="1"/>
  <c r="U111" i="1"/>
  <c r="W110" i="1"/>
  <c r="F83" i="1"/>
  <c r="N100" i="1"/>
  <c r="L128" i="1"/>
  <c r="AE83" i="1"/>
  <c r="M117" i="1"/>
  <c r="V128" i="1"/>
  <c r="F111" i="1"/>
  <c r="P104" i="1"/>
  <c r="Q102" i="1"/>
  <c r="Q101" i="1"/>
  <c r="T129" i="1"/>
  <c r="AD119" i="1"/>
  <c r="G128" i="1"/>
  <c r="H129" i="1"/>
  <c r="U83" i="1"/>
  <c r="P119" i="1"/>
  <c r="F118" i="1"/>
  <c r="K119" i="1"/>
  <c r="N85" i="1"/>
  <c r="P118" i="1"/>
  <c r="E119" i="1"/>
  <c r="H1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47" authorId="0" shapeId="0" xr:uid="{2BB883FD-4DE3-436F-B4B2-DE4AF7CB764E}">
      <text>
        <r>
          <rPr>
            <b/>
            <sz val="9"/>
            <color indexed="81"/>
            <rFont val="Tahoma"/>
            <family val="2"/>
          </rPr>
          <t xml:space="preserve">increased die to acquisition of JB pharma
</t>
        </r>
      </text>
    </comment>
    <comment ref="CL62" authorId="0" shapeId="0" xr:uid="{311AD339-AE52-49AA-8588-F3513C4A9AB2}">
      <text>
        <r>
          <rPr>
            <b/>
            <sz val="9"/>
            <color indexed="81"/>
            <rFont val="Tahoma"/>
            <family val="2"/>
          </rPr>
          <t>includes regulatory and
statutory fees, along with other related costs aggregating to Rs. 70 crores, associated with JB Pharma's acquisition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<sst xmlns="http://schemas.openxmlformats.org/spreadsheetml/2006/main" count="678" uniqueCount="539">
  <si>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</si>
  <si>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</si>
  <si>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</si>
  <si>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</si>
  <si>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</si>
  <si>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</si>
  <si>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</si>
  <si>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</si>
  <si>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</si>
  <si>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</si>
  <si>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</si>
  <si>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</si>
  <si>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</si>
  <si>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</si>
  <si>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</si>
  <si>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</si>
  <si>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</si>
  <si>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</si>
  <si>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</si>
  <si>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</si>
  <si>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</si>
  <si>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</si>
  <si>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</si>
  <si>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</si>
  <si>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</si>
  <si>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</si>
  <si>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</si>
  <si>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</si>
  <si>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</si>
  <si>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</si>
  <si>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</si>
  <si>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</si>
  <si>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</si>
  <si>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</si>
  <si>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</si>
  <si>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</si>
  <si>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</si>
  <si>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</si>
  <si>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</si>
  <si>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</si>
  <si>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</si>
  <si>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</si>
  <si>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</si>
  <si>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</si>
  <si>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</si>
  <si>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</si>
  <si>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</si>
  <si>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</si>
  <si>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</si>
  <si>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</si>
  <si>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</si>
  <si>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</si>
  <si>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</si>
  <si>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</si>
  <si>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</si>
  <si>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</si>
  <si>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</si>
  <si>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</si>
  <si>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</si>
  <si>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</si>
  <si>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</si>
  <si>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</si>
  <si>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</si>
  <si>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</si>
  <si>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</si>
  <si>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</si>
  <si>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</si>
  <si>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</si>
  <si>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</si>
  <si>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</si>
  <si>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</si>
  <si>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</si>
  <si>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</si>
  <si>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</si>
  <si>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</si>
  <si>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</si>
  <si>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</si>
  <si>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</si>
  <si>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</si>
  <si>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</si>
  <si>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</si>
  <si>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</si>
  <si>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</si>
  <si>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</si>
  <si>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</si>
  <si>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</si>
  <si>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</si>
  <si>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</si>
  <si>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</si>
  <si>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</si>
  <si>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</si>
  <si>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</si>
  <si>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</si>
  <si>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</si>
  <si>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</si>
  <si>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</si>
  <si>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</si>
  <si>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</si>
  <si>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</si>
  <si>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</si>
  <si>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</si>
  <si>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</si>
  <si>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</si>
  <si>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</si>
  <si>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</si>
  <si>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</si>
  <si>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</si>
  <si>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</si>
  <si>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</si>
  <si>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</si>
  <si>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</si>
  <si>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</si>
  <si>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</si>
  <si>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</si>
  <si>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</si>
  <si>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</si>
  <si>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</si>
  <si>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</si>
  <si>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</si>
  <si>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</si>
  <si>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</si>
  <si>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</si>
  <si>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</si>
  <si>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</si>
  <si>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</si>
  <si>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</si>
  <si>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</si>
  <si>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</si>
  <si>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</si>
  <si>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</si>
  <si>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</si>
  <si>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</si>
  <si>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</si>
  <si>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</si>
  <si>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</si>
  <si>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</si>
  <si>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</si>
  <si>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</si>
  <si>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</si>
  <si>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</si>
  <si>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</si>
  <si>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</si>
  <si>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</si>
  <si>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</si>
  <si>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</si>
  <si>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</si>
  <si>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</si>
  <si>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</si>
  <si>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</si>
  <si>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</si>
  <si>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</si>
  <si>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</si>
  <si>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</si>
  <si>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</si>
  <si>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</si>
  <si>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</si>
  <si>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</si>
  <si>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</si>
  <si>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</si>
  <si>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</si>
  <si>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</si>
  <si>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</si>
  <si>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</si>
  <si>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</si>
  <si>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</si>
  <si>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</si>
  <si>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</si>
  <si>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</si>
  <si>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</si>
  <si>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</si>
  <si>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</si>
  <si>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</si>
  <si>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</si>
  <si>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</si>
  <si>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</si>
  <si>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</si>
  <si>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</si>
  <si>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</si>
  <si>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</si>
  <si>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</si>
  <si>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</si>
  <si>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</si>
  <si>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</si>
  <si>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</si>
  <si>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</si>
  <si>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</si>
  <si>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</si>
  <si>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</si>
  <si>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</si>
  <si>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</si>
  <si>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</si>
  <si>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</si>
  <si>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</si>
  <si>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</si>
  <si>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</si>
  <si>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</si>
  <si>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</si>
  <si>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</si>
  <si>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</si>
  <si>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</si>
  <si>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</si>
  <si>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</si>
  <si>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</si>
  <si>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</si>
  <si>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</si>
  <si>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</si>
  <si>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</si>
  <si>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</si>
  <si>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</si>
  <si>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</si>
  <si>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</si>
  <si>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</si>
  <si>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</si>
  <si>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</si>
  <si>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</si>
  <si>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</si>
  <si>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</si>
  <si>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</si>
  <si>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</si>
  <si>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</si>
  <si>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</si>
  <si>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</si>
  <si>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</si>
  <si>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</si>
  <si>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</si>
  <si>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</si>
  <si>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</si>
  <si>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</si>
  <si>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</si>
  <si>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</si>
  <si>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</si>
  <si>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</si>
  <si>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</si>
  <si>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</si>
  <si>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</si>
  <si>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</si>
  <si>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</si>
  <si>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</si>
  <si>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</si>
  <si>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</si>
  <si>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</si>
  <si>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</si>
  <si>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</si>
  <si>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</si>
  <si>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</si>
  <si>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</si>
  <si>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</si>
  <si>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</si>
  <si>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</si>
  <si>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</si>
  <si>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</si>
  <si>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</si>
  <si>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</si>
  <si>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</si>
  <si>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</si>
  <si>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</si>
  <si>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</si>
  <si>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</si>
  <si>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</si>
  <si>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</si>
  <si>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</si>
  <si>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</si>
  <si>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</si>
  <si>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</si>
  <si>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</si>
  <si>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</si>
  <si>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</si>
  <si>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</si>
  <si>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</si>
  <si>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</si>
  <si>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</si>
  <si>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</si>
  <si>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</si>
  <si>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</si>
  <si>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</si>
  <si>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</si>
  <si>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</si>
  <si>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</si>
  <si>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</si>
  <si>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</si>
  <si>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</si>
  <si>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</si>
  <si>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</si>
  <si>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</si>
  <si>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</si>
  <si>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</si>
  <si>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</si>
  <si>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</si>
  <si>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</si>
  <si>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</si>
  <si>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</si>
  <si>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</si>
  <si>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</si>
  <si>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</si>
  <si>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</si>
  <si>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</si>
  <si>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</si>
  <si>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</si>
  <si>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</si>
  <si>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</si>
  <si>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</si>
  <si>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</si>
  <si>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</si>
  <si>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</si>
  <si>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</si>
  <si>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</si>
  <si>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</si>
  <si>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</si>
  <si>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</si>
  <si>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</si>
  <si>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</si>
  <si>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</si>
  <si>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</si>
  <si>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</si>
  <si>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</si>
  <si>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</si>
  <si>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</si>
  <si>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</si>
  <si>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</si>
  <si>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</si>
  <si>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</si>
  <si>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</si>
  <si>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</si>
  <si>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</si>
  <si>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</si>
  <si>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</si>
  <si>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</si>
  <si>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</si>
  <si>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</si>
  <si>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</si>
  <si>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</si>
  <si>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</si>
  <si>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</si>
  <si>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</si>
  <si>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</si>
  <si>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</si>
  <si>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</si>
  <si>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</si>
  <si>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</si>
  <si>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</si>
  <si>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</si>
  <si>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</si>
  <si>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</si>
  <si>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</si>
  <si>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</si>
  <si>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</si>
  <si>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</si>
  <si>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</si>
  <si>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</si>
  <si>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</si>
  <si>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</si>
  <si>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</si>
  <si>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</si>
  <si>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</si>
  <si>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</si>
  <si>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</si>
  <si>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</si>
  <si>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</si>
  <si>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</si>
  <si>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</si>
  <si>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</si>
  <si>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</si>
  <si>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</si>
  <si>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</si>
  <si>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</si>
  <si>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</si>
  <si>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</si>
  <si>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</si>
  <si>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</si>
  <si>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</si>
  <si>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</si>
  <si>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</si>
  <si>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</si>
  <si>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</si>
  <si>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</si>
  <si>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</si>
  <si>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</si>
  <si>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</si>
  <si>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</si>
  <si>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</si>
  <si>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</si>
  <si>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</si>
  <si>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</si>
  <si>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</si>
  <si>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</si>
  <si>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</si>
  <si>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</si>
  <si>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</si>
  <si>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</si>
  <si>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</si>
  <si>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</si>
  <si>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</si>
  <si>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</si>
  <si>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</si>
  <si>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</si>
  <si>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</si>
  <si>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</si>
  <si>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</si>
  <si>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</si>
  <si>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</si>
  <si>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</si>
  <si>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</si>
  <si>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</si>
  <si>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</si>
  <si>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</si>
  <si>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</si>
  <si>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</si>
  <si>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</si>
  <si>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</si>
  <si>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</si>
  <si>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</si>
  <si>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</si>
  <si>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</si>
  <si>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</si>
  <si>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</si>
  <si>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</si>
  <si>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</si>
  <si>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</si>
  <si>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</si>
  <si>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</si>
  <si>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</si>
  <si>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</si>
  <si>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</si>
  <si>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</si>
  <si>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</si>
  <si>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</si>
  <si>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</si>
  <si>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</si>
  <si>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</si>
  <si>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</si>
  <si>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</si>
  <si>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</si>
  <si>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</si>
  <si>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</si>
  <si>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</si>
  <si>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</si>
  <si>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</si>
  <si>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</si>
  <si>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</si>
  <si>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</si>
  <si>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</si>
  <si>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</si>
  <si>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</si>
  <si>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</si>
  <si>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</si>
  <si>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</si>
  <si>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</si>
  <si>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</si>
  <si>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</si>
  <si>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</si>
  <si>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</si>
  <si>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</si>
  <si>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</si>
  <si>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</si>
  <si>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</si>
  <si>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</si>
  <si>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</si>
  <si>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</si>
  <si>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</si>
  <si>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</si>
  <si>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</si>
  <si>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</si>
  <si>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</si>
  <si>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</si>
  <si>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</si>
  <si>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</si>
  <si>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</si>
  <si>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</si>
  <si>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</si>
  <si>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</si>
  <si>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</si>
  <si>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</si>
  <si>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</si>
  <si>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</si>
  <si>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</si>
  <si>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</si>
  <si>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</si>
  <si>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</si>
  <si>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</si>
  <si>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</si>
  <si>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</si>
  <si>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</si>
  <si>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</si>
  <si>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</si>
  <si>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</si>
  <si>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</si>
  <si>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</si>
  <si>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</si>
  <si>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</si>
  <si>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</si>
  <si>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</si>
  <si>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</si>
  <si>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</si>
  <si>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</si>
  <si>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</si>
  <si>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</si>
  <si>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</si>
  <si>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</si>
  <si>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</si>
  <si>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</si>
  <si>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</si>
  <si>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</si>
  <si>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</si>
  <si>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</si>
  <si>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</si>
  <si>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</si>
  <si>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</si>
  <si>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</si>
  <si>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</si>
  <si>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</si>
  <si>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</si>
  <si>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</si>
  <si>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</si>
  <si>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</si>
  <si>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</si>
  <si>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Torrent Pharmaceuticals Ltd.</t>
  </si>
  <si>
    <t>DATE</t>
  </si>
  <si>
    <t>ADJHIGH</t>
  </si>
  <si>
    <t>ADJCLOSE</t>
  </si>
  <si>
    <t>ADJLOW</t>
  </si>
  <si>
    <t>ADJOPEN</t>
  </si>
  <si>
    <t>CLOSE</t>
  </si>
  <si>
    <t>VOLUME</t>
  </si>
  <si>
    <t>RoW + Crams/ others</t>
  </si>
  <si>
    <t>India formulations</t>
  </si>
  <si>
    <t>Others/ JBChem</t>
  </si>
  <si>
    <t xml:space="preserve">US formulations </t>
  </si>
  <si>
    <t xml:space="preserve">Europe - </t>
  </si>
  <si>
    <t xml:space="preserve">Latin America </t>
  </si>
  <si>
    <t>Revenue Breakup</t>
  </si>
  <si>
    <t>Total Revenue</t>
  </si>
  <si>
    <t>Growth YoY%</t>
  </si>
  <si>
    <t>US formulations YOY-%</t>
  </si>
  <si>
    <t>Europe - YOY-%</t>
  </si>
  <si>
    <t>Latin America YOY-%</t>
  </si>
  <si>
    <t>RoW + Crams/ othersYOY-%</t>
  </si>
  <si>
    <t>India formulationsYOY-%</t>
  </si>
  <si>
    <t>Others/ JBChemYOY-%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</si>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</sst>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3" fontId="20" fillId="2" borderId="0" xfId="2" applyNumberFormat="1" applyFont="1" applyFill="1" applyAlignment="1">
      <alignment horizontal="left"/>
    </xf>
    <xf numFmtId="38" fontId="20" fillId="2" borderId="0" xfId="2" applyNumberFormat="1" applyFont="1" applyFill="1" applyAlignment="1">
      <alignment horizontal="left"/>
    </xf>
    <xf numFmtId="166" fontId="20" fillId="2" borderId="0" xfId="2" applyNumberFormat="1" applyFont="1" applyFill="1" applyAlignment="1">
      <alignment horizontal="left"/>
    </xf>
    <xf numFmtId="2" fontId="20" fillId="2" borderId="0" xfId="2" applyNumberFormat="1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20" fillId="2" borderId="0" xfId="2" applyFont="1" applyFill="1" applyAlignment="1">
      <alignment horizontal="righ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38" fontId="18" fillId="2" borderId="0" xfId="2" applyNumberFormat="1" applyFont="1" applyFill="1" applyAlignment="1">
      <alignment horizontal="left"/>
    </xf>
    <xf numFmtId="17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9"/>
  <sheetViews>
    <sheetView tabSelected="1" zoomScaleNormal="100" workbookViewId="0">
      <pane xSplit="1" ySplit="1" topLeftCell="BW74" activePane="bottomRight" state="frozen"/>
      <selection pane="topRight" activeCell="B1" sqref="B1"/>
      <selection pane="bottomLeft" activeCell="A2" sqref="A2"/>
      <selection pane="bottomRight" activeCell="BW102" sqref="BW102:CL10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Torrent Pharmaceuticals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7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92"/>
      <c r="AB3" s="192"/>
      <c r="AC3" s="192"/>
      <c r="AD3" s="192"/>
      <c r="AE3" s="192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1" customFormat="1" x14ac:dyDescent="0.2">
      <c r="A4" s="189" t="s">
        <v>529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0"/>
      <c r="BR4" s="190"/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0"/>
      <c r="CH4" s="190"/>
      <c r="CI4" s="190"/>
      <c r="CJ4" s="190"/>
      <c r="CK4" s="190"/>
      <c r="CL4" s="190"/>
      <c r="CM4" s="190"/>
      <c r="CN4" s="190"/>
      <c r="CO4" s="190"/>
      <c r="CP4" s="190"/>
      <c r="CQ4" s="190"/>
      <c r="CR4" s="190"/>
      <c r="CS4" s="190"/>
      <c r="CT4" s="190"/>
      <c r="CU4" s="190"/>
      <c r="CV4" s="190"/>
      <c r="CW4" s="190"/>
      <c r="CX4" s="190"/>
      <c r="CY4" s="190"/>
      <c r="CZ4" s="190"/>
      <c r="DA4" s="190"/>
      <c r="DB4" s="190"/>
      <c r="DE4" s="190"/>
    </row>
    <row r="5" spans="1:110" s="158" customFormat="1" x14ac:dyDescent="0.2">
      <c r="A5" s="185" t="s">
        <v>526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>
        <f t="shared" ref="R5:R10" si="33">SUM(AY5:BB5)</f>
        <v>1347</v>
      </c>
      <c r="S5" s="156">
        <f t="shared" ref="S5:S10" si="34">SUM(BC5:BF5)</f>
        <v>1100</v>
      </c>
      <c r="T5" s="156">
        <f t="shared" ref="T5:T10" si="35">SUM(BG5:BJ5)</f>
        <v>1589</v>
      </c>
      <c r="U5" s="156">
        <f t="shared" ref="U5:U10" si="36">SUM(BK5:BN5)</f>
        <v>1522</v>
      </c>
      <c r="V5" s="156">
        <f t="shared" ref="V5:V10" si="37">SUM(BO5:BR5)</f>
        <v>1261</v>
      </c>
      <c r="W5" s="156">
        <f t="shared" ref="W5:W10" si="38">SUM(BS5:BV5)</f>
        <v>1067</v>
      </c>
      <c r="X5" s="156">
        <f t="shared" ref="X5:X10" si="39">SUM(BW5:BZ5)</f>
        <v>1162</v>
      </c>
      <c r="Y5" s="156">
        <f t="shared" ref="Y5:Y10" si="40">SUM(CA5:CD5)</f>
        <v>1077</v>
      </c>
      <c r="Z5" s="156">
        <f t="shared" ref="Z5:Z10" si="41">SUM(CE5:CH5)</f>
        <v>1100</v>
      </c>
      <c r="AA5" s="157">
        <f t="shared" ref="AA5:AA10" si="42">SUM(CI5:CL5)</f>
        <v>1362</v>
      </c>
      <c r="AB5" s="157">
        <f t="shared" ref="AB5:AB10" si="43">+SUM(CM5:CP5)</f>
        <v>1785.9337748344371</v>
      </c>
      <c r="AC5" s="157">
        <f t="shared" ref="AC5:AC10" si="44">+SUM(CQ5:CT5)</f>
        <v>2341.8204464716459</v>
      </c>
      <c r="AD5" s="157">
        <f t="shared" ref="AD5:AD10" si="45">+SUM(CU5:CX5)</f>
        <v>2458.9114687952283</v>
      </c>
      <c r="AE5" s="157">
        <f t="shared" ref="AE5:AE10" si="46">+SUM(CY5:DB5)</f>
        <v>2581.8570422349899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98">
        <v>434</v>
      </c>
      <c r="AZ5" s="198">
        <v>322</v>
      </c>
      <c r="BA5" s="198">
        <v>310</v>
      </c>
      <c r="BB5" s="198">
        <v>281</v>
      </c>
      <c r="BC5" s="198">
        <v>272</v>
      </c>
      <c r="BD5" s="198">
        <v>255</v>
      </c>
      <c r="BE5" s="198">
        <v>266</v>
      </c>
      <c r="BF5" s="198">
        <v>307</v>
      </c>
      <c r="BG5" s="198">
        <v>334</v>
      </c>
      <c r="BH5" s="198">
        <v>393</v>
      </c>
      <c r="BI5" s="198">
        <v>490</v>
      </c>
      <c r="BJ5" s="198">
        <v>372</v>
      </c>
      <c r="BK5" s="198">
        <v>376</v>
      </c>
      <c r="BL5" s="198">
        <v>380</v>
      </c>
      <c r="BM5" s="198">
        <v>381</v>
      </c>
      <c r="BN5" s="198">
        <v>385</v>
      </c>
      <c r="BO5" s="198">
        <v>373</v>
      </c>
      <c r="BP5" s="198">
        <v>327</v>
      </c>
      <c r="BQ5" s="198">
        <v>292</v>
      </c>
      <c r="BR5" s="198">
        <v>269</v>
      </c>
      <c r="BS5" s="198">
        <v>266</v>
      </c>
      <c r="BT5" s="198">
        <v>284</v>
      </c>
      <c r="BU5" s="198">
        <v>235</v>
      </c>
      <c r="BV5" s="198">
        <v>282</v>
      </c>
      <c r="BW5" s="198">
        <v>299</v>
      </c>
      <c r="BX5" s="198">
        <v>292</v>
      </c>
      <c r="BY5" s="198">
        <v>291</v>
      </c>
      <c r="BZ5" s="198">
        <v>280</v>
      </c>
      <c r="CA5" s="198">
        <v>293</v>
      </c>
      <c r="CB5" s="198">
        <v>248</v>
      </c>
      <c r="CC5" s="198">
        <v>274</v>
      </c>
      <c r="CD5" s="198">
        <v>262</v>
      </c>
      <c r="CE5" s="198">
        <v>259</v>
      </c>
      <c r="CF5" s="198">
        <v>268</v>
      </c>
      <c r="CG5" s="198">
        <v>271</v>
      </c>
      <c r="CH5" s="198">
        <v>302</v>
      </c>
      <c r="CI5" s="198">
        <v>308</v>
      </c>
      <c r="CJ5" s="198">
        <v>337</v>
      </c>
      <c r="CK5" s="198">
        <v>321</v>
      </c>
      <c r="CL5" s="198">
        <v>396</v>
      </c>
      <c r="CM5" s="157">
        <f t="shared" ref="CM5:CP9" si="47">+CI5+(CI5*CM14)</f>
        <v>403.86754966887418</v>
      </c>
      <c r="CN5" s="157">
        <f t="shared" si="47"/>
        <v>441.89403973509934</v>
      </c>
      <c r="CO5" s="157">
        <f t="shared" si="47"/>
        <v>420.91390728476824</v>
      </c>
      <c r="CP5" s="157">
        <f t="shared" si="47"/>
        <v>519.25827814569539</v>
      </c>
      <c r="CQ5" s="157">
        <f>+CM5+(CM5*CQ14)</f>
        <v>529.57466777772902</v>
      </c>
      <c r="CR5" s="157">
        <f t="shared" ref="CR5:DB9" si="48">+CN5+(CN5*CR14)</f>
        <v>579.43721766589192</v>
      </c>
      <c r="CS5" s="157">
        <f t="shared" si="48"/>
        <v>551.92684531380212</v>
      </c>
      <c r="CT5" s="157">
        <f t="shared" si="48"/>
        <v>680.88171571422311</v>
      </c>
      <c r="CU5" s="157">
        <f t="shared" si="48"/>
        <v>556.05340116661546</v>
      </c>
      <c r="CV5" s="157">
        <f t="shared" si="48"/>
        <v>608.40907854918646</v>
      </c>
      <c r="CW5" s="157">
        <f t="shared" si="48"/>
        <v>579.52318757949217</v>
      </c>
      <c r="CX5" s="157">
        <f t="shared" si="48"/>
        <v>714.92580149993421</v>
      </c>
      <c r="CY5" s="157">
        <f t="shared" si="48"/>
        <v>583.85607122494628</v>
      </c>
      <c r="CZ5" s="157">
        <f t="shared" si="48"/>
        <v>638.8295324766458</v>
      </c>
      <c r="DA5" s="157">
        <f t="shared" si="48"/>
        <v>608.49934695846673</v>
      </c>
      <c r="DB5" s="157">
        <f t="shared" si="48"/>
        <v>750.67209157493096</v>
      </c>
      <c r="DE5" s="159"/>
      <c r="DF5" s="158">
        <v>338.24</v>
      </c>
    </row>
    <row r="6" spans="1:110" s="158" customFormat="1" x14ac:dyDescent="0.2">
      <c r="A6" s="186" t="s">
        <v>527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>
        <f t="shared" si="33"/>
        <v>812</v>
      </c>
      <c r="S6" s="156">
        <f t="shared" si="34"/>
        <v>912</v>
      </c>
      <c r="T6" s="156">
        <f t="shared" si="35"/>
        <v>1009</v>
      </c>
      <c r="U6" s="156">
        <f t="shared" si="36"/>
        <v>947</v>
      </c>
      <c r="V6" s="156">
        <f t="shared" si="37"/>
        <v>1039</v>
      </c>
      <c r="W6" s="156">
        <f t="shared" si="38"/>
        <v>966</v>
      </c>
      <c r="X6" s="156">
        <f t="shared" si="39"/>
        <v>928</v>
      </c>
      <c r="Y6" s="156">
        <f t="shared" si="40"/>
        <v>1074</v>
      </c>
      <c r="Z6" s="156">
        <f t="shared" si="41"/>
        <v>1140</v>
      </c>
      <c r="AA6" s="157">
        <f t="shared" si="42"/>
        <v>1248</v>
      </c>
      <c r="AB6" s="157">
        <f t="shared" si="43"/>
        <v>1310.4000000000001</v>
      </c>
      <c r="AC6" s="157">
        <f t="shared" si="44"/>
        <v>1375.92</v>
      </c>
      <c r="AD6" s="157">
        <f t="shared" si="45"/>
        <v>1417.1976</v>
      </c>
      <c r="AE6" s="157">
        <f t="shared" si="46"/>
        <v>1459.713528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>
        <v>187</v>
      </c>
      <c r="AZ6" s="156">
        <v>186</v>
      </c>
      <c r="BA6" s="156">
        <v>204</v>
      </c>
      <c r="BB6" s="156">
        <v>235</v>
      </c>
      <c r="BC6" s="156">
        <v>202</v>
      </c>
      <c r="BD6" s="156">
        <v>221</v>
      </c>
      <c r="BE6" s="156">
        <v>241</v>
      </c>
      <c r="BF6" s="156">
        <v>248</v>
      </c>
      <c r="BG6" s="156">
        <v>251</v>
      </c>
      <c r="BH6" s="156">
        <v>251</v>
      </c>
      <c r="BI6" s="156">
        <v>267</v>
      </c>
      <c r="BJ6" s="156">
        <v>240</v>
      </c>
      <c r="BK6" s="156">
        <v>262</v>
      </c>
      <c r="BL6" s="156">
        <v>250</v>
      </c>
      <c r="BM6" s="156">
        <v>219</v>
      </c>
      <c r="BN6" s="156">
        <v>216</v>
      </c>
      <c r="BO6" s="156">
        <v>246</v>
      </c>
      <c r="BP6" s="156">
        <v>261</v>
      </c>
      <c r="BQ6" s="156">
        <v>265</v>
      </c>
      <c r="BR6" s="156">
        <v>267</v>
      </c>
      <c r="BS6" s="156">
        <v>260</v>
      </c>
      <c r="BT6" s="156">
        <v>251</v>
      </c>
      <c r="BU6" s="156">
        <v>237</v>
      </c>
      <c r="BV6" s="156">
        <v>218</v>
      </c>
      <c r="BW6" s="156">
        <v>214</v>
      </c>
      <c r="BX6" s="156">
        <v>220</v>
      </c>
      <c r="BY6" s="156">
        <v>241</v>
      </c>
      <c r="BZ6" s="156">
        <v>253</v>
      </c>
      <c r="CA6" s="156">
        <v>258</v>
      </c>
      <c r="CB6" s="156">
        <v>266</v>
      </c>
      <c r="CC6" s="156">
        <v>270</v>
      </c>
      <c r="CD6" s="156">
        <v>280</v>
      </c>
      <c r="CE6" s="156">
        <v>284</v>
      </c>
      <c r="CF6" s="156">
        <v>288</v>
      </c>
      <c r="CG6" s="156">
        <v>282</v>
      </c>
      <c r="CH6" s="156">
        <v>286</v>
      </c>
      <c r="CI6" s="156">
        <v>308</v>
      </c>
      <c r="CJ6" s="156">
        <v>303</v>
      </c>
      <c r="CK6" s="156">
        <v>304</v>
      </c>
      <c r="CL6" s="156">
        <v>333</v>
      </c>
      <c r="CM6" s="157">
        <f t="shared" si="47"/>
        <v>323.39999999999998</v>
      </c>
      <c r="CN6" s="157">
        <f t="shared" si="47"/>
        <v>318.14999999999998</v>
      </c>
      <c r="CO6" s="157">
        <f t="shared" si="47"/>
        <v>319.2</v>
      </c>
      <c r="CP6" s="157">
        <f t="shared" si="47"/>
        <v>349.65</v>
      </c>
      <c r="CQ6" s="157">
        <f t="shared" ref="CQ6:CQ9" si="49">+CM6+(CM6*CQ15)</f>
        <v>339.57</v>
      </c>
      <c r="CR6" s="157">
        <f t="shared" si="48"/>
        <v>334.0575</v>
      </c>
      <c r="CS6" s="157">
        <f t="shared" si="48"/>
        <v>335.15999999999997</v>
      </c>
      <c r="CT6" s="157">
        <f t="shared" si="48"/>
        <v>367.13249999999999</v>
      </c>
      <c r="CU6" s="157">
        <f t="shared" si="48"/>
        <v>349.75709999999998</v>
      </c>
      <c r="CV6" s="157">
        <f t="shared" si="48"/>
        <v>344.07922500000001</v>
      </c>
      <c r="CW6" s="157">
        <f t="shared" si="48"/>
        <v>345.21479999999997</v>
      </c>
      <c r="CX6" s="157">
        <f t="shared" si="48"/>
        <v>378.14647500000001</v>
      </c>
      <c r="CY6" s="157">
        <f t="shared" si="48"/>
        <v>360.24981299999996</v>
      </c>
      <c r="CZ6" s="157">
        <f t="shared" si="48"/>
        <v>354.40160175</v>
      </c>
      <c r="DA6" s="157">
        <f t="shared" si="48"/>
        <v>355.57124399999998</v>
      </c>
      <c r="DB6" s="157">
        <f t="shared" si="48"/>
        <v>389.49086925</v>
      </c>
      <c r="DE6" s="159"/>
      <c r="DF6" s="158">
        <v>308.31205673758865</v>
      </c>
    </row>
    <row r="7" spans="1:110" s="109" customFormat="1" x14ac:dyDescent="0.2">
      <c r="A7" s="206" t="s">
        <v>528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>
        <f t="shared" si="33"/>
        <v>699</v>
      </c>
      <c r="S7" s="107">
        <f t="shared" si="34"/>
        <v>710</v>
      </c>
      <c r="T7" s="107">
        <f t="shared" si="35"/>
        <v>689</v>
      </c>
      <c r="U7" s="107">
        <f t="shared" si="36"/>
        <v>715</v>
      </c>
      <c r="V7" s="107">
        <f t="shared" si="37"/>
        <v>631</v>
      </c>
      <c r="W7" s="107">
        <f t="shared" si="38"/>
        <v>742</v>
      </c>
      <c r="X7" s="107">
        <f t="shared" si="39"/>
        <v>935</v>
      </c>
      <c r="Y7" s="107">
        <f t="shared" si="40"/>
        <v>1126</v>
      </c>
      <c r="Z7" s="107">
        <f t="shared" si="41"/>
        <v>1101</v>
      </c>
      <c r="AA7" s="108">
        <f t="shared" si="42"/>
        <v>1362</v>
      </c>
      <c r="AB7" s="108">
        <f t="shared" si="43"/>
        <v>1765.5555555555554</v>
      </c>
      <c r="AC7" s="108">
        <f t="shared" si="44"/>
        <v>1942.1111111111111</v>
      </c>
      <c r="AD7" s="108">
        <f t="shared" si="45"/>
        <v>2039.2166666666667</v>
      </c>
      <c r="AE7" s="108">
        <f t="shared" si="46"/>
        <v>2141.1774999999998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>
        <v>167</v>
      </c>
      <c r="AZ7" s="107">
        <v>157</v>
      </c>
      <c r="BA7" s="107">
        <v>159</v>
      </c>
      <c r="BB7" s="107">
        <v>216</v>
      </c>
      <c r="BC7" s="107">
        <v>181</v>
      </c>
      <c r="BD7" s="107">
        <v>120</v>
      </c>
      <c r="BE7" s="107">
        <v>194</v>
      </c>
      <c r="BF7" s="107">
        <v>215</v>
      </c>
      <c r="BG7" s="107">
        <v>169</v>
      </c>
      <c r="BH7" s="107">
        <v>147</v>
      </c>
      <c r="BI7" s="107">
        <v>168</v>
      </c>
      <c r="BJ7" s="107">
        <v>205</v>
      </c>
      <c r="BK7" s="107">
        <v>174</v>
      </c>
      <c r="BL7" s="107">
        <v>156</v>
      </c>
      <c r="BM7" s="107">
        <v>189</v>
      </c>
      <c r="BN7" s="107">
        <v>196</v>
      </c>
      <c r="BO7" s="107">
        <v>140</v>
      </c>
      <c r="BP7" s="107">
        <v>129</v>
      </c>
      <c r="BQ7" s="107">
        <v>173</v>
      </c>
      <c r="BR7" s="107">
        <v>189</v>
      </c>
      <c r="BS7" s="107">
        <v>153</v>
      </c>
      <c r="BT7" s="107">
        <v>156</v>
      </c>
      <c r="BU7" s="107">
        <v>182</v>
      </c>
      <c r="BV7" s="107">
        <v>251</v>
      </c>
      <c r="BW7" s="107">
        <v>184</v>
      </c>
      <c r="BX7" s="107">
        <v>185</v>
      </c>
      <c r="BY7" s="107">
        <v>248</v>
      </c>
      <c r="BZ7" s="107">
        <v>318</v>
      </c>
      <c r="CA7" s="107">
        <v>190</v>
      </c>
      <c r="CB7" s="107">
        <v>252</v>
      </c>
      <c r="CC7" s="107">
        <v>312</v>
      </c>
      <c r="CD7" s="107">
        <v>372</v>
      </c>
      <c r="CE7" s="107">
        <v>196</v>
      </c>
      <c r="CF7" s="107">
        <v>263</v>
      </c>
      <c r="CG7" s="107">
        <v>291</v>
      </c>
      <c r="CH7" s="107">
        <v>351</v>
      </c>
      <c r="CI7" s="107">
        <v>218</v>
      </c>
      <c r="CJ7" s="107">
        <v>318</v>
      </c>
      <c r="CK7" s="107">
        <v>371</v>
      </c>
      <c r="CL7" s="107">
        <v>455</v>
      </c>
      <c r="CM7" s="108">
        <f t="shared" si="47"/>
        <v>282.59259259259261</v>
      </c>
      <c r="CN7" s="108">
        <f t="shared" si="47"/>
        <v>412.22222222222223</v>
      </c>
      <c r="CO7" s="108">
        <f t="shared" si="47"/>
        <v>480.92592592592592</v>
      </c>
      <c r="CP7" s="108">
        <f t="shared" si="47"/>
        <v>589.81481481481478</v>
      </c>
      <c r="CQ7" s="108">
        <f t="shared" si="49"/>
        <v>310.85185185185185</v>
      </c>
      <c r="CR7" s="108">
        <f t="shared" si="48"/>
        <v>453.44444444444446</v>
      </c>
      <c r="CS7" s="108">
        <f t="shared" si="48"/>
        <v>529.01851851851848</v>
      </c>
      <c r="CT7" s="108">
        <f t="shared" si="48"/>
        <v>648.7962962962963</v>
      </c>
      <c r="CU7" s="108">
        <f t="shared" si="48"/>
        <v>326.39444444444445</v>
      </c>
      <c r="CV7" s="108">
        <f t="shared" si="48"/>
        <v>476.11666666666667</v>
      </c>
      <c r="CW7" s="108">
        <f t="shared" si="48"/>
        <v>555.46944444444443</v>
      </c>
      <c r="CX7" s="108">
        <f t="shared" si="48"/>
        <v>681.23611111111109</v>
      </c>
      <c r="CY7" s="108">
        <f t="shared" si="48"/>
        <v>342.71416666666664</v>
      </c>
      <c r="CZ7" s="108">
        <f t="shared" si="48"/>
        <v>499.92250000000001</v>
      </c>
      <c r="DA7" s="108">
        <f t="shared" si="48"/>
        <v>583.2429166666667</v>
      </c>
      <c r="DB7" s="108">
        <f t="shared" si="48"/>
        <v>715.29791666666665</v>
      </c>
      <c r="DE7" s="117"/>
      <c r="DF7" s="109">
        <v>403.65</v>
      </c>
    </row>
    <row r="8" spans="1:110" s="158" customFormat="1" x14ac:dyDescent="0.2">
      <c r="A8" s="188" t="s">
        <v>523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>
        <f t="shared" si="33"/>
        <v>479</v>
      </c>
      <c r="S8" s="156">
        <f t="shared" si="34"/>
        <v>521</v>
      </c>
      <c r="T8" s="156">
        <f t="shared" si="35"/>
        <v>686</v>
      </c>
      <c r="U8" s="156">
        <f t="shared" si="36"/>
        <v>771</v>
      </c>
      <c r="V8" s="156">
        <f t="shared" si="37"/>
        <v>782.07999999999993</v>
      </c>
      <c r="W8" s="156">
        <f t="shared" si="38"/>
        <v>881</v>
      </c>
      <c r="X8" s="156">
        <f t="shared" si="39"/>
        <v>1059</v>
      </c>
      <c r="Y8" s="156">
        <f t="shared" si="40"/>
        <v>1485</v>
      </c>
      <c r="Z8" s="156">
        <f t="shared" si="41"/>
        <v>1782</v>
      </c>
      <c r="AA8" s="157">
        <f t="shared" si="42"/>
        <v>2364</v>
      </c>
      <c r="AB8" s="157">
        <f t="shared" si="43"/>
        <v>2553.12</v>
      </c>
      <c r="AC8" s="157">
        <f t="shared" si="44"/>
        <v>2757.3696</v>
      </c>
      <c r="AD8" s="157">
        <f t="shared" si="45"/>
        <v>2840.0906880000002</v>
      </c>
      <c r="AE8" s="157">
        <f t="shared" si="46"/>
        <v>2925.2934086400001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>
        <v>115</v>
      </c>
      <c r="AZ8" s="156">
        <v>127</v>
      </c>
      <c r="BA8" s="156">
        <v>120</v>
      </c>
      <c r="BB8" s="156">
        <v>117</v>
      </c>
      <c r="BC8" s="156">
        <v>123</v>
      </c>
      <c r="BD8" s="156">
        <v>135</v>
      </c>
      <c r="BE8" s="156">
        <v>131</v>
      </c>
      <c r="BF8" s="156">
        <v>132</v>
      </c>
      <c r="BG8" s="156">
        <v>168</v>
      </c>
      <c r="BH8" s="156">
        <v>167</v>
      </c>
      <c r="BI8" s="156">
        <v>171</v>
      </c>
      <c r="BJ8" s="156">
        <v>180</v>
      </c>
      <c r="BK8" s="156">
        <v>179</v>
      </c>
      <c r="BL8" s="156">
        <v>197</v>
      </c>
      <c r="BM8" s="156">
        <v>195</v>
      </c>
      <c r="BN8" s="156">
        <v>200</v>
      </c>
      <c r="BO8" s="156">
        <v>196.07999999999993</v>
      </c>
      <c r="BP8" s="156">
        <v>200</v>
      </c>
      <c r="BQ8" s="156">
        <v>191</v>
      </c>
      <c r="BR8" s="156">
        <v>195</v>
      </c>
      <c r="BS8" s="156">
        <v>217</v>
      </c>
      <c r="BT8" s="156">
        <v>219</v>
      </c>
      <c r="BU8" s="156">
        <v>227</v>
      </c>
      <c r="BV8" s="156">
        <v>218</v>
      </c>
      <c r="BW8" s="156">
        <v>252</v>
      </c>
      <c r="BX8" s="156">
        <v>239</v>
      </c>
      <c r="BY8" s="156">
        <v>291</v>
      </c>
      <c r="BZ8" s="156">
        <v>277</v>
      </c>
      <c r="CA8" s="156">
        <v>293</v>
      </c>
      <c r="CB8" s="156">
        <v>280</v>
      </c>
      <c r="CC8" s="156">
        <v>461</v>
      </c>
      <c r="CD8" s="156">
        <v>451</v>
      </c>
      <c r="CE8" s="156">
        <v>485</v>
      </c>
      <c r="CF8" s="156">
        <v>438</v>
      </c>
      <c r="CG8" s="156">
        <v>384</v>
      </c>
      <c r="CH8" s="156">
        <v>475</v>
      </c>
      <c r="CI8" s="156">
        <v>533</v>
      </c>
      <c r="CJ8" s="156">
        <v>524</v>
      </c>
      <c r="CK8" s="156">
        <v>509</v>
      </c>
      <c r="CL8" s="156">
        <v>798</v>
      </c>
      <c r="CM8" s="157">
        <f t="shared" si="47"/>
        <v>575.64</v>
      </c>
      <c r="CN8" s="157">
        <f t="shared" si="47"/>
        <v>565.91999999999996</v>
      </c>
      <c r="CO8" s="157">
        <f t="shared" si="47"/>
        <v>549.72</v>
      </c>
      <c r="CP8" s="157">
        <f t="shared" si="47"/>
        <v>861.84</v>
      </c>
      <c r="CQ8" s="157">
        <f t="shared" si="49"/>
        <v>621.69119999999998</v>
      </c>
      <c r="CR8" s="157">
        <f t="shared" si="48"/>
        <v>611.19359999999995</v>
      </c>
      <c r="CS8" s="157">
        <f t="shared" si="48"/>
        <v>593.69760000000008</v>
      </c>
      <c r="CT8" s="157">
        <f t="shared" si="48"/>
        <v>930.78719999999998</v>
      </c>
      <c r="CU8" s="157">
        <f t="shared" si="48"/>
        <v>640.34193600000003</v>
      </c>
      <c r="CV8" s="157">
        <f t="shared" si="48"/>
        <v>629.52940799999999</v>
      </c>
      <c r="CW8" s="157">
        <f t="shared" si="48"/>
        <v>611.50852800000007</v>
      </c>
      <c r="CX8" s="157">
        <f t="shared" si="48"/>
        <v>958.71081600000002</v>
      </c>
      <c r="CY8" s="157">
        <f t="shared" si="48"/>
        <v>659.55219408000005</v>
      </c>
      <c r="CZ8" s="157">
        <f t="shared" si="48"/>
        <v>648.41529023999999</v>
      </c>
      <c r="DA8" s="157">
        <f t="shared" si="48"/>
        <v>629.85378384000012</v>
      </c>
      <c r="DB8" s="157">
        <f t="shared" si="48"/>
        <v>987.47214048000001</v>
      </c>
      <c r="DE8" s="159"/>
      <c r="DF8" s="158">
        <v>629.62239583333326</v>
      </c>
    </row>
    <row r="9" spans="1:110" s="158" customFormat="1" x14ac:dyDescent="0.2">
      <c r="A9" s="187" t="s">
        <v>524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>
        <f t="shared" si="33"/>
        <v>1970</v>
      </c>
      <c r="S9" s="156">
        <f t="shared" si="34"/>
        <v>2350</v>
      </c>
      <c r="T9" s="156">
        <f t="shared" si="35"/>
        <v>3235</v>
      </c>
      <c r="U9" s="156">
        <f t="shared" si="36"/>
        <v>3517</v>
      </c>
      <c r="V9" s="156">
        <f t="shared" si="37"/>
        <v>3740</v>
      </c>
      <c r="W9" s="156">
        <f t="shared" si="38"/>
        <v>4286</v>
      </c>
      <c r="X9" s="156">
        <f t="shared" si="39"/>
        <v>4985</v>
      </c>
      <c r="Y9" s="156">
        <f t="shared" si="40"/>
        <v>5665</v>
      </c>
      <c r="Z9" s="156">
        <f t="shared" si="41"/>
        <v>6393</v>
      </c>
      <c r="AA9" s="157">
        <f t="shared" si="42"/>
        <v>7644</v>
      </c>
      <c r="AB9" s="157">
        <f t="shared" si="43"/>
        <v>9172.7999999999993</v>
      </c>
      <c r="AC9" s="157">
        <f t="shared" si="44"/>
        <v>11007.359999999999</v>
      </c>
      <c r="AD9" s="157">
        <f t="shared" si="45"/>
        <v>11503.781999999999</v>
      </c>
      <c r="AE9" s="157">
        <f t="shared" si="46"/>
        <v>11647.579275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>
        <v>504</v>
      </c>
      <c r="AZ9" s="156">
        <v>496</v>
      </c>
      <c r="BA9" s="156">
        <v>503</v>
      </c>
      <c r="BB9" s="156">
        <v>467</v>
      </c>
      <c r="BC9" s="156">
        <v>464</v>
      </c>
      <c r="BD9" s="156">
        <v>607</v>
      </c>
      <c r="BE9" s="156">
        <v>586</v>
      </c>
      <c r="BF9" s="156">
        <v>693</v>
      </c>
      <c r="BG9" s="156">
        <v>830</v>
      </c>
      <c r="BH9" s="156">
        <v>816</v>
      </c>
      <c r="BI9" s="156">
        <v>835</v>
      </c>
      <c r="BJ9" s="156">
        <v>754</v>
      </c>
      <c r="BK9" s="156">
        <v>907</v>
      </c>
      <c r="BL9" s="156">
        <v>899</v>
      </c>
      <c r="BM9" s="156">
        <v>871</v>
      </c>
      <c r="BN9" s="156">
        <v>840</v>
      </c>
      <c r="BO9" s="156">
        <v>925</v>
      </c>
      <c r="BP9" s="156">
        <v>963</v>
      </c>
      <c r="BQ9" s="156">
        <v>930</v>
      </c>
      <c r="BR9" s="156">
        <v>922</v>
      </c>
      <c r="BS9" s="156">
        <v>1093</v>
      </c>
      <c r="BT9" s="156">
        <v>1087</v>
      </c>
      <c r="BU9" s="156">
        <v>1072</v>
      </c>
      <c r="BV9" s="156">
        <v>1034</v>
      </c>
      <c r="BW9" s="156">
        <v>1245</v>
      </c>
      <c r="BX9" s="156">
        <v>1224</v>
      </c>
      <c r="BY9" s="156">
        <v>1259</v>
      </c>
      <c r="BZ9" s="156">
        <v>1257</v>
      </c>
      <c r="CA9" s="156">
        <v>1426</v>
      </c>
      <c r="CB9" s="156">
        <v>1444</v>
      </c>
      <c r="CC9" s="156">
        <v>1415</v>
      </c>
      <c r="CD9" s="156">
        <v>1380</v>
      </c>
      <c r="CE9" s="156">
        <v>1635</v>
      </c>
      <c r="CF9" s="156">
        <v>1632</v>
      </c>
      <c r="CG9" s="156">
        <v>1581</v>
      </c>
      <c r="CH9" s="156">
        <v>1545</v>
      </c>
      <c r="CI9" s="156">
        <v>1811</v>
      </c>
      <c r="CJ9" s="156">
        <v>1820</v>
      </c>
      <c r="CK9" s="156">
        <v>1798</v>
      </c>
      <c r="CL9" s="156">
        <v>2215</v>
      </c>
      <c r="CM9" s="157">
        <f t="shared" si="47"/>
        <v>2173.1999999999998</v>
      </c>
      <c r="CN9" s="157">
        <f t="shared" si="47"/>
        <v>2184</v>
      </c>
      <c r="CO9" s="157">
        <f t="shared" si="47"/>
        <v>2157.6</v>
      </c>
      <c r="CP9" s="157">
        <f t="shared" si="47"/>
        <v>2658</v>
      </c>
      <c r="CQ9" s="157">
        <f t="shared" si="49"/>
        <v>2607.8399999999997</v>
      </c>
      <c r="CR9" s="157">
        <f t="shared" si="48"/>
        <v>2620.8000000000002</v>
      </c>
      <c r="CS9" s="157">
        <f t="shared" si="48"/>
        <v>2589.12</v>
      </c>
      <c r="CT9" s="157">
        <f t="shared" si="48"/>
        <v>3189.6</v>
      </c>
      <c r="CU9" s="157">
        <f t="shared" si="48"/>
        <v>2868.6239999999998</v>
      </c>
      <c r="CV9" s="157">
        <f t="shared" si="48"/>
        <v>2751.84</v>
      </c>
      <c r="CW9" s="157">
        <f t="shared" si="48"/>
        <v>2653.848</v>
      </c>
      <c r="CX9" s="157">
        <f t="shared" si="48"/>
        <v>3229.47</v>
      </c>
      <c r="CY9" s="157">
        <f t="shared" si="48"/>
        <v>2904.4817999999996</v>
      </c>
      <c r="CZ9" s="157">
        <f t="shared" si="48"/>
        <v>2786.2380000000003</v>
      </c>
      <c r="DA9" s="157">
        <f t="shared" si="48"/>
        <v>2687.0210999999999</v>
      </c>
      <c r="DB9" s="157">
        <f t="shared" si="48"/>
        <v>3269.8383749999998</v>
      </c>
      <c r="DE9" s="159"/>
      <c r="DF9" s="158">
        <v>1757.0588235294117</v>
      </c>
    </row>
    <row r="10" spans="1:110" s="158" customFormat="1" x14ac:dyDescent="0.2">
      <c r="A10" s="185" t="s">
        <v>525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>
        <f t="shared" si="33"/>
        <v>550</v>
      </c>
      <c r="S10" s="156">
        <f t="shared" si="34"/>
        <v>357</v>
      </c>
      <c r="T10" s="156">
        <f t="shared" si="35"/>
        <v>465</v>
      </c>
      <c r="U10" s="156">
        <f t="shared" si="36"/>
        <v>467</v>
      </c>
      <c r="V10" s="156">
        <f t="shared" si="37"/>
        <v>551.92000000000007</v>
      </c>
      <c r="W10" s="156">
        <f t="shared" si="38"/>
        <v>568</v>
      </c>
      <c r="X10" s="156">
        <f t="shared" si="39"/>
        <v>551</v>
      </c>
      <c r="Y10" s="156">
        <f t="shared" si="40"/>
        <v>301</v>
      </c>
      <c r="Z10" s="156">
        <f t="shared" si="41"/>
        <v>0</v>
      </c>
      <c r="AA10" s="157">
        <f t="shared" si="42"/>
        <v>0</v>
      </c>
      <c r="AB10" s="157">
        <f t="shared" si="43"/>
        <v>0</v>
      </c>
      <c r="AC10" s="157">
        <f t="shared" si="44"/>
        <v>0</v>
      </c>
      <c r="AD10" s="157">
        <f t="shared" si="45"/>
        <v>0</v>
      </c>
      <c r="AE10" s="157">
        <f t="shared" si="46"/>
        <v>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>
        <v>144</v>
      </c>
      <c r="AZ10" s="156">
        <v>141</v>
      </c>
      <c r="BA10" s="156">
        <v>147</v>
      </c>
      <c r="BB10" s="156">
        <v>118</v>
      </c>
      <c r="BC10" s="156">
        <v>120</v>
      </c>
      <c r="BD10" s="156">
        <v>79</v>
      </c>
      <c r="BE10" s="156">
        <v>45</v>
      </c>
      <c r="BF10" s="156">
        <v>113</v>
      </c>
      <c r="BG10" s="156">
        <v>120</v>
      </c>
      <c r="BH10" s="156">
        <v>120</v>
      </c>
      <c r="BI10" s="156">
        <v>120</v>
      </c>
      <c r="BJ10" s="156">
        <v>105</v>
      </c>
      <c r="BK10" s="156">
        <v>124</v>
      </c>
      <c r="BL10" s="156">
        <v>123</v>
      </c>
      <c r="BM10" s="156">
        <v>111</v>
      </c>
      <c r="BN10" s="156">
        <v>109</v>
      </c>
      <c r="BO10" s="156">
        <v>175.92000000000007</v>
      </c>
      <c r="BP10" s="156">
        <v>137</v>
      </c>
      <c r="BQ10" s="156">
        <v>144</v>
      </c>
      <c r="BR10" s="156">
        <v>95</v>
      </c>
      <c r="BS10" s="156">
        <v>145</v>
      </c>
      <c r="BT10" s="156">
        <v>140</v>
      </c>
      <c r="BU10" s="156">
        <v>155</v>
      </c>
      <c r="BV10" s="156">
        <v>128</v>
      </c>
      <c r="BW10" s="156">
        <v>153</v>
      </c>
      <c r="BX10" s="156">
        <v>131</v>
      </c>
      <c r="BY10" s="156">
        <v>161</v>
      </c>
      <c r="BZ10" s="156">
        <v>106</v>
      </c>
      <c r="CA10" s="156">
        <v>131</v>
      </c>
      <c r="CB10" s="156">
        <v>170</v>
      </c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96" customFormat="1" x14ac:dyDescent="0.2">
      <c r="A11" s="193" t="s">
        <v>530</v>
      </c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>
        <f t="shared" ref="R11" si="50">+SUM(R5:R10)</f>
        <v>5857</v>
      </c>
      <c r="S11" s="194">
        <f t="shared" ref="S11" si="51">+SUM(S5:S10)</f>
        <v>5950</v>
      </c>
      <c r="T11" s="194">
        <f t="shared" ref="T11" si="52">+SUM(T5:T10)</f>
        <v>7673</v>
      </c>
      <c r="U11" s="194">
        <f t="shared" ref="U11" si="53">+SUM(U5:U10)</f>
        <v>7939</v>
      </c>
      <c r="V11" s="194">
        <f t="shared" ref="V11" si="54">+SUM(V5:V10)</f>
        <v>8005</v>
      </c>
      <c r="W11" s="194">
        <f t="shared" ref="W11" si="55">+SUM(W5:W10)</f>
        <v>8510</v>
      </c>
      <c r="X11" s="194">
        <f t="shared" ref="X11" si="56">+SUM(X5:X10)</f>
        <v>9620</v>
      </c>
      <c r="Y11" s="194">
        <f t="shared" ref="Y11" si="57">+SUM(Y5:Y10)</f>
        <v>10728</v>
      </c>
      <c r="Z11" s="194">
        <f t="shared" ref="Z11" si="58">+SUM(Z5:Z10)</f>
        <v>11516</v>
      </c>
      <c r="AA11" s="195">
        <f t="shared" ref="AA11" si="59">+SUM(AA5:AA10)</f>
        <v>13980</v>
      </c>
      <c r="AB11" s="195">
        <f t="shared" ref="AB11" si="60">+SUM(AB5:AB10)</f>
        <v>16587.809330389991</v>
      </c>
      <c r="AC11" s="195">
        <f t="shared" ref="AC11" si="61">+SUM(AC5:AC10)</f>
        <v>19424.581157582754</v>
      </c>
      <c r="AD11" s="195">
        <f t="shared" ref="AD11" si="62">+SUM(AD5:AD10)</f>
        <v>20259.198423461894</v>
      </c>
      <c r="AE11" s="195">
        <f t="shared" ref="AE11" si="63">+SUM(AE5:AE10)</f>
        <v>20755.620753874988</v>
      </c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>
        <f t="shared" ref="AY11:CJ11" si="64">+SUM(AY5:AY10)</f>
        <v>1551</v>
      </c>
      <c r="AZ11" s="194">
        <f t="shared" si="64"/>
        <v>1429</v>
      </c>
      <c r="BA11" s="194">
        <f t="shared" si="64"/>
        <v>1443</v>
      </c>
      <c r="BB11" s="194">
        <f t="shared" si="64"/>
        <v>1434</v>
      </c>
      <c r="BC11" s="194">
        <f t="shared" si="64"/>
        <v>1362</v>
      </c>
      <c r="BD11" s="194">
        <f t="shared" si="64"/>
        <v>1417</v>
      </c>
      <c r="BE11" s="194">
        <f t="shared" si="64"/>
        <v>1463</v>
      </c>
      <c r="BF11" s="194">
        <f t="shared" si="64"/>
        <v>1708</v>
      </c>
      <c r="BG11" s="194">
        <f t="shared" si="64"/>
        <v>1872</v>
      </c>
      <c r="BH11" s="194">
        <f t="shared" si="64"/>
        <v>1894</v>
      </c>
      <c r="BI11" s="194">
        <f t="shared" si="64"/>
        <v>2051</v>
      </c>
      <c r="BJ11" s="194">
        <f t="shared" si="64"/>
        <v>1856</v>
      </c>
      <c r="BK11" s="194">
        <f t="shared" si="64"/>
        <v>2022</v>
      </c>
      <c r="BL11" s="194">
        <f t="shared" si="64"/>
        <v>2005</v>
      </c>
      <c r="BM11" s="194">
        <f t="shared" si="64"/>
        <v>1966</v>
      </c>
      <c r="BN11" s="194">
        <f t="shared" si="64"/>
        <v>1946</v>
      </c>
      <c r="BO11" s="194">
        <f t="shared" si="64"/>
        <v>2056</v>
      </c>
      <c r="BP11" s="194">
        <f t="shared" si="64"/>
        <v>2017</v>
      </c>
      <c r="BQ11" s="194">
        <f t="shared" si="64"/>
        <v>1995</v>
      </c>
      <c r="BR11" s="194">
        <f t="shared" si="64"/>
        <v>1937</v>
      </c>
      <c r="BS11" s="194">
        <f t="shared" si="64"/>
        <v>2134</v>
      </c>
      <c r="BT11" s="194">
        <f t="shared" si="64"/>
        <v>2137</v>
      </c>
      <c r="BU11" s="194">
        <f t="shared" si="64"/>
        <v>2108</v>
      </c>
      <c r="BV11" s="194">
        <f t="shared" si="64"/>
        <v>2131</v>
      </c>
      <c r="BW11" s="194">
        <f t="shared" si="64"/>
        <v>2347</v>
      </c>
      <c r="BX11" s="194">
        <f t="shared" si="64"/>
        <v>2291</v>
      </c>
      <c r="BY11" s="194">
        <f t="shared" si="64"/>
        <v>2491</v>
      </c>
      <c r="BZ11" s="194">
        <f t="shared" si="64"/>
        <v>2491</v>
      </c>
      <c r="CA11" s="194">
        <f t="shared" si="64"/>
        <v>2591</v>
      </c>
      <c r="CB11" s="194">
        <f t="shared" si="64"/>
        <v>2660</v>
      </c>
      <c r="CC11" s="194">
        <f t="shared" si="64"/>
        <v>2732</v>
      </c>
      <c r="CD11" s="194">
        <f t="shared" si="64"/>
        <v>2745</v>
      </c>
      <c r="CE11" s="194">
        <f t="shared" si="64"/>
        <v>2859</v>
      </c>
      <c r="CF11" s="194">
        <f t="shared" si="64"/>
        <v>2889</v>
      </c>
      <c r="CG11" s="194">
        <f t="shared" si="64"/>
        <v>2809</v>
      </c>
      <c r="CH11" s="194">
        <f t="shared" si="64"/>
        <v>2959</v>
      </c>
      <c r="CI11" s="194">
        <f t="shared" si="64"/>
        <v>3178</v>
      </c>
      <c r="CJ11" s="194">
        <f t="shared" si="64"/>
        <v>3302</v>
      </c>
      <c r="CK11" s="194">
        <f>+SUM(CK5:CK10)</f>
        <v>3303</v>
      </c>
      <c r="CL11" s="194">
        <f t="shared" ref="CL11" si="65">+SUM(CL5:CL10)</f>
        <v>4197</v>
      </c>
      <c r="CM11" s="195">
        <f t="shared" ref="CM11" si="66">+SUM(CM5:CM10)</f>
        <v>3758.7001422614667</v>
      </c>
      <c r="CN11" s="195">
        <f t="shared" ref="CN11" si="67">+SUM(CN5:CN10)</f>
        <v>3922.1862619573217</v>
      </c>
      <c r="CO11" s="195">
        <f t="shared" ref="CO11" si="68">+SUM(CO5:CO10)</f>
        <v>3928.359833210694</v>
      </c>
      <c r="CP11" s="195">
        <f t="shared" ref="CP11" si="69">+SUM(CP5:CP10)</f>
        <v>4978.5630929605104</v>
      </c>
      <c r="CQ11" s="195">
        <f t="shared" ref="CQ11:DB11" si="70">+SUM(CQ5:CQ10)</f>
        <v>4409.5277196295801</v>
      </c>
      <c r="CR11" s="195">
        <f t="shared" si="70"/>
        <v>4598.9327621103366</v>
      </c>
      <c r="CS11" s="195">
        <f t="shared" si="70"/>
        <v>4598.9229638323204</v>
      </c>
      <c r="CT11" s="195">
        <f t="shared" si="70"/>
        <v>5817.1977120105194</v>
      </c>
      <c r="CU11" s="195">
        <f t="shared" si="70"/>
        <v>4741.1708816110595</v>
      </c>
      <c r="CV11" s="195">
        <f t="shared" si="70"/>
        <v>4809.974378215853</v>
      </c>
      <c r="CW11" s="195">
        <f t="shared" si="70"/>
        <v>4745.5639600239365</v>
      </c>
      <c r="CX11" s="195">
        <f t="shared" si="70"/>
        <v>5962.489203611045</v>
      </c>
      <c r="CY11" s="195">
        <f t="shared" si="70"/>
        <v>4850.8540449716129</v>
      </c>
      <c r="CZ11" s="195">
        <f t="shared" si="70"/>
        <v>4927.8069244666458</v>
      </c>
      <c r="DA11" s="195">
        <f t="shared" si="70"/>
        <v>4864.1883914651335</v>
      </c>
      <c r="DB11" s="195">
        <f t="shared" si="70"/>
        <v>6112.7713929715974</v>
      </c>
      <c r="DE11" s="197"/>
      <c r="DF11" s="196">
        <v>3436.8832761003332</v>
      </c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>
        <f t="shared" ref="AY12:CJ12" si="71">+AY11-AY23</f>
        <v>0</v>
      </c>
      <c r="AZ12" s="156">
        <f t="shared" si="71"/>
        <v>0</v>
      </c>
      <c r="BA12" s="156">
        <f t="shared" si="71"/>
        <v>0</v>
      </c>
      <c r="BB12" s="156">
        <f t="shared" si="71"/>
        <v>0</v>
      </c>
      <c r="BC12" s="156">
        <f t="shared" si="71"/>
        <v>0</v>
      </c>
      <c r="BD12" s="156">
        <f t="shared" si="71"/>
        <v>0</v>
      </c>
      <c r="BE12" s="156">
        <f t="shared" si="71"/>
        <v>0</v>
      </c>
      <c r="BF12" s="156">
        <f t="shared" si="71"/>
        <v>0</v>
      </c>
      <c r="BG12" s="156">
        <f t="shared" si="71"/>
        <v>0</v>
      </c>
      <c r="BH12" s="156">
        <f t="shared" si="71"/>
        <v>0</v>
      </c>
      <c r="BI12" s="156">
        <f t="shared" si="71"/>
        <v>0</v>
      </c>
      <c r="BJ12" s="156">
        <f t="shared" si="71"/>
        <v>0</v>
      </c>
      <c r="BK12" s="156">
        <f t="shared" si="71"/>
        <v>0</v>
      </c>
      <c r="BL12" s="156">
        <f t="shared" si="71"/>
        <v>0</v>
      </c>
      <c r="BM12" s="156">
        <f t="shared" si="71"/>
        <v>0</v>
      </c>
      <c r="BN12" s="156">
        <f t="shared" si="71"/>
        <v>0</v>
      </c>
      <c r="BO12" s="156">
        <f t="shared" si="71"/>
        <v>0</v>
      </c>
      <c r="BP12" s="156">
        <f t="shared" si="71"/>
        <v>0</v>
      </c>
      <c r="BQ12" s="156">
        <f t="shared" si="71"/>
        <v>0</v>
      </c>
      <c r="BR12" s="156">
        <f t="shared" si="71"/>
        <v>0</v>
      </c>
      <c r="BS12" s="156">
        <f t="shared" si="71"/>
        <v>0</v>
      </c>
      <c r="BT12" s="156">
        <f t="shared" si="71"/>
        <v>0</v>
      </c>
      <c r="BU12" s="156">
        <f t="shared" si="71"/>
        <v>0</v>
      </c>
      <c r="BV12" s="156">
        <f t="shared" si="71"/>
        <v>0</v>
      </c>
      <c r="BW12" s="156">
        <f t="shared" si="71"/>
        <v>0</v>
      </c>
      <c r="BX12" s="156">
        <f t="shared" si="71"/>
        <v>0</v>
      </c>
      <c r="BY12" s="156">
        <f t="shared" si="71"/>
        <v>0</v>
      </c>
      <c r="BZ12" s="156">
        <f t="shared" si="71"/>
        <v>0</v>
      </c>
      <c r="CA12" s="156">
        <f t="shared" si="71"/>
        <v>0</v>
      </c>
      <c r="CB12" s="156">
        <f t="shared" si="71"/>
        <v>0</v>
      </c>
      <c r="CC12" s="156">
        <f t="shared" si="71"/>
        <v>0</v>
      </c>
      <c r="CD12" s="156">
        <f t="shared" si="71"/>
        <v>0</v>
      </c>
      <c r="CE12" s="156">
        <f t="shared" si="71"/>
        <v>0</v>
      </c>
      <c r="CF12" s="156">
        <f t="shared" si="71"/>
        <v>0</v>
      </c>
      <c r="CG12" s="156">
        <f t="shared" si="71"/>
        <v>0</v>
      </c>
      <c r="CH12" s="156">
        <f t="shared" si="71"/>
        <v>0</v>
      </c>
      <c r="CI12" s="156">
        <f t="shared" si="71"/>
        <v>0</v>
      </c>
      <c r="CJ12" s="156">
        <f t="shared" si="71"/>
        <v>0</v>
      </c>
      <c r="CK12" s="156">
        <f>+CK11-CK23</f>
        <v>0</v>
      </c>
      <c r="CL12" s="156">
        <f>+CL11-CL23</f>
        <v>0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91" customFormat="1" x14ac:dyDescent="0.2">
      <c r="A13" s="189" t="s">
        <v>531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  <c r="BQ13" s="190"/>
      <c r="BR13" s="190"/>
      <c r="BS13" s="190"/>
      <c r="BT13" s="190"/>
      <c r="BU13" s="190"/>
      <c r="BV13" s="190"/>
      <c r="BW13" s="190"/>
      <c r="BX13" s="190"/>
      <c r="BY13" s="190"/>
      <c r="BZ13" s="190"/>
      <c r="CA13" s="190"/>
      <c r="CB13" s="190"/>
      <c r="CC13" s="190"/>
      <c r="CD13" s="190"/>
      <c r="CE13" s="190"/>
      <c r="CF13" s="190"/>
      <c r="CG13" s="190"/>
      <c r="CH13" s="190"/>
      <c r="CI13" s="190"/>
      <c r="CJ13" s="190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0"/>
      <c r="CW13" s="190"/>
      <c r="CX13" s="190"/>
      <c r="CY13" s="190"/>
      <c r="CZ13" s="190"/>
      <c r="DA13" s="190"/>
      <c r="DB13" s="190"/>
      <c r="DE13" s="190"/>
    </row>
    <row r="14" spans="1:110" s="202" customFormat="1" x14ac:dyDescent="0.2">
      <c r="A14" s="199" t="s">
        <v>532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4">
        <f t="shared" ref="S14:AD19" si="72">+S5/R5-1</f>
        <v>-0.18337045285820341</v>
      </c>
      <c r="T14" s="204">
        <f t="shared" si="72"/>
        <v>0.44454545454545458</v>
      </c>
      <c r="U14" s="204">
        <f t="shared" si="72"/>
        <v>-4.2164883574575152E-2</v>
      </c>
      <c r="V14" s="204">
        <f t="shared" si="72"/>
        <v>-0.17148488830486197</v>
      </c>
      <c r="W14" s="204">
        <f t="shared" si="72"/>
        <v>-0.15384615384615385</v>
      </c>
      <c r="X14" s="204">
        <f t="shared" si="72"/>
        <v>8.9034676663542589E-2</v>
      </c>
      <c r="Y14" s="204">
        <f t="shared" si="72"/>
        <v>-7.3149741824440673E-2</v>
      </c>
      <c r="Z14" s="204">
        <f t="shared" si="72"/>
        <v>2.1355617455895981E-2</v>
      </c>
      <c r="AA14" s="205">
        <f t="shared" si="72"/>
        <v>0.23818181818181827</v>
      </c>
      <c r="AB14" s="205">
        <f t="shared" si="72"/>
        <v>0.3112582781456954</v>
      </c>
      <c r="AC14" s="205">
        <f t="shared" si="72"/>
        <v>0.3112582781456954</v>
      </c>
      <c r="AD14" s="205">
        <f t="shared" si="72"/>
        <v>5.0000000000000044E-2</v>
      </c>
      <c r="AE14" s="205">
        <f>+AE5/AD5-1</f>
        <v>5.0000000000000044E-2</v>
      </c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4">
        <f t="shared" ref="BC14:CJ19" si="73">+BC5/AY5-1</f>
        <v>-0.37327188940092171</v>
      </c>
      <c r="BD14" s="204">
        <f t="shared" si="73"/>
        <v>-0.20807453416149069</v>
      </c>
      <c r="BE14" s="204">
        <f t="shared" si="73"/>
        <v>-0.14193548387096777</v>
      </c>
      <c r="BF14" s="204">
        <f t="shared" si="73"/>
        <v>9.2526690391458999E-2</v>
      </c>
      <c r="BG14" s="204">
        <f t="shared" si="73"/>
        <v>0.22794117647058831</v>
      </c>
      <c r="BH14" s="204">
        <f t="shared" si="73"/>
        <v>0.54117647058823537</v>
      </c>
      <c r="BI14" s="204">
        <f t="shared" si="73"/>
        <v>0.84210526315789469</v>
      </c>
      <c r="BJ14" s="204">
        <f t="shared" si="73"/>
        <v>0.21172638436482094</v>
      </c>
      <c r="BK14" s="204">
        <f t="shared" si="73"/>
        <v>0.12574850299401197</v>
      </c>
      <c r="BL14" s="204">
        <f t="shared" si="73"/>
        <v>-3.30788804071247E-2</v>
      </c>
      <c r="BM14" s="204">
        <f t="shared" si="73"/>
        <v>-0.22244897959183674</v>
      </c>
      <c r="BN14" s="204">
        <f t="shared" si="73"/>
        <v>3.4946236559139754E-2</v>
      </c>
      <c r="BO14" s="204">
        <f t="shared" si="73"/>
        <v>-7.9787234042553168E-3</v>
      </c>
      <c r="BP14" s="204">
        <f t="shared" si="73"/>
        <v>-0.13947368421052631</v>
      </c>
      <c r="BQ14" s="204">
        <f t="shared" si="73"/>
        <v>-0.23359580052493434</v>
      </c>
      <c r="BR14" s="204">
        <f t="shared" si="73"/>
        <v>-0.30129870129870129</v>
      </c>
      <c r="BS14" s="204">
        <f t="shared" si="73"/>
        <v>-0.28686327077747986</v>
      </c>
      <c r="BT14" s="204">
        <f t="shared" si="73"/>
        <v>-0.13149847094801226</v>
      </c>
      <c r="BU14" s="204">
        <f t="shared" si="73"/>
        <v>-0.1952054794520548</v>
      </c>
      <c r="BV14" s="204">
        <f t="shared" si="73"/>
        <v>4.8327137546468446E-2</v>
      </c>
      <c r="BW14" s="204">
        <f t="shared" si="73"/>
        <v>0.12406015037593976</v>
      </c>
      <c r="BX14" s="204">
        <f t="shared" si="73"/>
        <v>2.8169014084507005E-2</v>
      </c>
      <c r="BY14" s="204">
        <f t="shared" si="73"/>
        <v>0.23829787234042543</v>
      </c>
      <c r="BZ14" s="204">
        <f t="shared" si="73"/>
        <v>-7.0921985815602939E-3</v>
      </c>
      <c r="CA14" s="204">
        <f t="shared" si="73"/>
        <v>-2.006688963210701E-2</v>
      </c>
      <c r="CB14" s="204">
        <f t="shared" si="73"/>
        <v>-0.15068493150684936</v>
      </c>
      <c r="CC14" s="204">
        <f t="shared" si="73"/>
        <v>-5.841924398625431E-2</v>
      </c>
      <c r="CD14" s="204">
        <f t="shared" si="73"/>
        <v>-6.4285714285714279E-2</v>
      </c>
      <c r="CE14" s="204">
        <f t="shared" si="73"/>
        <v>-0.11604095563139927</v>
      </c>
      <c r="CF14" s="204">
        <f t="shared" si="73"/>
        <v>8.0645161290322509E-2</v>
      </c>
      <c r="CG14" s="204">
        <f t="shared" si="73"/>
        <v>-1.0948905109489093E-2</v>
      </c>
      <c r="CH14" s="204">
        <f t="shared" si="73"/>
        <v>0.15267175572519087</v>
      </c>
      <c r="CI14" s="204">
        <f t="shared" si="73"/>
        <v>0.18918918918918926</v>
      </c>
      <c r="CJ14" s="204">
        <f t="shared" si="73"/>
        <v>0.25746268656716409</v>
      </c>
      <c r="CK14" s="204">
        <f>+CK5/CG5-1</f>
        <v>0.18450184501845013</v>
      </c>
      <c r="CL14" s="204">
        <f>+CL5/CH5-1</f>
        <v>0.3112582781456954</v>
      </c>
      <c r="CM14" s="205">
        <f t="shared" ref="CM14:DB18" si="74">+CL14</f>
        <v>0.3112582781456954</v>
      </c>
      <c r="CN14" s="205">
        <f t="shared" si="74"/>
        <v>0.3112582781456954</v>
      </c>
      <c r="CO14" s="205">
        <f t="shared" si="74"/>
        <v>0.3112582781456954</v>
      </c>
      <c r="CP14" s="205">
        <f t="shared" si="74"/>
        <v>0.3112582781456954</v>
      </c>
      <c r="CQ14" s="205">
        <f t="shared" si="74"/>
        <v>0.3112582781456954</v>
      </c>
      <c r="CR14" s="205">
        <f t="shared" si="74"/>
        <v>0.3112582781456954</v>
      </c>
      <c r="CS14" s="205">
        <f t="shared" si="74"/>
        <v>0.3112582781456954</v>
      </c>
      <c r="CT14" s="205">
        <f t="shared" si="74"/>
        <v>0.3112582781456954</v>
      </c>
      <c r="CU14" s="205">
        <v>0.05</v>
      </c>
      <c r="CV14" s="205">
        <f t="shared" si="74"/>
        <v>0.05</v>
      </c>
      <c r="CW14" s="205">
        <f t="shared" si="74"/>
        <v>0.05</v>
      </c>
      <c r="CX14" s="205">
        <f t="shared" si="74"/>
        <v>0.05</v>
      </c>
      <c r="CY14" s="205">
        <f t="shared" si="74"/>
        <v>0.05</v>
      </c>
      <c r="CZ14" s="205">
        <f t="shared" si="74"/>
        <v>0.05</v>
      </c>
      <c r="DA14" s="205">
        <f t="shared" si="74"/>
        <v>0.05</v>
      </c>
      <c r="DB14" s="205">
        <f t="shared" si="74"/>
        <v>0.05</v>
      </c>
      <c r="DE14" s="203"/>
      <c r="DF14" s="202">
        <v>0.12</v>
      </c>
    </row>
    <row r="15" spans="1:110" s="202" customFormat="1" x14ac:dyDescent="0.2">
      <c r="A15" s="199" t="s">
        <v>533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4">
        <f t="shared" si="72"/>
        <v>0.12315270935960587</v>
      </c>
      <c r="T15" s="204">
        <f t="shared" si="72"/>
        <v>0.10635964912280693</v>
      </c>
      <c r="U15" s="204">
        <f t="shared" si="72"/>
        <v>-6.1446977205153575E-2</v>
      </c>
      <c r="V15" s="204">
        <f t="shared" si="72"/>
        <v>9.7148891235480539E-2</v>
      </c>
      <c r="W15" s="204">
        <f t="shared" si="72"/>
        <v>-7.02598652550529E-2</v>
      </c>
      <c r="X15" s="204">
        <f t="shared" si="72"/>
        <v>-3.9337474120082816E-2</v>
      </c>
      <c r="Y15" s="204">
        <f t="shared" si="72"/>
        <v>0.15732758620689657</v>
      </c>
      <c r="Z15" s="204">
        <f t="shared" si="72"/>
        <v>6.1452513966480549E-2</v>
      </c>
      <c r="AA15" s="205">
        <f t="shared" si="72"/>
        <v>9.473684210526323E-2</v>
      </c>
      <c r="AB15" s="205">
        <f t="shared" si="72"/>
        <v>5.0000000000000044E-2</v>
      </c>
      <c r="AC15" s="205">
        <f t="shared" si="72"/>
        <v>5.0000000000000044E-2</v>
      </c>
      <c r="AD15" s="205">
        <f t="shared" si="72"/>
        <v>3.0000000000000027E-2</v>
      </c>
      <c r="AE15" s="205">
        <f t="shared" ref="AE15:AE18" si="75">+AE6/AD6-1</f>
        <v>3.0000000000000027E-2</v>
      </c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4">
        <f t="shared" si="73"/>
        <v>8.0213903743315607E-2</v>
      </c>
      <c r="BD15" s="204">
        <f t="shared" si="73"/>
        <v>0.18817204301075274</v>
      </c>
      <c r="BE15" s="204">
        <f t="shared" si="73"/>
        <v>0.18137254901960786</v>
      </c>
      <c r="BF15" s="204">
        <f t="shared" si="73"/>
        <v>5.5319148936170182E-2</v>
      </c>
      <c r="BG15" s="204">
        <f t="shared" si="73"/>
        <v>0.24257425742574257</v>
      </c>
      <c r="BH15" s="204">
        <f t="shared" si="73"/>
        <v>0.13574660633484159</v>
      </c>
      <c r="BI15" s="204">
        <f t="shared" si="73"/>
        <v>0.10788381742738595</v>
      </c>
      <c r="BJ15" s="204">
        <f t="shared" si="73"/>
        <v>-3.2258064516129004E-2</v>
      </c>
      <c r="BK15" s="204">
        <f t="shared" si="73"/>
        <v>4.3824701195219085E-2</v>
      </c>
      <c r="BL15" s="204">
        <f t="shared" si="73"/>
        <v>-3.9840637450199168E-3</v>
      </c>
      <c r="BM15" s="204">
        <f t="shared" si="73"/>
        <v>-0.1797752808988764</v>
      </c>
      <c r="BN15" s="204">
        <f t="shared" si="73"/>
        <v>-9.9999999999999978E-2</v>
      </c>
      <c r="BO15" s="204">
        <f t="shared" si="73"/>
        <v>-6.1068702290076327E-2</v>
      </c>
      <c r="BP15" s="204">
        <f t="shared" si="73"/>
        <v>4.4000000000000039E-2</v>
      </c>
      <c r="BQ15" s="204">
        <f t="shared" si="73"/>
        <v>0.21004566210045672</v>
      </c>
      <c r="BR15" s="204">
        <f t="shared" si="73"/>
        <v>0.23611111111111116</v>
      </c>
      <c r="BS15" s="204">
        <f t="shared" si="73"/>
        <v>5.6910569105691033E-2</v>
      </c>
      <c r="BT15" s="204">
        <f t="shared" si="73"/>
        <v>-3.8314176245210718E-2</v>
      </c>
      <c r="BU15" s="204">
        <f t="shared" si="73"/>
        <v>-0.10566037735849054</v>
      </c>
      <c r="BV15" s="204">
        <f t="shared" si="73"/>
        <v>-0.18352059925093633</v>
      </c>
      <c r="BW15" s="204">
        <f t="shared" si="73"/>
        <v>-0.17692307692307696</v>
      </c>
      <c r="BX15" s="204">
        <f t="shared" si="73"/>
        <v>-0.12350597609561753</v>
      </c>
      <c r="BY15" s="204">
        <f t="shared" si="73"/>
        <v>1.6877637130801704E-2</v>
      </c>
      <c r="BZ15" s="204">
        <f t="shared" si="73"/>
        <v>0.16055045871559637</v>
      </c>
      <c r="CA15" s="204">
        <f t="shared" si="73"/>
        <v>0.20560747663551404</v>
      </c>
      <c r="CB15" s="204">
        <f t="shared" si="73"/>
        <v>0.20909090909090899</v>
      </c>
      <c r="CC15" s="204">
        <f t="shared" si="73"/>
        <v>0.1203319502074689</v>
      </c>
      <c r="CD15" s="204">
        <f t="shared" si="73"/>
        <v>0.10671936758893286</v>
      </c>
      <c r="CE15" s="204">
        <f t="shared" si="73"/>
        <v>0.10077519379844957</v>
      </c>
      <c r="CF15" s="204">
        <f t="shared" si="73"/>
        <v>8.2706766917293173E-2</v>
      </c>
      <c r="CG15" s="204">
        <f t="shared" si="73"/>
        <v>4.4444444444444509E-2</v>
      </c>
      <c r="CH15" s="204">
        <f t="shared" si="73"/>
        <v>2.1428571428571352E-2</v>
      </c>
      <c r="CI15" s="204">
        <f t="shared" si="73"/>
        <v>8.4507042253521236E-2</v>
      </c>
      <c r="CJ15" s="204">
        <f t="shared" si="73"/>
        <v>5.2083333333333259E-2</v>
      </c>
      <c r="CK15" s="204">
        <f t="shared" ref="CK15:CL18" si="76">+CK6/CG6-1</f>
        <v>7.8014184397163122E-2</v>
      </c>
      <c r="CL15" s="204">
        <f t="shared" si="76"/>
        <v>0.16433566433566438</v>
      </c>
      <c r="CM15" s="205">
        <v>0.05</v>
      </c>
      <c r="CN15" s="205">
        <f t="shared" ref="CN15:DA15" si="77">+CM15</f>
        <v>0.05</v>
      </c>
      <c r="CO15" s="205">
        <f t="shared" si="77"/>
        <v>0.05</v>
      </c>
      <c r="CP15" s="205">
        <f t="shared" si="77"/>
        <v>0.05</v>
      </c>
      <c r="CQ15" s="205">
        <f t="shared" si="77"/>
        <v>0.05</v>
      </c>
      <c r="CR15" s="205">
        <f t="shared" si="77"/>
        <v>0.05</v>
      </c>
      <c r="CS15" s="205">
        <f t="shared" si="77"/>
        <v>0.05</v>
      </c>
      <c r="CT15" s="205">
        <f t="shared" si="77"/>
        <v>0.05</v>
      </c>
      <c r="CU15" s="205">
        <v>0.03</v>
      </c>
      <c r="CV15" s="205">
        <f t="shared" si="77"/>
        <v>0.03</v>
      </c>
      <c r="CW15" s="205">
        <f t="shared" si="77"/>
        <v>0.03</v>
      </c>
      <c r="CX15" s="205">
        <f t="shared" si="77"/>
        <v>0.03</v>
      </c>
      <c r="CY15" s="205">
        <f t="shared" si="77"/>
        <v>0.03</v>
      </c>
      <c r="CZ15" s="205">
        <f t="shared" si="77"/>
        <v>0.03</v>
      </c>
      <c r="DA15" s="205">
        <f t="shared" si="77"/>
        <v>0.03</v>
      </c>
      <c r="DB15" s="205">
        <f t="shared" si="74"/>
        <v>0.03</v>
      </c>
      <c r="DE15" s="203"/>
      <c r="DF15" s="202">
        <v>7.8014184397163122E-2</v>
      </c>
    </row>
    <row r="16" spans="1:110" s="202" customFormat="1" x14ac:dyDescent="0.2">
      <c r="A16" s="199" t="s">
        <v>534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4">
        <f t="shared" si="72"/>
        <v>1.5736766809728131E-2</v>
      </c>
      <c r="T16" s="204">
        <f t="shared" si="72"/>
        <v>-2.9577464788732355E-2</v>
      </c>
      <c r="U16" s="204">
        <f t="shared" si="72"/>
        <v>3.7735849056603765E-2</v>
      </c>
      <c r="V16" s="204">
        <f t="shared" si="72"/>
        <v>-0.11748251748251748</v>
      </c>
      <c r="W16" s="204">
        <f t="shared" si="72"/>
        <v>0.17591125198098267</v>
      </c>
      <c r="X16" s="204">
        <f t="shared" si="72"/>
        <v>0.26010781671159022</v>
      </c>
      <c r="Y16" s="204">
        <f t="shared" si="72"/>
        <v>0.20427807486631022</v>
      </c>
      <c r="Z16" s="204">
        <f t="shared" si="72"/>
        <v>-2.2202486678507993E-2</v>
      </c>
      <c r="AA16" s="205">
        <f t="shared" si="72"/>
        <v>0.23705722070844693</v>
      </c>
      <c r="AB16" s="205">
        <f t="shared" si="72"/>
        <v>0.29629629629629628</v>
      </c>
      <c r="AC16" s="205">
        <f t="shared" si="72"/>
        <v>0.10000000000000009</v>
      </c>
      <c r="AD16" s="205">
        <f t="shared" si="72"/>
        <v>5.0000000000000044E-2</v>
      </c>
      <c r="AE16" s="205">
        <f t="shared" si="75"/>
        <v>4.9999999999999822E-2</v>
      </c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4">
        <f t="shared" si="73"/>
        <v>8.3832335329341312E-2</v>
      </c>
      <c r="BD16" s="204">
        <f t="shared" si="73"/>
        <v>-0.23566878980891715</v>
      </c>
      <c r="BE16" s="204">
        <f t="shared" si="73"/>
        <v>0.22012578616352196</v>
      </c>
      <c r="BF16" s="204">
        <f t="shared" si="73"/>
        <v>-4.6296296296296502E-3</v>
      </c>
      <c r="BG16" s="204">
        <f t="shared" si="73"/>
        <v>-6.6298342541436517E-2</v>
      </c>
      <c r="BH16" s="204">
        <f t="shared" si="73"/>
        <v>0.22500000000000009</v>
      </c>
      <c r="BI16" s="204">
        <f t="shared" si="73"/>
        <v>-0.134020618556701</v>
      </c>
      <c r="BJ16" s="204">
        <f t="shared" si="73"/>
        <v>-4.6511627906976716E-2</v>
      </c>
      <c r="BK16" s="204">
        <f t="shared" si="73"/>
        <v>2.9585798816567976E-2</v>
      </c>
      <c r="BL16" s="204">
        <f t="shared" si="73"/>
        <v>6.1224489795918435E-2</v>
      </c>
      <c r="BM16" s="204">
        <f t="shared" si="73"/>
        <v>0.125</v>
      </c>
      <c r="BN16" s="204">
        <f t="shared" si="73"/>
        <v>-4.3902439024390283E-2</v>
      </c>
      <c r="BO16" s="204">
        <f t="shared" si="73"/>
        <v>-0.1954022988505747</v>
      </c>
      <c r="BP16" s="204">
        <f t="shared" si="73"/>
        <v>-0.17307692307692313</v>
      </c>
      <c r="BQ16" s="204">
        <f t="shared" si="73"/>
        <v>-8.4656084656084651E-2</v>
      </c>
      <c r="BR16" s="204">
        <f t="shared" si="73"/>
        <v>-3.5714285714285698E-2</v>
      </c>
      <c r="BS16" s="204">
        <f t="shared" si="73"/>
        <v>9.2857142857142749E-2</v>
      </c>
      <c r="BT16" s="204">
        <f t="shared" si="73"/>
        <v>0.20930232558139528</v>
      </c>
      <c r="BU16" s="204">
        <f t="shared" si="73"/>
        <v>5.2023121387283267E-2</v>
      </c>
      <c r="BV16" s="204">
        <f t="shared" si="73"/>
        <v>0.32804232804232814</v>
      </c>
      <c r="BW16" s="204">
        <f t="shared" si="73"/>
        <v>0.20261437908496727</v>
      </c>
      <c r="BX16" s="204">
        <f t="shared" si="73"/>
        <v>0.1858974358974359</v>
      </c>
      <c r="BY16" s="204">
        <f t="shared" si="73"/>
        <v>0.36263736263736268</v>
      </c>
      <c r="BZ16" s="204">
        <f t="shared" si="73"/>
        <v>0.26693227091633465</v>
      </c>
      <c r="CA16" s="204">
        <f t="shared" si="73"/>
        <v>3.2608695652173836E-2</v>
      </c>
      <c r="CB16" s="204">
        <f t="shared" si="73"/>
        <v>0.36216216216216224</v>
      </c>
      <c r="CC16" s="204">
        <f t="shared" si="73"/>
        <v>0.25806451612903225</v>
      </c>
      <c r="CD16" s="204">
        <f t="shared" si="73"/>
        <v>0.16981132075471694</v>
      </c>
      <c r="CE16" s="204">
        <f t="shared" si="73"/>
        <v>3.1578947368421151E-2</v>
      </c>
      <c r="CF16" s="204">
        <f t="shared" si="73"/>
        <v>4.3650793650793718E-2</v>
      </c>
      <c r="CG16" s="204">
        <f t="shared" si="73"/>
        <v>-6.7307692307692291E-2</v>
      </c>
      <c r="CH16" s="204">
        <f t="shared" si="73"/>
        <v>-5.6451612903225756E-2</v>
      </c>
      <c r="CI16" s="204">
        <f t="shared" si="73"/>
        <v>0.11224489795918369</v>
      </c>
      <c r="CJ16" s="204">
        <f t="shared" si="73"/>
        <v>0.209125475285171</v>
      </c>
      <c r="CK16" s="204">
        <f t="shared" si="76"/>
        <v>0.27491408934707895</v>
      </c>
      <c r="CL16" s="204">
        <f t="shared" si="76"/>
        <v>0.29629629629629628</v>
      </c>
      <c r="CM16" s="205">
        <f t="shared" si="74"/>
        <v>0.29629629629629628</v>
      </c>
      <c r="CN16" s="205">
        <f t="shared" si="74"/>
        <v>0.29629629629629628</v>
      </c>
      <c r="CO16" s="205">
        <f t="shared" si="74"/>
        <v>0.29629629629629628</v>
      </c>
      <c r="CP16" s="205">
        <f t="shared" si="74"/>
        <v>0.29629629629629628</v>
      </c>
      <c r="CQ16" s="205">
        <v>0.1</v>
      </c>
      <c r="CR16" s="205">
        <f t="shared" si="74"/>
        <v>0.1</v>
      </c>
      <c r="CS16" s="205">
        <f t="shared" si="74"/>
        <v>0.1</v>
      </c>
      <c r="CT16" s="205">
        <f t="shared" si="74"/>
        <v>0.1</v>
      </c>
      <c r="CU16" s="205">
        <v>0.05</v>
      </c>
      <c r="CV16" s="205">
        <f t="shared" si="74"/>
        <v>0.05</v>
      </c>
      <c r="CW16" s="205">
        <f t="shared" si="74"/>
        <v>0.05</v>
      </c>
      <c r="CX16" s="205">
        <f t="shared" si="74"/>
        <v>0.05</v>
      </c>
      <c r="CY16" s="205">
        <f t="shared" si="74"/>
        <v>0.05</v>
      </c>
      <c r="CZ16" s="205">
        <f t="shared" si="74"/>
        <v>0.05</v>
      </c>
      <c r="DA16" s="205">
        <f t="shared" si="74"/>
        <v>0.05</v>
      </c>
      <c r="DB16" s="205">
        <f t="shared" si="74"/>
        <v>0.05</v>
      </c>
      <c r="DE16" s="203"/>
      <c r="DF16" s="202">
        <v>0.15</v>
      </c>
    </row>
    <row r="17" spans="1:110" s="202" customFormat="1" x14ac:dyDescent="0.2">
      <c r="A17" s="199" t="s">
        <v>535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4">
        <f t="shared" si="72"/>
        <v>8.7682672233820425E-2</v>
      </c>
      <c r="T17" s="204">
        <f t="shared" si="72"/>
        <v>0.31669865642994233</v>
      </c>
      <c r="U17" s="204">
        <f t="shared" si="72"/>
        <v>0.12390670553935856</v>
      </c>
      <c r="V17" s="204">
        <f t="shared" si="72"/>
        <v>1.437094682230855E-2</v>
      </c>
      <c r="W17" s="204">
        <f t="shared" si="72"/>
        <v>0.12648322422258595</v>
      </c>
      <c r="X17" s="204">
        <f t="shared" si="72"/>
        <v>0.20204313280363229</v>
      </c>
      <c r="Y17" s="204">
        <f t="shared" si="72"/>
        <v>0.40226628895184136</v>
      </c>
      <c r="Z17" s="204">
        <f t="shared" si="72"/>
        <v>0.19999999999999996</v>
      </c>
      <c r="AA17" s="205">
        <f t="shared" si="72"/>
        <v>0.32659932659932656</v>
      </c>
      <c r="AB17" s="205">
        <f t="shared" si="72"/>
        <v>7.9999999999999849E-2</v>
      </c>
      <c r="AC17" s="205">
        <f t="shared" si="72"/>
        <v>8.0000000000000071E-2</v>
      </c>
      <c r="AD17" s="205">
        <f t="shared" si="72"/>
        <v>3.0000000000000027E-2</v>
      </c>
      <c r="AE17" s="205">
        <f t="shared" si="75"/>
        <v>3.0000000000000027E-2</v>
      </c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4">
        <f t="shared" si="73"/>
        <v>6.956521739130439E-2</v>
      </c>
      <c r="BD17" s="204">
        <f t="shared" si="73"/>
        <v>6.2992125984252079E-2</v>
      </c>
      <c r="BE17" s="204">
        <f t="shared" si="73"/>
        <v>9.1666666666666563E-2</v>
      </c>
      <c r="BF17" s="204">
        <f t="shared" si="73"/>
        <v>0.12820512820512819</v>
      </c>
      <c r="BG17" s="204">
        <f t="shared" si="73"/>
        <v>0.36585365853658547</v>
      </c>
      <c r="BH17" s="204">
        <f t="shared" si="73"/>
        <v>0.23703703703703694</v>
      </c>
      <c r="BI17" s="204">
        <f t="shared" si="73"/>
        <v>0.30534351145038174</v>
      </c>
      <c r="BJ17" s="204">
        <f t="shared" si="73"/>
        <v>0.36363636363636354</v>
      </c>
      <c r="BK17" s="204">
        <f t="shared" si="73"/>
        <v>6.5476190476190466E-2</v>
      </c>
      <c r="BL17" s="204">
        <f t="shared" si="73"/>
        <v>0.17964071856287434</v>
      </c>
      <c r="BM17" s="204">
        <f t="shared" si="73"/>
        <v>0.14035087719298245</v>
      </c>
      <c r="BN17" s="204">
        <f t="shared" si="73"/>
        <v>0.11111111111111116</v>
      </c>
      <c r="BO17" s="204">
        <f t="shared" si="73"/>
        <v>9.5418994413407399E-2</v>
      </c>
      <c r="BP17" s="204">
        <f t="shared" si="73"/>
        <v>1.5228426395939021E-2</v>
      </c>
      <c r="BQ17" s="204">
        <f t="shared" si="73"/>
        <v>-2.0512820512820551E-2</v>
      </c>
      <c r="BR17" s="204">
        <f t="shared" si="73"/>
        <v>-2.5000000000000022E-2</v>
      </c>
      <c r="BS17" s="204">
        <f t="shared" si="73"/>
        <v>0.10669114647082867</v>
      </c>
      <c r="BT17" s="204">
        <f t="shared" si="73"/>
        <v>9.4999999999999973E-2</v>
      </c>
      <c r="BU17" s="204">
        <f t="shared" si="73"/>
        <v>0.18848167539267013</v>
      </c>
      <c r="BV17" s="204">
        <f t="shared" si="73"/>
        <v>0.11794871794871797</v>
      </c>
      <c r="BW17" s="204">
        <f t="shared" si="73"/>
        <v>0.16129032258064524</v>
      </c>
      <c r="BX17" s="204">
        <f t="shared" si="73"/>
        <v>9.1324200913242004E-2</v>
      </c>
      <c r="BY17" s="204">
        <f t="shared" si="73"/>
        <v>0.2819383259911894</v>
      </c>
      <c r="BZ17" s="204">
        <f t="shared" si="73"/>
        <v>0.27064220183486243</v>
      </c>
      <c r="CA17" s="204">
        <f t="shared" si="73"/>
        <v>0.16269841269841279</v>
      </c>
      <c r="CB17" s="204">
        <f t="shared" si="73"/>
        <v>0.17154811715481166</v>
      </c>
      <c r="CC17" s="204">
        <f t="shared" si="73"/>
        <v>0.58419243986254288</v>
      </c>
      <c r="CD17" s="204">
        <f t="shared" si="73"/>
        <v>0.62815884476534301</v>
      </c>
      <c r="CE17" s="204">
        <f t="shared" si="73"/>
        <v>0.65529010238907848</v>
      </c>
      <c r="CF17" s="204">
        <f t="shared" si="73"/>
        <v>0.56428571428571428</v>
      </c>
      <c r="CG17" s="204">
        <f t="shared" si="73"/>
        <v>-0.16702819956616055</v>
      </c>
      <c r="CH17" s="204">
        <f t="shared" si="73"/>
        <v>5.3215077605321515E-2</v>
      </c>
      <c r="CI17" s="204">
        <f t="shared" si="73"/>
        <v>9.8969072164948546E-2</v>
      </c>
      <c r="CJ17" s="204">
        <f t="shared" si="73"/>
        <v>0.19634703196347036</v>
      </c>
      <c r="CK17" s="204">
        <f t="shared" si="76"/>
        <v>0.32552083333333326</v>
      </c>
      <c r="CL17" s="204">
        <f t="shared" si="76"/>
        <v>0.67999999999999994</v>
      </c>
      <c r="CM17" s="205">
        <v>0.08</v>
      </c>
      <c r="CN17" s="205">
        <f t="shared" si="74"/>
        <v>0.08</v>
      </c>
      <c r="CO17" s="205">
        <f t="shared" si="74"/>
        <v>0.08</v>
      </c>
      <c r="CP17" s="205">
        <f t="shared" si="74"/>
        <v>0.08</v>
      </c>
      <c r="CQ17" s="205">
        <f t="shared" si="74"/>
        <v>0.08</v>
      </c>
      <c r="CR17" s="205">
        <f t="shared" si="74"/>
        <v>0.08</v>
      </c>
      <c r="CS17" s="205">
        <f t="shared" si="74"/>
        <v>0.08</v>
      </c>
      <c r="CT17" s="205">
        <f t="shared" si="74"/>
        <v>0.08</v>
      </c>
      <c r="CU17" s="205">
        <v>0.03</v>
      </c>
      <c r="CV17" s="205">
        <f t="shared" si="74"/>
        <v>0.03</v>
      </c>
      <c r="CW17" s="205">
        <f t="shared" si="74"/>
        <v>0.03</v>
      </c>
      <c r="CX17" s="205">
        <f t="shared" si="74"/>
        <v>0.03</v>
      </c>
      <c r="CY17" s="205">
        <f t="shared" si="74"/>
        <v>0.03</v>
      </c>
      <c r="CZ17" s="205">
        <f t="shared" si="74"/>
        <v>0.03</v>
      </c>
      <c r="DA17" s="205">
        <f t="shared" si="74"/>
        <v>0.03</v>
      </c>
      <c r="DB17" s="205">
        <f t="shared" si="74"/>
        <v>0.03</v>
      </c>
      <c r="DE17" s="203"/>
      <c r="DF17" s="202">
        <v>0.32552083333333326</v>
      </c>
    </row>
    <row r="18" spans="1:110" s="202" customFormat="1" x14ac:dyDescent="0.2">
      <c r="A18" s="199" t="s">
        <v>536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4">
        <f t="shared" si="72"/>
        <v>0.19289340101522834</v>
      </c>
      <c r="T18" s="204">
        <f t="shared" si="72"/>
        <v>0.376595744680851</v>
      </c>
      <c r="U18" s="204">
        <f t="shared" si="72"/>
        <v>8.7171561051004653E-2</v>
      </c>
      <c r="V18" s="204">
        <f t="shared" si="72"/>
        <v>6.3406312197895831E-2</v>
      </c>
      <c r="W18" s="204">
        <f t="shared" si="72"/>
        <v>0.14598930481283423</v>
      </c>
      <c r="X18" s="204">
        <f t="shared" si="72"/>
        <v>0.16308912739150716</v>
      </c>
      <c r="Y18" s="204">
        <f t="shared" si="72"/>
        <v>0.13640922768304908</v>
      </c>
      <c r="Z18" s="204">
        <f t="shared" si="72"/>
        <v>0.12850838481906446</v>
      </c>
      <c r="AA18" s="205">
        <f t="shared" si="72"/>
        <v>0.19568277803847955</v>
      </c>
      <c r="AB18" s="205">
        <f t="shared" si="72"/>
        <v>0.19999999999999996</v>
      </c>
      <c r="AC18" s="205">
        <f t="shared" si="72"/>
        <v>0.19999999999999996</v>
      </c>
      <c r="AD18" s="205">
        <f t="shared" si="72"/>
        <v>4.5099097331240179E-2</v>
      </c>
      <c r="AE18" s="205">
        <f t="shared" si="75"/>
        <v>1.2500000000000178E-2</v>
      </c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4">
        <f t="shared" si="73"/>
        <v>-7.9365079365079416E-2</v>
      </c>
      <c r="BD18" s="204">
        <f t="shared" si="73"/>
        <v>0.22379032258064524</v>
      </c>
      <c r="BE18" s="204">
        <f t="shared" si="73"/>
        <v>0.16500994035785288</v>
      </c>
      <c r="BF18" s="204">
        <f t="shared" si="73"/>
        <v>0.48394004282655256</v>
      </c>
      <c r="BG18" s="204">
        <f t="shared" si="73"/>
        <v>0.7887931034482758</v>
      </c>
      <c r="BH18" s="204">
        <f t="shared" si="73"/>
        <v>0.34431630971993421</v>
      </c>
      <c r="BI18" s="204">
        <f t="shared" si="73"/>
        <v>0.42491467576791808</v>
      </c>
      <c r="BJ18" s="204">
        <f t="shared" si="73"/>
        <v>8.8023088023088114E-2</v>
      </c>
      <c r="BK18" s="204">
        <f t="shared" si="73"/>
        <v>9.2771084337349485E-2</v>
      </c>
      <c r="BL18" s="204">
        <f t="shared" si="73"/>
        <v>0.10171568627450989</v>
      </c>
      <c r="BM18" s="204">
        <f t="shared" si="73"/>
        <v>4.3113772455089849E-2</v>
      </c>
      <c r="BN18" s="204">
        <f t="shared" si="73"/>
        <v>0.11405835543766574</v>
      </c>
      <c r="BO18" s="204">
        <f t="shared" si="73"/>
        <v>1.9845644983461863E-2</v>
      </c>
      <c r="BP18" s="204">
        <f t="shared" si="73"/>
        <v>7.1190211345939947E-2</v>
      </c>
      <c r="BQ18" s="204">
        <f t="shared" si="73"/>
        <v>6.77382319173363E-2</v>
      </c>
      <c r="BR18" s="204">
        <f t="shared" si="73"/>
        <v>9.7619047619047716E-2</v>
      </c>
      <c r="BS18" s="204">
        <f t="shared" si="73"/>
        <v>0.18162162162162154</v>
      </c>
      <c r="BT18" s="204">
        <f t="shared" si="73"/>
        <v>0.12876427829698867</v>
      </c>
      <c r="BU18" s="204">
        <f t="shared" si="73"/>
        <v>0.15268817204301066</v>
      </c>
      <c r="BV18" s="204">
        <f t="shared" si="73"/>
        <v>0.12147505422993499</v>
      </c>
      <c r="BW18" s="204">
        <f t="shared" si="73"/>
        <v>0.13906678865507782</v>
      </c>
      <c r="BX18" s="204">
        <f t="shared" si="73"/>
        <v>0.12603495860165603</v>
      </c>
      <c r="BY18" s="204">
        <f t="shared" si="73"/>
        <v>0.17444029850746268</v>
      </c>
      <c r="BZ18" s="204">
        <f t="shared" si="73"/>
        <v>0.21566731141199225</v>
      </c>
      <c r="CA18" s="204">
        <f t="shared" si="73"/>
        <v>0.14538152610441757</v>
      </c>
      <c r="CB18" s="204">
        <f t="shared" si="73"/>
        <v>0.1797385620915033</v>
      </c>
      <c r="CC18" s="204">
        <f t="shared" si="73"/>
        <v>0.12390786338363791</v>
      </c>
      <c r="CD18" s="204">
        <f t="shared" si="73"/>
        <v>9.7852028639618061E-2</v>
      </c>
      <c r="CE18" s="204">
        <f t="shared" si="73"/>
        <v>0.14656381486676007</v>
      </c>
      <c r="CF18" s="204">
        <f t="shared" si="73"/>
        <v>0.1301939058171746</v>
      </c>
      <c r="CG18" s="204">
        <f t="shared" si="73"/>
        <v>0.11731448763250873</v>
      </c>
      <c r="CH18" s="204">
        <f t="shared" si="73"/>
        <v>0.11956521739130443</v>
      </c>
      <c r="CI18" s="204">
        <f t="shared" si="73"/>
        <v>0.107645259938838</v>
      </c>
      <c r="CJ18" s="204">
        <f t="shared" si="73"/>
        <v>0.11519607843137258</v>
      </c>
      <c r="CK18" s="204">
        <f t="shared" si="76"/>
        <v>0.13725490196078427</v>
      </c>
      <c r="CL18" s="204">
        <f t="shared" si="76"/>
        <v>0.43365695792880254</v>
      </c>
      <c r="CM18" s="205">
        <v>0.2</v>
      </c>
      <c r="CN18" s="205">
        <f t="shared" si="74"/>
        <v>0.2</v>
      </c>
      <c r="CO18" s="205">
        <f t="shared" si="74"/>
        <v>0.2</v>
      </c>
      <c r="CP18" s="205">
        <f t="shared" si="74"/>
        <v>0.2</v>
      </c>
      <c r="CQ18" s="205">
        <f t="shared" si="74"/>
        <v>0.2</v>
      </c>
      <c r="CR18" s="205">
        <f t="shared" si="74"/>
        <v>0.2</v>
      </c>
      <c r="CS18" s="205">
        <f t="shared" si="74"/>
        <v>0.2</v>
      </c>
      <c r="CT18" s="205">
        <f t="shared" si="74"/>
        <v>0.2</v>
      </c>
      <c r="CU18" s="205">
        <f>+CT18*0.5</f>
        <v>0.1</v>
      </c>
      <c r="CV18" s="205">
        <f t="shared" ref="CV18:CX18" si="78">+CU18*0.5</f>
        <v>0.05</v>
      </c>
      <c r="CW18" s="205">
        <f t="shared" si="78"/>
        <v>2.5000000000000001E-2</v>
      </c>
      <c r="CX18" s="205">
        <f t="shared" si="78"/>
        <v>1.2500000000000001E-2</v>
      </c>
      <c r="CY18" s="205">
        <f t="shared" si="74"/>
        <v>1.2500000000000001E-2</v>
      </c>
      <c r="CZ18" s="205">
        <f t="shared" si="74"/>
        <v>1.2500000000000001E-2</v>
      </c>
      <c r="DA18" s="205">
        <f t="shared" si="74"/>
        <v>1.2500000000000001E-2</v>
      </c>
      <c r="DB18" s="205">
        <f t="shared" si="74"/>
        <v>1.2500000000000001E-2</v>
      </c>
      <c r="DE18" s="203"/>
      <c r="DF18" s="202">
        <v>0.13725490196078427</v>
      </c>
    </row>
    <row r="19" spans="1:110" s="202" customFormat="1" x14ac:dyDescent="0.2">
      <c r="A19" s="199" t="s">
        <v>537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4">
        <f t="shared" si="72"/>
        <v>-0.35090909090909095</v>
      </c>
      <c r="T19" s="204">
        <f t="shared" si="72"/>
        <v>0.30252100840336138</v>
      </c>
      <c r="U19" s="204">
        <f t="shared" si="72"/>
        <v>4.3010752688172893E-3</v>
      </c>
      <c r="V19" s="204">
        <f t="shared" si="72"/>
        <v>0.18184154175588874</v>
      </c>
      <c r="W19" s="204">
        <f t="shared" si="72"/>
        <v>2.9134657196695057E-2</v>
      </c>
      <c r="X19" s="204">
        <f t="shared" si="72"/>
        <v>-2.9929577464788748E-2</v>
      </c>
      <c r="Y19" s="204"/>
      <c r="Z19" s="204"/>
      <c r="AA19" s="205"/>
      <c r="AB19" s="205"/>
      <c r="AC19" s="205"/>
      <c r="AD19" s="205"/>
      <c r="AE19" s="205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4">
        <f t="shared" si="73"/>
        <v>-0.16666666666666663</v>
      </c>
      <c r="BD19" s="204">
        <f t="shared" si="73"/>
        <v>-0.43971631205673756</v>
      </c>
      <c r="BE19" s="204">
        <f t="shared" si="73"/>
        <v>-0.69387755102040816</v>
      </c>
      <c r="BF19" s="204">
        <f t="shared" si="73"/>
        <v>-4.2372881355932202E-2</v>
      </c>
      <c r="BG19" s="204">
        <f t="shared" si="73"/>
        <v>0</v>
      </c>
      <c r="BH19" s="204">
        <f t="shared" si="73"/>
        <v>0.518987341772152</v>
      </c>
      <c r="BI19" s="204">
        <f t="shared" si="73"/>
        <v>1.6666666666666665</v>
      </c>
      <c r="BJ19" s="204">
        <f t="shared" si="73"/>
        <v>-7.0796460176991149E-2</v>
      </c>
      <c r="BK19" s="204">
        <f t="shared" si="73"/>
        <v>3.3333333333333437E-2</v>
      </c>
      <c r="BL19" s="204">
        <f t="shared" si="73"/>
        <v>2.4999999999999911E-2</v>
      </c>
      <c r="BM19" s="204">
        <f t="shared" si="73"/>
        <v>-7.4999999999999956E-2</v>
      </c>
      <c r="BN19" s="204">
        <f t="shared" si="73"/>
        <v>3.8095238095238182E-2</v>
      </c>
      <c r="BO19" s="204">
        <f t="shared" si="73"/>
        <v>0.4187096774193555</v>
      </c>
      <c r="BP19" s="204">
        <f t="shared" si="73"/>
        <v>0.11382113821138207</v>
      </c>
      <c r="BQ19" s="204">
        <f t="shared" si="73"/>
        <v>0.29729729729729737</v>
      </c>
      <c r="BR19" s="204">
        <f t="shared" si="73"/>
        <v>-0.12844036697247707</v>
      </c>
      <c r="BS19" s="204">
        <f t="shared" si="73"/>
        <v>-0.17576170986812223</v>
      </c>
      <c r="BT19" s="204">
        <f t="shared" si="73"/>
        <v>2.1897810218978186E-2</v>
      </c>
      <c r="BU19" s="204">
        <f t="shared" si="73"/>
        <v>7.638888888888884E-2</v>
      </c>
      <c r="BV19" s="204">
        <f t="shared" si="73"/>
        <v>0.34736842105263155</v>
      </c>
      <c r="BW19" s="204">
        <f t="shared" si="73"/>
        <v>5.5172413793103559E-2</v>
      </c>
      <c r="BX19" s="204">
        <f t="shared" si="73"/>
        <v>-6.4285714285714279E-2</v>
      </c>
      <c r="BY19" s="204">
        <f t="shared" si="73"/>
        <v>3.8709677419354938E-2</v>
      </c>
      <c r="BZ19" s="204">
        <f t="shared" si="73"/>
        <v>-0.171875</v>
      </c>
      <c r="CA19" s="204">
        <f t="shared" si="73"/>
        <v>-0.14379084967320266</v>
      </c>
      <c r="CB19" s="204">
        <f t="shared" si="73"/>
        <v>0.29770992366412208</v>
      </c>
      <c r="CC19" s="204"/>
      <c r="CD19" s="204"/>
      <c r="CE19" s="204"/>
      <c r="CF19" s="204"/>
      <c r="CG19" s="204"/>
      <c r="CH19" s="204"/>
      <c r="CI19" s="204"/>
      <c r="CJ19" s="204"/>
      <c r="CK19" s="204"/>
      <c r="CL19" s="204"/>
      <c r="CM19" s="201"/>
      <c r="CN19" s="201"/>
      <c r="CO19" s="201"/>
      <c r="CP19" s="201"/>
      <c r="CQ19" s="201"/>
      <c r="CR19" s="201"/>
      <c r="CS19" s="201"/>
      <c r="CT19" s="201"/>
      <c r="CU19" s="201"/>
      <c r="CV19" s="201"/>
      <c r="CW19" s="201"/>
      <c r="CX19" s="201"/>
      <c r="CY19" s="201"/>
      <c r="CZ19" s="201"/>
      <c r="DA19" s="201"/>
      <c r="DB19" s="201"/>
      <c r="DE19" s="203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06" customFormat="1" x14ac:dyDescent="0.2">
      <c r="A21" s="151" t="s">
        <v>500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5"/>
      <c r="AB21" s="105"/>
      <c r="AC21" s="105"/>
      <c r="AD21" s="105"/>
      <c r="AE21" s="105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0" s="106" customFormat="1" x14ac:dyDescent="0.2">
      <c r="A22" s="151" t="s">
        <v>485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05"/>
      <c r="AC22" s="105"/>
      <c r="AD22" s="105"/>
      <c r="AE22" s="105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60"/>
      <c r="CK22" s="160"/>
      <c r="CL22" s="160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25" customFormat="1" outlineLevel="1" x14ac:dyDescent="0.2">
      <c r="A23" s="25" t="s">
        <v>430</v>
      </c>
      <c r="B23" s="25">
        <f>'Annual Raw'!C6</f>
        <v>405.85</v>
      </c>
      <c r="C23" s="25">
        <f>'Annual Raw'!D6</f>
        <v>444.5752</v>
      </c>
      <c r="D23" s="25">
        <f>'Annual Raw'!E6</f>
        <v>450.9452</v>
      </c>
      <c r="E23" s="25">
        <f>'Annual Raw'!F6</f>
        <v>509.7013</v>
      </c>
      <c r="F23" s="25">
        <f>'Annual Raw'!G6</f>
        <v>597.33439999999996</v>
      </c>
      <c r="G23" s="25">
        <f>'Annual Raw'!H6</f>
        <v>1031.4306999999999</v>
      </c>
      <c r="H23" s="25">
        <f>'Annual Raw'!I6</f>
        <v>1327.0316</v>
      </c>
      <c r="I23" s="25">
        <f>'Annual Raw'!J6</f>
        <v>1378.8572999999999</v>
      </c>
      <c r="J23" s="25">
        <f>'Annual Raw'!K6</f>
        <v>1661.0372</v>
      </c>
      <c r="K23" s="25">
        <f>'Annual Raw'!L6</f>
        <v>1950.4135000000001</v>
      </c>
      <c r="L23" s="25">
        <f>'Annual Raw'!M6</f>
        <v>2201.0567000000001</v>
      </c>
      <c r="M23" s="25">
        <f>'Annual Raw'!N6</f>
        <v>2700.72</v>
      </c>
      <c r="N23" s="25">
        <f>'Annual Raw'!O6</f>
        <v>3218.24</v>
      </c>
      <c r="O23" s="25">
        <f>'Annual Raw'!P6</f>
        <v>4192.1000000000004</v>
      </c>
      <c r="P23" s="25">
        <f>'Annual Raw'!Q6</f>
        <v>4661.33</v>
      </c>
      <c r="Q23" s="25">
        <f>'Annual Raw'!R6</f>
        <v>6686.93</v>
      </c>
      <c r="R23" s="25">
        <f>'Annual Raw'!S6</f>
        <v>5856.92</v>
      </c>
      <c r="S23" s="25">
        <f>'Annual Raw'!T6</f>
        <v>11255.81</v>
      </c>
      <c r="T23" s="25">
        <f>'Annual Raw'!U6</f>
        <v>14527.33</v>
      </c>
      <c r="U23" s="25">
        <f>'Annual Raw'!V6</f>
        <v>14953.48</v>
      </c>
      <c r="V23" s="25">
        <f>'Annual Raw'!W6</f>
        <v>14878.35</v>
      </c>
      <c r="W23" s="25">
        <f>'Annual Raw'!X6</f>
        <v>15211.13</v>
      </c>
      <c r="X23" s="25">
        <f>'Annual Raw'!Y6</f>
        <v>16320.65</v>
      </c>
      <c r="Y23" s="25">
        <f>'Annual Raw'!Z6</f>
        <v>16705.39</v>
      </c>
      <c r="Z23" s="25">
        <f>'Annual Raw'!AA6</f>
        <v>16853.82</v>
      </c>
      <c r="AA23" s="25">
        <f>'Annual Raw'!AB6</f>
        <v>19680.7</v>
      </c>
      <c r="AB23" s="17">
        <f>+SUM(CM23:CP23)</f>
        <v>16587.809330389995</v>
      </c>
      <c r="AC23" s="17">
        <f>+SUM(CQ23:CT23)</f>
        <v>19424.581157582754</v>
      </c>
      <c r="AD23" s="17">
        <f>+SUM(CU23:CX23)</f>
        <v>20259.198423461894</v>
      </c>
      <c r="AE23" s="17">
        <f>+SUM(CY23:DB23)</f>
        <v>20755.620753874988</v>
      </c>
      <c r="AI23" s="25">
        <f>'QTR Raw'!C6+'QTR Raw'!C8</f>
        <v>767</v>
      </c>
      <c r="AJ23" s="25">
        <f>'QTR Raw'!D6+'QTR Raw'!D8</f>
        <v>779</v>
      </c>
      <c r="AK23" s="25">
        <f>'QTR Raw'!E6+'QTR Raw'!E8</f>
        <v>797</v>
      </c>
      <c r="AL23" s="25">
        <f>'QTR Raw'!F6+'QTR Raw'!F8</f>
        <v>872</v>
      </c>
      <c r="AM23" s="25">
        <f>'QTR Raw'!G6+'QTR Raw'!G8</f>
        <v>972</v>
      </c>
      <c r="AN23" s="25">
        <f>'QTR Raw'!H6+'QTR Raw'!H8</f>
        <v>972</v>
      </c>
      <c r="AO23" s="25">
        <f>'QTR Raw'!I6+'QTR Raw'!I8</f>
        <v>1015</v>
      </c>
      <c r="AP23" s="25">
        <f>'QTR Raw'!J6+'QTR Raw'!J8</f>
        <v>1225</v>
      </c>
      <c r="AQ23" s="25">
        <f>'QTR Raw'!K6+'QTR Raw'!K8</f>
        <v>1114</v>
      </c>
      <c r="AR23" s="25">
        <f>'QTR Raw'!L6+'QTR Raw'!L8</f>
        <v>1217</v>
      </c>
      <c r="AS23" s="25">
        <f>'QTR Raw'!M6+'QTR Raw'!M8</f>
        <v>1168</v>
      </c>
      <c r="AT23" s="25">
        <f>'QTR Raw'!N6+'QTR Raw'!N8</f>
        <v>1154</v>
      </c>
      <c r="AU23" s="25">
        <f>'QTR Raw'!O6+'QTR Raw'!O8</f>
        <v>1947</v>
      </c>
      <c r="AV23" s="25">
        <f>'QTR Raw'!P6+'QTR Raw'!P8</f>
        <v>1693</v>
      </c>
      <c r="AW23" s="25">
        <f>'QTR Raw'!Q6+'QTR Raw'!Q8</f>
        <v>1542</v>
      </c>
      <c r="AX23" s="25">
        <f>'QTR Raw'!R6+'QTR Raw'!R8</f>
        <v>1503</v>
      </c>
      <c r="AY23" s="25">
        <f>'QTR Raw'!S6+'QTR Raw'!S8</f>
        <v>1551</v>
      </c>
      <c r="AZ23" s="25">
        <f>'QTR Raw'!T6+'QTR Raw'!T8</f>
        <v>1429</v>
      </c>
      <c r="BA23" s="25">
        <f>'QTR Raw'!U6+'QTR Raw'!U8</f>
        <v>1443</v>
      </c>
      <c r="BB23" s="25">
        <f>'QTR Raw'!V6+'QTR Raw'!V8</f>
        <v>1434</v>
      </c>
      <c r="BC23" s="25">
        <f>'QTR Raw'!W6+'QTR Raw'!W8</f>
        <v>1362</v>
      </c>
      <c r="BD23" s="25">
        <f>'QTR Raw'!X6+'QTR Raw'!X8</f>
        <v>1417</v>
      </c>
      <c r="BE23" s="25">
        <f>'QTR Raw'!Y6+'QTR Raw'!Y8</f>
        <v>1463</v>
      </c>
      <c r="BF23" s="25">
        <f>'QTR Raw'!Z6+'QTR Raw'!Z8</f>
        <v>1708</v>
      </c>
      <c r="BG23" s="25">
        <f>'QTR Raw'!AA6+'QTR Raw'!AA8</f>
        <v>1872</v>
      </c>
      <c r="BH23" s="25">
        <f>'QTR Raw'!AB6+'QTR Raw'!AB8</f>
        <v>1894</v>
      </c>
      <c r="BI23" s="25">
        <f>'QTR Raw'!AC6+'QTR Raw'!AC8</f>
        <v>2051</v>
      </c>
      <c r="BJ23" s="25">
        <f>'QTR Raw'!AD6+'QTR Raw'!AD8</f>
        <v>1856</v>
      </c>
      <c r="BK23" s="25">
        <f>'QTR Raw'!AE6+'QTR Raw'!AE8</f>
        <v>2022</v>
      </c>
      <c r="BL23" s="25">
        <f>'QTR Raw'!AF6+'QTR Raw'!AF8</f>
        <v>2005</v>
      </c>
      <c r="BM23" s="25">
        <f>'QTR Raw'!AG6+'QTR Raw'!AG8</f>
        <v>1966</v>
      </c>
      <c r="BN23" s="25">
        <f>'QTR Raw'!AH6+'QTR Raw'!AH8</f>
        <v>1946</v>
      </c>
      <c r="BO23" s="25">
        <f>'QTR Raw'!AI6+'QTR Raw'!AI8</f>
        <v>2056</v>
      </c>
      <c r="BP23" s="25">
        <f>'QTR Raw'!AJ6+'QTR Raw'!AJ8</f>
        <v>2017</v>
      </c>
      <c r="BQ23" s="25">
        <f>'QTR Raw'!AK6+'QTR Raw'!AK8</f>
        <v>1995</v>
      </c>
      <c r="BR23" s="25">
        <f>'QTR Raw'!AL6+'QTR Raw'!AL8</f>
        <v>1937</v>
      </c>
      <c r="BS23" s="25">
        <f>'QTR Raw'!AM6+'QTR Raw'!AM8</f>
        <v>2134</v>
      </c>
      <c r="BT23" s="25">
        <f>'QTR Raw'!AN6+'QTR Raw'!AN8</f>
        <v>2137</v>
      </c>
      <c r="BU23" s="25">
        <f>'QTR Raw'!AO6+'QTR Raw'!AO8</f>
        <v>2108</v>
      </c>
      <c r="BV23" s="25">
        <f>'QTR Raw'!AP6+'QTR Raw'!AP8</f>
        <v>2131</v>
      </c>
      <c r="BW23" s="25">
        <f>'QTR Raw'!AQ6+'QTR Raw'!AQ8</f>
        <v>2347</v>
      </c>
      <c r="BX23" s="25">
        <f>'QTR Raw'!AR6+'QTR Raw'!AR8</f>
        <v>2291</v>
      </c>
      <c r="BY23" s="25">
        <f>'QTR Raw'!AS6+'QTR Raw'!AS8</f>
        <v>2491</v>
      </c>
      <c r="BZ23" s="25">
        <f>'QTR Raw'!AT6+'QTR Raw'!AT8</f>
        <v>2491</v>
      </c>
      <c r="CA23" s="25">
        <f>'QTR Raw'!AU6+'QTR Raw'!AU8</f>
        <v>2591</v>
      </c>
      <c r="CB23" s="25">
        <f>'QTR Raw'!AV6+'QTR Raw'!AV8</f>
        <v>2660</v>
      </c>
      <c r="CC23" s="25">
        <f>'QTR Raw'!AW6+'QTR Raw'!AW8</f>
        <v>2732</v>
      </c>
      <c r="CD23" s="25">
        <f>'QTR Raw'!AX6+'QTR Raw'!AX8</f>
        <v>2745</v>
      </c>
      <c r="CE23" s="25">
        <f>'QTR Raw'!AY6+'QTR Raw'!AY8</f>
        <v>2859</v>
      </c>
      <c r="CF23" s="25">
        <f>'QTR Raw'!AZ6+'QTR Raw'!AZ8</f>
        <v>2889</v>
      </c>
      <c r="CG23" s="25">
        <f>'QTR Raw'!BA6+'QTR Raw'!BA8</f>
        <v>2809</v>
      </c>
      <c r="CH23" s="25">
        <f>'QTR Raw'!BB6+'QTR Raw'!BB8</f>
        <v>2959</v>
      </c>
      <c r="CI23" s="25">
        <f>'QTR Raw'!BC6+'QTR Raw'!BC8</f>
        <v>3178</v>
      </c>
      <c r="CJ23" s="25">
        <f>'QTR Raw'!BD6+'QTR Raw'!BD8</f>
        <v>3302</v>
      </c>
      <c r="CK23" s="25">
        <f>'QTR Raw'!BE6+'QTR Raw'!BE8</f>
        <v>3303</v>
      </c>
      <c r="CL23" s="25">
        <f>'QTR Raw'!BF6+'QTR Raw'!BF8</f>
        <v>4197</v>
      </c>
      <c r="CM23" s="17">
        <f t="shared" ref="CM23:DB23" si="79">+CM11</f>
        <v>3758.7001422614667</v>
      </c>
      <c r="CN23" s="17">
        <f t="shared" si="79"/>
        <v>3922.1862619573217</v>
      </c>
      <c r="CO23" s="17">
        <f t="shared" si="79"/>
        <v>3928.359833210694</v>
      </c>
      <c r="CP23" s="17">
        <f t="shared" si="79"/>
        <v>4978.5630929605104</v>
      </c>
      <c r="CQ23" s="17">
        <f t="shared" si="79"/>
        <v>4409.5277196295801</v>
      </c>
      <c r="CR23" s="17">
        <f t="shared" si="79"/>
        <v>4598.9327621103366</v>
      </c>
      <c r="CS23" s="17">
        <f t="shared" si="79"/>
        <v>4598.9229638323204</v>
      </c>
      <c r="CT23" s="17">
        <f t="shared" si="79"/>
        <v>5817.1977120105194</v>
      </c>
      <c r="CU23" s="17">
        <f t="shared" si="79"/>
        <v>4741.1708816110595</v>
      </c>
      <c r="CV23" s="17">
        <f t="shared" si="79"/>
        <v>4809.974378215853</v>
      </c>
      <c r="CW23" s="17">
        <f t="shared" si="79"/>
        <v>4745.5639600239365</v>
      </c>
      <c r="CX23" s="17">
        <f t="shared" si="79"/>
        <v>5962.489203611045</v>
      </c>
      <c r="CY23" s="17">
        <f t="shared" si="79"/>
        <v>4850.8540449716129</v>
      </c>
      <c r="CZ23" s="17">
        <f t="shared" si="79"/>
        <v>4927.8069244666458</v>
      </c>
      <c r="DA23" s="17">
        <f t="shared" si="79"/>
        <v>4864.1883914651335</v>
      </c>
      <c r="DB23" s="17">
        <f t="shared" si="79"/>
        <v>6112.7713929715974</v>
      </c>
      <c r="DE23" s="119"/>
      <c r="DF23" s="25">
        <v>3436.8832761003332</v>
      </c>
    </row>
    <row r="24" spans="1:110" s="92" customFormat="1" outlineLevel="1" x14ac:dyDescent="0.2">
      <c r="A24" s="92" t="s">
        <v>109</v>
      </c>
      <c r="B24" s="92">
        <f>'Annual Raw'!C7+'Annual Raw'!C8+'Annual Raw'!C9</f>
        <v>40.136299999999999</v>
      </c>
      <c r="C24" s="92">
        <f>'Annual Raw'!D7+'Annual Raw'!D8+'Annual Raw'!D9</f>
        <v>41.900799999999997</v>
      </c>
      <c r="D24" s="92">
        <f>'Annual Raw'!E7+'Annual Raw'!E8+'Annual Raw'!E9</f>
        <v>45.348100000000002</v>
      </c>
      <c r="E24" s="92">
        <f>'Annual Raw'!F7+'Annual Raw'!F8+'Annual Raw'!F9</f>
        <v>50.368099999999998</v>
      </c>
      <c r="F24" s="92">
        <f>'Annual Raw'!G7+'Annual Raw'!G8+'Annual Raw'!G9</f>
        <v>49.581699999999998</v>
      </c>
      <c r="G24" s="92">
        <f>'Annual Raw'!H7+'Annual Raw'!H8+'Annual Raw'!H9</f>
        <v>64.268299999999996</v>
      </c>
      <c r="H24" s="92">
        <f>'Annual Raw'!I7+'Annual Raw'!I8+'Annual Raw'!I9</f>
        <v>28.246200000000002</v>
      </c>
      <c r="I24" s="92">
        <f>'Annual Raw'!J7+'Annual Raw'!J8+'Annual Raw'!J9</f>
        <v>24.009</v>
      </c>
      <c r="J24" s="92">
        <f>'Annual Raw'!K7+'Annual Raw'!K8+'Annual Raw'!K9</f>
        <v>30.3796</v>
      </c>
      <c r="K24" s="92">
        <f>'Annual Raw'!L7+'Annual Raw'!L8+'Annual Raw'!L9</f>
        <v>34.375700000000002</v>
      </c>
      <c r="L24" s="92">
        <f>'Annual Raw'!M7+'Annual Raw'!M8+'Annual Raw'!M9</f>
        <v>3.2641</v>
      </c>
      <c r="M24" s="92">
        <f>'Annual Raw'!N7+'Annual Raw'!N8+'Annual Raw'!N9</f>
        <v>4.8</v>
      </c>
      <c r="N24" s="92">
        <f>'Annual Raw'!O7+'Annual Raw'!O8+'Annual Raw'!O9</f>
        <v>7.1</v>
      </c>
      <c r="O24" s="92">
        <f>'Annual Raw'!P7+'Annual Raw'!P8+'Annual Raw'!P9</f>
        <v>7.38</v>
      </c>
      <c r="P24" s="92">
        <f>'Annual Raw'!Q7+'Annual Raw'!Q8+'Annual Raw'!Q9</f>
        <v>7.88</v>
      </c>
      <c r="Q24" s="92">
        <f>'Annual Raw'!R7+'Annual Raw'!R8+'Annual Raw'!R9</f>
        <v>20.079999999999998</v>
      </c>
      <c r="R24" s="92">
        <f>'Annual Raw'!S7+'Annual Raw'!S8+'Annual Raw'!S9</f>
        <v>41.23</v>
      </c>
      <c r="S24" s="92">
        <f>'Annual Raw'!T7+'Annual Raw'!T8+'Annual Raw'!T9</f>
        <v>5305.98</v>
      </c>
      <c r="T24" s="92">
        <f>'Annual Raw'!U7+'Annual Raw'!U8+'Annual Raw'!U9</f>
        <v>6854.53</v>
      </c>
      <c r="U24" s="92">
        <f>'Annual Raw'!V7+'Annual Raw'!V8+'Annual Raw'!V9</f>
        <v>7014.17</v>
      </c>
      <c r="V24" s="92">
        <f>'Annual Raw'!W7+'Annual Raw'!W8+'Annual Raw'!W9</f>
        <v>6873.78</v>
      </c>
      <c r="W24" s="92">
        <f>'Annual Raw'!X7+'Annual Raw'!X8+'Annual Raw'!X9</f>
        <v>6703.09</v>
      </c>
      <c r="X24" s="92">
        <f>'Annual Raw'!Y7+'Annual Raw'!Y8+'Annual Raw'!Y9</f>
        <v>6700.5</v>
      </c>
      <c r="Y24" s="92">
        <f>'Annual Raw'!Z7+'Annual Raw'!Z8+'Annual Raw'!Z9</f>
        <v>5977.55</v>
      </c>
      <c r="Z24" s="92">
        <f>'Annual Raw'!AA7+'Annual Raw'!AA8+'Annual Raw'!AA9</f>
        <v>5337.73</v>
      </c>
      <c r="AA24" s="92">
        <f>'Annual Raw'!AB7+'Annual Raw'!AB8+'Annual Raw'!AB9</f>
        <v>5700.97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92">
        <f>+'QTR Raw'!C20+'QTR Raw'!C19+'QTR Raw'!C13+'QTR Raw'!C7</f>
        <v>0</v>
      </c>
      <c r="AJ24" s="92">
        <f>+'QTR Raw'!D20+'QTR Raw'!D19+'QTR Raw'!D13+'QTR Raw'!D7</f>
        <v>2</v>
      </c>
      <c r="AK24" s="92">
        <f>+'QTR Raw'!E20+'QTR Raw'!E19+'QTR Raw'!E13+'QTR Raw'!E7</f>
        <v>0</v>
      </c>
      <c r="AL24" s="92">
        <f>+'QTR Raw'!F20+'QTR Raw'!F19+'QTR Raw'!F13+'QTR Raw'!F7</f>
        <v>1</v>
      </c>
      <c r="AM24" s="92">
        <f>+'QTR Raw'!G20+'QTR Raw'!G19+'QTR Raw'!G13+'QTR Raw'!G7</f>
        <v>0</v>
      </c>
      <c r="AN24" s="92">
        <f>+'QTR Raw'!H20+'QTR Raw'!H19+'QTR Raw'!H13+'QTR Raw'!H7</f>
        <v>0</v>
      </c>
      <c r="AO24" s="92">
        <f>+'QTR Raw'!I20+'QTR Raw'!I19+'QTR Raw'!I13+'QTR Raw'!I7</f>
        <v>0</v>
      </c>
      <c r="AP24" s="92">
        <f>+'QTR Raw'!J20+'QTR Raw'!J19+'QTR Raw'!J13+'QTR Raw'!J7</f>
        <v>0</v>
      </c>
      <c r="AQ24" s="92">
        <f>+'QTR Raw'!K20+'QTR Raw'!K19+'QTR Raw'!K13+'QTR Raw'!K7</f>
        <v>0</v>
      </c>
      <c r="AR24" s="92">
        <f>+'QTR Raw'!L20+'QTR Raw'!L19+'QTR Raw'!L13+'QTR Raw'!L7</f>
        <v>0</v>
      </c>
      <c r="AS24" s="92">
        <f>+'QTR Raw'!M20+'QTR Raw'!M19+'QTR Raw'!M13+'QTR Raw'!M7</f>
        <v>0</v>
      </c>
      <c r="AT24" s="92">
        <f>+'QTR Raw'!N20+'QTR Raw'!N19+'QTR Raw'!N13+'QTR Raw'!N7</f>
        <v>0</v>
      </c>
      <c r="AU24" s="92">
        <f>+'QTR Raw'!O20+'QTR Raw'!O19+'QTR Raw'!O13+'QTR Raw'!O7</f>
        <v>0</v>
      </c>
      <c r="AV24" s="92">
        <f>+'QTR Raw'!P20+'QTR Raw'!P19+'QTR Raw'!P13+'QTR Raw'!P7</f>
        <v>0</v>
      </c>
      <c r="AW24" s="92">
        <f>+'QTR Raw'!Q20+'QTR Raw'!Q19+'QTR Raw'!Q13+'QTR Raw'!Q7</f>
        <v>0</v>
      </c>
      <c r="AX24" s="92">
        <f>+'QTR Raw'!R20+'QTR Raw'!R19+'QTR Raw'!R13+'QTR Raw'!R7</f>
        <v>0</v>
      </c>
      <c r="AY24" s="92">
        <f>+'QTR Raw'!S20+'QTR Raw'!S19+'QTR Raw'!S13+'QTR Raw'!S7</f>
        <v>0</v>
      </c>
      <c r="AZ24" s="92">
        <f>+'QTR Raw'!T20+'QTR Raw'!T19+'QTR Raw'!T13+'QTR Raw'!T7</f>
        <v>0</v>
      </c>
      <c r="BA24" s="92">
        <f>+'QTR Raw'!U20+'QTR Raw'!U19+'QTR Raw'!U13+'QTR Raw'!U7</f>
        <v>0</v>
      </c>
      <c r="BB24" s="92">
        <f>+'QTR Raw'!V20+'QTR Raw'!V19+'QTR Raw'!V13+'QTR Raw'!V7</f>
        <v>0</v>
      </c>
      <c r="BC24" s="92">
        <f>+'QTR Raw'!W20+'QTR Raw'!W19+'QTR Raw'!W13+'QTR Raw'!W7</f>
        <v>0</v>
      </c>
      <c r="BD24" s="92">
        <f>+'QTR Raw'!X20+'QTR Raw'!X19+'QTR Raw'!X13+'QTR Raw'!X7</f>
        <v>0</v>
      </c>
      <c r="BE24" s="92">
        <f>+'QTR Raw'!Y20+'QTR Raw'!Y19+'QTR Raw'!Y13+'QTR Raw'!Y7</f>
        <v>0</v>
      </c>
      <c r="BF24" s="92">
        <f>+'QTR Raw'!Z20+'QTR Raw'!Z19+'QTR Raw'!Z13+'QTR Raw'!Z7</f>
        <v>0</v>
      </c>
      <c r="BG24" s="92">
        <f>+'QTR Raw'!AA20+'QTR Raw'!AA19+'QTR Raw'!AA13+'QTR Raw'!AA7</f>
        <v>0</v>
      </c>
      <c r="BH24" s="92">
        <f>+'QTR Raw'!AB20+'QTR Raw'!AB19+'QTR Raw'!AB13+'QTR Raw'!AB7</f>
        <v>0</v>
      </c>
      <c r="BI24" s="92">
        <f>+'QTR Raw'!AC20+'QTR Raw'!AC19+'QTR Raw'!AC13+'QTR Raw'!AC7</f>
        <v>0</v>
      </c>
      <c r="BJ24" s="92">
        <f>+'QTR Raw'!AD20+'QTR Raw'!AD19+'QTR Raw'!AD13+'QTR Raw'!AD7</f>
        <v>0</v>
      </c>
      <c r="BK24" s="92">
        <f>+'QTR Raw'!AE20+'QTR Raw'!AE19+'QTR Raw'!AE13+'QTR Raw'!AE7</f>
        <v>0</v>
      </c>
      <c r="BL24" s="92">
        <f>+'QTR Raw'!AF20+'QTR Raw'!AF19+'QTR Raw'!AF13+'QTR Raw'!AF7</f>
        <v>0</v>
      </c>
      <c r="BM24" s="92">
        <f>+'QTR Raw'!AG20+'QTR Raw'!AG19+'QTR Raw'!AG13+'QTR Raw'!AG7</f>
        <v>0</v>
      </c>
      <c r="BN24" s="92">
        <f>+'QTR Raw'!AH20+'QTR Raw'!AH19+'QTR Raw'!AH13+'QTR Raw'!AH7</f>
        <v>0</v>
      </c>
      <c r="BO24" s="92">
        <f>+'QTR Raw'!AI20+'QTR Raw'!AI19+'QTR Raw'!AI13+'QTR Raw'!AI7</f>
        <v>0</v>
      </c>
      <c r="BP24" s="92">
        <f>+'QTR Raw'!AJ20+'QTR Raw'!AJ19+'QTR Raw'!AJ13+'QTR Raw'!AJ7</f>
        <v>0</v>
      </c>
      <c r="BQ24" s="92">
        <f>+'QTR Raw'!AK20+'QTR Raw'!AK19+'QTR Raw'!AK13+'QTR Raw'!AK7</f>
        <v>0</v>
      </c>
      <c r="BR24" s="92">
        <f>+'QTR Raw'!AL20+'QTR Raw'!AL19+'QTR Raw'!AL13+'QTR Raw'!AL7</f>
        <v>0</v>
      </c>
      <c r="BS24" s="92">
        <f>+'QTR Raw'!AM20+'QTR Raw'!AM19+'QTR Raw'!AM13+'QTR Raw'!AM7</f>
        <v>0</v>
      </c>
      <c r="BT24" s="92">
        <f>+'QTR Raw'!AN20+'QTR Raw'!AN19+'QTR Raw'!AN13+'QTR Raw'!AN7</f>
        <v>0</v>
      </c>
      <c r="BU24" s="92">
        <f>+'QTR Raw'!AO20+'QTR Raw'!AO19+'QTR Raw'!AO13+'QTR Raw'!AO7</f>
        <v>0</v>
      </c>
      <c r="BV24" s="92">
        <f>+'QTR Raw'!AP20+'QTR Raw'!AP19+'QTR Raw'!AP13+'QTR Raw'!AP7</f>
        <v>0</v>
      </c>
      <c r="BW24" s="92">
        <f>+'QTR Raw'!AQ20+'QTR Raw'!AQ19+'QTR Raw'!AQ13+'QTR Raw'!AQ7</f>
        <v>0</v>
      </c>
      <c r="BX24" s="92">
        <f>+'QTR Raw'!AR20+'QTR Raw'!AR19+'QTR Raw'!AR13+'QTR Raw'!AR7</f>
        <v>0</v>
      </c>
      <c r="BY24" s="92">
        <f>+'QTR Raw'!AS20+'QTR Raw'!AS19+'QTR Raw'!AS13+'QTR Raw'!AS7</f>
        <v>0</v>
      </c>
      <c r="BZ24" s="92">
        <f>+'QTR Raw'!AT20+'QTR Raw'!AT19+'QTR Raw'!AT13+'QTR Raw'!AT7</f>
        <v>0</v>
      </c>
      <c r="CA24" s="92">
        <f>+'QTR Raw'!AU20+'QTR Raw'!AU19+'QTR Raw'!AU13+'QTR Raw'!AU7</f>
        <v>0</v>
      </c>
      <c r="CB24" s="92">
        <f>+'QTR Raw'!AV20+'QTR Raw'!AV19+'QTR Raw'!AV13+'QTR Raw'!AV7</f>
        <v>0</v>
      </c>
      <c r="CC24" s="92">
        <f>+'QTR Raw'!AW20+'QTR Raw'!AW19+'QTR Raw'!AW13+'QTR Raw'!AW7</f>
        <v>0</v>
      </c>
      <c r="CD24" s="92">
        <f>+'QTR Raw'!AX20+'QTR Raw'!AX19+'QTR Raw'!AX13+'QTR Raw'!AX7</f>
        <v>0</v>
      </c>
      <c r="CE24" s="92">
        <f>+'QTR Raw'!AY20+'QTR Raw'!AY19+'QTR Raw'!AY13+'QTR Raw'!AY7</f>
        <v>0</v>
      </c>
      <c r="CF24" s="92">
        <f>+'QTR Raw'!AZ20+'QTR Raw'!AZ19+'QTR Raw'!AZ13+'QTR Raw'!AZ7</f>
        <v>0</v>
      </c>
      <c r="CG24" s="92">
        <f>+'QTR Raw'!BA20+'QTR Raw'!BA19+'QTR Raw'!BA13+'QTR Raw'!BA7</f>
        <v>0</v>
      </c>
      <c r="CH24" s="92">
        <f>+'QTR Raw'!BB20+'QTR Raw'!BB19+'QTR Raw'!BB13+'QTR Raw'!BB7</f>
        <v>0</v>
      </c>
      <c r="CI24" s="92">
        <f>+'QTR Raw'!BC20+'QTR Raw'!BC19+'QTR Raw'!BC13+'QTR Raw'!BC7</f>
        <v>0</v>
      </c>
      <c r="CJ24" s="92">
        <f>+'QTR Raw'!BD20+'QTR Raw'!BD19+'QTR Raw'!BD13+'QTR Raw'!BD7</f>
        <v>0</v>
      </c>
      <c r="CK24" s="92">
        <f>+'QTR Raw'!BE20+'QTR Raw'!BE19+'QTR Raw'!BE13+'QTR Raw'!BE7</f>
        <v>0</v>
      </c>
      <c r="CL24" s="92">
        <f>+'QTR Raw'!BF20+'QTR Raw'!BF19+'QTR Raw'!BF13+'QTR Raw'!BF7</f>
        <v>0</v>
      </c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E24" s="120"/>
      <c r="DF24" s="92">
        <v>0</v>
      </c>
    </row>
    <row r="25" spans="1:110" s="26" customFormat="1" x14ac:dyDescent="0.2">
      <c r="A25" s="26" t="s">
        <v>431</v>
      </c>
      <c r="B25" s="26">
        <f>+B23-B24</f>
        <v>365.71370000000002</v>
      </c>
      <c r="C25" s="26">
        <f>+C23-C24</f>
        <v>402.67439999999999</v>
      </c>
      <c r="D25" s="26">
        <f t="shared" ref="D25:U25" si="80">+D23-D24</f>
        <v>405.59710000000001</v>
      </c>
      <c r="E25" s="26">
        <f t="shared" si="80"/>
        <v>459.33320000000003</v>
      </c>
      <c r="F25" s="26">
        <f t="shared" si="80"/>
        <v>547.7527</v>
      </c>
      <c r="G25" s="26">
        <f t="shared" si="80"/>
        <v>967.16239999999993</v>
      </c>
      <c r="H25" s="26">
        <f t="shared" si="80"/>
        <v>1298.7854</v>
      </c>
      <c r="I25" s="26">
        <f t="shared" si="80"/>
        <v>1354.8482999999999</v>
      </c>
      <c r="J25" s="26">
        <f t="shared" si="80"/>
        <v>1630.6576</v>
      </c>
      <c r="K25" s="26">
        <f t="shared" si="80"/>
        <v>1916.0378000000001</v>
      </c>
      <c r="L25" s="26">
        <f t="shared" si="80"/>
        <v>2197.7926000000002</v>
      </c>
      <c r="M25" s="26">
        <f t="shared" si="80"/>
        <v>2695.9199999999996</v>
      </c>
      <c r="N25" s="26">
        <f t="shared" si="80"/>
        <v>3211.14</v>
      </c>
      <c r="O25" s="26">
        <f t="shared" si="80"/>
        <v>4184.72</v>
      </c>
      <c r="P25" s="26">
        <f t="shared" si="80"/>
        <v>4653.45</v>
      </c>
      <c r="Q25" s="26">
        <f t="shared" si="80"/>
        <v>6666.85</v>
      </c>
      <c r="R25" s="26">
        <f t="shared" si="80"/>
        <v>5815.6900000000005</v>
      </c>
      <c r="S25" s="26">
        <f t="shared" si="80"/>
        <v>5949.83</v>
      </c>
      <c r="T25" s="26">
        <f t="shared" si="80"/>
        <v>7672.8</v>
      </c>
      <c r="U25" s="26">
        <f t="shared" si="80"/>
        <v>7939.3099999999995</v>
      </c>
      <c r="V25" s="26">
        <f>+V23-V24</f>
        <v>8004.5700000000006</v>
      </c>
      <c r="W25" s="26">
        <f>+W23-W24</f>
        <v>8508.0399999999991</v>
      </c>
      <c r="X25" s="26">
        <f>+X23-X24</f>
        <v>9620.15</v>
      </c>
      <c r="Y25" s="26">
        <f>+Y23-Y24</f>
        <v>10727.84</v>
      </c>
      <c r="Z25" s="26">
        <f>+Z23-Z24</f>
        <v>11516.09</v>
      </c>
      <c r="AA25" s="26">
        <f>+AA23-AA24</f>
        <v>13979.73</v>
      </c>
      <c r="AB25" s="27">
        <f t="shared" ref="AB25:AD25" si="81">+AB23-AB24</f>
        <v>16587.809330389995</v>
      </c>
      <c r="AC25" s="27">
        <f t="shared" si="81"/>
        <v>19424.581157582754</v>
      </c>
      <c r="AD25" s="27">
        <f t="shared" si="81"/>
        <v>20259.198423461894</v>
      </c>
      <c r="AE25" s="27">
        <f t="shared" ref="AE25" si="82">+AE23-AE24</f>
        <v>20755.620753874988</v>
      </c>
      <c r="AI25" s="26">
        <f t="shared" ref="AI25" si="83">+AI23-AI24</f>
        <v>767</v>
      </c>
      <c r="AJ25" s="26">
        <f t="shared" ref="AJ25" si="84">+AJ23-AJ24</f>
        <v>777</v>
      </c>
      <c r="AK25" s="26">
        <f t="shared" ref="AK25:AM25" si="85">+AK23-AK24</f>
        <v>797</v>
      </c>
      <c r="AL25" s="26">
        <f t="shared" si="85"/>
        <v>871</v>
      </c>
      <c r="AM25" s="26">
        <f t="shared" si="85"/>
        <v>972</v>
      </c>
      <c r="AN25" s="26">
        <f t="shared" ref="AN25:AO25" si="86">+AN23-AN24</f>
        <v>972</v>
      </c>
      <c r="AO25" s="26">
        <f t="shared" si="86"/>
        <v>1015</v>
      </c>
      <c r="AP25" s="26">
        <f t="shared" ref="AP25:AW25" si="87">+AP23-AP24</f>
        <v>1225</v>
      </c>
      <c r="AQ25" s="26">
        <f t="shared" si="87"/>
        <v>1114</v>
      </c>
      <c r="AR25" s="26">
        <f t="shared" si="87"/>
        <v>1217</v>
      </c>
      <c r="AS25" s="26">
        <f t="shared" si="87"/>
        <v>1168</v>
      </c>
      <c r="AT25" s="26">
        <f t="shared" si="87"/>
        <v>1154</v>
      </c>
      <c r="AU25" s="26">
        <f t="shared" si="87"/>
        <v>1947</v>
      </c>
      <c r="AV25" s="26">
        <f t="shared" si="87"/>
        <v>1693</v>
      </c>
      <c r="AW25" s="26">
        <f t="shared" si="87"/>
        <v>1542</v>
      </c>
      <c r="AX25" s="26">
        <f t="shared" ref="AX25:CF25" si="88">+AX23-AX24</f>
        <v>1503</v>
      </c>
      <c r="AY25" s="26">
        <f t="shared" si="88"/>
        <v>1551</v>
      </c>
      <c r="AZ25" s="26">
        <f t="shared" si="88"/>
        <v>1429</v>
      </c>
      <c r="BA25" s="26">
        <f t="shared" si="88"/>
        <v>1443</v>
      </c>
      <c r="BB25" s="26">
        <f t="shared" si="88"/>
        <v>1434</v>
      </c>
      <c r="BC25" s="26">
        <f t="shared" si="88"/>
        <v>1362</v>
      </c>
      <c r="BD25" s="26">
        <f t="shared" si="88"/>
        <v>1417</v>
      </c>
      <c r="BE25" s="26">
        <f t="shared" si="88"/>
        <v>1463</v>
      </c>
      <c r="BF25" s="26">
        <f t="shared" si="88"/>
        <v>1708</v>
      </c>
      <c r="BG25" s="26">
        <f t="shared" si="88"/>
        <v>1872</v>
      </c>
      <c r="BH25" s="26">
        <f t="shared" si="88"/>
        <v>1894</v>
      </c>
      <c r="BI25" s="26">
        <f t="shared" si="88"/>
        <v>2051</v>
      </c>
      <c r="BJ25" s="26">
        <f t="shared" si="88"/>
        <v>1856</v>
      </c>
      <c r="BK25" s="26">
        <f t="shared" si="88"/>
        <v>2022</v>
      </c>
      <c r="BL25" s="26">
        <f t="shared" si="88"/>
        <v>2005</v>
      </c>
      <c r="BM25" s="26">
        <f t="shared" si="88"/>
        <v>1966</v>
      </c>
      <c r="BN25" s="26">
        <f t="shared" si="88"/>
        <v>1946</v>
      </c>
      <c r="BO25" s="26">
        <f t="shared" si="88"/>
        <v>2056</v>
      </c>
      <c r="BP25" s="26">
        <f t="shared" si="88"/>
        <v>2017</v>
      </c>
      <c r="BQ25" s="26">
        <f t="shared" si="88"/>
        <v>1995</v>
      </c>
      <c r="BR25" s="26">
        <f t="shared" si="88"/>
        <v>1937</v>
      </c>
      <c r="BS25" s="26">
        <f t="shared" si="88"/>
        <v>2134</v>
      </c>
      <c r="BT25" s="26">
        <f t="shared" si="88"/>
        <v>2137</v>
      </c>
      <c r="BU25" s="26">
        <f t="shared" si="88"/>
        <v>2108</v>
      </c>
      <c r="BV25" s="26">
        <f t="shared" si="88"/>
        <v>2131</v>
      </c>
      <c r="BW25" s="26">
        <f t="shared" si="88"/>
        <v>2347</v>
      </c>
      <c r="BX25" s="26">
        <f t="shared" si="88"/>
        <v>2291</v>
      </c>
      <c r="BY25" s="26">
        <f t="shared" si="88"/>
        <v>2491</v>
      </c>
      <c r="BZ25" s="26">
        <f t="shared" si="88"/>
        <v>2491</v>
      </c>
      <c r="CA25" s="26">
        <f t="shared" si="88"/>
        <v>2591</v>
      </c>
      <c r="CB25" s="26">
        <f t="shared" si="88"/>
        <v>2660</v>
      </c>
      <c r="CC25" s="26">
        <f t="shared" si="88"/>
        <v>2732</v>
      </c>
      <c r="CD25" s="26">
        <f t="shared" si="88"/>
        <v>2745</v>
      </c>
      <c r="CE25" s="26">
        <f t="shared" si="88"/>
        <v>2859</v>
      </c>
      <c r="CF25" s="26">
        <f t="shared" si="88"/>
        <v>2889</v>
      </c>
      <c r="CG25" s="26">
        <f t="shared" ref="CG25:CH25" si="89">+CG23-CG24</f>
        <v>2809</v>
      </c>
      <c r="CH25" s="26">
        <f t="shared" si="89"/>
        <v>2959</v>
      </c>
      <c r="CI25" s="26">
        <f t="shared" ref="CI25:CJ25" si="90">+CI23-CI24</f>
        <v>3178</v>
      </c>
      <c r="CJ25" s="26">
        <f t="shared" si="90"/>
        <v>3302</v>
      </c>
      <c r="CK25" s="26">
        <f t="shared" ref="CK25:DB25" si="91">+CK23-CK24</f>
        <v>3303</v>
      </c>
      <c r="CL25" s="26">
        <f t="shared" si="91"/>
        <v>4197</v>
      </c>
      <c r="CM25" s="27">
        <f t="shared" si="91"/>
        <v>3758.7001422614667</v>
      </c>
      <c r="CN25" s="27">
        <f t="shared" si="91"/>
        <v>3922.1862619573217</v>
      </c>
      <c r="CO25" s="27">
        <f t="shared" si="91"/>
        <v>3928.359833210694</v>
      </c>
      <c r="CP25" s="27">
        <f t="shared" si="91"/>
        <v>4978.5630929605104</v>
      </c>
      <c r="CQ25" s="27">
        <f t="shared" si="91"/>
        <v>4409.5277196295801</v>
      </c>
      <c r="CR25" s="27">
        <f t="shared" si="91"/>
        <v>4598.9327621103366</v>
      </c>
      <c r="CS25" s="27">
        <f t="shared" si="91"/>
        <v>4598.9229638323204</v>
      </c>
      <c r="CT25" s="27">
        <f t="shared" si="91"/>
        <v>5817.1977120105194</v>
      </c>
      <c r="CU25" s="27">
        <f t="shared" si="91"/>
        <v>4741.1708816110595</v>
      </c>
      <c r="CV25" s="27">
        <f t="shared" si="91"/>
        <v>4809.974378215853</v>
      </c>
      <c r="CW25" s="27">
        <f t="shared" si="91"/>
        <v>4745.5639600239365</v>
      </c>
      <c r="CX25" s="27">
        <f t="shared" si="91"/>
        <v>5962.489203611045</v>
      </c>
      <c r="CY25" s="27">
        <f t="shared" si="91"/>
        <v>4850.8540449716129</v>
      </c>
      <c r="CZ25" s="27">
        <f t="shared" si="91"/>
        <v>4927.8069244666458</v>
      </c>
      <c r="DA25" s="27">
        <f t="shared" si="91"/>
        <v>4864.1883914651335</v>
      </c>
      <c r="DB25" s="27">
        <f t="shared" si="91"/>
        <v>6112.7713929715974</v>
      </c>
      <c r="DE25" s="121"/>
      <c r="DF25" s="26">
        <v>3436.8832761003332</v>
      </c>
    </row>
    <row r="26" spans="1:110" s="39" customFormat="1" x14ac:dyDescent="0.2">
      <c r="A26" s="39" t="s">
        <v>484</v>
      </c>
      <c r="C26" s="39">
        <f t="shared" ref="C26" si="92">C25/B25-1</f>
        <v>0.10106457592373475</v>
      </c>
      <c r="D26" s="39">
        <f t="shared" ref="D26" si="93">D25/C25-1</f>
        <v>7.2582215308447662E-3</v>
      </c>
      <c r="E26" s="39">
        <f t="shared" ref="E26" si="94">E25/D25-1</f>
        <v>0.13248640091361596</v>
      </c>
      <c r="F26" s="39">
        <f t="shared" ref="F26:R26" si="95">F25/E25-1</f>
        <v>0.192495338895599</v>
      </c>
      <c r="G26" s="39">
        <f t="shared" si="95"/>
        <v>0.76569170722481128</v>
      </c>
      <c r="H26" s="39">
        <f t="shared" si="95"/>
        <v>0.34288243628991366</v>
      </c>
      <c r="I26" s="39">
        <f t="shared" si="95"/>
        <v>4.3165637679634994E-2</v>
      </c>
      <c r="J26" s="39">
        <f t="shared" si="95"/>
        <v>0.20357208995280152</v>
      </c>
      <c r="K26" s="39">
        <f>K25/J25-1</f>
        <v>0.1750092723328307</v>
      </c>
      <c r="L26" s="39">
        <f t="shared" si="95"/>
        <v>0.14705075233901965</v>
      </c>
      <c r="M26" s="39">
        <f t="shared" si="95"/>
        <v>0.22664895677599395</v>
      </c>
      <c r="N26" s="39">
        <f t="shared" si="95"/>
        <v>0.19111101219620763</v>
      </c>
      <c r="O26" s="39">
        <f t="shared" si="95"/>
        <v>0.30318827581481989</v>
      </c>
      <c r="P26" s="39">
        <f t="shared" si="95"/>
        <v>0.11200988357643982</v>
      </c>
      <c r="Q26" s="39">
        <f t="shared" si="95"/>
        <v>0.43266823539524446</v>
      </c>
      <c r="R26" s="39">
        <f t="shared" si="95"/>
        <v>-0.12767048906155076</v>
      </c>
      <c r="S26" s="39">
        <f t="shared" ref="S26:AA26" si="96">S25/R25-1</f>
        <v>2.3065190888785336E-2</v>
      </c>
      <c r="T26" s="39">
        <f t="shared" si="96"/>
        <v>0.28958306371778697</v>
      </c>
      <c r="U26" s="39">
        <f t="shared" si="96"/>
        <v>3.4734386403920237E-2</v>
      </c>
      <c r="V26" s="39">
        <f t="shared" si="96"/>
        <v>8.2198578969709946E-3</v>
      </c>
      <c r="W26" s="39">
        <f t="shared" si="96"/>
        <v>6.289781962054164E-2</v>
      </c>
      <c r="X26" s="39">
        <f t="shared" si="96"/>
        <v>0.13071283162749592</v>
      </c>
      <c r="Y26" s="39">
        <f t="shared" si="96"/>
        <v>0.11514269528021925</v>
      </c>
      <c r="Z26" s="39">
        <f t="shared" si="96"/>
        <v>7.3477046637533849E-2</v>
      </c>
      <c r="AA26" s="39">
        <f t="shared" si="96"/>
        <v>0.21393024889524126</v>
      </c>
      <c r="AB26" s="40">
        <f t="shared" ref="AB26" si="97">AB25/AA25-1</f>
        <v>0.18656149513545661</v>
      </c>
      <c r="AC26" s="40">
        <f t="shared" ref="AC26" si="98">AC25/AB25-1</f>
        <v>0.17101545904531235</v>
      </c>
      <c r="AD26" s="40">
        <f t="shared" ref="AD26" si="99">AD25/AC25-1</f>
        <v>4.2967066270735543E-2</v>
      </c>
      <c r="AE26" s="40">
        <f t="shared" ref="AE26" si="100">AE25/AD25-1</f>
        <v>2.4503552412922458E-2</v>
      </c>
      <c r="AM26" s="39">
        <f t="shared" ref="AM26:CI26" si="101">+IF(AI25&lt;0,1-AM25/AI25,AM25/AI25-1)</f>
        <v>0.26727509778357228</v>
      </c>
      <c r="AN26" s="39">
        <f t="shared" si="101"/>
        <v>0.25096525096525091</v>
      </c>
      <c r="AO26" s="39">
        <f t="shared" si="101"/>
        <v>0.27352572145545806</v>
      </c>
      <c r="AP26" s="39">
        <f t="shared" si="101"/>
        <v>0.40642939150401847</v>
      </c>
      <c r="AQ26" s="39">
        <f t="shared" si="101"/>
        <v>0.14609053497942392</v>
      </c>
      <c r="AR26" s="39">
        <f t="shared" si="101"/>
        <v>0.25205761316872421</v>
      </c>
      <c r="AS26" s="39">
        <f t="shared" si="101"/>
        <v>0.15073891625615765</v>
      </c>
      <c r="AT26" s="39">
        <f t="shared" si="101"/>
        <v>-5.7959183673469417E-2</v>
      </c>
      <c r="AU26" s="39">
        <f t="shared" si="101"/>
        <v>0.74775583482944352</v>
      </c>
      <c r="AV26" s="39">
        <f t="shared" si="101"/>
        <v>0.39112571898110104</v>
      </c>
      <c r="AW26" s="39">
        <f t="shared" si="101"/>
        <v>0.3202054794520548</v>
      </c>
      <c r="AX26" s="39">
        <f t="shared" si="101"/>
        <v>0.30242634315424599</v>
      </c>
      <c r="AY26" s="39">
        <f t="shared" si="101"/>
        <v>-0.20338983050847459</v>
      </c>
      <c r="AZ26" s="39">
        <f t="shared" si="101"/>
        <v>-0.15593620791494389</v>
      </c>
      <c r="BA26" s="39">
        <f t="shared" si="101"/>
        <v>-6.4202334630350189E-2</v>
      </c>
      <c r="BB26" s="39">
        <f t="shared" si="101"/>
        <v>-4.5908183632734523E-2</v>
      </c>
      <c r="BC26" s="39">
        <f t="shared" si="101"/>
        <v>-0.12185686653771766</v>
      </c>
      <c r="BD26" s="39">
        <f t="shared" si="101"/>
        <v>-8.39748075577329E-3</v>
      </c>
      <c r="BE26" s="39">
        <f t="shared" si="101"/>
        <v>1.3860013860013787E-2</v>
      </c>
      <c r="BF26" s="39">
        <f t="shared" si="101"/>
        <v>0.19107391910739202</v>
      </c>
      <c r="BG26" s="39">
        <f t="shared" si="101"/>
        <v>0.37444933920704848</v>
      </c>
      <c r="BH26" s="39">
        <f t="shared" si="101"/>
        <v>0.33662667607621732</v>
      </c>
      <c r="BI26" s="39">
        <f t="shared" si="101"/>
        <v>0.40191387559808622</v>
      </c>
      <c r="BJ26" s="39">
        <f t="shared" si="101"/>
        <v>8.6651053864168714E-2</v>
      </c>
      <c r="BK26" s="39">
        <f t="shared" si="101"/>
        <v>8.0128205128205066E-2</v>
      </c>
      <c r="BL26" s="39">
        <f t="shared" si="101"/>
        <v>5.8606124604012599E-2</v>
      </c>
      <c r="BM26" s="39">
        <f t="shared" si="101"/>
        <v>-4.14431984397855E-2</v>
      </c>
      <c r="BN26" s="39">
        <f t="shared" si="101"/>
        <v>4.8491379310344751E-2</v>
      </c>
      <c r="BO26" s="39">
        <f t="shared" si="101"/>
        <v>1.6815034619188873E-2</v>
      </c>
      <c r="BP26" s="39">
        <f t="shared" si="101"/>
        <v>5.9850374064838174E-3</v>
      </c>
      <c r="BQ26" s="39">
        <f t="shared" si="101"/>
        <v>1.4750762970498377E-2</v>
      </c>
      <c r="BR26" s="39">
        <f t="shared" si="101"/>
        <v>-4.6248715313463862E-3</v>
      </c>
      <c r="BS26" s="39">
        <f t="shared" si="101"/>
        <v>3.7937743190661566E-2</v>
      </c>
      <c r="BT26" s="39">
        <f t="shared" si="101"/>
        <v>5.9494298463063977E-2</v>
      </c>
      <c r="BU26" s="39">
        <f t="shared" si="101"/>
        <v>5.6641604010025048E-2</v>
      </c>
      <c r="BV26" s="39">
        <f t="shared" si="101"/>
        <v>0.10015487867836859</v>
      </c>
      <c r="BW26" s="39">
        <f t="shared" si="101"/>
        <v>9.9812558575445243E-2</v>
      </c>
      <c r="BX26" s="39">
        <f t="shared" si="101"/>
        <v>7.206364061768844E-2</v>
      </c>
      <c r="BY26" s="39">
        <f t="shared" si="101"/>
        <v>0.18168880455407965</v>
      </c>
      <c r="BZ26" s="39">
        <f t="shared" si="101"/>
        <v>0.16893477240732047</v>
      </c>
      <c r="CA26" s="39">
        <f t="shared" si="101"/>
        <v>0.10396250532594808</v>
      </c>
      <c r="CB26" s="39">
        <f t="shared" si="101"/>
        <v>0.16106503710170239</v>
      </c>
      <c r="CC26" s="39">
        <f t="shared" si="101"/>
        <v>9.6748293857888301E-2</v>
      </c>
      <c r="CD26" s="39">
        <f t="shared" si="101"/>
        <v>0.10196708149337619</v>
      </c>
      <c r="CE26" s="39">
        <f t="shared" si="101"/>
        <v>0.10343496719413348</v>
      </c>
      <c r="CF26" s="39">
        <f t="shared" si="101"/>
        <v>8.6090225563909772E-2</v>
      </c>
      <c r="CG26" s="39">
        <f t="shared" si="101"/>
        <v>2.8184480234260567E-2</v>
      </c>
      <c r="CH26" s="39">
        <f t="shared" si="101"/>
        <v>7.7959927140254903E-2</v>
      </c>
      <c r="CI26" s="39">
        <f t="shared" si="101"/>
        <v>0.11157747464148304</v>
      </c>
      <c r="CJ26" s="39">
        <f>+IF(CF25&lt;0,1-CJ25/CF25,CJ25/CF25-1)</f>
        <v>0.14295604015230179</v>
      </c>
      <c r="CK26" s="39">
        <f>+IF(CG25&lt;0,1-CK25/CG25,CK25/CG25-1)</f>
        <v>0.17586329654681387</v>
      </c>
      <c r="CL26" s="39">
        <f>+IF(CH25&lt;0,1-CL25/CH25,CL25/CH25-1)</f>
        <v>0.41838458938830692</v>
      </c>
      <c r="CM26" s="40">
        <f t="shared" ref="CM26:DB26" si="102">+IF(CI25&lt;0,1-CM25/CI25,CM25/CI25-1)</f>
        <v>0.1827250290312985</v>
      </c>
      <c r="CN26" s="40">
        <f t="shared" si="102"/>
        <v>0.1878213997447975</v>
      </c>
      <c r="CO26" s="40">
        <f t="shared" si="102"/>
        <v>0.18933086079645589</v>
      </c>
      <c r="CP26" s="40">
        <f t="shared" si="102"/>
        <v>0.18621946460817496</v>
      </c>
      <c r="CQ26" s="40">
        <f t="shared" si="102"/>
        <v>0.17315230072504151</v>
      </c>
      <c r="CR26" s="40">
        <f t="shared" si="102"/>
        <v>0.17254318254005918</v>
      </c>
      <c r="CS26" s="40">
        <f t="shared" si="102"/>
        <v>0.1706979907880708</v>
      </c>
      <c r="CT26" s="40">
        <f t="shared" si="102"/>
        <v>0.16844912947589341</v>
      </c>
      <c r="CU26" s="40">
        <f t="shared" si="102"/>
        <v>7.5210585592903056E-2</v>
      </c>
      <c r="CV26" s="40">
        <f t="shared" si="102"/>
        <v>4.5889258882896744E-2</v>
      </c>
      <c r="CW26" s="40">
        <f t="shared" si="102"/>
        <v>3.1885943153398433E-2</v>
      </c>
      <c r="CX26" s="40">
        <f t="shared" si="102"/>
        <v>2.4976199674380695E-2</v>
      </c>
      <c r="CY26" s="40">
        <f t="shared" si="102"/>
        <v>2.3134193240316847E-2</v>
      </c>
      <c r="CZ26" s="40">
        <f t="shared" si="102"/>
        <v>2.4497541355823271E-2</v>
      </c>
      <c r="DA26" s="40">
        <f t="shared" si="102"/>
        <v>2.4996909206255635E-2</v>
      </c>
      <c r="DB26" s="40">
        <f t="shared" si="102"/>
        <v>2.5204605698830873E-2</v>
      </c>
      <c r="DE26" s="122"/>
      <c r="DF26" s="39">
        <v>0.16150161409271147</v>
      </c>
    </row>
    <row r="27" spans="1:110" s="39" customFormat="1" x14ac:dyDescent="0.2">
      <c r="A27" s="39" t="s">
        <v>446</v>
      </c>
      <c r="AB27" s="40"/>
      <c r="AC27" s="40"/>
      <c r="AD27" s="40"/>
      <c r="AE27" s="40"/>
      <c r="AJ27" s="39">
        <f t="shared" ref="AJ27:AL27" si="103">+IF(AI25&lt;0,1-AJ25/AI25,AJ25/AI25-1)</f>
        <v>1.3037809647979071E-2</v>
      </c>
      <c r="AK27" s="39">
        <f t="shared" si="103"/>
        <v>2.5740025740025763E-2</v>
      </c>
      <c r="AL27" s="39">
        <f t="shared" si="103"/>
        <v>9.2848180677540748E-2</v>
      </c>
      <c r="AM27" s="39">
        <f t="shared" ref="AM27:CI27" si="104">+IF(AL25&lt;0,1-AM25/AL25,AM25/AL25-1)</f>
        <v>0.11595866819747425</v>
      </c>
      <c r="AN27" s="39">
        <f t="shared" si="104"/>
        <v>0</v>
      </c>
      <c r="AO27" s="39">
        <f t="shared" si="104"/>
        <v>4.4238683127572065E-2</v>
      </c>
      <c r="AP27" s="39">
        <f t="shared" si="104"/>
        <v>0.2068965517241379</v>
      </c>
      <c r="AQ27" s="39">
        <f t="shared" si="104"/>
        <v>-9.061224489795916E-2</v>
      </c>
      <c r="AR27" s="39">
        <f t="shared" si="104"/>
        <v>9.2459605026929959E-2</v>
      </c>
      <c r="AS27" s="39">
        <f t="shared" si="104"/>
        <v>-4.0262941659819251E-2</v>
      </c>
      <c r="AT27" s="39">
        <f t="shared" si="104"/>
        <v>-1.1986301369863006E-2</v>
      </c>
      <c r="AU27" s="39">
        <f t="shared" si="104"/>
        <v>0.6871750433275563</v>
      </c>
      <c r="AV27" s="39">
        <f t="shared" si="104"/>
        <v>-0.13045711350796096</v>
      </c>
      <c r="AW27" s="39">
        <f t="shared" si="104"/>
        <v>-8.9190785587714094E-2</v>
      </c>
      <c r="AX27" s="39">
        <f t="shared" si="104"/>
        <v>-2.529182879377434E-2</v>
      </c>
      <c r="AY27" s="39">
        <f t="shared" si="104"/>
        <v>3.1936127744510934E-2</v>
      </c>
      <c r="AZ27" s="39">
        <f t="shared" si="104"/>
        <v>-7.8658929722759563E-2</v>
      </c>
      <c r="BA27" s="39">
        <f t="shared" si="104"/>
        <v>9.7970608817354865E-3</v>
      </c>
      <c r="BB27" s="39">
        <f t="shared" si="104"/>
        <v>-6.2370062370061818E-3</v>
      </c>
      <c r="BC27" s="39">
        <f t="shared" si="104"/>
        <v>-5.0209205020920522E-2</v>
      </c>
      <c r="BD27" s="39">
        <f t="shared" si="104"/>
        <v>4.038179148311305E-2</v>
      </c>
      <c r="BE27" s="39">
        <f t="shared" si="104"/>
        <v>3.2462949894142445E-2</v>
      </c>
      <c r="BF27" s="39">
        <f t="shared" si="104"/>
        <v>0.16746411483253598</v>
      </c>
      <c r="BG27" s="39">
        <f t="shared" si="104"/>
        <v>9.6018735362997765E-2</v>
      </c>
      <c r="BH27" s="39">
        <f t="shared" si="104"/>
        <v>1.175213675213671E-2</v>
      </c>
      <c r="BI27" s="39">
        <f t="shared" si="104"/>
        <v>8.289334741288279E-2</v>
      </c>
      <c r="BJ27" s="39">
        <f t="shared" si="104"/>
        <v>-9.5075572891272553E-2</v>
      </c>
      <c r="BK27" s="39">
        <f t="shared" si="104"/>
        <v>8.9439655172413701E-2</v>
      </c>
      <c r="BL27" s="39">
        <f t="shared" si="104"/>
        <v>-8.4075173095944367E-3</v>
      </c>
      <c r="BM27" s="39">
        <f t="shared" si="104"/>
        <v>-1.9451371571072351E-2</v>
      </c>
      <c r="BN27" s="39">
        <f t="shared" si="104"/>
        <v>-1.0172939979654072E-2</v>
      </c>
      <c r="BO27" s="39">
        <f t="shared" si="104"/>
        <v>5.6526207605344325E-2</v>
      </c>
      <c r="BP27" s="39">
        <f t="shared" si="104"/>
        <v>-1.8968871595330783E-2</v>
      </c>
      <c r="BQ27" s="39">
        <f t="shared" si="104"/>
        <v>-1.0907288051561714E-2</v>
      </c>
      <c r="BR27" s="39">
        <f t="shared" si="104"/>
        <v>-2.9072681704260694E-2</v>
      </c>
      <c r="BS27" s="39">
        <f t="shared" si="104"/>
        <v>0.10170366546205467</v>
      </c>
      <c r="BT27" s="39">
        <f t="shared" si="104"/>
        <v>1.405810684161235E-3</v>
      </c>
      <c r="BU27" s="39">
        <f t="shared" si="104"/>
        <v>-1.3570425830603638E-2</v>
      </c>
      <c r="BV27" s="39">
        <f t="shared" si="104"/>
        <v>1.0910815939279006E-2</v>
      </c>
      <c r="BW27" s="39">
        <f t="shared" si="104"/>
        <v>0.10136086344439232</v>
      </c>
      <c r="BX27" s="39">
        <f t="shared" si="104"/>
        <v>-2.3860247123988043E-2</v>
      </c>
      <c r="BY27" s="39">
        <f t="shared" si="104"/>
        <v>8.7298123090353563E-2</v>
      </c>
      <c r="BZ27" s="39">
        <f t="shared" si="104"/>
        <v>0</v>
      </c>
      <c r="CA27" s="39">
        <f t="shared" si="104"/>
        <v>4.0144520272982653E-2</v>
      </c>
      <c r="CB27" s="39">
        <f t="shared" si="104"/>
        <v>2.6630644538788051E-2</v>
      </c>
      <c r="CC27" s="39">
        <f t="shared" si="104"/>
        <v>2.7067669172932352E-2</v>
      </c>
      <c r="CD27" s="39">
        <f t="shared" si="104"/>
        <v>4.7584187408491463E-3</v>
      </c>
      <c r="CE27" s="39">
        <f t="shared" si="104"/>
        <v>4.1530054644808745E-2</v>
      </c>
      <c r="CF27" s="39">
        <f t="shared" si="104"/>
        <v>1.0493179433368249E-2</v>
      </c>
      <c r="CG27" s="39">
        <f t="shared" si="104"/>
        <v>-2.7691242644513725E-2</v>
      </c>
      <c r="CH27" s="39">
        <f t="shared" si="104"/>
        <v>5.339978640085441E-2</v>
      </c>
      <c r="CI27" s="39">
        <f t="shared" si="104"/>
        <v>7.4011490368367738E-2</v>
      </c>
      <c r="CJ27" s="39">
        <f>+IF(CI25&lt;0,1-CJ25/CI25,CJ25/CI25-1)</f>
        <v>3.901825047199492E-2</v>
      </c>
      <c r="CK27" s="39">
        <f>+IF(CJ25&lt;0,1-CK25/CJ25,CK25/CJ25-1)</f>
        <v>3.0284675953962115E-4</v>
      </c>
      <c r="CL27" s="39">
        <f>+IF(CK25&lt;0,1-CL25/CK25,CL25/CK25-1)</f>
        <v>0.2706630336058129</v>
      </c>
      <c r="CM27" s="40">
        <f t="shared" ref="CM27:DB27" si="105">+IF(CL25&lt;0,1-CM25/CL25,CM25/CL25-1)</f>
        <v>-0.10443170305897864</v>
      </c>
      <c r="CN27" s="40">
        <f t="shared" si="105"/>
        <v>4.3495387636187433E-2</v>
      </c>
      <c r="CO27" s="40">
        <f t="shared" si="105"/>
        <v>1.5740127676373561E-3</v>
      </c>
      <c r="CP27" s="40">
        <f t="shared" si="105"/>
        <v>0.26733886515978167</v>
      </c>
      <c r="CQ27" s="40">
        <f t="shared" si="105"/>
        <v>-0.11429710997044984</v>
      </c>
      <c r="CR27" s="40">
        <f t="shared" si="105"/>
        <v>4.2953589255737112E-2</v>
      </c>
      <c r="CS27" s="40">
        <f t="shared" si="105"/>
        <v>-2.1305547445171769E-6</v>
      </c>
      <c r="CT27" s="40">
        <f t="shared" si="105"/>
        <v>0.26490436081647273</v>
      </c>
      <c r="CU27" s="40">
        <f t="shared" si="105"/>
        <v>-0.18497339847635452</v>
      </c>
      <c r="CV27" s="40">
        <f t="shared" si="105"/>
        <v>1.4511920857282812E-2</v>
      </c>
      <c r="CW27" s="40">
        <f t="shared" si="105"/>
        <v>-1.3391010663929559E-2</v>
      </c>
      <c r="CX27" s="40">
        <f t="shared" si="105"/>
        <v>0.256434272899563</v>
      </c>
      <c r="CY27" s="40">
        <f t="shared" si="105"/>
        <v>-0.18643810004153893</v>
      </c>
      <c r="CZ27" s="40">
        <f t="shared" si="105"/>
        <v>1.5863779611098083E-2</v>
      </c>
      <c r="DA27" s="40">
        <f t="shared" si="105"/>
        <v>-1.2910110719972612E-2</v>
      </c>
      <c r="DB27" s="40">
        <f t="shared" si="105"/>
        <v>0.25668886585422324</v>
      </c>
      <c r="DE27" s="122"/>
      <c r="DF27" s="39">
        <v>4.053384078120903E-2</v>
      </c>
    </row>
    <row r="28" spans="1:110" s="23" customFormat="1" outlineLevel="1" x14ac:dyDescent="0.2">
      <c r="A28" s="23" t="s">
        <v>2</v>
      </c>
      <c r="B28" s="23">
        <f>'Annual Raw'!C11</f>
        <v>-14.6892</v>
      </c>
      <c r="C28" s="23">
        <f>'Annual Raw'!D11</f>
        <v>7.2815000000000003</v>
      </c>
      <c r="D28" s="23">
        <f>'Annual Raw'!E11</f>
        <v>-4.79</v>
      </c>
      <c r="E28" s="23">
        <f>'Annual Raw'!F11</f>
        <v>-8.8986999999999998</v>
      </c>
      <c r="F28" s="23">
        <f>'Annual Raw'!G11</f>
        <v>-20.8734</v>
      </c>
      <c r="G28" s="23">
        <f>'Annual Raw'!H11</f>
        <v>-66.483000000000004</v>
      </c>
      <c r="H28" s="23">
        <f>'Annual Raw'!I11</f>
        <v>-44.333799999999997</v>
      </c>
      <c r="I28" s="23">
        <f>'Annual Raw'!J11</f>
        <v>29.129000000000001</v>
      </c>
      <c r="J28" s="23">
        <f>'Annual Raw'!K11</f>
        <v>-19.664100000000001</v>
      </c>
      <c r="K28" s="23">
        <f>'Annual Raw'!L11</f>
        <v>-19.877199999999998</v>
      </c>
      <c r="L28" s="23">
        <f>'Annual Raw'!M11</f>
        <v>-124.0731</v>
      </c>
      <c r="M28" s="23">
        <f>'Annual Raw'!N11</f>
        <v>-1.83</v>
      </c>
      <c r="N28" s="23">
        <f>'Annual Raw'!O11</f>
        <v>-208.83</v>
      </c>
      <c r="O28" s="23">
        <f>'Annual Raw'!P11</f>
        <v>-49.53</v>
      </c>
      <c r="P28" s="23">
        <f>'Annual Raw'!Q11</f>
        <v>-54.33</v>
      </c>
      <c r="Q28" s="23">
        <f>'Annual Raw'!R11</f>
        <v>-147.77000000000001</v>
      </c>
      <c r="R28" s="23">
        <f>'Annual Raw'!S11</f>
        <v>-139.72999999999999</v>
      </c>
      <c r="S28" s="23">
        <f>'Annual Raw'!T11</f>
        <v>-362.2</v>
      </c>
      <c r="T28" s="23">
        <f>'Annual Raw'!U11</f>
        <v>83.44</v>
      </c>
      <c r="U28" s="23">
        <f>'Annual Raw'!V11</f>
        <v>-133.13</v>
      </c>
      <c r="V28" s="23">
        <f>'Annual Raw'!W11</f>
        <v>-279.24</v>
      </c>
      <c r="W28" s="23">
        <f>'Annual Raw'!X11</f>
        <v>73.86</v>
      </c>
      <c r="X28" s="23">
        <f>'Annual Raw'!Y11</f>
        <v>166.19</v>
      </c>
      <c r="Y28" s="23">
        <f>'Annual Raw'!Z11</f>
        <v>-155.01</v>
      </c>
      <c r="Z28" s="23">
        <f>'Annual Raw'!AA11</f>
        <v>-274.92</v>
      </c>
      <c r="AA28" s="23">
        <f>'Annual Raw'!AB11</f>
        <v>11.4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>
        <f>'QTR Raw'!C10</f>
        <v>-47</v>
      </c>
      <c r="AJ28" s="23">
        <f>'QTR Raw'!D10</f>
        <v>-70</v>
      </c>
      <c r="AK28" s="23">
        <f>'QTR Raw'!E10</f>
        <v>-40</v>
      </c>
      <c r="AL28" s="23">
        <f>'QTR Raw'!F10</f>
        <v>-57</v>
      </c>
      <c r="AM28" s="23">
        <f>'QTR Raw'!G10</f>
        <v>-26</v>
      </c>
      <c r="AN28" s="23">
        <f>'QTR Raw'!H10</f>
        <v>-15</v>
      </c>
      <c r="AO28" s="23">
        <f>'QTR Raw'!I10</f>
        <v>4</v>
      </c>
      <c r="AP28" s="23">
        <f>'QTR Raw'!J10</f>
        <v>-17</v>
      </c>
      <c r="AQ28" s="23">
        <f>'QTR Raw'!K10</f>
        <v>-19</v>
      </c>
      <c r="AR28" s="23">
        <f>'QTR Raw'!L10</f>
        <v>-22</v>
      </c>
      <c r="AS28" s="23">
        <f>'QTR Raw'!M10</f>
        <v>-11</v>
      </c>
      <c r="AT28" s="23">
        <f>'QTR Raw'!N10</f>
        <v>-9</v>
      </c>
      <c r="AU28" s="23">
        <f>'QTR Raw'!O10</f>
        <v>-8</v>
      </c>
      <c r="AV28" s="23">
        <f>'QTR Raw'!P10</f>
        <v>-33</v>
      </c>
      <c r="AW28" s="23">
        <f>'QTR Raw'!Q10</f>
        <v>-82</v>
      </c>
      <c r="AX28" s="23">
        <f>'QTR Raw'!R10</f>
        <v>-25</v>
      </c>
      <c r="AY28" s="23">
        <f>'QTR Raw'!S10</f>
        <v>-88</v>
      </c>
      <c r="AZ28" s="23">
        <f>'QTR Raw'!T10</f>
        <v>-109</v>
      </c>
      <c r="BA28" s="23">
        <f>'QTR Raw'!U10</f>
        <v>-17</v>
      </c>
      <c r="BB28" s="23">
        <f>'QTR Raw'!V10</f>
        <v>75</v>
      </c>
      <c r="BC28" s="23">
        <f>'QTR Raw'!W10</f>
        <v>-49</v>
      </c>
      <c r="BD28" s="23">
        <f>'QTR Raw'!X10</f>
        <v>49</v>
      </c>
      <c r="BE28" s="23">
        <f>'QTR Raw'!Y10</f>
        <v>-187</v>
      </c>
      <c r="BF28" s="23">
        <f>'QTR Raw'!Z10</f>
        <v>-175</v>
      </c>
      <c r="BG28" s="23">
        <f>'QTR Raw'!AA10</f>
        <v>-14</v>
      </c>
      <c r="BH28" s="23">
        <f>'QTR Raw'!AB10</f>
        <v>39</v>
      </c>
      <c r="BI28" s="23">
        <f>'QTR Raw'!AC10</f>
        <v>29</v>
      </c>
      <c r="BJ28" s="23">
        <f>'QTR Raw'!AD10</f>
        <v>29</v>
      </c>
      <c r="BK28" s="23">
        <f>'QTR Raw'!AE10</f>
        <v>-27</v>
      </c>
      <c r="BL28" s="23">
        <f>'QTR Raw'!AF10</f>
        <v>-3</v>
      </c>
      <c r="BM28" s="23">
        <f>'QTR Raw'!AG10</f>
        <v>-21</v>
      </c>
      <c r="BN28" s="23">
        <f>'QTR Raw'!AH10</f>
        <v>-82</v>
      </c>
      <c r="BO28" s="23">
        <f>'QTR Raw'!AI10</f>
        <v>-93</v>
      </c>
      <c r="BP28" s="23">
        <f>'QTR Raw'!AJ10</f>
        <v>-83</v>
      </c>
      <c r="BQ28" s="23">
        <f>'QTR Raw'!AK10</f>
        <v>-29</v>
      </c>
      <c r="BR28" s="23">
        <f>'QTR Raw'!AL10</f>
        <v>-74</v>
      </c>
      <c r="BS28" s="23">
        <f>'QTR Raw'!AM10</f>
        <v>-26</v>
      </c>
      <c r="BT28" s="23">
        <f>'QTR Raw'!AN10</f>
        <v>30</v>
      </c>
      <c r="BU28" s="23">
        <f>'QTR Raw'!AO10</f>
        <v>79</v>
      </c>
      <c r="BV28" s="23">
        <f>'QTR Raw'!AP10</f>
        <v>-9</v>
      </c>
      <c r="BW28" s="23">
        <f>'QTR Raw'!AQ10</f>
        <v>22</v>
      </c>
      <c r="BX28" s="23">
        <f>'QTR Raw'!AR10</f>
        <v>66</v>
      </c>
      <c r="BY28" s="23">
        <f>'QTR Raw'!AS10</f>
        <v>30</v>
      </c>
      <c r="BZ28" s="23">
        <f>'QTR Raw'!AT10</f>
        <v>48</v>
      </c>
      <c r="CA28" s="23">
        <f>'QTR Raw'!AU10</f>
        <v>-35</v>
      </c>
      <c r="CB28" s="23">
        <f>'QTR Raw'!AV10</f>
        <v>-65</v>
      </c>
      <c r="CC28" s="23">
        <f>'QTR Raw'!AW10</f>
        <v>-9</v>
      </c>
      <c r="CD28" s="23">
        <f>'QTR Raw'!AX10</f>
        <v>-46</v>
      </c>
      <c r="CE28" s="23">
        <f>'QTR Raw'!AY10</f>
        <v>-30</v>
      </c>
      <c r="CF28" s="23">
        <f>'QTR Raw'!AZ10</f>
        <v>-41</v>
      </c>
      <c r="CG28" s="23">
        <f>'QTR Raw'!BA10</f>
        <v>-117</v>
      </c>
      <c r="CH28" s="23">
        <f>'QTR Raw'!BB10</f>
        <v>-87</v>
      </c>
      <c r="CI28" s="23">
        <f>'QTR Raw'!BC10</f>
        <v>40</v>
      </c>
      <c r="CJ28" s="23">
        <f>'QTR Raw'!BD10</f>
        <v>36</v>
      </c>
      <c r="CK28" s="23">
        <f>'QTR Raw'!BE10</f>
        <v>-37</v>
      </c>
      <c r="CL28" s="23">
        <f>'QTR Raw'!BF10</f>
        <v>-28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11</v>
      </c>
    </row>
    <row r="29" spans="1:110" s="23" customFormat="1" outlineLevel="1" x14ac:dyDescent="0.2">
      <c r="A29" s="23" t="s">
        <v>3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Raw'!C12</f>
        <v>64</v>
      </c>
      <c r="AJ29" s="23">
        <f>'QTR Raw'!D12</f>
        <v>75</v>
      </c>
      <c r="AK29" s="23">
        <f>'QTR Raw'!E12</f>
        <v>74</v>
      </c>
      <c r="AL29" s="23">
        <f>'QTR Raw'!F12</f>
        <v>82</v>
      </c>
      <c r="AM29" s="23">
        <f>'QTR Raw'!G12</f>
        <v>112</v>
      </c>
      <c r="AN29" s="23">
        <f>'QTR Raw'!H12</f>
        <v>102</v>
      </c>
      <c r="AO29" s="23">
        <f>'QTR Raw'!I12</f>
        <v>86</v>
      </c>
      <c r="AP29" s="23">
        <f>'QTR Raw'!J12</f>
        <v>114</v>
      </c>
      <c r="AQ29" s="23">
        <f>'QTR Raw'!K12</f>
        <v>119</v>
      </c>
      <c r="AR29" s="23">
        <f>'QTR Raw'!L12</f>
        <v>134</v>
      </c>
      <c r="AS29" s="23">
        <f>'QTR Raw'!M12</f>
        <v>130</v>
      </c>
      <c r="AT29" s="23">
        <f>'QTR Raw'!N12</f>
        <v>119</v>
      </c>
      <c r="AU29" s="23">
        <f>'QTR Raw'!O12</f>
        <v>162</v>
      </c>
      <c r="AV29" s="23">
        <f>'QTR Raw'!P12</f>
        <v>149</v>
      </c>
      <c r="AW29" s="23">
        <f>'QTR Raw'!Q12</f>
        <v>173</v>
      </c>
      <c r="AX29" s="23">
        <f>'QTR Raw'!R12</f>
        <v>194</v>
      </c>
      <c r="AY29" s="23">
        <f>'QTR Raw'!S12</f>
        <v>182</v>
      </c>
      <c r="AZ29" s="23">
        <f>'QTR Raw'!T12</f>
        <v>212</v>
      </c>
      <c r="BA29" s="23">
        <f>'QTR Raw'!U12</f>
        <v>172</v>
      </c>
      <c r="BB29" s="23">
        <f>'QTR Raw'!V12</f>
        <v>185</v>
      </c>
      <c r="BC29" s="23">
        <f>'QTR Raw'!W12</f>
        <v>200</v>
      </c>
      <c r="BD29" s="23">
        <f>'QTR Raw'!X12</f>
        <v>188</v>
      </c>
      <c r="BE29" s="23">
        <f>'QTR Raw'!Y12</f>
        <v>319</v>
      </c>
      <c r="BF29" s="23">
        <f>'QTR Raw'!Z12</f>
        <v>290</v>
      </c>
      <c r="BG29" s="23">
        <f>'QTR Raw'!AA12</f>
        <v>248</v>
      </c>
      <c r="BH29" s="23">
        <f>'QTR Raw'!AB12</f>
        <v>238</v>
      </c>
      <c r="BI29" s="23">
        <f>'QTR Raw'!AC12</f>
        <v>216</v>
      </c>
      <c r="BJ29" s="23">
        <f>'QTR Raw'!AD12</f>
        <v>144</v>
      </c>
      <c r="BK29" s="23">
        <f>'QTR Raw'!AE12</f>
        <v>210</v>
      </c>
      <c r="BL29" s="23">
        <f>'QTR Raw'!AF12</f>
        <v>210</v>
      </c>
      <c r="BM29" s="23">
        <f>'QTR Raw'!AG12</f>
        <v>224</v>
      </c>
      <c r="BN29" s="23">
        <f>'QTR Raw'!AH12</f>
        <v>279</v>
      </c>
      <c r="BO29" s="23">
        <f>'QTR Raw'!AI12</f>
        <v>283</v>
      </c>
      <c r="BP29" s="23">
        <f>'QTR Raw'!AJ12</f>
        <v>273</v>
      </c>
      <c r="BQ29" s="23">
        <f>'QTR Raw'!AK12</f>
        <v>226</v>
      </c>
      <c r="BR29" s="23">
        <f>'QTR Raw'!AL12</f>
        <v>223</v>
      </c>
      <c r="BS29" s="23">
        <f>'QTR Raw'!AM12</f>
        <v>206</v>
      </c>
      <c r="BT29" s="23">
        <f>'QTR Raw'!AN12</f>
        <v>196</v>
      </c>
      <c r="BU29" s="23">
        <f>'QTR Raw'!AO12</f>
        <v>195</v>
      </c>
      <c r="BV29" s="23">
        <f>'QTR Raw'!AP12</f>
        <v>234</v>
      </c>
      <c r="BW29" s="23">
        <f>'QTR Raw'!AQ12</f>
        <v>246</v>
      </c>
      <c r="BX29" s="23">
        <f>'QTR Raw'!AR12</f>
        <v>225</v>
      </c>
      <c r="BY29" s="23">
        <f>'QTR Raw'!AS12</f>
        <v>350</v>
      </c>
      <c r="BZ29" s="23">
        <f>'QTR Raw'!AT12</f>
        <v>268</v>
      </c>
      <c r="CA29" s="23">
        <f>'QTR Raw'!AU12</f>
        <v>250</v>
      </c>
      <c r="CB29" s="23">
        <f>'QTR Raw'!AV12</f>
        <v>292</v>
      </c>
      <c r="CC29" s="23">
        <f>'QTR Raw'!AW12</f>
        <v>327</v>
      </c>
      <c r="CD29" s="23">
        <f>'QTR Raw'!AX12</f>
        <v>315</v>
      </c>
      <c r="CE29" s="23">
        <f>'QTR Raw'!AY12</f>
        <v>313</v>
      </c>
      <c r="CF29" s="23">
        <f>'QTR Raw'!AZ12</f>
        <v>382</v>
      </c>
      <c r="CG29" s="23">
        <f>'QTR Raw'!BA12</f>
        <v>420</v>
      </c>
      <c r="CH29" s="23">
        <f>'QTR Raw'!BB12</f>
        <v>416</v>
      </c>
      <c r="CI29" s="23">
        <f>'QTR Raw'!BC12</f>
        <v>338</v>
      </c>
      <c r="CJ29" s="23">
        <f>'QTR Raw'!BD12</f>
        <v>382</v>
      </c>
      <c r="CK29" s="23">
        <f>'QTR Raw'!BE12</f>
        <v>422</v>
      </c>
      <c r="CL29" s="23">
        <f>'QTR Raw'!BF12</f>
        <v>477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1619</v>
      </c>
    </row>
    <row r="30" spans="1:110" s="23" customFormat="1" outlineLevel="1" x14ac:dyDescent="0.2">
      <c r="A30" s="23" t="s">
        <v>4</v>
      </c>
      <c r="B30" s="23">
        <f>'Annual Raw'!C12</f>
        <v>139.93790000000001</v>
      </c>
      <c r="C30" s="23">
        <f>'Annual Raw'!D12</f>
        <v>136.38650000000001</v>
      </c>
      <c r="D30" s="23">
        <f>'Annual Raw'!E12</f>
        <v>134.54470000000001</v>
      </c>
      <c r="E30" s="23">
        <f>'Annual Raw'!F12</f>
        <v>157.995</v>
      </c>
      <c r="F30" s="23">
        <f>'Annual Raw'!G12</f>
        <v>185.0677</v>
      </c>
      <c r="G30" s="23">
        <f>'Annual Raw'!H12</f>
        <v>375.90190000000001</v>
      </c>
      <c r="H30" s="23">
        <f>'Annual Raw'!I12</f>
        <v>454.50450000000001</v>
      </c>
      <c r="I30" s="23">
        <f>'Annual Raw'!J12</f>
        <v>406.99439999999998</v>
      </c>
      <c r="J30" s="23">
        <f>'Annual Raw'!K12</f>
        <v>507.22239999999999</v>
      </c>
      <c r="K30" s="23">
        <f>'Annual Raw'!L12</f>
        <v>536.59299999999996</v>
      </c>
      <c r="L30" s="23">
        <f>'Annual Raw'!M12</f>
        <v>740.70590000000004</v>
      </c>
      <c r="M30" s="23">
        <f>'Annual Raw'!N12</f>
        <v>776.21</v>
      </c>
      <c r="N30" s="23">
        <f>'Annual Raw'!O12</f>
        <v>1016.81</v>
      </c>
      <c r="O30" s="23">
        <f>'Annual Raw'!P12</f>
        <v>1157.1099999999999</v>
      </c>
      <c r="P30" s="23">
        <f>'Annual Raw'!Q12</f>
        <v>1335.29</v>
      </c>
      <c r="Q30" s="23">
        <f>'Annual Raw'!R12</f>
        <v>1579.9</v>
      </c>
      <c r="R30" s="23">
        <f>'Annual Raw'!S12</f>
        <v>1769.39</v>
      </c>
      <c r="S30" s="23">
        <f>'Annual Raw'!T12</f>
        <v>1897.37</v>
      </c>
      <c r="T30" s="23">
        <f>'Annual Raw'!U12</f>
        <v>1957.82</v>
      </c>
      <c r="U30" s="23">
        <f>'Annual Raw'!V12</f>
        <v>2114.92</v>
      </c>
      <c r="V30" s="23">
        <f>'Annual Raw'!W12</f>
        <v>2239.36</v>
      </c>
      <c r="W30" s="23">
        <f>'Annual Raw'!X12</f>
        <v>2156.89</v>
      </c>
      <c r="X30" s="23">
        <f>'Annual Raw'!Y12</f>
        <v>2347.0100000000002</v>
      </c>
      <c r="Y30" s="23">
        <f>'Annual Raw'!Z12</f>
        <v>2613.96</v>
      </c>
      <c r="Z30" s="23">
        <f>'Annual Raw'!AA12</f>
        <v>2830.55</v>
      </c>
      <c r="AA30" s="23">
        <f>'Annual Raw'!AB12</f>
        <v>3112.55</v>
      </c>
      <c r="AB30" s="24">
        <f>+SUM(CM30:CP30)</f>
        <v>4016.8443195197246</v>
      </c>
      <c r="AC30" s="24">
        <f>+SUM(CQ30:CT30)</f>
        <v>4703.1287081971768</v>
      </c>
      <c r="AD30" s="24">
        <f>+SUM(CU30:CX30)</f>
        <v>4905.1030905214302</v>
      </c>
      <c r="AE30" s="24">
        <f>+SUM(CY30:DB30)</f>
        <v>5025.2809993208803</v>
      </c>
      <c r="AI30" s="23">
        <f>'QTR Raw'!C11</f>
        <v>203</v>
      </c>
      <c r="AJ30" s="23">
        <f>'QTR Raw'!D11</f>
        <v>212</v>
      </c>
      <c r="AK30" s="23">
        <f>'QTR Raw'!E11</f>
        <v>212</v>
      </c>
      <c r="AL30" s="23">
        <f>'QTR Raw'!F11</f>
        <v>218</v>
      </c>
      <c r="AM30" s="23">
        <f>'QTR Raw'!G11</f>
        <v>213</v>
      </c>
      <c r="AN30" s="23">
        <f>'QTR Raw'!H11</f>
        <v>214</v>
      </c>
      <c r="AO30" s="23">
        <f>'QTR Raw'!I11</f>
        <v>228</v>
      </c>
      <c r="AP30" s="23">
        <f>'QTR Raw'!J11</f>
        <v>223</v>
      </c>
      <c r="AQ30" s="23">
        <f>'QTR Raw'!K11</f>
        <v>201</v>
      </c>
      <c r="AR30" s="23">
        <f>'QTR Raw'!L11</f>
        <v>269</v>
      </c>
      <c r="AS30" s="23">
        <f>'QTR Raw'!M11</f>
        <v>253</v>
      </c>
      <c r="AT30" s="23">
        <f>'QTR Raw'!N11</f>
        <v>251</v>
      </c>
      <c r="AU30" s="23">
        <f>'QTR Raw'!O11</f>
        <v>264</v>
      </c>
      <c r="AV30" s="23">
        <f>'QTR Raw'!P11</f>
        <v>260</v>
      </c>
      <c r="AW30" s="23">
        <f>'QTR Raw'!Q11</f>
        <v>281</v>
      </c>
      <c r="AX30" s="23">
        <f>'QTR Raw'!R11</f>
        <v>242</v>
      </c>
      <c r="AY30" s="23">
        <f>'QTR Raw'!S11</f>
        <v>343</v>
      </c>
      <c r="AZ30" s="23">
        <f>'QTR Raw'!T11</f>
        <v>298</v>
      </c>
      <c r="BA30" s="23">
        <f>'QTR Raw'!U11</f>
        <v>309</v>
      </c>
      <c r="BB30" s="23">
        <f>'QTR Raw'!V11</f>
        <v>230</v>
      </c>
      <c r="BC30" s="23">
        <f>'QTR Raw'!W11</f>
        <v>250</v>
      </c>
      <c r="BD30" s="23">
        <f>'QTR Raw'!X11</f>
        <v>181</v>
      </c>
      <c r="BE30" s="23">
        <f>'QTR Raw'!Y11</f>
        <v>260</v>
      </c>
      <c r="BF30" s="23">
        <f>'QTR Raw'!Z11</f>
        <v>348</v>
      </c>
      <c r="BG30" s="23">
        <f>'QTR Raw'!AA11</f>
        <v>324</v>
      </c>
      <c r="BH30" s="23">
        <f>'QTR Raw'!AB11</f>
        <v>271</v>
      </c>
      <c r="BI30" s="23">
        <f>'QTR Raw'!AC11</f>
        <v>335</v>
      </c>
      <c r="BJ30" s="23">
        <f>'QTR Raw'!AD11</f>
        <v>360</v>
      </c>
      <c r="BK30" s="23">
        <f>'QTR Raw'!AE11</f>
        <v>376</v>
      </c>
      <c r="BL30" s="23">
        <f>'QTR Raw'!AF11</f>
        <v>331</v>
      </c>
      <c r="BM30" s="23">
        <f>'QTR Raw'!AG11</f>
        <v>339</v>
      </c>
      <c r="BN30" s="23">
        <f>'QTR Raw'!AH11</f>
        <v>331</v>
      </c>
      <c r="BO30" s="23">
        <f>'QTR Raw'!AI11</f>
        <v>345</v>
      </c>
      <c r="BP30" s="23">
        <f>'QTR Raw'!AJ11</f>
        <v>364</v>
      </c>
      <c r="BQ30" s="23">
        <f>'QTR Raw'!AK11</f>
        <v>365</v>
      </c>
      <c r="BR30" s="23">
        <f>'QTR Raw'!AL11</f>
        <v>347</v>
      </c>
      <c r="BS30" s="23">
        <f>'QTR Raw'!AM11</f>
        <v>408</v>
      </c>
      <c r="BT30" s="23">
        <f>'QTR Raw'!AN11</f>
        <v>369</v>
      </c>
      <c r="BU30" s="23">
        <f>'QTR Raw'!AO11</f>
        <v>364</v>
      </c>
      <c r="BV30" s="23">
        <f>'QTR Raw'!AP11</f>
        <v>397</v>
      </c>
      <c r="BW30" s="23">
        <f>'QTR Raw'!AQ11</f>
        <v>392</v>
      </c>
      <c r="BX30" s="23">
        <f>'QTR Raw'!AR11</f>
        <v>350</v>
      </c>
      <c r="BY30" s="23">
        <f>'QTR Raw'!AS11</f>
        <v>350</v>
      </c>
      <c r="BZ30" s="23">
        <f>'QTR Raw'!AT11</f>
        <v>388</v>
      </c>
      <c r="CA30" s="23">
        <f>'QTR Raw'!AU11</f>
        <v>435</v>
      </c>
      <c r="CB30" s="23">
        <f>'QTR Raw'!AV11</f>
        <v>433</v>
      </c>
      <c r="CC30" s="23">
        <f>'QTR Raw'!AW11</f>
        <v>379</v>
      </c>
      <c r="CD30" s="23">
        <f>'QTR Raw'!AX11</f>
        <v>410</v>
      </c>
      <c r="CE30" s="23">
        <f>'QTR Raw'!AY11</f>
        <v>411</v>
      </c>
      <c r="CF30" s="23">
        <f>'QTR Raw'!AZ11</f>
        <v>337</v>
      </c>
      <c r="CG30" s="23">
        <f>'QTR Raw'!BA11</f>
        <v>370</v>
      </c>
      <c r="CH30" s="23">
        <f>'QTR Raw'!BB11</f>
        <v>402</v>
      </c>
      <c r="CI30" s="23">
        <f>'QTR Raw'!BC11</f>
        <v>396</v>
      </c>
      <c r="CJ30" s="23">
        <f>'QTR Raw'!BD11</f>
        <v>382</v>
      </c>
      <c r="CK30" s="23">
        <f>'QTR Raw'!BE11</f>
        <v>414</v>
      </c>
      <c r="CL30" s="23">
        <f>'QTR Raw'!BF11</f>
        <v>566</v>
      </c>
      <c r="CM30" s="24">
        <f t="shared" ref="CM30:DB30" si="106">+CM25-CM31</f>
        <v>911.07839451558493</v>
      </c>
      <c r="CN30" s="24">
        <f t="shared" si="106"/>
        <v>949.57109826992155</v>
      </c>
      <c r="CO30" s="24">
        <f t="shared" si="106"/>
        <v>950.89395996923804</v>
      </c>
      <c r="CP30" s="24">
        <f t="shared" si="106"/>
        <v>1205.3008667649801</v>
      </c>
      <c r="CQ30" s="24">
        <f t="shared" si="106"/>
        <v>1067.8236817778411</v>
      </c>
      <c r="CR30" s="24">
        <f t="shared" si="106"/>
        <v>1113.4271872457648</v>
      </c>
      <c r="CS30" s="24">
        <f t="shared" si="106"/>
        <v>1113.4283324287667</v>
      </c>
      <c r="CT30" s="24">
        <f t="shared" si="106"/>
        <v>1408.4495067448042</v>
      </c>
      <c r="CU30" s="24">
        <f t="shared" si="106"/>
        <v>1147.9476051630168</v>
      </c>
      <c r="CV30" s="24">
        <f t="shared" si="106"/>
        <v>1164.5589186514362</v>
      </c>
      <c r="CW30" s="24">
        <f t="shared" si="106"/>
        <v>1148.9735183448106</v>
      </c>
      <c r="CX30" s="24">
        <f t="shared" si="106"/>
        <v>1443.6230483621666</v>
      </c>
      <c r="CY30" s="24">
        <f t="shared" si="106"/>
        <v>1174.4758609969554</v>
      </c>
      <c r="CZ30" s="24">
        <f t="shared" si="106"/>
        <v>1193.1002273708709</v>
      </c>
      <c r="DA30" s="24">
        <f t="shared" si="106"/>
        <v>1177.7002506730701</v>
      </c>
      <c r="DB30" s="24">
        <f t="shared" si="106"/>
        <v>1480.0046602799839</v>
      </c>
      <c r="DE30" s="123"/>
      <c r="DF30" s="23">
        <v>837.54356406765692</v>
      </c>
    </row>
    <row r="31" spans="1:110" s="31" customFormat="1" x14ac:dyDescent="0.2">
      <c r="A31" s="31" t="s">
        <v>5</v>
      </c>
      <c r="B31" s="31">
        <f t="shared" ref="B31:T31" si="107">B25-B28-B30-B29</f>
        <v>240.46500000000003</v>
      </c>
      <c r="C31" s="31">
        <f t="shared" si="107"/>
        <v>259.00639999999999</v>
      </c>
      <c r="D31" s="31">
        <f t="shared" si="107"/>
        <v>275.8424</v>
      </c>
      <c r="E31" s="31">
        <f t="shared" si="107"/>
        <v>310.23690000000005</v>
      </c>
      <c r="F31" s="31">
        <f t="shared" si="107"/>
        <v>383.55839999999995</v>
      </c>
      <c r="G31" s="31">
        <f t="shared" si="107"/>
        <v>657.74349999999981</v>
      </c>
      <c r="H31" s="31">
        <f t="shared" si="107"/>
        <v>888.61470000000008</v>
      </c>
      <c r="I31" s="31">
        <f t="shared" si="107"/>
        <v>918.72489999999993</v>
      </c>
      <c r="J31" s="31">
        <f t="shared" si="107"/>
        <v>1143.0992999999999</v>
      </c>
      <c r="K31" s="31">
        <f t="shared" si="107"/>
        <v>1399.3220000000001</v>
      </c>
      <c r="L31" s="31">
        <f t="shared" si="107"/>
        <v>1581.1598000000004</v>
      </c>
      <c r="M31" s="31">
        <f t="shared" si="107"/>
        <v>1921.5399999999995</v>
      </c>
      <c r="N31" s="31">
        <f t="shared" si="107"/>
        <v>2403.16</v>
      </c>
      <c r="O31" s="31">
        <f t="shared" si="107"/>
        <v>3077.1400000000003</v>
      </c>
      <c r="P31" s="31">
        <f t="shared" si="107"/>
        <v>3372.49</v>
      </c>
      <c r="Q31" s="31">
        <f t="shared" si="107"/>
        <v>5234.7200000000012</v>
      </c>
      <c r="R31" s="31">
        <f t="shared" si="107"/>
        <v>4186.03</v>
      </c>
      <c r="S31" s="31">
        <f t="shared" si="107"/>
        <v>4414.66</v>
      </c>
      <c r="T31" s="31">
        <f t="shared" si="107"/>
        <v>5631.5400000000009</v>
      </c>
      <c r="U31" s="31">
        <f t="shared" ref="U31:Z31" si="108">U25-U28-U30-U29</f>
        <v>5957.5199999999995</v>
      </c>
      <c r="V31" s="31">
        <f t="shared" si="108"/>
        <v>6044.4500000000007</v>
      </c>
      <c r="W31" s="31">
        <f t="shared" si="108"/>
        <v>6277.2899999999991</v>
      </c>
      <c r="X31" s="31">
        <f t="shared" si="108"/>
        <v>7106.9499999999989</v>
      </c>
      <c r="Y31" s="31">
        <f t="shared" si="108"/>
        <v>8268.89</v>
      </c>
      <c r="Z31" s="31">
        <f t="shared" si="108"/>
        <v>8960.4599999999991</v>
      </c>
      <c r="AA31" s="31">
        <f t="shared" ref="AA31" si="109">AA25-AA28-AA30-AA29</f>
        <v>10855.779999999999</v>
      </c>
      <c r="AB31" s="32">
        <f t="shared" ref="AA31:AD31" si="110">AB25-AB28-AB30-AB29</f>
        <v>12570.96501087027</v>
      </c>
      <c r="AC31" s="32">
        <f t="shared" si="110"/>
        <v>14721.452449385577</v>
      </c>
      <c r="AD31" s="32">
        <f t="shared" si="110"/>
        <v>15354.095332940464</v>
      </c>
      <c r="AE31" s="32">
        <f t="shared" ref="AE31" si="111">AE25-AE28-AE30-AE29</f>
        <v>15730.339754554108</v>
      </c>
      <c r="AI31" s="31">
        <f t="shared" ref="AI31" si="112">AI25-AI28-AI30-AI29</f>
        <v>547</v>
      </c>
      <c r="AJ31" s="31">
        <f t="shared" ref="AJ31" si="113">AJ25-AJ28-AJ30-AJ29</f>
        <v>560</v>
      </c>
      <c r="AK31" s="31">
        <f t="shared" ref="AK31:AM31" si="114">AK25-AK28-AK30-AK29</f>
        <v>551</v>
      </c>
      <c r="AL31" s="31">
        <f t="shared" si="114"/>
        <v>628</v>
      </c>
      <c r="AM31" s="31">
        <f t="shared" si="114"/>
        <v>673</v>
      </c>
      <c r="AN31" s="31">
        <f t="shared" ref="AN31:AO31" si="115">AN25-AN28-AN30-AN29</f>
        <v>671</v>
      </c>
      <c r="AO31" s="31">
        <f t="shared" si="115"/>
        <v>697</v>
      </c>
      <c r="AP31" s="31">
        <f t="shared" ref="AP31:CD31" si="116">AP25-AP28-AP30-AP29</f>
        <v>905</v>
      </c>
      <c r="AQ31" s="31">
        <f t="shared" si="116"/>
        <v>813</v>
      </c>
      <c r="AR31" s="31">
        <f t="shared" si="116"/>
        <v>836</v>
      </c>
      <c r="AS31" s="31">
        <f t="shared" si="116"/>
        <v>796</v>
      </c>
      <c r="AT31" s="31">
        <f t="shared" si="116"/>
        <v>793</v>
      </c>
      <c r="AU31" s="31">
        <f t="shared" si="116"/>
        <v>1529</v>
      </c>
      <c r="AV31" s="31">
        <f t="shared" si="116"/>
        <v>1317</v>
      </c>
      <c r="AW31" s="31">
        <f t="shared" si="116"/>
        <v>1170</v>
      </c>
      <c r="AX31" s="31">
        <f t="shared" si="116"/>
        <v>1092</v>
      </c>
      <c r="AY31" s="31">
        <f t="shared" si="116"/>
        <v>1114</v>
      </c>
      <c r="AZ31" s="31">
        <f t="shared" si="116"/>
        <v>1028</v>
      </c>
      <c r="BA31" s="31">
        <f t="shared" si="116"/>
        <v>979</v>
      </c>
      <c r="BB31" s="31">
        <f t="shared" si="116"/>
        <v>944</v>
      </c>
      <c r="BC31" s="31">
        <f t="shared" si="116"/>
        <v>961</v>
      </c>
      <c r="BD31" s="31">
        <f t="shared" si="116"/>
        <v>999</v>
      </c>
      <c r="BE31" s="31">
        <f t="shared" si="116"/>
        <v>1071</v>
      </c>
      <c r="BF31" s="31">
        <f t="shared" si="116"/>
        <v>1245</v>
      </c>
      <c r="BG31" s="31">
        <f t="shared" si="116"/>
        <v>1314</v>
      </c>
      <c r="BH31" s="31">
        <f t="shared" si="116"/>
        <v>1346</v>
      </c>
      <c r="BI31" s="31">
        <f t="shared" si="116"/>
        <v>1471</v>
      </c>
      <c r="BJ31" s="31">
        <f t="shared" si="116"/>
        <v>1323</v>
      </c>
      <c r="BK31" s="31">
        <f t="shared" si="116"/>
        <v>1463</v>
      </c>
      <c r="BL31" s="31">
        <f t="shared" si="116"/>
        <v>1467</v>
      </c>
      <c r="BM31" s="31">
        <f t="shared" si="116"/>
        <v>1424</v>
      </c>
      <c r="BN31" s="31">
        <f t="shared" si="116"/>
        <v>1418</v>
      </c>
      <c r="BO31" s="31">
        <f t="shared" si="116"/>
        <v>1521</v>
      </c>
      <c r="BP31" s="31">
        <f t="shared" si="116"/>
        <v>1463</v>
      </c>
      <c r="BQ31" s="31">
        <f t="shared" si="116"/>
        <v>1433</v>
      </c>
      <c r="BR31" s="31">
        <f t="shared" si="116"/>
        <v>1441</v>
      </c>
      <c r="BS31" s="31">
        <f t="shared" si="116"/>
        <v>1546</v>
      </c>
      <c r="BT31" s="31">
        <f t="shared" si="116"/>
        <v>1542</v>
      </c>
      <c r="BU31" s="31">
        <f t="shared" si="116"/>
        <v>1470</v>
      </c>
      <c r="BV31" s="31">
        <f t="shared" si="116"/>
        <v>1509</v>
      </c>
      <c r="BW31" s="31">
        <f t="shared" si="116"/>
        <v>1687</v>
      </c>
      <c r="BX31" s="31">
        <f t="shared" si="116"/>
        <v>1650</v>
      </c>
      <c r="BY31" s="31">
        <f t="shared" si="116"/>
        <v>1761</v>
      </c>
      <c r="BZ31" s="31">
        <f t="shared" si="116"/>
        <v>1787</v>
      </c>
      <c r="CA31" s="31">
        <f t="shared" si="116"/>
        <v>1941</v>
      </c>
      <c r="CB31" s="31">
        <f t="shared" si="116"/>
        <v>2000</v>
      </c>
      <c r="CC31" s="31">
        <f t="shared" si="116"/>
        <v>2035</v>
      </c>
      <c r="CD31" s="31">
        <f t="shared" si="116"/>
        <v>2066</v>
      </c>
      <c r="CE31" s="31">
        <f t="shared" ref="CE31:CF31" si="117">CE25-CE28-CE30-CE29</f>
        <v>2165</v>
      </c>
      <c r="CF31" s="31">
        <f t="shared" si="117"/>
        <v>2211</v>
      </c>
      <c r="CG31" s="31">
        <f t="shared" ref="CG31:CH31" si="118">CG25-CG28-CG30-CG29</f>
        <v>2136</v>
      </c>
      <c r="CH31" s="31">
        <f t="shared" si="118"/>
        <v>2228</v>
      </c>
      <c r="CI31" s="31">
        <f t="shared" ref="CI31:CJ31" si="119">CI25-CI28-CI30-CI29</f>
        <v>2404</v>
      </c>
      <c r="CJ31" s="31">
        <f t="shared" si="119"/>
        <v>2502</v>
      </c>
      <c r="CK31" s="31">
        <f t="shared" ref="CK31:CL31" si="120">CK25-CK28-CK30-CK29</f>
        <v>2504</v>
      </c>
      <c r="CL31" s="31">
        <f t="shared" si="120"/>
        <v>3182</v>
      </c>
      <c r="CM31" s="32">
        <f t="shared" ref="CM31:DB31" si="121">+CM32*CM25</f>
        <v>2847.6217477458817</v>
      </c>
      <c r="CN31" s="32">
        <f t="shared" si="121"/>
        <v>2972.6151636874001</v>
      </c>
      <c r="CO31" s="32">
        <f t="shared" si="121"/>
        <v>2977.4658732414559</v>
      </c>
      <c r="CP31" s="32">
        <f t="shared" si="121"/>
        <v>3773.2622261955303</v>
      </c>
      <c r="CQ31" s="32">
        <f t="shared" si="121"/>
        <v>3341.704037851739</v>
      </c>
      <c r="CR31" s="32">
        <f t="shared" si="121"/>
        <v>3485.5055748645718</v>
      </c>
      <c r="CS31" s="32">
        <f t="shared" si="121"/>
        <v>3485.4946314035537</v>
      </c>
      <c r="CT31" s="32">
        <f t="shared" si="121"/>
        <v>4408.7482052657151</v>
      </c>
      <c r="CU31" s="32">
        <f t="shared" si="121"/>
        <v>3593.2232764480427</v>
      </c>
      <c r="CV31" s="32">
        <f t="shared" si="121"/>
        <v>3645.4154595644168</v>
      </c>
      <c r="CW31" s="32">
        <f t="shared" si="121"/>
        <v>3596.5904416791259</v>
      </c>
      <c r="CX31" s="32">
        <f t="shared" si="121"/>
        <v>4518.8661552488784</v>
      </c>
      <c r="CY31" s="32">
        <f t="shared" si="121"/>
        <v>3676.3781839746575</v>
      </c>
      <c r="CZ31" s="32">
        <f t="shared" si="121"/>
        <v>3734.7066970957749</v>
      </c>
      <c r="DA31" s="32">
        <f t="shared" si="121"/>
        <v>3686.4881407920634</v>
      </c>
      <c r="DB31" s="32">
        <f t="shared" si="121"/>
        <v>4632.7667326916135</v>
      </c>
      <c r="DE31" s="124"/>
      <c r="DF31" s="31">
        <v>2599.3397120326763</v>
      </c>
    </row>
    <row r="32" spans="1:110" s="41" customFormat="1" x14ac:dyDescent="0.2">
      <c r="A32" s="41" t="s">
        <v>6</v>
      </c>
      <c r="B32" s="41">
        <f>B31/B25</f>
        <v>0.65752253743843891</v>
      </c>
      <c r="C32" s="41">
        <f t="shared" ref="C32:U32" si="122">C31/C25</f>
        <v>0.64321546142491304</v>
      </c>
      <c r="D32" s="41">
        <f t="shared" si="122"/>
        <v>0.68008967519738184</v>
      </c>
      <c r="E32" s="41">
        <f t="shared" si="122"/>
        <v>0.67540709010365463</v>
      </c>
      <c r="F32" s="41">
        <f t="shared" si="122"/>
        <v>0.70024009009905375</v>
      </c>
      <c r="G32" s="41">
        <f t="shared" si="122"/>
        <v>0.68007554884267607</v>
      </c>
      <c r="H32" s="41">
        <f t="shared" si="122"/>
        <v>0.68418901228794238</v>
      </c>
      <c r="I32" s="41">
        <f t="shared" si="122"/>
        <v>0.67810167381838982</v>
      </c>
      <c r="J32" s="41">
        <f t="shared" si="122"/>
        <v>0.70100510370785374</v>
      </c>
      <c r="K32" s="41">
        <f t="shared" si="122"/>
        <v>0.73032066486370995</v>
      </c>
      <c r="L32" s="41">
        <f t="shared" si="122"/>
        <v>0.71943085075452529</v>
      </c>
      <c r="M32" s="41">
        <f t="shared" si="122"/>
        <v>0.71275853882904527</v>
      </c>
      <c r="N32" s="41">
        <f t="shared" si="122"/>
        <v>0.74838219448544752</v>
      </c>
      <c r="O32" s="41">
        <f t="shared" si="122"/>
        <v>0.73532757269303561</v>
      </c>
      <c r="P32" s="41">
        <f t="shared" si="122"/>
        <v>0.72472896453169156</v>
      </c>
      <c r="Q32" s="41">
        <f t="shared" si="122"/>
        <v>0.7851864073737973</v>
      </c>
      <c r="R32" s="41">
        <f t="shared" si="122"/>
        <v>0.71978217545983358</v>
      </c>
      <c r="S32" s="41">
        <f t="shared" si="122"/>
        <v>0.74198086331878388</v>
      </c>
      <c r="T32" s="41">
        <f t="shared" si="122"/>
        <v>0.73396152643102919</v>
      </c>
      <c r="U32" s="41">
        <f t="shared" si="122"/>
        <v>0.75038258992280182</v>
      </c>
      <c r="V32" s="41">
        <f>V31/V25</f>
        <v>0.75512488490949548</v>
      </c>
      <c r="W32" s="41">
        <f>W31/W25</f>
        <v>0.73780682742441261</v>
      </c>
      <c r="X32" s="41">
        <f>X31/X25</f>
        <v>0.73875667219326091</v>
      </c>
      <c r="Y32" s="41">
        <f>Y31/Y25</f>
        <v>0.77078796850064868</v>
      </c>
      <c r="Z32" s="41">
        <f>Z31/Z25</f>
        <v>0.77808179685987167</v>
      </c>
      <c r="AA32" s="41">
        <f>AA31/AA25</f>
        <v>0.77653717203408068</v>
      </c>
      <c r="AB32" s="42">
        <f t="shared" ref="AA32:AD32" si="123">AB31/AB25</f>
        <v>0.75784359227227227</v>
      </c>
      <c r="AC32" s="42">
        <f t="shared" si="123"/>
        <v>0.75787747133166772</v>
      </c>
      <c r="AD32" s="42">
        <f t="shared" si="123"/>
        <v>0.75788266702393814</v>
      </c>
      <c r="AE32" s="42">
        <f t="shared" ref="AE32" si="124">AE31/AE25</f>
        <v>0.75788336764716224</v>
      </c>
      <c r="AI32" s="41">
        <f t="shared" ref="AI32" si="125">AI31/AI25</f>
        <v>0.71316818774445889</v>
      </c>
      <c r="AJ32" s="41">
        <f t="shared" ref="AJ32" si="126">AJ31/AJ25</f>
        <v>0.72072072072072069</v>
      </c>
      <c r="AK32" s="41">
        <f t="shared" ref="AK32:AM32" si="127">AK31/AK25</f>
        <v>0.69134253450439143</v>
      </c>
      <c r="AL32" s="41">
        <f t="shared" si="127"/>
        <v>0.72101033295063144</v>
      </c>
      <c r="AM32" s="41">
        <f t="shared" si="127"/>
        <v>0.6923868312757202</v>
      </c>
      <c r="AN32" s="41">
        <f t="shared" ref="AN32:AO32" si="128">AN31/AN25</f>
        <v>0.69032921810699588</v>
      </c>
      <c r="AO32" s="41">
        <f t="shared" si="128"/>
        <v>0.68669950738916252</v>
      </c>
      <c r="AP32" s="41">
        <f t="shared" ref="AP32:CD32" si="129">AP31/AP25</f>
        <v>0.73877551020408161</v>
      </c>
      <c r="AQ32" s="41">
        <f t="shared" si="129"/>
        <v>0.72980251346499103</v>
      </c>
      <c r="AR32" s="41">
        <f t="shared" si="129"/>
        <v>0.68693508627773214</v>
      </c>
      <c r="AS32" s="41">
        <f t="shared" si="129"/>
        <v>0.68150684931506844</v>
      </c>
      <c r="AT32" s="41">
        <f t="shared" si="129"/>
        <v>0.6871750433275563</v>
      </c>
      <c r="AU32" s="41">
        <f t="shared" si="129"/>
        <v>0.78531073446327682</v>
      </c>
      <c r="AV32" s="41">
        <f t="shared" si="129"/>
        <v>0.77790903721204963</v>
      </c>
      <c r="AW32" s="41">
        <f t="shared" si="129"/>
        <v>0.75875486381322954</v>
      </c>
      <c r="AX32" s="41">
        <f t="shared" si="129"/>
        <v>0.72654690618762474</v>
      </c>
      <c r="AY32" s="41">
        <f t="shared" si="129"/>
        <v>0.71824629271437779</v>
      </c>
      <c r="AZ32" s="41">
        <f t="shared" si="129"/>
        <v>0.71938418474457666</v>
      </c>
      <c r="BA32" s="41">
        <f t="shared" si="129"/>
        <v>0.67844767844767839</v>
      </c>
      <c r="BB32" s="41">
        <f t="shared" si="129"/>
        <v>0.65829846582984664</v>
      </c>
      <c r="BC32" s="41">
        <f t="shared" si="129"/>
        <v>0.70558002936857567</v>
      </c>
      <c r="BD32" s="41">
        <f t="shared" si="129"/>
        <v>0.70501058574453068</v>
      </c>
      <c r="BE32" s="41">
        <f t="shared" si="129"/>
        <v>0.73205741626794263</v>
      </c>
      <c r="BF32" s="41">
        <f t="shared" si="129"/>
        <v>0.72892271662763464</v>
      </c>
      <c r="BG32" s="41">
        <f t="shared" si="129"/>
        <v>0.70192307692307687</v>
      </c>
      <c r="BH32" s="41">
        <f t="shared" si="129"/>
        <v>0.71066525871172126</v>
      </c>
      <c r="BI32" s="41">
        <f t="shared" si="129"/>
        <v>0.71721111652852265</v>
      </c>
      <c r="BJ32" s="41">
        <f t="shared" si="129"/>
        <v>0.71282327586206895</v>
      </c>
      <c r="BK32" s="41">
        <f t="shared" si="129"/>
        <v>0.72354104846686451</v>
      </c>
      <c r="BL32" s="41">
        <f t="shared" si="129"/>
        <v>0.73167082294264341</v>
      </c>
      <c r="BM32" s="41">
        <f t="shared" si="129"/>
        <v>0.72431332655137337</v>
      </c>
      <c r="BN32" s="41">
        <f t="shared" si="129"/>
        <v>0.72867420349434742</v>
      </c>
      <c r="BO32" s="41">
        <f t="shared" si="129"/>
        <v>0.73978599221789887</v>
      </c>
      <c r="BP32" s="41">
        <f t="shared" si="129"/>
        <v>0.72533465542885478</v>
      </c>
      <c r="BQ32" s="41">
        <f t="shared" si="129"/>
        <v>0.71829573934837088</v>
      </c>
      <c r="BR32" s="41">
        <f t="shared" si="129"/>
        <v>0.74393391843056278</v>
      </c>
      <c r="BS32" s="41">
        <f t="shared" si="129"/>
        <v>0.72446110590440482</v>
      </c>
      <c r="BT32" s="41">
        <f t="shared" si="129"/>
        <v>0.72157229761347685</v>
      </c>
      <c r="BU32" s="41">
        <f t="shared" si="129"/>
        <v>0.69734345351043647</v>
      </c>
      <c r="BV32" s="41">
        <f t="shared" si="129"/>
        <v>0.70811825434068509</v>
      </c>
      <c r="BW32" s="41">
        <f t="shared" si="129"/>
        <v>0.71878994461014056</v>
      </c>
      <c r="BX32" s="41">
        <f t="shared" si="129"/>
        <v>0.7202095154954169</v>
      </c>
      <c r="BY32" s="41">
        <f t="shared" si="129"/>
        <v>0.70694500200722599</v>
      </c>
      <c r="BZ32" s="41">
        <f t="shared" si="129"/>
        <v>0.71738257727820154</v>
      </c>
      <c r="CA32" s="41">
        <f t="shared" si="129"/>
        <v>0.74913160941721346</v>
      </c>
      <c r="CB32" s="41">
        <f t="shared" si="129"/>
        <v>0.75187969924812026</v>
      </c>
      <c r="CC32" s="41">
        <f t="shared" si="129"/>
        <v>0.74487554904831621</v>
      </c>
      <c r="CD32" s="41">
        <f t="shared" si="129"/>
        <v>0.75264116575591988</v>
      </c>
      <c r="CE32" s="41">
        <f t="shared" ref="CE32:CF32" si="130">CE31/CE25</f>
        <v>0.75725778244141306</v>
      </c>
      <c r="CF32" s="41">
        <f t="shared" si="130"/>
        <v>0.76531671858774664</v>
      </c>
      <c r="CG32" s="41">
        <f t="shared" ref="CG32:CH32" si="131">CG31/CG25</f>
        <v>0.76041295834816658</v>
      </c>
      <c r="CH32" s="41">
        <f t="shared" si="131"/>
        <v>0.75295708009462659</v>
      </c>
      <c r="CI32" s="41">
        <f t="shared" ref="CI32:CJ32" si="132">CI31/CI25</f>
        <v>0.75645059786028945</v>
      </c>
      <c r="CJ32" s="41">
        <f t="shared" si="132"/>
        <v>0.75772259236826167</v>
      </c>
      <c r="CK32" s="41">
        <f t="shared" ref="CK32:CL32" si="133">CK31/CK25</f>
        <v>0.75809869815319408</v>
      </c>
      <c r="CL32" s="41">
        <f t="shared" si="133"/>
        <v>0.75816059089826071</v>
      </c>
      <c r="CM32" s="42">
        <f t="shared" ref="CM32:DB32" si="134">AVERAGE(CI32:CL32)</f>
        <v>0.75760811982000142</v>
      </c>
      <c r="CN32" s="42">
        <f t="shared" si="134"/>
        <v>0.75789750030992942</v>
      </c>
      <c r="CO32" s="42">
        <f t="shared" si="134"/>
        <v>0.75794122729534641</v>
      </c>
      <c r="CP32" s="42">
        <f t="shared" si="134"/>
        <v>0.75790185958088441</v>
      </c>
      <c r="CQ32" s="42">
        <f t="shared" si="134"/>
        <v>0.75783717675154039</v>
      </c>
      <c r="CR32" s="42">
        <f t="shared" si="134"/>
        <v>0.75789444098442516</v>
      </c>
      <c r="CS32" s="42">
        <f t="shared" si="134"/>
        <v>0.75789367615304915</v>
      </c>
      <c r="CT32" s="42">
        <f t="shared" si="134"/>
        <v>0.75788178836747477</v>
      </c>
      <c r="CU32" s="42">
        <f t="shared" si="134"/>
        <v>0.75787677056412239</v>
      </c>
      <c r="CV32" s="42">
        <f t="shared" si="134"/>
        <v>0.75788666901726787</v>
      </c>
      <c r="CW32" s="42">
        <f t="shared" si="134"/>
        <v>0.75788472602547852</v>
      </c>
      <c r="CX32" s="42">
        <f t="shared" si="134"/>
        <v>0.75788248849358597</v>
      </c>
      <c r="CY32" s="42">
        <f t="shared" si="134"/>
        <v>0.75788266352511369</v>
      </c>
      <c r="CZ32" s="42">
        <f t="shared" si="134"/>
        <v>0.75788413676536148</v>
      </c>
      <c r="DA32" s="42">
        <f t="shared" si="134"/>
        <v>0.757883503702385</v>
      </c>
      <c r="DB32" s="42">
        <f t="shared" si="134"/>
        <v>0.75788319812161165</v>
      </c>
      <c r="DE32" s="125"/>
      <c r="DF32" s="41">
        <v>0.75630724211909306</v>
      </c>
    </row>
    <row r="33" spans="1:110" s="39" customFormat="1" x14ac:dyDescent="0.2">
      <c r="A33" s="39" t="s">
        <v>447</v>
      </c>
      <c r="C33" s="39">
        <f t="shared" ref="C33:AE33" si="135">+IF(B31&lt;0,1-C31/B31,C31/B31-1)</f>
        <v>7.7106439606595245E-2</v>
      </c>
      <c r="D33" s="39">
        <f t="shared" si="135"/>
        <v>6.5002254770538448E-2</v>
      </c>
      <c r="E33" s="39">
        <f t="shared" si="135"/>
        <v>0.1246889528223365</v>
      </c>
      <c r="F33" s="39">
        <f t="shared" si="135"/>
        <v>0.23634035796515462</v>
      </c>
      <c r="G33" s="39">
        <f t="shared" si="135"/>
        <v>0.71484577055280218</v>
      </c>
      <c r="H33" s="39">
        <f t="shared" si="135"/>
        <v>0.35100491300940306</v>
      </c>
      <c r="I33" s="39">
        <f t="shared" si="135"/>
        <v>3.3884427075086432E-2</v>
      </c>
      <c r="J33" s="39">
        <f t="shared" si="135"/>
        <v>0.24422370613880173</v>
      </c>
      <c r="K33" s="39">
        <f t="shared" si="135"/>
        <v>0.22414736847446259</v>
      </c>
      <c r="L33" s="39">
        <f t="shared" si="135"/>
        <v>0.12994707436887309</v>
      </c>
      <c r="M33" s="39">
        <f t="shared" si="135"/>
        <v>0.21527248542493882</v>
      </c>
      <c r="N33" s="39">
        <f t="shared" si="135"/>
        <v>0.25064271365675461</v>
      </c>
      <c r="O33" s="39">
        <f t="shared" si="135"/>
        <v>0.28045573328450901</v>
      </c>
      <c r="P33" s="39">
        <f t="shared" si="135"/>
        <v>9.5981983270179372E-2</v>
      </c>
      <c r="Q33" s="39">
        <f t="shared" si="135"/>
        <v>0.5521825120311703</v>
      </c>
      <c r="R33" s="39">
        <f t="shared" si="135"/>
        <v>-0.20033354219518928</v>
      </c>
      <c r="S33" s="39">
        <f t="shared" si="135"/>
        <v>5.4617382101896039E-2</v>
      </c>
      <c r="T33" s="39">
        <f t="shared" si="135"/>
        <v>0.27564523655275863</v>
      </c>
      <c r="U33" s="39">
        <f t="shared" si="135"/>
        <v>5.7884699389509464E-2</v>
      </c>
      <c r="V33" s="39">
        <f t="shared" si="135"/>
        <v>1.4591642159825113E-2</v>
      </c>
      <c r="W33" s="39">
        <f t="shared" si="135"/>
        <v>3.8521288123815722E-2</v>
      </c>
      <c r="X33" s="39">
        <f t="shared" si="135"/>
        <v>0.13216849946394071</v>
      </c>
      <c r="Y33" s="39">
        <f t="shared" si="135"/>
        <v>0.16349348173267031</v>
      </c>
      <c r="Z33" s="39">
        <f t="shared" si="135"/>
        <v>8.3635167477134065E-2</v>
      </c>
      <c r="AA33" s="39">
        <f t="shared" si="135"/>
        <v>0.21152039069422779</v>
      </c>
      <c r="AB33" s="40">
        <f t="shared" si="135"/>
        <v>0.15799739962216175</v>
      </c>
      <c r="AC33" s="40">
        <f t="shared" si="135"/>
        <v>0.17106780876851957</v>
      </c>
      <c r="AD33" s="40">
        <f t="shared" si="135"/>
        <v>4.2974216418522726E-2</v>
      </c>
      <c r="AE33" s="40">
        <f t="shared" si="135"/>
        <v>2.4504499513328781E-2</v>
      </c>
      <c r="AM33" s="39">
        <f>+IF(AI31&lt;0,1-AM31/AI31,AM31/AI31-1)</f>
        <v>0.23034734917733091</v>
      </c>
      <c r="AN33" s="39">
        <f t="shared" ref="AN33" si="136">+IF(AJ31&lt;0,1-AN31/AJ31,AN31/AJ31-1)</f>
        <v>0.19821428571428568</v>
      </c>
      <c r="AO33" s="39">
        <f t="shared" ref="AO33" si="137">+IF(AK31&lt;0,1-AO31/AK31,AO31/AK31-1)</f>
        <v>0.26497277676951003</v>
      </c>
      <c r="AP33" s="39">
        <f t="shared" ref="AP33" si="138">+IF(AL31&lt;0,1-AP31/AL31,AP31/AL31-1)</f>
        <v>0.44108280254777066</v>
      </c>
      <c r="AQ33" s="39">
        <f t="shared" ref="AQ33" si="139">+IF(AM31&lt;0,1-AQ31/AM31,AQ31/AM31-1)</f>
        <v>0.20802377414561657</v>
      </c>
      <c r="AR33" s="39">
        <f t="shared" ref="AR33" si="140">+IF(AN31&lt;0,1-AR31/AN31,AR31/AN31-1)</f>
        <v>0.24590163934426235</v>
      </c>
      <c r="AS33" s="39">
        <f t="shared" ref="AS33" si="141">+IF(AO31&lt;0,1-AS31/AO31,AS31/AO31-1)</f>
        <v>0.14203730272596848</v>
      </c>
      <c r="AT33" s="39">
        <f t="shared" ref="AT33" si="142">+IF(AP31&lt;0,1-AT31/AP31,AT31/AP31-1)</f>
        <v>-0.12375690607734802</v>
      </c>
      <c r="AU33" s="39">
        <f t="shared" ref="AU33" si="143">+IF(AQ31&lt;0,1-AU31/AQ31,AU31/AQ31-1)</f>
        <v>0.88068880688806894</v>
      </c>
      <c r="AV33" s="39">
        <f t="shared" ref="AV33" si="144">+IF(AR31&lt;0,1-AV31/AR31,AV31/AR31-1)</f>
        <v>0.57535885167464107</v>
      </c>
      <c r="AW33" s="39">
        <f t="shared" ref="AW33" si="145">+IF(AS31&lt;0,1-AW31/AS31,AW31/AS31-1)</f>
        <v>0.46984924623115587</v>
      </c>
      <c r="AX33" s="39">
        <f t="shared" ref="AX33" si="146">+IF(AT31&lt;0,1-AX31/AT31,AX31/AT31-1)</f>
        <v>0.37704918032786883</v>
      </c>
      <c r="AY33" s="39">
        <f t="shared" ref="AY33" si="147">+IF(AU31&lt;0,1-AY31/AU31,AY31/AU31-1)</f>
        <v>-0.27141922825376064</v>
      </c>
      <c r="AZ33" s="39">
        <f t="shared" ref="AZ33" si="148">+IF(AV31&lt;0,1-AZ31/AV31,AZ31/AV31-1)</f>
        <v>-0.21943811693242221</v>
      </c>
      <c r="BA33" s="39">
        <f t="shared" ref="BA33" si="149">+IF(AW31&lt;0,1-BA31/AW31,BA31/AW31-1)</f>
        <v>-0.16324786324786322</v>
      </c>
      <c r="BB33" s="39">
        <f t="shared" ref="BB33" si="150">+IF(AX31&lt;0,1-BB31/AX31,BB31/AX31-1)</f>
        <v>-0.13553113553113549</v>
      </c>
      <c r="BC33" s="39">
        <f t="shared" ref="BC33" si="151">+IF(AY31&lt;0,1-BC31/AY31,BC31/AY31-1)</f>
        <v>-0.13734290843806107</v>
      </c>
      <c r="BD33" s="39">
        <f t="shared" ref="BD33" si="152">+IF(AZ31&lt;0,1-BD31/AZ31,BD31/AZ31-1)</f>
        <v>-2.8210116731517521E-2</v>
      </c>
      <c r="BE33" s="39">
        <f t="shared" ref="BE33" si="153">+IF(BA31&lt;0,1-BE31/BA31,BE31/BA31-1)</f>
        <v>9.3973442288048936E-2</v>
      </c>
      <c r="BF33" s="39">
        <f t="shared" ref="BF33" si="154">+IF(BB31&lt;0,1-BF31/BB31,BF31/BB31-1)</f>
        <v>0.31885593220338992</v>
      </c>
      <c r="BG33" s="39">
        <f t="shared" ref="BG33" si="155">+IF(BC31&lt;0,1-BG31/BC31,BG31/BC31-1)</f>
        <v>0.36732570239334028</v>
      </c>
      <c r="BH33" s="39">
        <f t="shared" ref="BH33" si="156">+IF(BD31&lt;0,1-BH31/BD31,BH31/BD31-1)</f>
        <v>0.3473473473473474</v>
      </c>
      <c r="BI33" s="39">
        <f t="shared" ref="BI33" si="157">+IF(BE31&lt;0,1-BI31/BE31,BI31/BE31-1)</f>
        <v>0.3734827264239029</v>
      </c>
      <c r="BJ33" s="39">
        <f t="shared" ref="BJ33" si="158">+IF(BF31&lt;0,1-BJ31/BF31,BJ31/BF31-1)</f>
        <v>6.2650602409638489E-2</v>
      </c>
      <c r="BK33" s="39">
        <f t="shared" ref="BK33" si="159">+IF(BG31&lt;0,1-BK31/BG31,BK31/BG31-1)</f>
        <v>0.11339421613394207</v>
      </c>
      <c r="BL33" s="39">
        <f t="shared" ref="BL33" si="160">+IF(BH31&lt;0,1-BL31/BH31,BL31/BH31-1)</f>
        <v>8.9895988112927094E-2</v>
      </c>
      <c r="BM33" s="39">
        <f t="shared" ref="BM33" si="161">+IF(BI31&lt;0,1-BM31/BI31,BM31/BI31-1)</f>
        <v>-3.1951053704962651E-2</v>
      </c>
      <c r="BN33" s="39">
        <f t="shared" ref="BN33" si="162">+IF(BJ31&lt;0,1-BN31/BJ31,BN31/BJ31-1)</f>
        <v>7.1806500377928906E-2</v>
      </c>
      <c r="BO33" s="39">
        <f t="shared" ref="BO33" si="163">+IF(BK31&lt;0,1-BO31/BK31,BO31/BK31-1)</f>
        <v>3.9644565960355482E-2</v>
      </c>
      <c r="BP33" s="39">
        <f t="shared" ref="BP33" si="164">+IF(BL31&lt;0,1-BP31/BL31,BP31/BL31-1)</f>
        <v>-2.7266530334014716E-3</v>
      </c>
      <c r="BQ33" s="39">
        <f t="shared" ref="BQ33" si="165">+IF(BM31&lt;0,1-BQ31/BM31,BQ31/BM31-1)</f>
        <v>6.3202247191012084E-3</v>
      </c>
      <c r="BR33" s="39">
        <f t="shared" ref="BR33" si="166">+IF(BN31&lt;0,1-BR31/BN31,BR31/BN31-1)</f>
        <v>1.6220028208744797E-2</v>
      </c>
      <c r="BS33" s="39">
        <f t="shared" ref="BS33" si="167">+IF(BO31&lt;0,1-BS31/BO31,BS31/BO31-1)</f>
        <v>1.643655489809337E-2</v>
      </c>
      <c r="BT33" s="39">
        <f t="shared" ref="BT33" si="168">+IF(BP31&lt;0,1-BT31/BP31,BT31/BP31-1)</f>
        <v>5.3998632946001379E-2</v>
      </c>
      <c r="BU33" s="39">
        <f t="shared" ref="BU33" si="169">+IF(BQ31&lt;0,1-BU31/BQ31,BU31/BQ31-1)</f>
        <v>2.5819958129797538E-2</v>
      </c>
      <c r="BV33" s="39">
        <f t="shared" ref="BV33" si="170">+IF(BR31&lt;0,1-BV31/BR31,BV31/BR31-1)</f>
        <v>4.718945176960454E-2</v>
      </c>
      <c r="BW33" s="39">
        <f t="shared" ref="BW33" si="171">+IF(BS31&lt;0,1-BW31/BS31,BW31/BS31-1)</f>
        <v>9.120310478654603E-2</v>
      </c>
      <c r="BX33" s="39">
        <f t="shared" ref="BX33" si="172">+IF(BT31&lt;0,1-BX31/BT31,BX31/BT31-1)</f>
        <v>7.0038910505836549E-2</v>
      </c>
      <c r="BY33" s="39">
        <f t="shared" ref="BY33" si="173">+IF(BU31&lt;0,1-BY31/BU31,BY31/BU31-1)</f>
        <v>0.19795918367346932</v>
      </c>
      <c r="BZ33" s="39">
        <f t="shared" ref="BZ33" si="174">+IF(BV31&lt;0,1-BZ31/BV31,BZ31/BV31-1)</f>
        <v>0.18422796554009269</v>
      </c>
      <c r="CA33" s="39">
        <f t="shared" ref="CA33" si="175">+IF(BW31&lt;0,1-CA31/BW31,CA31/BW31-1)</f>
        <v>0.15056312981624176</v>
      </c>
      <c r="CB33" s="39">
        <f t="shared" ref="CB33" si="176">+IF(BX31&lt;0,1-CB31/BX31,CB31/BX31-1)</f>
        <v>0.21212121212121215</v>
      </c>
      <c r="CC33" s="39">
        <f t="shared" ref="CC33" si="177">+IF(BY31&lt;0,1-CC31/BY31,CC31/BY31-1)</f>
        <v>0.15559341283361716</v>
      </c>
      <c r="CD33" s="39">
        <f t="shared" ref="CD33" si="178">+IF(BZ31&lt;0,1-CD31/BZ31,CD31/BZ31-1)</f>
        <v>0.1561275881365416</v>
      </c>
      <c r="CE33" s="39">
        <f t="shared" ref="CE33" si="179">+IF(CA31&lt;0,1-CE31/CA31,CE31/CA31-1)</f>
        <v>0.11540443070582174</v>
      </c>
      <c r="CF33" s="39">
        <f t="shared" ref="CF33" si="180">+IF(CB31&lt;0,1-CF31/CB31,CF31/CB31-1)</f>
        <v>0.10549999999999993</v>
      </c>
      <c r="CG33" s="39">
        <f t="shared" ref="CG33" si="181">+IF(CC31&lt;0,1-CG31/CC31,CG31/CC31-1)</f>
        <v>4.9631449631449609E-2</v>
      </c>
      <c r="CH33" s="39">
        <f t="shared" ref="CH33:CL33" si="182">+IF(CD31&lt;0,1-CH31/CD31,CH31/CD31-1)</f>
        <v>7.841239109390119E-2</v>
      </c>
      <c r="CI33" s="39">
        <f t="shared" si="182"/>
        <v>0.11039260969976916</v>
      </c>
      <c r="CJ33" s="39">
        <f t="shared" si="182"/>
        <v>0.13161465400271366</v>
      </c>
      <c r="CK33" s="39">
        <f t="shared" si="182"/>
        <v>0.17228464419475653</v>
      </c>
      <c r="CL33" s="39">
        <f t="shared" si="182"/>
        <v>0.42818671454219026</v>
      </c>
      <c r="CM33" s="40">
        <f t="shared" ref="CM33" si="183">+CM31/CI31-1</f>
        <v>0.18453483683272953</v>
      </c>
      <c r="CN33" s="40">
        <f t="shared" ref="CN33" si="184">+CN31/CJ31-1</f>
        <v>0.188095589003757</v>
      </c>
      <c r="CO33" s="40">
        <f t="shared" ref="CO33" si="185">+CO31/CK31-1</f>
        <v>0.18908381519227468</v>
      </c>
      <c r="CP33" s="40">
        <f t="shared" ref="CP33" si="186">+CP31/CL31-1</f>
        <v>0.18581465310984613</v>
      </c>
      <c r="CQ33" s="40">
        <f t="shared" ref="CQ33" si="187">+CQ31/CM31-1</f>
        <v>0.17350699421261351</v>
      </c>
      <c r="CR33" s="40">
        <f t="shared" ref="CR33" si="188">+CR31/CN31-1</f>
        <v>0.17253844945773378</v>
      </c>
      <c r="CS33" s="40">
        <f t="shared" ref="CS33" si="189">+CS31/CO31-1</f>
        <v>0.17062454442476138</v>
      </c>
      <c r="CT33" s="40">
        <f t="shared" ref="CT33" si="190">+CT31/CP31-1</f>
        <v>0.16841818590247493</v>
      </c>
      <c r="CU33" s="40">
        <f t="shared" ref="CU33" si="191">+CU31/CQ31-1</f>
        <v>7.5266760834390434E-2</v>
      </c>
      <c r="CV33" s="40">
        <f t="shared" ref="CV33" si="192">+CV31/CR31-1</f>
        <v>4.587853362020744E-2</v>
      </c>
      <c r="CW33" s="40">
        <f t="shared" ref="CW33" si="193">+CW31/CS31-1</f>
        <v>3.1873757392888447E-2</v>
      </c>
      <c r="CX33" s="40">
        <f t="shared" ref="CX33" si="194">+CX31/CT31-1</f>
        <v>2.4977146540517081E-2</v>
      </c>
      <c r="CY33" s="40">
        <f t="shared" ref="CY33" si="195">+CY31/CU31-1</f>
        <v>2.3142148741954749E-2</v>
      </c>
      <c r="CZ33" s="40">
        <f t="shared" ref="CZ33" si="196">+CZ31/CV31-1</f>
        <v>2.4494118303329815E-2</v>
      </c>
      <c r="DA33" s="40">
        <f t="shared" ref="DA33" si="197">+DA31/CW31-1</f>
        <v>2.4995256082304351E-2</v>
      </c>
      <c r="DB33" s="40">
        <f t="shared" ref="DB33" si="198">+DB31/CX31-1</f>
        <v>2.5205565628544813E-2</v>
      </c>
      <c r="DE33" s="122"/>
      <c r="DF33" s="39">
        <v>0.16666952963764636</v>
      </c>
    </row>
    <row r="34" spans="1:110" s="39" customFormat="1" x14ac:dyDescent="0.2">
      <c r="A34" s="39" t="s">
        <v>448</v>
      </c>
      <c r="AB34" s="40"/>
      <c r="AC34" s="40"/>
      <c r="AD34" s="40"/>
      <c r="AE34" s="40"/>
      <c r="AJ34" s="39">
        <f>+IF(AI31&lt;0,1-AJ31/AI31,AJ31/AI31-1)</f>
        <v>2.3765996343692919E-2</v>
      </c>
      <c r="AK34" s="39">
        <f t="shared" ref="AK34" si="199">+IF(AJ31&lt;0,1-AK31/AJ31,AK31/AJ31-1)</f>
        <v>-1.6071428571428625E-2</v>
      </c>
      <c r="AL34" s="39">
        <f t="shared" ref="AL34" si="200">+IF(AK31&lt;0,1-AL31/AK31,AL31/AK31-1)</f>
        <v>0.13974591651542645</v>
      </c>
      <c r="AM34" s="39">
        <f t="shared" ref="AM34" si="201">+IF(AL31&lt;0,1-AM31/AL31,AM31/AL31-1)</f>
        <v>7.1656050955414052E-2</v>
      </c>
      <c r="AN34" s="39">
        <f t="shared" ref="AN34" si="202">+IF(AM31&lt;0,1-AN31/AM31,AN31/AM31-1)</f>
        <v>-2.9717682020802272E-3</v>
      </c>
      <c r="AO34" s="39">
        <f t="shared" ref="AO34" si="203">+IF(AN31&lt;0,1-AO31/AN31,AO31/AN31-1)</f>
        <v>3.8748137108792768E-2</v>
      </c>
      <c r="AP34" s="39">
        <f t="shared" ref="AP34" si="204">+IF(AO31&lt;0,1-AP31/AO31,AP31/AO31-1)</f>
        <v>0.29842180774748917</v>
      </c>
      <c r="AQ34" s="39">
        <f t="shared" ref="AQ34" si="205">+IF(AP31&lt;0,1-AQ31/AP31,AQ31/AP31-1)</f>
        <v>-0.10165745856353592</v>
      </c>
      <c r="AR34" s="39">
        <f t="shared" ref="AR34" si="206">+IF(AQ31&lt;0,1-AR31/AQ31,AR31/AQ31-1)</f>
        <v>2.8290282902829089E-2</v>
      </c>
      <c r="AS34" s="39">
        <f t="shared" ref="AS34" si="207">+IF(AR31&lt;0,1-AS31/AR31,AS31/AR31-1)</f>
        <v>-4.7846889952153138E-2</v>
      </c>
      <c r="AT34" s="39">
        <f t="shared" ref="AT34" si="208">+IF(AS31&lt;0,1-AT31/AS31,AT31/AS31-1)</f>
        <v>-3.7688442211055717E-3</v>
      </c>
      <c r="AU34" s="39">
        <f t="shared" ref="AU34" si="209">+IF(AT31&lt;0,1-AU31/AT31,AU31/AT31-1)</f>
        <v>0.92812105926860022</v>
      </c>
      <c r="AV34" s="39">
        <f t="shared" ref="AV34" si="210">+IF(AU31&lt;0,1-AV31/AU31,AV31/AU31-1)</f>
        <v>-0.13865271419228253</v>
      </c>
      <c r="AW34" s="39">
        <f t="shared" ref="AW34" si="211">+IF(AV31&lt;0,1-AW31/AV31,AW31/AV31-1)</f>
        <v>-0.11161731207289294</v>
      </c>
      <c r="AX34" s="39">
        <f t="shared" ref="AX34" si="212">+IF(AW31&lt;0,1-AX31/AW31,AX31/AW31-1)</f>
        <v>-6.6666666666666652E-2</v>
      </c>
      <c r="AY34" s="39">
        <f t="shared" ref="AY34" si="213">+IF(AX31&lt;0,1-AY31/AX31,AY31/AX31-1)</f>
        <v>2.0146520146520075E-2</v>
      </c>
      <c r="AZ34" s="39">
        <f t="shared" ref="AZ34" si="214">+IF(AY31&lt;0,1-AZ31/AY31,AZ31/AY31-1)</f>
        <v>-7.719928186714542E-2</v>
      </c>
      <c r="BA34" s="39">
        <f t="shared" ref="BA34" si="215">+IF(AZ31&lt;0,1-BA31/AZ31,BA31/AZ31-1)</f>
        <v>-4.76653696498055E-2</v>
      </c>
      <c r="BB34" s="39">
        <f t="shared" ref="BB34" si="216">+IF(BA31&lt;0,1-BB31/BA31,BB31/BA31-1)</f>
        <v>-3.5750766087844776E-2</v>
      </c>
      <c r="BC34" s="39">
        <f t="shared" ref="BC34" si="217">+IF(BB31&lt;0,1-BC31/BB31,BC31/BB31-1)</f>
        <v>1.8008474576271194E-2</v>
      </c>
      <c r="BD34" s="39">
        <f t="shared" ref="BD34" si="218">+IF(BC31&lt;0,1-BD31/BC31,BD31/BC31-1)</f>
        <v>3.9542143600416191E-2</v>
      </c>
      <c r="BE34" s="39">
        <f t="shared" ref="BE34" si="219">+IF(BD31&lt;0,1-BE31/BD31,BE31/BD31-1)</f>
        <v>7.2072072072072002E-2</v>
      </c>
      <c r="BF34" s="39">
        <f t="shared" ref="BF34" si="220">+IF(BE31&lt;0,1-BF31/BE31,BF31/BE31-1)</f>
        <v>0.16246498599439785</v>
      </c>
      <c r="BG34" s="39">
        <f t="shared" ref="BG34" si="221">+IF(BF31&lt;0,1-BG31/BF31,BG31/BF31-1)</f>
        <v>5.5421686746987886E-2</v>
      </c>
      <c r="BH34" s="39">
        <f t="shared" ref="BH34" si="222">+IF(BG31&lt;0,1-BH31/BG31,BH31/BG31-1)</f>
        <v>2.4353120243531201E-2</v>
      </c>
      <c r="BI34" s="39">
        <f t="shared" ref="BI34" si="223">+IF(BH31&lt;0,1-BI31/BH31,BI31/BH31-1)</f>
        <v>9.2867756315007322E-2</v>
      </c>
      <c r="BJ34" s="39">
        <f t="shared" ref="BJ34" si="224">+IF(BI31&lt;0,1-BJ31/BI31,BJ31/BI31-1)</f>
        <v>-0.10061182868796736</v>
      </c>
      <c r="BK34" s="39">
        <f t="shared" ref="BK34" si="225">+IF(BJ31&lt;0,1-BK31/BJ31,BK31/BJ31-1)</f>
        <v>0.10582010582010581</v>
      </c>
      <c r="BL34" s="39">
        <f t="shared" ref="BL34" si="226">+IF(BK31&lt;0,1-BL31/BK31,BL31/BK31-1)</f>
        <v>2.7341079972658111E-3</v>
      </c>
      <c r="BM34" s="39">
        <f t="shared" ref="BM34" si="227">+IF(BL31&lt;0,1-BM31/BL31,BM31/BL31-1)</f>
        <v>-2.9311520109066125E-2</v>
      </c>
      <c r="BN34" s="39">
        <f t="shared" ref="BN34" si="228">+IF(BM31&lt;0,1-BN31/BM31,BN31/BM31-1)</f>
        <v>-4.2134831460673983E-3</v>
      </c>
      <c r="BO34" s="39">
        <f t="shared" ref="BO34" si="229">+IF(BN31&lt;0,1-BO31/BN31,BO31/BN31-1)</f>
        <v>7.2637517630465442E-2</v>
      </c>
      <c r="BP34" s="39">
        <f t="shared" ref="BP34" si="230">+IF(BO31&lt;0,1-BP31/BO31,BP31/BO31-1)</f>
        <v>-3.8132807363576604E-2</v>
      </c>
      <c r="BQ34" s="39">
        <f t="shared" ref="BQ34" si="231">+IF(BP31&lt;0,1-BQ31/BP31,BQ31/BP31-1)</f>
        <v>-2.0505809979494138E-2</v>
      </c>
      <c r="BR34" s="39">
        <f t="shared" ref="BR34" si="232">+IF(BQ31&lt;0,1-BR31/BQ31,BR31/BQ31-1)</f>
        <v>5.5826936496858881E-3</v>
      </c>
      <c r="BS34" s="39">
        <f t="shared" ref="BS34" si="233">+IF(BR31&lt;0,1-BS31/BR31,BS31/BR31-1)</f>
        <v>7.2866065232477517E-2</v>
      </c>
      <c r="BT34" s="39">
        <f t="shared" ref="BT34" si="234">+IF(BS31&lt;0,1-BT31/BS31,BT31/BS31-1)</f>
        <v>-2.5873221216041742E-3</v>
      </c>
      <c r="BU34" s="39">
        <f t="shared" ref="BU34" si="235">+IF(BT31&lt;0,1-BU31/BT31,BU31/BT31-1)</f>
        <v>-4.6692607003890996E-2</v>
      </c>
      <c r="BV34" s="39">
        <f t="shared" ref="BV34" si="236">+IF(BU31&lt;0,1-BV31/BU31,BV31/BU31-1)</f>
        <v>2.6530612244898055E-2</v>
      </c>
      <c r="BW34" s="39">
        <f t="shared" ref="BW34" si="237">+IF(BV31&lt;0,1-BW31/BV31,BW31/BV31-1)</f>
        <v>0.11795891318754137</v>
      </c>
      <c r="BX34" s="39">
        <f t="shared" ref="BX34" si="238">+IF(BW31&lt;0,1-BX31/BW31,BX31/BW31-1)</f>
        <v>-2.1932424422051011E-2</v>
      </c>
      <c r="BY34" s="39">
        <f t="shared" ref="BY34" si="239">+IF(BX31&lt;0,1-BY31/BX31,BY31/BX31-1)</f>
        <v>6.7272727272727373E-2</v>
      </c>
      <c r="BZ34" s="39">
        <f t="shared" ref="BZ34" si="240">+IF(BY31&lt;0,1-BZ31/BY31,BZ31/BY31-1)</f>
        <v>1.4764338444065883E-2</v>
      </c>
      <c r="CA34" s="39">
        <f t="shared" ref="CA34" si="241">+IF(BZ31&lt;0,1-CA31/BZ31,CA31/BZ31-1)</f>
        <v>8.617795187465016E-2</v>
      </c>
      <c r="CB34" s="39">
        <f t="shared" ref="CB34" si="242">+IF(CA31&lt;0,1-CB31/CA31,CB31/CA31-1)</f>
        <v>3.0396702730551173E-2</v>
      </c>
      <c r="CC34" s="39">
        <f t="shared" ref="CC34" si="243">+IF(CB31&lt;0,1-CC31/CB31,CC31/CB31-1)</f>
        <v>1.7500000000000071E-2</v>
      </c>
      <c r="CD34" s="39">
        <f t="shared" ref="CD34" si="244">+IF(CC31&lt;0,1-CD31/CC31,CD31/CC31-1)</f>
        <v>1.5233415233415259E-2</v>
      </c>
      <c r="CE34" s="39">
        <f t="shared" ref="CE34" si="245">+IF(CD31&lt;0,1-CE31/CD31,CE31/CD31-1)</f>
        <v>4.7918683446273036E-2</v>
      </c>
      <c r="CF34" s="39">
        <f t="shared" ref="CF34" si="246">+IF(CE31&lt;0,1-CF31/CE31,CF31/CE31-1)</f>
        <v>2.1247113163972209E-2</v>
      </c>
      <c r="CG34" s="39">
        <f t="shared" ref="CG34" si="247">+IF(CF31&lt;0,1-CG31/CF31,CG31/CF31-1)</f>
        <v>-3.3921302578018953E-2</v>
      </c>
      <c r="CH34" s="39">
        <f t="shared" ref="CH34:CL34" si="248">+IF(CG31&lt;0,1-CH31/CG31,CH31/CG31-1)</f>
        <v>4.3071161048689133E-2</v>
      </c>
      <c r="CI34" s="39">
        <f t="shared" si="248"/>
        <v>7.8994614003590646E-2</v>
      </c>
      <c r="CJ34" s="39">
        <f t="shared" si="248"/>
        <v>4.0765391014975005E-2</v>
      </c>
      <c r="CK34" s="39">
        <f t="shared" si="248"/>
        <v>7.9936051159079646E-4</v>
      </c>
      <c r="CL34" s="39">
        <f t="shared" si="248"/>
        <v>0.27076677316293929</v>
      </c>
      <c r="CM34" s="40">
        <f t="shared" ref="CM34" si="249">+CM31/CL31-1</f>
        <v>-0.10508430303397809</v>
      </c>
      <c r="CN34" s="40">
        <f t="shared" ref="CN34" si="250">+CN31/CM31-1</f>
        <v>4.3893967322190974E-2</v>
      </c>
      <c r="CO34" s="40">
        <f t="shared" ref="CO34" si="251">+CO31/CN31-1</f>
        <v>1.6317986980993737E-3</v>
      </c>
      <c r="CP34" s="40">
        <f t="shared" ref="CP34" si="252">+CP31/CO31-1</f>
        <v>0.26727303916592682</v>
      </c>
      <c r="CQ34" s="40">
        <f t="shared" ref="CQ34" si="253">+CQ31/CP31-1</f>
        <v>-0.11437269992733023</v>
      </c>
      <c r="CR34" s="40">
        <f t="shared" ref="CR34" si="254">+CR31/CQ31-1</f>
        <v>4.3032397658195221E-2</v>
      </c>
      <c r="CS34" s="40">
        <f t="shared" ref="CS34" si="255">+CS31/CR31-1</f>
        <v>-3.1397054983672845E-6</v>
      </c>
      <c r="CT34" s="40">
        <f t="shared" ref="CT34" si="256">+CT31/CS31-1</f>
        <v>0.26488452041895183</v>
      </c>
      <c r="CU34" s="40">
        <f t="shared" ref="CU34" si="257">+CU31/CT31-1</f>
        <v>-0.18497879462556444</v>
      </c>
      <c r="CV34" s="40">
        <f t="shared" ref="CV34" si="258">+CV31/CU31-1</f>
        <v>1.4525171162746986E-2</v>
      </c>
      <c r="CW34" s="40">
        <f t="shared" ref="CW34" si="259">+CW31/CV31-1</f>
        <v>-1.3393540030448237E-2</v>
      </c>
      <c r="CX34" s="40">
        <f t="shared" ref="CX34" si="260">+CX31/CW31-1</f>
        <v>0.25643056348088766</v>
      </c>
      <c r="CY34" s="40">
        <f t="shared" ref="CY34" si="261">+CY31/CX31-1</f>
        <v>-0.18643791215095651</v>
      </c>
      <c r="CZ34" s="40">
        <f t="shared" ref="CZ34" si="262">+CZ31/CY31-1</f>
        <v>1.5865754338161286E-2</v>
      </c>
      <c r="DA34" s="40">
        <f t="shared" ref="DA34" si="263">+DA31/CZ31-1</f>
        <v>-1.291093523922715E-2</v>
      </c>
      <c r="DB34" s="40">
        <f t="shared" ref="DB34" si="264">+DB31/DA31-1</f>
        <v>0.25668835915371657</v>
      </c>
      <c r="DE34" s="122"/>
      <c r="DF34" s="39">
        <v>3.8074964869279748E-2</v>
      </c>
    </row>
    <row r="35" spans="1:110" s="23" customFormat="1" outlineLevel="1" x14ac:dyDescent="0.2">
      <c r="A35" s="23" t="s">
        <v>8</v>
      </c>
      <c r="B35" s="23">
        <f>'Annual Raw'!C14</f>
        <v>24.0549</v>
      </c>
      <c r="C35" s="23">
        <f>'Annual Raw'!D14</f>
        <v>30.482700000000001</v>
      </c>
      <c r="D35" s="23">
        <f>'Annual Raw'!E14</f>
        <v>41.108899999999998</v>
      </c>
      <c r="E35" s="23">
        <f>'Annual Raw'!F14</f>
        <v>48.925199999999997</v>
      </c>
      <c r="F35" s="23">
        <f>'Annual Raw'!G14</f>
        <v>81.293700000000001</v>
      </c>
      <c r="G35" s="23">
        <f>'Annual Raw'!H14</f>
        <v>173.71170000000001</v>
      </c>
      <c r="H35" s="23">
        <f>'Annual Raw'!I14</f>
        <v>244.23429999999999</v>
      </c>
      <c r="I35" s="23">
        <f>'Annual Raw'!J14</f>
        <v>228.13919999999999</v>
      </c>
      <c r="J35" s="23">
        <f>'Annual Raw'!K14</f>
        <v>250.38499999999999</v>
      </c>
      <c r="K35" s="23">
        <f>'Annual Raw'!L14</f>
        <v>308.32850000000002</v>
      </c>
      <c r="L35" s="23">
        <f>'Annual Raw'!M14</f>
        <v>440.43950000000001</v>
      </c>
      <c r="M35" s="23">
        <f>'Annual Raw'!N14</f>
        <v>531.79999999999995</v>
      </c>
      <c r="N35" s="23">
        <f>'Annual Raw'!O14</f>
        <v>623.29</v>
      </c>
      <c r="O35" s="23">
        <f>'Annual Raw'!P14</f>
        <v>741.1</v>
      </c>
      <c r="P35" s="23">
        <f>'Annual Raw'!Q14</f>
        <v>841.81</v>
      </c>
      <c r="Q35" s="23">
        <f>'Annual Raw'!R14</f>
        <v>842.35</v>
      </c>
      <c r="R35" s="23">
        <f>'Annual Raw'!S14</f>
        <v>993.41</v>
      </c>
      <c r="S35" s="23">
        <f>'Annual Raw'!T14</f>
        <v>1135.25</v>
      </c>
      <c r="T35" s="23">
        <f>'Annual Raw'!U14</f>
        <v>1403.79</v>
      </c>
      <c r="U35" s="23">
        <f>'Annual Raw'!V14</f>
        <v>1429.04</v>
      </c>
      <c r="V35" s="23">
        <f>'Annual Raw'!W14</f>
        <v>1439.62</v>
      </c>
      <c r="W35" s="23">
        <f>'Annual Raw'!X14</f>
        <v>1526.45</v>
      </c>
      <c r="X35" s="23">
        <f>'Annual Raw'!Y14</f>
        <v>1677.69</v>
      </c>
      <c r="Y35" s="23">
        <f>'Annual Raw'!Z14</f>
        <v>1984.4</v>
      </c>
      <c r="Z35" s="23">
        <f>'Annual Raw'!AA14</f>
        <v>2203.37</v>
      </c>
      <c r="AA35" s="23">
        <f>'Annual Raw'!AB14</f>
        <v>2670.85</v>
      </c>
      <c r="AB35" s="76">
        <f t="shared" ref="AB35:AB40" si="265">+SUM(CM35:CP35)</f>
        <v>2857.9700000000003</v>
      </c>
      <c r="AC35" s="76">
        <f t="shared" ref="AC35:AC40" si="266">+SUM(CQ35:CT35)</f>
        <v>3058.0279</v>
      </c>
      <c r="AD35" s="76">
        <f t="shared" ref="AD35:AD40" si="267">+SUM(CU35:CX35)</f>
        <v>3272.0898530000004</v>
      </c>
      <c r="AE35" s="76">
        <f t="shared" ref="AE35:AE40" si="268">+SUM(CY35:DB35)</f>
        <v>3501.136142710001</v>
      </c>
      <c r="AI35" s="23">
        <f>'QTR Raw'!C16</f>
        <v>152</v>
      </c>
      <c r="AJ35" s="23">
        <f>'QTR Raw'!D16</f>
        <v>155</v>
      </c>
      <c r="AK35" s="23">
        <f>'QTR Raw'!E16</f>
        <v>152</v>
      </c>
      <c r="AL35" s="23">
        <f>'QTR Raw'!F16</f>
        <v>164</v>
      </c>
      <c r="AM35" s="23">
        <f>'QTR Raw'!G16</f>
        <v>172</v>
      </c>
      <c r="AN35" s="23">
        <f>'QTR Raw'!H16</f>
        <v>182</v>
      </c>
      <c r="AO35" s="23">
        <f>'QTR Raw'!I16</f>
        <v>179</v>
      </c>
      <c r="AP35" s="23">
        <f>'QTR Raw'!J16</f>
        <v>208</v>
      </c>
      <c r="AQ35" s="23">
        <f>'QTR Raw'!K16</f>
        <v>184</v>
      </c>
      <c r="AR35" s="23">
        <f>'QTR Raw'!L16</f>
        <v>224</v>
      </c>
      <c r="AS35" s="23">
        <f>'QTR Raw'!M16</f>
        <v>199</v>
      </c>
      <c r="AT35" s="23">
        <f>'QTR Raw'!N16</f>
        <v>235</v>
      </c>
      <c r="AU35" s="23">
        <f>'QTR Raw'!O16</f>
        <v>207</v>
      </c>
      <c r="AV35" s="23">
        <f>'QTR Raw'!P16</f>
        <v>207</v>
      </c>
      <c r="AW35" s="23">
        <f>'QTR Raw'!Q16</f>
        <v>201</v>
      </c>
      <c r="AX35" s="23">
        <f>'QTR Raw'!R16</f>
        <v>227</v>
      </c>
      <c r="AY35" s="23">
        <f>'QTR Raw'!S16</f>
        <v>252</v>
      </c>
      <c r="AZ35" s="23">
        <f>'QTR Raw'!T16</f>
        <v>259</v>
      </c>
      <c r="BA35" s="23">
        <f>'QTR Raw'!U16</f>
        <v>233</v>
      </c>
      <c r="BB35" s="23">
        <f>'QTR Raw'!V16</f>
        <v>249</v>
      </c>
      <c r="BC35" s="23">
        <f>'QTR Raw'!W16</f>
        <v>263</v>
      </c>
      <c r="BD35" s="23">
        <f>'QTR Raw'!X16</f>
        <v>283</v>
      </c>
      <c r="BE35" s="23">
        <f>'QTR Raw'!Y16</f>
        <v>272</v>
      </c>
      <c r="BF35" s="23">
        <f>'QTR Raw'!Z16</f>
        <v>317</v>
      </c>
      <c r="BG35" s="23">
        <f>'QTR Raw'!AA16</f>
        <v>346</v>
      </c>
      <c r="BH35" s="23">
        <f>'QTR Raw'!AB16</f>
        <v>343</v>
      </c>
      <c r="BI35" s="23">
        <f>'QTR Raw'!AC16</f>
        <v>368</v>
      </c>
      <c r="BJ35" s="23">
        <f>'QTR Raw'!AD16</f>
        <v>347</v>
      </c>
      <c r="BK35" s="23">
        <f>'QTR Raw'!AE16</f>
        <v>381</v>
      </c>
      <c r="BL35" s="23">
        <f>'QTR Raw'!AF16</f>
        <v>358</v>
      </c>
      <c r="BM35" s="23">
        <f>'QTR Raw'!AG16</f>
        <v>354</v>
      </c>
      <c r="BN35" s="23">
        <f>'QTR Raw'!AH16</f>
        <v>336</v>
      </c>
      <c r="BO35" s="23">
        <f>'QTR Raw'!AI16</f>
        <v>373</v>
      </c>
      <c r="BP35" s="23">
        <f>'QTR Raw'!AJ16</f>
        <v>363</v>
      </c>
      <c r="BQ35" s="23">
        <f>'QTR Raw'!AK16</f>
        <v>363</v>
      </c>
      <c r="BR35" s="23">
        <f>'QTR Raw'!AL16</f>
        <v>341</v>
      </c>
      <c r="BS35" s="23">
        <f>'QTR Raw'!AM16</f>
        <v>385</v>
      </c>
      <c r="BT35" s="23">
        <f>'QTR Raw'!AN16</f>
        <v>389</v>
      </c>
      <c r="BU35" s="23">
        <f>'QTR Raw'!AO16</f>
        <v>388</v>
      </c>
      <c r="BV35" s="23">
        <f>'QTR Raw'!AP16</f>
        <v>364</v>
      </c>
      <c r="BW35" s="23">
        <f>'QTR Raw'!AQ16</f>
        <v>420</v>
      </c>
      <c r="BX35" s="23">
        <f>'QTR Raw'!AR16</f>
        <v>394</v>
      </c>
      <c r="BY35" s="23">
        <f>'QTR Raw'!AS16</f>
        <v>423</v>
      </c>
      <c r="BZ35" s="23">
        <f>'QTR Raw'!AT16</f>
        <v>441</v>
      </c>
      <c r="CA35" s="23">
        <f>'QTR Raw'!AU16</f>
        <v>499</v>
      </c>
      <c r="CB35" s="23">
        <f>'QTR Raw'!AV16</f>
        <v>503</v>
      </c>
      <c r="CC35" s="23">
        <f>'QTR Raw'!AW16</f>
        <v>496</v>
      </c>
      <c r="CD35" s="23">
        <f>'QTR Raw'!AX16</f>
        <v>486</v>
      </c>
      <c r="CE35" s="23">
        <f>'QTR Raw'!AY16</f>
        <v>550</v>
      </c>
      <c r="CF35" s="23">
        <f>'QTR Raw'!AZ16</f>
        <v>543</v>
      </c>
      <c r="CG35" s="23">
        <f>'QTR Raw'!BA16</f>
        <v>549</v>
      </c>
      <c r="CH35" s="23">
        <f>'QTR Raw'!BB16</f>
        <v>561</v>
      </c>
      <c r="CI35" s="23">
        <f>'QTR Raw'!BC16</f>
        <v>605</v>
      </c>
      <c r="CJ35" s="23">
        <f>'QTR Raw'!BD16</f>
        <v>627</v>
      </c>
      <c r="CK35" s="23">
        <f>'QTR Raw'!BE16</f>
        <v>651</v>
      </c>
      <c r="CL35" s="23">
        <f>'QTR Raw'!BF16</f>
        <v>788</v>
      </c>
      <c r="CM35" s="24">
        <f t="shared" ref="CM35:DB35" si="269">CI35*107%</f>
        <v>647.35</v>
      </c>
      <c r="CN35" s="24">
        <f t="shared" si="269"/>
        <v>670.89</v>
      </c>
      <c r="CO35" s="24">
        <f t="shared" si="269"/>
        <v>696.57</v>
      </c>
      <c r="CP35" s="24">
        <f t="shared" si="269"/>
        <v>843.16000000000008</v>
      </c>
      <c r="CQ35" s="24">
        <f t="shared" si="269"/>
        <v>692.66450000000009</v>
      </c>
      <c r="CR35" s="24">
        <f t="shared" si="269"/>
        <v>717.85230000000001</v>
      </c>
      <c r="CS35" s="24">
        <f t="shared" si="269"/>
        <v>745.32990000000007</v>
      </c>
      <c r="CT35" s="24">
        <f t="shared" si="269"/>
        <v>902.1812000000001</v>
      </c>
      <c r="CU35" s="24">
        <f t="shared" si="269"/>
        <v>741.15101500000014</v>
      </c>
      <c r="CV35" s="24">
        <f t="shared" si="269"/>
        <v>768.10196100000007</v>
      </c>
      <c r="CW35" s="24">
        <f t="shared" si="269"/>
        <v>797.50299300000006</v>
      </c>
      <c r="CX35" s="24">
        <f t="shared" si="269"/>
        <v>965.33388400000013</v>
      </c>
      <c r="CY35" s="24">
        <f t="shared" si="269"/>
        <v>793.03158605000021</v>
      </c>
      <c r="CZ35" s="24">
        <f t="shared" si="269"/>
        <v>821.86909827000011</v>
      </c>
      <c r="DA35" s="24">
        <f t="shared" si="269"/>
        <v>853.3282025100001</v>
      </c>
      <c r="DB35" s="24">
        <f t="shared" si="269"/>
        <v>1032.9072558800001</v>
      </c>
      <c r="DE35" s="123"/>
      <c r="DF35" s="23">
        <v>600.27</v>
      </c>
    </row>
    <row r="36" spans="1:110" s="23" customFormat="1" outlineLevel="1" x14ac:dyDescent="0.2">
      <c r="A36" s="23" t="s">
        <v>10</v>
      </c>
      <c r="B36" s="23">
        <f>'Annual Raw'!C17</f>
        <v>24.9161</v>
      </c>
      <c r="C36" s="23">
        <f>'Annual Raw'!D17</f>
        <v>28.863900000000001</v>
      </c>
      <c r="D36" s="23">
        <f>'Annual Raw'!E17</f>
        <v>33.086399999999998</v>
      </c>
      <c r="E36" s="23">
        <f>'Annual Raw'!F17</f>
        <v>40.2286</v>
      </c>
      <c r="F36" s="23">
        <f>'Annual Raw'!G17</f>
        <v>49.577100000000002</v>
      </c>
      <c r="G36" s="23">
        <f>'Annual Raw'!H17</f>
        <v>123.51649999999999</v>
      </c>
      <c r="H36" s="23">
        <f>'Annual Raw'!I17</f>
        <v>146.45249999999999</v>
      </c>
      <c r="I36" s="23">
        <f>'Annual Raw'!J17</f>
        <v>136.65450000000001</v>
      </c>
      <c r="J36" s="23">
        <f>'Annual Raw'!K17</f>
        <v>150.91030000000001</v>
      </c>
      <c r="K36" s="23">
        <f>'Annual Raw'!L17</f>
        <v>177.6738</v>
      </c>
      <c r="L36" s="23">
        <f>'Annual Raw'!M17</f>
        <v>206.87899999999999</v>
      </c>
      <c r="M36" s="23">
        <f>'Annual Raw'!N17</f>
        <v>255.89</v>
      </c>
      <c r="N36" s="23">
        <f>'Annual Raw'!O17</f>
        <v>324.55</v>
      </c>
      <c r="O36" s="23">
        <f>'Annual Raw'!P17</f>
        <v>398.98</v>
      </c>
      <c r="P36" s="23">
        <f>'Annual Raw'!Q17</f>
        <v>463.28</v>
      </c>
      <c r="Q36" s="23">
        <f>'Annual Raw'!R17</f>
        <v>637.91999999999996</v>
      </c>
      <c r="R36" s="23">
        <f>'Annual Raw'!S17</f>
        <v>578.04999999999995</v>
      </c>
      <c r="S36" s="23">
        <f>'Annual Raw'!T17</f>
        <v>677.71</v>
      </c>
      <c r="T36" s="23">
        <f>'Annual Raw'!U17</f>
        <v>763.9</v>
      </c>
      <c r="U36" s="23">
        <f>'Annual Raw'!V17</f>
        <v>801.98</v>
      </c>
      <c r="V36" s="23">
        <f>'Annual Raw'!W17</f>
        <v>633.48</v>
      </c>
      <c r="W36" s="23">
        <f>'Annual Raw'!X17</f>
        <v>637.65</v>
      </c>
      <c r="X36" s="23">
        <f>'Annual Raw'!Y17</f>
        <v>775.3</v>
      </c>
      <c r="Y36" s="23">
        <f>'Annual Raw'!Z17</f>
        <v>980.72</v>
      </c>
      <c r="Z36" s="23">
        <f>'Annual Raw'!AA17</f>
        <v>960.6</v>
      </c>
      <c r="AA36" s="23">
        <f>'Annual Raw'!AB17</f>
        <v>1154.44</v>
      </c>
      <c r="AB36" s="76">
        <f t="shared" si="265"/>
        <v>0</v>
      </c>
      <c r="AC36" s="76">
        <f t="shared" si="266"/>
        <v>0</v>
      </c>
      <c r="AD36" s="76">
        <f t="shared" si="267"/>
        <v>0</v>
      </c>
      <c r="AE36" s="76">
        <f t="shared" si="268"/>
        <v>0</v>
      </c>
      <c r="AI36" s="23">
        <f>'QTR Raw'!C17</f>
        <v>0</v>
      </c>
      <c r="AJ36" s="23">
        <f>'QTR Raw'!D17</f>
        <v>0</v>
      </c>
      <c r="AK36" s="23">
        <f>'QTR Raw'!E17</f>
        <v>0</v>
      </c>
      <c r="AL36" s="23">
        <f>'QTR Raw'!F17</f>
        <v>0</v>
      </c>
      <c r="AM36" s="23">
        <f>'QTR Raw'!G17</f>
        <v>0</v>
      </c>
      <c r="AN36" s="23">
        <f>'QTR Raw'!H17</f>
        <v>0</v>
      </c>
      <c r="AO36" s="23">
        <f>'QTR Raw'!I17</f>
        <v>0</v>
      </c>
      <c r="AP36" s="23">
        <f>'QTR Raw'!J17</f>
        <v>0</v>
      </c>
      <c r="AQ36" s="23">
        <f>'QTR Raw'!K17</f>
        <v>0</v>
      </c>
      <c r="AR36" s="23">
        <f>'QTR Raw'!L17</f>
        <v>0</v>
      </c>
      <c r="AS36" s="23">
        <f>'QTR Raw'!M17</f>
        <v>0</v>
      </c>
      <c r="AT36" s="23">
        <f>'QTR Raw'!N17</f>
        <v>0</v>
      </c>
      <c r="AU36" s="23">
        <f>'QTR Raw'!O17</f>
        <v>0</v>
      </c>
      <c r="AV36" s="23">
        <f>'QTR Raw'!P17</f>
        <v>0</v>
      </c>
      <c r="AW36" s="23">
        <f>'QTR Raw'!Q17</f>
        <v>0</v>
      </c>
      <c r="AX36" s="23">
        <f>'QTR Raw'!R17</f>
        <v>0</v>
      </c>
      <c r="AY36" s="23">
        <f>'QTR Raw'!S17</f>
        <v>0</v>
      </c>
      <c r="AZ36" s="23">
        <f>'QTR Raw'!T17</f>
        <v>0</v>
      </c>
      <c r="BA36" s="23">
        <f>'QTR Raw'!U17</f>
        <v>0</v>
      </c>
      <c r="BB36" s="23">
        <f>'QTR Raw'!V17</f>
        <v>0</v>
      </c>
      <c r="BC36" s="23">
        <f>'QTR Raw'!W17</f>
        <v>0</v>
      </c>
      <c r="BD36" s="23">
        <f>'QTR Raw'!X17</f>
        <v>0</v>
      </c>
      <c r="BE36" s="23">
        <f>'QTR Raw'!Y17</f>
        <v>0</v>
      </c>
      <c r="BF36" s="23">
        <f>'QTR Raw'!Z17</f>
        <v>0</v>
      </c>
      <c r="BG36" s="23">
        <f>'QTR Raw'!AA17</f>
        <v>0</v>
      </c>
      <c r="BH36" s="23">
        <f>'QTR Raw'!AB17</f>
        <v>0</v>
      </c>
      <c r="BI36" s="23">
        <f>'QTR Raw'!AC17</f>
        <v>0</v>
      </c>
      <c r="BJ36" s="23">
        <f>'QTR Raw'!AD17</f>
        <v>0</v>
      </c>
      <c r="BK36" s="23">
        <f>'QTR Raw'!AE17</f>
        <v>0</v>
      </c>
      <c r="BL36" s="23">
        <f>'QTR Raw'!AF17</f>
        <v>0</v>
      </c>
      <c r="BM36" s="23">
        <f>'QTR Raw'!AG17</f>
        <v>0</v>
      </c>
      <c r="BN36" s="23">
        <f>'QTR Raw'!AH17</f>
        <v>0</v>
      </c>
      <c r="BO36" s="23">
        <f>'QTR Raw'!AI17</f>
        <v>0</v>
      </c>
      <c r="BP36" s="23">
        <f>'QTR Raw'!AJ17</f>
        <v>0</v>
      </c>
      <c r="BQ36" s="23">
        <f>'QTR Raw'!AK17</f>
        <v>0</v>
      </c>
      <c r="BR36" s="23">
        <f>'QTR Raw'!AL17</f>
        <v>0</v>
      </c>
      <c r="BS36" s="23">
        <f>'QTR Raw'!AM17</f>
        <v>0</v>
      </c>
      <c r="BT36" s="23">
        <f>'QTR Raw'!AN17</f>
        <v>0</v>
      </c>
      <c r="BU36" s="23">
        <f>'QTR Raw'!AO17</f>
        <v>0</v>
      </c>
      <c r="BV36" s="23">
        <f>'QTR Raw'!AP17</f>
        <v>0</v>
      </c>
      <c r="BW36" s="23">
        <f>'QTR Raw'!AQ17</f>
        <v>0</v>
      </c>
      <c r="BX36" s="23">
        <f>'QTR Raw'!AR17</f>
        <v>0</v>
      </c>
      <c r="BY36" s="23">
        <f>'QTR Raw'!AS17</f>
        <v>0</v>
      </c>
      <c r="BZ36" s="23">
        <f>'QTR Raw'!AT17</f>
        <v>0</v>
      </c>
      <c r="CA36" s="23">
        <f>'QTR Raw'!AU17</f>
        <v>0</v>
      </c>
      <c r="CB36" s="23">
        <f>'QTR Raw'!AV17</f>
        <v>0</v>
      </c>
      <c r="CC36" s="23">
        <f>'QTR Raw'!AW17</f>
        <v>0</v>
      </c>
      <c r="CD36" s="23">
        <f>'QTR Raw'!AX17</f>
        <v>0</v>
      </c>
      <c r="CE36" s="23">
        <f>'QTR Raw'!AY17</f>
        <v>0</v>
      </c>
      <c r="CF36" s="23">
        <f>'QTR Raw'!AZ17</f>
        <v>0</v>
      </c>
      <c r="CG36" s="23">
        <f>'QTR Raw'!BA17</f>
        <v>0</v>
      </c>
      <c r="CH36" s="23">
        <f>'QTR Raw'!BB17</f>
        <v>0</v>
      </c>
      <c r="CI36" s="23">
        <f>'QTR Raw'!BC17</f>
        <v>0</v>
      </c>
      <c r="CJ36" s="23">
        <f>'QTR Raw'!BD17</f>
        <v>0</v>
      </c>
      <c r="CK36" s="23">
        <f>'QTR Raw'!BE17</f>
        <v>0</v>
      </c>
      <c r="CL36" s="23">
        <f>'QTR Raw'!BF17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3" customFormat="1" outlineLevel="1" x14ac:dyDescent="0.2">
      <c r="A37" s="23" t="s">
        <v>12</v>
      </c>
      <c r="B37" s="23">
        <f>'Annual Raw'!C19-'Annual Raw'!C20</f>
        <v>6.3159999999999998</v>
      </c>
      <c r="C37" s="23">
        <f>'Annual Raw'!D19-'Annual Raw'!D20</f>
        <v>5.0812999999999997</v>
      </c>
      <c r="D37" s="23">
        <f>'Annual Raw'!E19-'Annual Raw'!E20</f>
        <v>3.8733</v>
      </c>
      <c r="E37" s="23">
        <f>'Annual Raw'!F19-'Annual Raw'!F20</f>
        <v>4.0400999999999998</v>
      </c>
      <c r="F37" s="23">
        <f>'Annual Raw'!G19-'Annual Raw'!G20</f>
        <v>1.3345</v>
      </c>
      <c r="G37" s="23">
        <f>'Annual Raw'!H19-'Annual Raw'!H20</f>
        <v>1.3605</v>
      </c>
      <c r="H37" s="23">
        <f>'Annual Raw'!I19-'Annual Raw'!I20</f>
        <v>12.978300000000001</v>
      </c>
      <c r="I37" s="23">
        <f>'Annual Raw'!J19-'Annual Raw'!J20</f>
        <v>13.805899999999999</v>
      </c>
      <c r="J37" s="23">
        <f>'Annual Raw'!K19-'Annual Raw'!K20</f>
        <v>60.007199999999997</v>
      </c>
      <c r="K37" s="23">
        <f>'Annual Raw'!L19-'Annual Raw'!L20</f>
        <v>16.852399999999999</v>
      </c>
      <c r="L37" s="23">
        <f>'Annual Raw'!M19-'Annual Raw'!M20</f>
        <v>18.0275</v>
      </c>
      <c r="M37" s="23">
        <f>'Annual Raw'!N19-'Annual Raw'!N20</f>
        <v>28.86</v>
      </c>
      <c r="N37" s="23">
        <f>'Annual Raw'!O19-'Annual Raw'!O20</f>
        <v>29.08</v>
      </c>
      <c r="O37" s="23">
        <f>'Annual Raw'!P19-'Annual Raw'!P20</f>
        <v>131.38999999999999</v>
      </c>
      <c r="P37" s="23">
        <f>'Annual Raw'!Q19-'Annual Raw'!Q20</f>
        <v>29.45</v>
      </c>
      <c r="Q37" s="23">
        <f>'Annual Raw'!R19-'Annual Raw'!R20</f>
        <v>31.56</v>
      </c>
      <c r="R37" s="23">
        <f>'Annual Raw'!S19-'Annual Raw'!S20</f>
        <v>59.46</v>
      </c>
      <c r="S37" s="23">
        <f>'Annual Raw'!T19-'Annual Raw'!T20</f>
        <v>43</v>
      </c>
      <c r="T37" s="23">
        <f>'Annual Raw'!U19-'Annual Raw'!U20</f>
        <v>58.03</v>
      </c>
      <c r="U37" s="23">
        <f>'Annual Raw'!V19-'Annual Raw'!V20</f>
        <v>76.45</v>
      </c>
      <c r="V37" s="23">
        <f>'Annual Raw'!W19-'Annual Raw'!W20</f>
        <v>74.78</v>
      </c>
      <c r="W37" s="23">
        <f>'Annual Raw'!X19-'Annual Raw'!X20</f>
        <v>61.69</v>
      </c>
      <c r="X37" s="23">
        <f>'Annual Raw'!Y19-'Annual Raw'!Y20</f>
        <v>76.930000000000007</v>
      </c>
      <c r="Y37" s="23">
        <f>'Annual Raw'!Z19-'Annual Raw'!Z20</f>
        <v>94.72</v>
      </c>
      <c r="Z37" s="23">
        <f>'Annual Raw'!AA19-'Annual Raw'!AA20</f>
        <v>99.84</v>
      </c>
      <c r="AA37" s="23">
        <f>'Annual Raw'!AB19-'Annual Raw'!AB20</f>
        <v>261.92</v>
      </c>
      <c r="AB37" s="76">
        <f t="shared" si="265"/>
        <v>0</v>
      </c>
      <c r="AC37" s="76">
        <f t="shared" si="266"/>
        <v>0</v>
      </c>
      <c r="AD37" s="76">
        <f t="shared" si="267"/>
        <v>0</v>
      </c>
      <c r="AE37" s="76">
        <f t="shared" si="268"/>
        <v>0</v>
      </c>
      <c r="AI37" s="23">
        <f>+'QTR Raw'!C21</f>
        <v>0</v>
      </c>
      <c r="AJ37" s="23">
        <f>+'QTR Raw'!D21</f>
        <v>0</v>
      </c>
      <c r="AK37" s="23">
        <f>+'QTR Raw'!E21</f>
        <v>0</v>
      </c>
      <c r="AL37" s="23">
        <f>+'QTR Raw'!F21</f>
        <v>0</v>
      </c>
      <c r="AM37" s="23">
        <f>+'QTR Raw'!G21</f>
        <v>0</v>
      </c>
      <c r="AN37" s="23">
        <f>+'QTR Raw'!H21</f>
        <v>0</v>
      </c>
      <c r="AO37" s="23">
        <f>+'QTR Raw'!I21</f>
        <v>0</v>
      </c>
      <c r="AP37" s="23">
        <f>+'QTR Raw'!J21</f>
        <v>0</v>
      </c>
      <c r="AQ37" s="23">
        <f>+'QTR Raw'!K21</f>
        <v>0</v>
      </c>
      <c r="AR37" s="23">
        <f>+'QTR Raw'!L21</f>
        <v>0</v>
      </c>
      <c r="AS37" s="23">
        <f>+'QTR Raw'!M21</f>
        <v>0</v>
      </c>
      <c r="AT37" s="23">
        <f>+'QTR Raw'!N21</f>
        <v>0</v>
      </c>
      <c r="AU37" s="23">
        <f>+'QTR Raw'!O21</f>
        <v>0</v>
      </c>
      <c r="AV37" s="23">
        <f>+'QTR Raw'!P21</f>
        <v>0</v>
      </c>
      <c r="AW37" s="23">
        <f>+'QTR Raw'!Q21</f>
        <v>0</v>
      </c>
      <c r="AX37" s="23">
        <f>+'QTR Raw'!R21</f>
        <v>0</v>
      </c>
      <c r="AY37" s="23">
        <f>+'QTR Raw'!S21</f>
        <v>0</v>
      </c>
      <c r="AZ37" s="23">
        <f>+'QTR Raw'!T21</f>
        <v>0</v>
      </c>
      <c r="BA37" s="23">
        <f>+'QTR Raw'!U21</f>
        <v>0</v>
      </c>
      <c r="BB37" s="23">
        <f>+'QTR Raw'!V21</f>
        <v>0</v>
      </c>
      <c r="BC37" s="23">
        <f>+'QTR Raw'!W21</f>
        <v>0</v>
      </c>
      <c r="BD37" s="23">
        <f>+'QTR Raw'!X21</f>
        <v>0</v>
      </c>
      <c r="BE37" s="23">
        <f>+'QTR Raw'!Y21</f>
        <v>0</v>
      </c>
      <c r="BF37" s="23">
        <f>+'QTR Raw'!Z21</f>
        <v>0</v>
      </c>
      <c r="BG37" s="23">
        <f>+'QTR Raw'!AA21</f>
        <v>0</v>
      </c>
      <c r="BH37" s="23">
        <f>+'QTR Raw'!AB21</f>
        <v>0</v>
      </c>
      <c r="BI37" s="23">
        <f>+'QTR Raw'!AC21</f>
        <v>0</v>
      </c>
      <c r="BJ37" s="23">
        <f>+'QTR Raw'!AD21</f>
        <v>0</v>
      </c>
      <c r="BK37" s="23">
        <f>+'QTR Raw'!AE21</f>
        <v>0</v>
      </c>
      <c r="BL37" s="23">
        <f>+'QTR Raw'!AF21</f>
        <v>0</v>
      </c>
      <c r="BM37" s="23">
        <f>+'QTR Raw'!AG21</f>
        <v>0</v>
      </c>
      <c r="BN37" s="23">
        <f>+'QTR Raw'!AH21</f>
        <v>0</v>
      </c>
      <c r="BO37" s="23">
        <f>+'QTR Raw'!AI21</f>
        <v>0</v>
      </c>
      <c r="BP37" s="23">
        <f>+'QTR Raw'!AJ21</f>
        <v>0</v>
      </c>
      <c r="BQ37" s="23">
        <f>+'QTR Raw'!AK21</f>
        <v>0</v>
      </c>
      <c r="BR37" s="23">
        <f>+'QTR Raw'!AL21</f>
        <v>0</v>
      </c>
      <c r="BS37" s="23">
        <f>+'QTR Raw'!AM21</f>
        <v>0</v>
      </c>
      <c r="BT37" s="23">
        <f>+'QTR Raw'!AN21</f>
        <v>0</v>
      </c>
      <c r="BU37" s="23">
        <f>+'QTR Raw'!AO21</f>
        <v>0</v>
      </c>
      <c r="BV37" s="23">
        <f>+'QTR Raw'!AP21</f>
        <v>0</v>
      </c>
      <c r="BW37" s="23">
        <f>+'QTR Raw'!AQ21</f>
        <v>0</v>
      </c>
      <c r="BX37" s="23">
        <f>+'QTR Raw'!AR21</f>
        <v>0</v>
      </c>
      <c r="BY37" s="23">
        <f>+'QTR Raw'!AS21</f>
        <v>0</v>
      </c>
      <c r="BZ37" s="23">
        <f>+'QTR Raw'!AT21</f>
        <v>0</v>
      </c>
      <c r="CA37" s="23">
        <f>+'QTR Raw'!AU21</f>
        <v>0</v>
      </c>
      <c r="CB37" s="23">
        <f>+'QTR Raw'!AV21</f>
        <v>0</v>
      </c>
      <c r="CC37" s="23">
        <f>+'QTR Raw'!AW21</f>
        <v>0</v>
      </c>
      <c r="CD37" s="23">
        <f>+'QTR Raw'!AX21</f>
        <v>0</v>
      </c>
      <c r="CE37" s="23">
        <f>+'QTR Raw'!AY21</f>
        <v>0</v>
      </c>
      <c r="CF37" s="23">
        <f>+'QTR Raw'!AZ21</f>
        <v>0</v>
      </c>
      <c r="CG37" s="23">
        <f>+'QTR Raw'!BA21</f>
        <v>0</v>
      </c>
      <c r="CH37" s="23">
        <f>+'QTR Raw'!BB21</f>
        <v>0</v>
      </c>
      <c r="CI37" s="23">
        <f>+'QTR Raw'!BC21</f>
        <v>0</v>
      </c>
      <c r="CJ37" s="23">
        <f>+'QTR Raw'!BD21</f>
        <v>0</v>
      </c>
      <c r="CK37" s="23">
        <f>+'QTR Raw'!BE21</f>
        <v>0</v>
      </c>
      <c r="CL37" s="23">
        <f>+'QTR Raw'!BF21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9</v>
      </c>
      <c r="B38" s="23">
        <f>'Annual Raw'!C15+'Annual Raw'!C16</f>
        <v>46.896799999999999</v>
      </c>
      <c r="C38" s="23">
        <f>'Annual Raw'!D15+'Annual Raw'!D16</f>
        <v>45.473500000000001</v>
      </c>
      <c r="D38" s="23">
        <f>'Annual Raw'!E15+'Annual Raw'!E16</f>
        <v>52.138100000000001</v>
      </c>
      <c r="E38" s="23">
        <f>'Annual Raw'!F15+'Annual Raw'!F16</f>
        <v>62.261200000000002</v>
      </c>
      <c r="F38" s="23">
        <f>'Annual Raw'!G15+'Annual Raw'!G16</f>
        <v>88.773899999999998</v>
      </c>
      <c r="G38" s="23">
        <f>'Annual Raw'!H15+'Annual Raw'!H16</f>
        <v>115.5684</v>
      </c>
      <c r="H38" s="23">
        <f>'Annual Raw'!I15+'Annual Raw'!I16</f>
        <v>146.11799999999999</v>
      </c>
      <c r="I38" s="23">
        <f>'Annual Raw'!J15+'Annual Raw'!J16</f>
        <v>168.2696</v>
      </c>
      <c r="J38" s="23">
        <f>'Annual Raw'!K15+'Annual Raw'!K16</f>
        <v>200.422</v>
      </c>
      <c r="K38" s="23">
        <f>'Annual Raw'!L15+'Annual Raw'!L16</f>
        <v>223.19159999999999</v>
      </c>
      <c r="L38" s="23">
        <f>'Annual Raw'!M15+'Annual Raw'!M16</f>
        <v>210.8879</v>
      </c>
      <c r="M38" s="23">
        <f>'Annual Raw'!N15+'Annual Raw'!N16</f>
        <v>225.27</v>
      </c>
      <c r="N38" s="23">
        <f>'Annual Raw'!O15+'Annual Raw'!O16</f>
        <v>278.14999999999998</v>
      </c>
      <c r="O38" s="23">
        <f>'Annual Raw'!P15+'Annual Raw'!P16</f>
        <v>320.77999999999997</v>
      </c>
      <c r="P38" s="23">
        <f>'Annual Raw'!Q15+'Annual Raw'!Q16</f>
        <v>345.98</v>
      </c>
      <c r="Q38" s="23">
        <f>'Annual Raw'!R15+'Annual Raw'!R16</f>
        <v>353.45</v>
      </c>
      <c r="R38" s="23">
        <f>'Annual Raw'!S15+'Annual Raw'!S16</f>
        <v>502.16</v>
      </c>
      <c r="S38" s="23">
        <f>'Annual Raw'!T15+'Annual Raw'!T16</f>
        <v>457.58</v>
      </c>
      <c r="T38" s="23">
        <f>'Annual Raw'!U15+'Annual Raw'!U16</f>
        <v>558.84</v>
      </c>
      <c r="U38" s="23">
        <f>'Annual Raw'!V15+'Annual Raw'!V16</f>
        <v>544.11</v>
      </c>
      <c r="V38" s="23">
        <f>'Annual Raw'!W15+'Annual Raw'!W16</f>
        <v>550.91999999999996</v>
      </c>
      <c r="W38" s="23">
        <f>'Annual Raw'!X15+'Annual Raw'!X16</f>
        <v>591.13</v>
      </c>
      <c r="X38" s="23">
        <f>'Annual Raw'!Y15+'Annual Raw'!Y16</f>
        <v>570.79</v>
      </c>
      <c r="Y38" s="23">
        <f>'Annual Raw'!Z15+'Annual Raw'!Z16</f>
        <v>570.58000000000004</v>
      </c>
      <c r="Z38" s="23">
        <f>'Annual Raw'!AA15+'Annual Raw'!AA16</f>
        <v>594.29</v>
      </c>
      <c r="AA38" s="23">
        <f>'Annual Raw'!AB15+'Annual Raw'!AB16</f>
        <v>743.67</v>
      </c>
      <c r="AB38" s="76">
        <f t="shared" si="265"/>
        <v>4091.9449738991489</v>
      </c>
      <c r="AC38" s="76">
        <f t="shared" si="266"/>
        <v>4828.3283353863662</v>
      </c>
      <c r="AD38" s="76">
        <f t="shared" si="267"/>
        <v>4576.0886121779786</v>
      </c>
      <c r="AE38" s="76">
        <f t="shared" si="268"/>
        <v>4510.6677313047321</v>
      </c>
      <c r="AI38" s="23">
        <f>'QTR Raw'!C14</f>
        <v>239</v>
      </c>
      <c r="AJ38" s="23">
        <f>'QTR Raw'!D14</f>
        <v>251</v>
      </c>
      <c r="AK38" s="23">
        <f>'QTR Raw'!E14</f>
        <v>237</v>
      </c>
      <c r="AL38" s="23">
        <f>'QTR Raw'!F14</f>
        <v>244</v>
      </c>
      <c r="AM38" s="23">
        <f>'QTR Raw'!G14</f>
        <v>293</v>
      </c>
      <c r="AN38" s="23">
        <f>'QTR Raw'!H14</f>
        <v>310</v>
      </c>
      <c r="AO38" s="23">
        <f>'QTR Raw'!I14</f>
        <v>303</v>
      </c>
      <c r="AP38" s="23">
        <f>'QTR Raw'!J14</f>
        <v>347</v>
      </c>
      <c r="AQ38" s="23">
        <f>'QTR Raw'!K14</f>
        <v>284</v>
      </c>
      <c r="AR38" s="23">
        <f>'QTR Raw'!L14</f>
        <v>339</v>
      </c>
      <c r="AS38" s="23">
        <f>'QTR Raw'!M14</f>
        <v>357</v>
      </c>
      <c r="AT38" s="23">
        <f>'QTR Raw'!N14</f>
        <v>396</v>
      </c>
      <c r="AU38" s="23">
        <f>'QTR Raw'!O14</f>
        <v>410</v>
      </c>
      <c r="AV38" s="23">
        <f>'QTR Raw'!P14</f>
        <v>393</v>
      </c>
      <c r="AW38" s="23">
        <f>'QTR Raw'!Q14</f>
        <v>351</v>
      </c>
      <c r="AX38" s="23">
        <f>'QTR Raw'!R14</f>
        <v>378</v>
      </c>
      <c r="AY38" s="23">
        <f>'QTR Raw'!S14</f>
        <v>425</v>
      </c>
      <c r="AZ38" s="23">
        <f>'QTR Raw'!T14</f>
        <v>439</v>
      </c>
      <c r="BA38" s="23">
        <f>'QTR Raw'!U14</f>
        <v>430</v>
      </c>
      <c r="BB38" s="23">
        <f>'QTR Raw'!V14</f>
        <v>400</v>
      </c>
      <c r="BC38" s="23">
        <f>'QTR Raw'!W14</f>
        <v>401</v>
      </c>
      <c r="BD38" s="23">
        <f>'QTR Raw'!X14</f>
        <v>387</v>
      </c>
      <c r="BE38" s="23">
        <f>'QTR Raw'!Y14</f>
        <v>440</v>
      </c>
      <c r="BF38" s="23">
        <f>'QTR Raw'!Z14</f>
        <v>564</v>
      </c>
      <c r="BG38" s="23">
        <f>'QTR Raw'!AA14</f>
        <v>491</v>
      </c>
      <c r="BH38" s="23">
        <f>'QTR Raw'!AB14</f>
        <v>530</v>
      </c>
      <c r="BI38" s="23">
        <f>'QTR Raw'!AC14</f>
        <v>542</v>
      </c>
      <c r="BJ38" s="23">
        <f>'QTR Raw'!AD14</f>
        <v>503</v>
      </c>
      <c r="BK38" s="23">
        <f>'QTR Raw'!AE14</f>
        <v>541</v>
      </c>
      <c r="BL38" s="23">
        <f>'QTR Raw'!AF14</f>
        <v>568</v>
      </c>
      <c r="BM38" s="23">
        <f>'QTR Raw'!AG14</f>
        <v>530</v>
      </c>
      <c r="BN38" s="23">
        <f>'QTR Raw'!AH14</f>
        <v>534</v>
      </c>
      <c r="BO38" s="23">
        <f>'QTR Raw'!AI14</f>
        <v>487</v>
      </c>
      <c r="BP38" s="23">
        <f>'QTR Raw'!AJ14</f>
        <v>465</v>
      </c>
      <c r="BQ38" s="23">
        <f>'QTR Raw'!AK14</f>
        <v>463</v>
      </c>
      <c r="BR38" s="23">
        <f>'QTR Raw'!AL14</f>
        <v>518</v>
      </c>
      <c r="BS38" s="23">
        <f>'QTR Raw'!AM14</f>
        <v>484</v>
      </c>
      <c r="BT38" s="23">
        <f>'QTR Raw'!AN14</f>
        <v>493</v>
      </c>
      <c r="BU38" s="23">
        <f>'QTR Raw'!AO14</f>
        <v>544</v>
      </c>
      <c r="BV38" s="23">
        <f>'QTR Raw'!AP14</f>
        <v>584</v>
      </c>
      <c r="BW38" s="23">
        <f>'QTR Raw'!AQ14</f>
        <v>555</v>
      </c>
      <c r="BX38" s="23">
        <f>'QTR Raw'!AR14</f>
        <v>577</v>
      </c>
      <c r="BY38" s="23">
        <f>'QTR Raw'!AS14</f>
        <v>614</v>
      </c>
      <c r="BZ38" s="23">
        <f>'QTR Raw'!AT14</f>
        <v>619</v>
      </c>
      <c r="CA38" s="23">
        <f>'QTR Raw'!AU14</f>
        <v>651</v>
      </c>
      <c r="CB38" s="23">
        <f>'QTR Raw'!AV14</f>
        <v>672</v>
      </c>
      <c r="CC38" s="23">
        <f>'QTR Raw'!AW14</f>
        <v>670</v>
      </c>
      <c r="CD38" s="23">
        <f>'QTR Raw'!AX14</f>
        <v>697</v>
      </c>
      <c r="CE38" s="23">
        <f>'QTR Raw'!AY14</f>
        <v>711</v>
      </c>
      <c r="CF38" s="23">
        <f>'QTR Raw'!AZ14</f>
        <v>729</v>
      </c>
      <c r="CG38" s="23">
        <f>'QTR Raw'!BA14</f>
        <v>673</v>
      </c>
      <c r="CH38" s="23">
        <f>'QTR Raw'!BB14</f>
        <v>703</v>
      </c>
      <c r="CI38" s="23">
        <f>'QTR Raw'!BC14</f>
        <v>767</v>
      </c>
      <c r="CJ38" s="23">
        <f>'QTR Raw'!BD14</f>
        <v>792</v>
      </c>
      <c r="CK38" s="23">
        <f>'QTR Raw'!BE14</f>
        <v>765</v>
      </c>
      <c r="CL38" s="23">
        <f>'QTR Raw'!BF14</f>
        <v>1038</v>
      </c>
      <c r="CM38" s="24">
        <f t="shared" ref="CM38:DB38" si="270">CM41-CM35-CM36-CM37-CM39-CM40</f>
        <v>941.38379961600378</v>
      </c>
      <c r="CN38" s="24">
        <f t="shared" si="270"/>
        <v>978.26303875938595</v>
      </c>
      <c r="CO38" s="24">
        <f t="shared" si="270"/>
        <v>946.25524871383743</v>
      </c>
      <c r="CP38" s="24">
        <f t="shared" si="270"/>
        <v>1226.0428868099218</v>
      </c>
      <c r="CQ38" s="24">
        <f t="shared" si="270"/>
        <v>1119.0218006020984</v>
      </c>
      <c r="CR38" s="24">
        <f t="shared" si="270"/>
        <v>1158.3293225950729</v>
      </c>
      <c r="CS38" s="24">
        <f t="shared" si="270"/>
        <v>1116.7549804708146</v>
      </c>
      <c r="CT38" s="24">
        <f t="shared" si="270"/>
        <v>1434.2222317183805</v>
      </c>
      <c r="CU38" s="24">
        <f t="shared" si="270"/>
        <v>1127.569705770979</v>
      </c>
      <c r="CV38" s="24">
        <f t="shared" si="270"/>
        <v>1108.2469729892171</v>
      </c>
      <c r="CW38" s="24">
        <f t="shared" si="270"/>
        <v>1033.1609236053021</v>
      </c>
      <c r="CX38" s="24">
        <f t="shared" si="270"/>
        <v>1307.1110098124805</v>
      </c>
      <c r="CY38" s="24">
        <f t="shared" si="270"/>
        <v>1088.0442922037682</v>
      </c>
      <c r="CZ38" s="24">
        <f t="shared" si="270"/>
        <v>1081.2062526886871</v>
      </c>
      <c r="DA38" s="24">
        <f t="shared" si="270"/>
        <v>1020.4304513785947</v>
      </c>
      <c r="DB38" s="24">
        <f t="shared" si="270"/>
        <v>1320.986735033682</v>
      </c>
      <c r="DE38" s="123"/>
      <c r="DF38" s="23">
        <v>831.02883170654013</v>
      </c>
    </row>
    <row r="39" spans="1:110" s="23" customFormat="1" outlineLevel="1" x14ac:dyDescent="0.2">
      <c r="A39" s="23" t="s">
        <v>7</v>
      </c>
      <c r="B39" s="23">
        <f>'Annual Raw'!C13</f>
        <v>6.3925999999999998</v>
      </c>
      <c r="C39" s="23">
        <f>'Annual Raw'!D13</f>
        <v>8.1631</v>
      </c>
      <c r="D39" s="23">
        <f>'Annual Raw'!E13</f>
        <v>7.0617999999999999</v>
      </c>
      <c r="E39" s="23">
        <f>'Annual Raw'!F13</f>
        <v>8.3989999999999991</v>
      </c>
      <c r="F39" s="23">
        <f>'Annual Raw'!G13</f>
        <v>10.136900000000001</v>
      </c>
      <c r="G39" s="23">
        <f>'Annual Raw'!H13</f>
        <v>15.428100000000001</v>
      </c>
      <c r="H39" s="23">
        <f>'Annual Raw'!I13</f>
        <v>20.482399999999998</v>
      </c>
      <c r="I39" s="23">
        <f>'Annual Raw'!J13</f>
        <v>21.134399999999999</v>
      </c>
      <c r="J39" s="23">
        <f>'Annual Raw'!K13</f>
        <v>25.289000000000001</v>
      </c>
      <c r="K39" s="23">
        <f>'Annual Raw'!L13</f>
        <v>27.3992</v>
      </c>
      <c r="L39" s="23">
        <f>'Annual Raw'!M13</f>
        <v>42.534100000000002</v>
      </c>
      <c r="M39" s="23">
        <f>'Annual Raw'!N13</f>
        <v>56.97</v>
      </c>
      <c r="N39" s="23">
        <f>'Annual Raw'!O13</f>
        <v>62.8</v>
      </c>
      <c r="O39" s="23">
        <f>'Annual Raw'!P13</f>
        <v>71.88</v>
      </c>
      <c r="P39" s="23">
        <f>'Annual Raw'!Q13</f>
        <v>97.41</v>
      </c>
      <c r="Q39" s="23">
        <f>'Annual Raw'!R13</f>
        <v>92.59</v>
      </c>
      <c r="R39" s="23">
        <f>'Annual Raw'!S13</f>
        <v>107.98</v>
      </c>
      <c r="S39" s="23">
        <f>'Annual Raw'!T13</f>
        <v>118.77</v>
      </c>
      <c r="T39" s="23">
        <f>'Annual Raw'!U13</f>
        <v>132.46</v>
      </c>
      <c r="U39" s="23">
        <f>'Annual Raw'!V13</f>
        <v>128.19</v>
      </c>
      <c r="V39" s="23">
        <f>'Annual Raw'!W13</f>
        <v>122.94</v>
      </c>
      <c r="W39" s="23">
        <f>'Annual Raw'!X13</f>
        <v>144.19</v>
      </c>
      <c r="X39" s="23">
        <f>'Annual Raw'!Y13</f>
        <v>155.28</v>
      </c>
      <c r="Y39" s="23">
        <f>'Annual Raw'!Z13</f>
        <v>145.19999999999999</v>
      </c>
      <c r="Z39" s="23">
        <f>'Annual Raw'!AA13</f>
        <v>137.34</v>
      </c>
      <c r="AA39" s="23">
        <f>'Annual Raw'!AB13</f>
        <v>160.83000000000001</v>
      </c>
      <c r="AB39" s="76">
        <f t="shared" si="265"/>
        <v>0</v>
      </c>
      <c r="AC39" s="76">
        <f t="shared" si="266"/>
        <v>0</v>
      </c>
      <c r="AD39" s="76">
        <f t="shared" si="267"/>
        <v>0</v>
      </c>
      <c r="AE39" s="76">
        <f t="shared" si="268"/>
        <v>0</v>
      </c>
      <c r="AI39" s="23">
        <f>'QTR Raw'!C15</f>
        <v>0</v>
      </c>
      <c r="AJ39" s="23">
        <f>'QTR Raw'!D15</f>
        <v>0</v>
      </c>
      <c r="AK39" s="23">
        <f>'QTR Raw'!E15</f>
        <v>0</v>
      </c>
      <c r="AL39" s="23">
        <f>'QTR Raw'!F15</f>
        <v>0</v>
      </c>
      <c r="AM39" s="23">
        <f>'QTR Raw'!G15</f>
        <v>0</v>
      </c>
      <c r="AN39" s="23">
        <f>'QTR Raw'!H15</f>
        <v>0</v>
      </c>
      <c r="AO39" s="23">
        <f>'QTR Raw'!I15</f>
        <v>0</v>
      </c>
      <c r="AP39" s="23">
        <f>'QTR Raw'!J15</f>
        <v>0</v>
      </c>
      <c r="AQ39" s="23">
        <f>'QTR Raw'!K15</f>
        <v>0</v>
      </c>
      <c r="AR39" s="23">
        <f>'QTR Raw'!L15</f>
        <v>0</v>
      </c>
      <c r="AS39" s="23">
        <f>'QTR Raw'!M15</f>
        <v>0</v>
      </c>
      <c r="AT39" s="23">
        <f>'QTR Raw'!N15</f>
        <v>0</v>
      </c>
      <c r="AU39" s="23">
        <f>'QTR Raw'!O15</f>
        <v>0</v>
      </c>
      <c r="AV39" s="23">
        <f>'QTR Raw'!P15</f>
        <v>0</v>
      </c>
      <c r="AW39" s="23">
        <f>'QTR Raw'!Q15</f>
        <v>0</v>
      </c>
      <c r="AX39" s="23">
        <f>'QTR Raw'!R15</f>
        <v>0</v>
      </c>
      <c r="AY39" s="23">
        <f>'QTR Raw'!S15</f>
        <v>0</v>
      </c>
      <c r="AZ39" s="23">
        <f>'QTR Raw'!T15</f>
        <v>0</v>
      </c>
      <c r="BA39" s="23">
        <f>'QTR Raw'!U15</f>
        <v>0</v>
      </c>
      <c r="BB39" s="23">
        <f>'QTR Raw'!V15</f>
        <v>0</v>
      </c>
      <c r="BC39" s="23">
        <f>'QTR Raw'!W15</f>
        <v>0</v>
      </c>
      <c r="BD39" s="23">
        <f>'QTR Raw'!X15</f>
        <v>0</v>
      </c>
      <c r="BE39" s="23">
        <f>'QTR Raw'!Y15</f>
        <v>0</v>
      </c>
      <c r="BF39" s="23">
        <f>'QTR Raw'!Z15</f>
        <v>0</v>
      </c>
      <c r="BG39" s="23">
        <f>'QTR Raw'!AA15</f>
        <v>0</v>
      </c>
      <c r="BH39" s="23">
        <f>'QTR Raw'!AB15</f>
        <v>0</v>
      </c>
      <c r="BI39" s="23">
        <f>'QTR Raw'!AC15</f>
        <v>0</v>
      </c>
      <c r="BJ39" s="23">
        <f>'QTR Raw'!AD15</f>
        <v>0</v>
      </c>
      <c r="BK39" s="23">
        <f>'QTR Raw'!AE15</f>
        <v>0</v>
      </c>
      <c r="BL39" s="23">
        <f>'QTR Raw'!AF15</f>
        <v>0</v>
      </c>
      <c r="BM39" s="23">
        <f>'QTR Raw'!AG15</f>
        <v>0</v>
      </c>
      <c r="BN39" s="23">
        <f>'QTR Raw'!AH15</f>
        <v>0</v>
      </c>
      <c r="BO39" s="23">
        <f>'QTR Raw'!AI15</f>
        <v>0</v>
      </c>
      <c r="BP39" s="23">
        <f>'QTR Raw'!AJ15</f>
        <v>0</v>
      </c>
      <c r="BQ39" s="23">
        <f>'QTR Raw'!AK15</f>
        <v>0</v>
      </c>
      <c r="BR39" s="23">
        <f>'QTR Raw'!AL15</f>
        <v>0</v>
      </c>
      <c r="BS39" s="23">
        <f>'QTR Raw'!AM15</f>
        <v>0</v>
      </c>
      <c r="BT39" s="23">
        <f>'QTR Raw'!AN15</f>
        <v>0</v>
      </c>
      <c r="BU39" s="23">
        <f>'QTR Raw'!AO15</f>
        <v>0</v>
      </c>
      <c r="BV39" s="23">
        <f>'QTR Raw'!AP15</f>
        <v>0</v>
      </c>
      <c r="BW39" s="23">
        <f>'QTR Raw'!AQ15</f>
        <v>0</v>
      </c>
      <c r="BX39" s="23">
        <f>'QTR Raw'!AR15</f>
        <v>0</v>
      </c>
      <c r="BY39" s="23">
        <f>'QTR Raw'!AS15</f>
        <v>0</v>
      </c>
      <c r="BZ39" s="23">
        <f>'QTR Raw'!AT15</f>
        <v>0</v>
      </c>
      <c r="CA39" s="23">
        <f>'QTR Raw'!AU15</f>
        <v>0</v>
      </c>
      <c r="CB39" s="23">
        <f>'QTR Raw'!AV15</f>
        <v>0</v>
      </c>
      <c r="CC39" s="23">
        <f>'QTR Raw'!AW15</f>
        <v>0</v>
      </c>
      <c r="CD39" s="23">
        <f>'QTR Raw'!AX15</f>
        <v>0</v>
      </c>
      <c r="CE39" s="23">
        <f>'QTR Raw'!AY15</f>
        <v>0</v>
      </c>
      <c r="CF39" s="23">
        <f>'QTR Raw'!AZ15</f>
        <v>0</v>
      </c>
      <c r="CG39" s="23">
        <f>'QTR Raw'!BA15</f>
        <v>0</v>
      </c>
      <c r="CH39" s="23">
        <f>'QTR Raw'!BB15</f>
        <v>0</v>
      </c>
      <c r="CI39" s="23">
        <f>'QTR Raw'!BC15</f>
        <v>0</v>
      </c>
      <c r="CJ39" s="23">
        <f>'QTR Raw'!BD15</f>
        <v>0</v>
      </c>
      <c r="CK39" s="23">
        <f>'QTR Raw'!BE15</f>
        <v>0</v>
      </c>
      <c r="CL39" s="23">
        <f>'QTR Raw'!BF15</f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3" customFormat="1" outlineLevel="1" x14ac:dyDescent="0.2">
      <c r="A40" s="23" t="s">
        <v>11</v>
      </c>
      <c r="B40" s="23">
        <f>'Annual Raw'!C18</f>
        <v>59.498899999999999</v>
      </c>
      <c r="C40" s="23">
        <f>'Annual Raw'!D18</f>
        <v>63.8277</v>
      </c>
      <c r="D40" s="23">
        <f>'Annual Raw'!E18</f>
        <v>65.269400000000005</v>
      </c>
      <c r="E40" s="23">
        <f>'Annual Raw'!F18</f>
        <v>54.496699999999997</v>
      </c>
      <c r="F40" s="23">
        <f>'Annual Raw'!G18</f>
        <v>78.339100000000002</v>
      </c>
      <c r="G40" s="23">
        <f>'Annual Raw'!H18</f>
        <v>120.1246</v>
      </c>
      <c r="H40" s="23">
        <f>'Annual Raw'!I18</f>
        <v>162.6103</v>
      </c>
      <c r="I40" s="23">
        <f>'Annual Raw'!J18</f>
        <v>147.88900000000001</v>
      </c>
      <c r="J40" s="23">
        <f>'Annual Raw'!K18</f>
        <v>197.3595</v>
      </c>
      <c r="K40" s="23">
        <f>'Annual Raw'!L18</f>
        <v>225.1011</v>
      </c>
      <c r="L40" s="23">
        <f>'Annual Raw'!M18</f>
        <v>274.60599999999999</v>
      </c>
      <c r="M40" s="23">
        <f>'Annual Raw'!N18</f>
        <v>322.29000000000002</v>
      </c>
      <c r="N40" s="23">
        <f>'Annual Raw'!O18</f>
        <v>393.07</v>
      </c>
      <c r="O40" s="23">
        <f>'Annual Raw'!P18</f>
        <v>461.53</v>
      </c>
      <c r="P40" s="23">
        <f>'Annual Raw'!Q18</f>
        <v>574.4</v>
      </c>
      <c r="Q40" s="23">
        <f>'Annual Raw'!R18</f>
        <v>547.04999999999995</v>
      </c>
      <c r="R40" s="23">
        <f>'Annual Raw'!S18</f>
        <v>567.70000000000005</v>
      </c>
      <c r="S40" s="23">
        <f>'Annual Raw'!T18</f>
        <v>641.29999999999995</v>
      </c>
      <c r="T40" s="23">
        <f>'Annual Raw'!U18</f>
        <v>738.03</v>
      </c>
      <c r="U40" s="23">
        <f>'Annual Raw'!V18</f>
        <v>807.39</v>
      </c>
      <c r="V40" s="23">
        <f>'Annual Raw'!W18</f>
        <v>742.63</v>
      </c>
      <c r="W40" s="23">
        <f>'Annual Raw'!X18</f>
        <v>884.91</v>
      </c>
      <c r="X40" s="23">
        <f>'Annual Raw'!Y18</f>
        <v>1026.99</v>
      </c>
      <c r="Y40" s="23">
        <f>'Annual Raw'!Z18</f>
        <v>1129.68</v>
      </c>
      <c r="Z40" s="23">
        <f>'Annual Raw'!AA18</f>
        <v>1260.67</v>
      </c>
      <c r="AA40" s="23">
        <f>'Annual Raw'!AB18</f>
        <v>1490.9</v>
      </c>
      <c r="AB40" s="76">
        <f t="shared" si="265"/>
        <v>0</v>
      </c>
      <c r="AC40" s="76">
        <f t="shared" si="266"/>
        <v>0</v>
      </c>
      <c r="AD40" s="76">
        <f t="shared" si="267"/>
        <v>0</v>
      </c>
      <c r="AE40" s="76">
        <f t="shared" si="268"/>
        <v>0</v>
      </c>
      <c r="AI40" s="23">
        <f>'QTR Raw'!C18</f>
        <v>0</v>
      </c>
      <c r="AJ40" s="23">
        <f>'QTR Raw'!D18</f>
        <v>0</v>
      </c>
      <c r="AK40" s="23">
        <f>'QTR Raw'!E18</f>
        <v>0</v>
      </c>
      <c r="AL40" s="23">
        <f>'QTR Raw'!F18</f>
        <v>0</v>
      </c>
      <c r="AM40" s="23">
        <f>'QTR Raw'!G18</f>
        <v>0</v>
      </c>
      <c r="AN40" s="23">
        <f>'QTR Raw'!H18</f>
        <v>0</v>
      </c>
      <c r="AO40" s="23">
        <f>'QTR Raw'!I18</f>
        <v>0</v>
      </c>
      <c r="AP40" s="23">
        <f>'QTR Raw'!J18</f>
        <v>0</v>
      </c>
      <c r="AQ40" s="23">
        <f>'QTR Raw'!K18</f>
        <v>0</v>
      </c>
      <c r="AR40" s="23">
        <f>'QTR Raw'!L18</f>
        <v>0</v>
      </c>
      <c r="AS40" s="23">
        <f>'QTR Raw'!M18</f>
        <v>0</v>
      </c>
      <c r="AT40" s="23">
        <f>'QTR Raw'!N18</f>
        <v>0</v>
      </c>
      <c r="AU40" s="23">
        <f>'QTR Raw'!O18</f>
        <v>0</v>
      </c>
      <c r="AV40" s="23">
        <f>'QTR Raw'!P18</f>
        <v>0</v>
      </c>
      <c r="AW40" s="23">
        <f>'QTR Raw'!Q18</f>
        <v>0</v>
      </c>
      <c r="AX40" s="23">
        <f>'QTR Raw'!R18</f>
        <v>0</v>
      </c>
      <c r="AY40" s="23">
        <f>'QTR Raw'!S18</f>
        <v>0</v>
      </c>
      <c r="AZ40" s="23">
        <f>'QTR Raw'!T18</f>
        <v>0</v>
      </c>
      <c r="BA40" s="23">
        <f>'QTR Raw'!U18</f>
        <v>0</v>
      </c>
      <c r="BB40" s="23">
        <f>'QTR Raw'!V18</f>
        <v>0</v>
      </c>
      <c r="BC40" s="23">
        <f>'QTR Raw'!W18</f>
        <v>0</v>
      </c>
      <c r="BD40" s="23">
        <f>'QTR Raw'!X18</f>
        <v>0</v>
      </c>
      <c r="BE40" s="23">
        <f>'QTR Raw'!Y18</f>
        <v>0</v>
      </c>
      <c r="BF40" s="23">
        <f>'QTR Raw'!Z18</f>
        <v>0</v>
      </c>
      <c r="BG40" s="23">
        <f>'QTR Raw'!AA18</f>
        <v>0</v>
      </c>
      <c r="BH40" s="23">
        <f>'QTR Raw'!AB18</f>
        <v>0</v>
      </c>
      <c r="BI40" s="23">
        <f>'QTR Raw'!AC18</f>
        <v>0</v>
      </c>
      <c r="BJ40" s="23">
        <f>'QTR Raw'!AD18</f>
        <v>0</v>
      </c>
      <c r="BK40" s="23">
        <f>'QTR Raw'!AE18</f>
        <v>0</v>
      </c>
      <c r="BL40" s="23">
        <f>'QTR Raw'!AF18</f>
        <v>0</v>
      </c>
      <c r="BM40" s="23">
        <f>'QTR Raw'!AG18</f>
        <v>0</v>
      </c>
      <c r="BN40" s="23">
        <f>'QTR Raw'!AH18</f>
        <v>0</v>
      </c>
      <c r="BO40" s="23">
        <f>'QTR Raw'!AI18</f>
        <v>0</v>
      </c>
      <c r="BP40" s="23">
        <f>'QTR Raw'!AJ18</f>
        <v>0</v>
      </c>
      <c r="BQ40" s="23">
        <f>'QTR Raw'!AK18</f>
        <v>0</v>
      </c>
      <c r="BR40" s="23">
        <f>'QTR Raw'!AL18</f>
        <v>0</v>
      </c>
      <c r="BS40" s="23">
        <f>'QTR Raw'!AM18</f>
        <v>0</v>
      </c>
      <c r="BT40" s="23">
        <f>'QTR Raw'!AN18</f>
        <v>0</v>
      </c>
      <c r="BU40" s="23">
        <f>'QTR Raw'!AO18</f>
        <v>0</v>
      </c>
      <c r="BV40" s="23">
        <f>'QTR Raw'!AP18</f>
        <v>0</v>
      </c>
      <c r="BW40" s="23">
        <f>'QTR Raw'!AQ18</f>
        <v>0</v>
      </c>
      <c r="BX40" s="23">
        <f>'QTR Raw'!AR18</f>
        <v>0</v>
      </c>
      <c r="BY40" s="23">
        <f>'QTR Raw'!AS18</f>
        <v>0</v>
      </c>
      <c r="BZ40" s="23">
        <f>'QTR Raw'!AT18</f>
        <v>0</v>
      </c>
      <c r="CA40" s="23">
        <f>'QTR Raw'!AU18</f>
        <v>0</v>
      </c>
      <c r="CB40" s="23">
        <f>'QTR Raw'!AV18</f>
        <v>0</v>
      </c>
      <c r="CC40" s="23">
        <f>'QTR Raw'!AW18</f>
        <v>0</v>
      </c>
      <c r="CD40" s="23">
        <f>'QTR Raw'!AX18</f>
        <v>0</v>
      </c>
      <c r="CE40" s="23">
        <f>'QTR Raw'!AY18</f>
        <v>0</v>
      </c>
      <c r="CF40" s="23">
        <f>'QTR Raw'!AZ18</f>
        <v>0</v>
      </c>
      <c r="CG40" s="23">
        <f>'QTR Raw'!BA18</f>
        <v>0</v>
      </c>
      <c r="CH40" s="23">
        <f>'QTR Raw'!BB18</f>
        <v>0</v>
      </c>
      <c r="CI40" s="23">
        <f>'QTR Raw'!BC18</f>
        <v>0</v>
      </c>
      <c r="CJ40" s="23">
        <f>'QTR Raw'!BD18</f>
        <v>0</v>
      </c>
      <c r="CK40" s="23">
        <f>'QTR Raw'!BE18</f>
        <v>0</v>
      </c>
      <c r="CL40" s="23">
        <f>'QTR Raw'!BF18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2" customFormat="1" x14ac:dyDescent="0.2">
      <c r="A41" s="33" t="s">
        <v>348</v>
      </c>
      <c r="B41" s="22">
        <f t="shared" ref="B41:E41" si="271">+SUM(B35:B40)</f>
        <v>168.0753</v>
      </c>
      <c r="C41" s="22">
        <f t="shared" si="271"/>
        <v>181.8922</v>
      </c>
      <c r="D41" s="22">
        <f t="shared" si="271"/>
        <v>202.53790000000004</v>
      </c>
      <c r="E41" s="22">
        <f t="shared" si="271"/>
        <v>218.35079999999999</v>
      </c>
      <c r="F41" s="22">
        <f t="shared" ref="F41:AE41" si="272">+SUM(F35:F40)</f>
        <v>309.45519999999999</v>
      </c>
      <c r="G41" s="22">
        <f t="shared" si="272"/>
        <v>549.70979999999997</v>
      </c>
      <c r="H41" s="22">
        <f t="shared" si="272"/>
        <v>732.8757999999998</v>
      </c>
      <c r="I41" s="22">
        <f t="shared" si="272"/>
        <v>715.89260000000002</v>
      </c>
      <c r="J41" s="22">
        <f t="shared" si="272"/>
        <v>884.37300000000005</v>
      </c>
      <c r="K41" s="22">
        <f t="shared" si="272"/>
        <v>978.5465999999999</v>
      </c>
      <c r="L41" s="22">
        <f t="shared" si="272"/>
        <v>1193.3739999999998</v>
      </c>
      <c r="M41" s="22">
        <f t="shared" si="272"/>
        <v>1421.08</v>
      </c>
      <c r="N41" s="22">
        <f t="shared" si="272"/>
        <v>1710.9399999999998</v>
      </c>
      <c r="O41" s="22">
        <f t="shared" si="272"/>
        <v>2125.66</v>
      </c>
      <c r="P41" s="22">
        <f t="shared" si="272"/>
        <v>2352.33</v>
      </c>
      <c r="Q41" s="22">
        <f t="shared" si="272"/>
        <v>2504.92</v>
      </c>
      <c r="R41" s="22">
        <f t="shared" si="272"/>
        <v>2808.76</v>
      </c>
      <c r="S41" s="22">
        <f t="shared" si="272"/>
        <v>3073.6099999999997</v>
      </c>
      <c r="T41" s="22">
        <f t="shared" si="272"/>
        <v>3655.05</v>
      </c>
      <c r="U41" s="22">
        <f t="shared" si="272"/>
        <v>3787.16</v>
      </c>
      <c r="V41" s="22">
        <f t="shared" si="272"/>
        <v>3564.3700000000003</v>
      </c>
      <c r="W41" s="22">
        <f t="shared" si="272"/>
        <v>3846.02</v>
      </c>
      <c r="X41" s="22">
        <f t="shared" si="272"/>
        <v>4282.9799999999996</v>
      </c>
      <c r="Y41" s="22">
        <f t="shared" si="272"/>
        <v>4905.2999999999993</v>
      </c>
      <c r="Z41" s="22">
        <f t="shared" ref="Z41:AA41" si="273">+SUM(Z35:Z40)</f>
        <v>5256.1100000000006</v>
      </c>
      <c r="AA41" s="22">
        <f t="shared" si="273"/>
        <v>6482.6100000000006</v>
      </c>
      <c r="AB41" s="21">
        <f t="shared" si="272"/>
        <v>6949.9149738991491</v>
      </c>
      <c r="AC41" s="21">
        <f t="shared" si="272"/>
        <v>7886.3562353863663</v>
      </c>
      <c r="AD41" s="21">
        <f t="shared" si="272"/>
        <v>7848.178465177979</v>
      </c>
      <c r="AE41" s="21">
        <f t="shared" si="272"/>
        <v>8011.8038740147331</v>
      </c>
      <c r="AI41" s="22">
        <f t="shared" ref="AI41:BN41" si="274">+SUM(AI35:AI40)</f>
        <v>391</v>
      </c>
      <c r="AJ41" s="22">
        <f t="shared" si="274"/>
        <v>406</v>
      </c>
      <c r="AK41" s="22">
        <f t="shared" si="274"/>
        <v>389</v>
      </c>
      <c r="AL41" s="22">
        <f t="shared" si="274"/>
        <v>408</v>
      </c>
      <c r="AM41" s="22">
        <f t="shared" si="274"/>
        <v>465</v>
      </c>
      <c r="AN41" s="22">
        <f t="shared" si="274"/>
        <v>492</v>
      </c>
      <c r="AO41" s="22">
        <f t="shared" si="274"/>
        <v>482</v>
      </c>
      <c r="AP41" s="22">
        <f t="shared" si="274"/>
        <v>555</v>
      </c>
      <c r="AQ41" s="22">
        <f t="shared" si="274"/>
        <v>468</v>
      </c>
      <c r="AR41" s="22">
        <f t="shared" si="274"/>
        <v>563</v>
      </c>
      <c r="AS41" s="22">
        <f t="shared" si="274"/>
        <v>556</v>
      </c>
      <c r="AT41" s="22">
        <f t="shared" si="274"/>
        <v>631</v>
      </c>
      <c r="AU41" s="22">
        <f t="shared" si="274"/>
        <v>617</v>
      </c>
      <c r="AV41" s="22">
        <f t="shared" si="274"/>
        <v>600</v>
      </c>
      <c r="AW41" s="22">
        <f t="shared" si="274"/>
        <v>552</v>
      </c>
      <c r="AX41" s="22">
        <f t="shared" si="274"/>
        <v>605</v>
      </c>
      <c r="AY41" s="22">
        <f t="shared" si="274"/>
        <v>677</v>
      </c>
      <c r="AZ41" s="22">
        <f t="shared" si="274"/>
        <v>698</v>
      </c>
      <c r="BA41" s="22">
        <f t="shared" si="274"/>
        <v>663</v>
      </c>
      <c r="BB41" s="22">
        <f t="shared" si="274"/>
        <v>649</v>
      </c>
      <c r="BC41" s="22">
        <f t="shared" si="274"/>
        <v>664</v>
      </c>
      <c r="BD41" s="22">
        <f t="shared" si="274"/>
        <v>670</v>
      </c>
      <c r="BE41" s="22">
        <f t="shared" si="274"/>
        <v>712</v>
      </c>
      <c r="BF41" s="22">
        <f t="shared" si="274"/>
        <v>881</v>
      </c>
      <c r="BG41" s="22">
        <f t="shared" si="274"/>
        <v>837</v>
      </c>
      <c r="BH41" s="22">
        <f t="shared" si="274"/>
        <v>873</v>
      </c>
      <c r="BI41" s="22">
        <f t="shared" si="274"/>
        <v>910</v>
      </c>
      <c r="BJ41" s="22">
        <f t="shared" si="274"/>
        <v>850</v>
      </c>
      <c r="BK41" s="22">
        <f t="shared" si="274"/>
        <v>922</v>
      </c>
      <c r="BL41" s="22">
        <f t="shared" si="274"/>
        <v>926</v>
      </c>
      <c r="BM41" s="22">
        <f t="shared" si="274"/>
        <v>884</v>
      </c>
      <c r="BN41" s="22">
        <f t="shared" si="274"/>
        <v>870</v>
      </c>
      <c r="BO41" s="22">
        <f t="shared" ref="BO41:CH41" si="275">+SUM(BO35:BO40)</f>
        <v>860</v>
      </c>
      <c r="BP41" s="22">
        <f t="shared" si="275"/>
        <v>828</v>
      </c>
      <c r="BQ41" s="22">
        <f t="shared" si="275"/>
        <v>826</v>
      </c>
      <c r="BR41" s="22">
        <f t="shared" si="275"/>
        <v>859</v>
      </c>
      <c r="BS41" s="22">
        <f t="shared" si="275"/>
        <v>869</v>
      </c>
      <c r="BT41" s="22">
        <f t="shared" si="275"/>
        <v>882</v>
      </c>
      <c r="BU41" s="22">
        <f t="shared" si="275"/>
        <v>932</v>
      </c>
      <c r="BV41" s="22">
        <f t="shared" si="275"/>
        <v>948</v>
      </c>
      <c r="BW41" s="22">
        <f t="shared" si="275"/>
        <v>975</v>
      </c>
      <c r="BX41" s="22">
        <f t="shared" si="275"/>
        <v>971</v>
      </c>
      <c r="BY41" s="22">
        <f t="shared" si="275"/>
        <v>1037</v>
      </c>
      <c r="BZ41" s="22">
        <f t="shared" si="275"/>
        <v>1060</v>
      </c>
      <c r="CA41" s="22">
        <f t="shared" si="275"/>
        <v>1150</v>
      </c>
      <c r="CB41" s="22">
        <f t="shared" si="275"/>
        <v>1175</v>
      </c>
      <c r="CC41" s="22">
        <f t="shared" si="275"/>
        <v>1166</v>
      </c>
      <c r="CD41" s="22">
        <f t="shared" si="275"/>
        <v>1183</v>
      </c>
      <c r="CE41" s="22">
        <f t="shared" si="275"/>
        <v>1261</v>
      </c>
      <c r="CF41" s="22">
        <f t="shared" si="275"/>
        <v>1272</v>
      </c>
      <c r="CG41" s="22">
        <f t="shared" si="275"/>
        <v>1222</v>
      </c>
      <c r="CH41" s="22">
        <f t="shared" si="275"/>
        <v>1264</v>
      </c>
      <c r="CI41" s="22">
        <f t="shared" ref="CI41:CJ41" si="276">+SUM(CI35:CI40)</f>
        <v>1372</v>
      </c>
      <c r="CJ41" s="22">
        <f t="shared" si="276"/>
        <v>1419</v>
      </c>
      <c r="CK41" s="22">
        <f t="shared" ref="CK41:CL41" si="277">+SUM(CK35:CK40)</f>
        <v>1416</v>
      </c>
      <c r="CL41" s="22">
        <f t="shared" si="277"/>
        <v>1826</v>
      </c>
      <c r="CM41" s="21">
        <f t="shared" ref="CM41:DB41" si="278">CM42*CM25</f>
        <v>1588.7337996160038</v>
      </c>
      <c r="CN41" s="21">
        <f t="shared" si="278"/>
        <v>1649.1530387593859</v>
      </c>
      <c r="CO41" s="21">
        <f t="shared" si="278"/>
        <v>1642.8252487138375</v>
      </c>
      <c r="CP41" s="21">
        <f t="shared" si="278"/>
        <v>2069.2028868099219</v>
      </c>
      <c r="CQ41" s="21">
        <f t="shared" si="278"/>
        <v>1811.6863006020985</v>
      </c>
      <c r="CR41" s="21">
        <f t="shared" si="278"/>
        <v>1876.1816225950729</v>
      </c>
      <c r="CS41" s="21">
        <f t="shared" si="278"/>
        <v>1862.0848804708146</v>
      </c>
      <c r="CT41" s="21">
        <f t="shared" si="278"/>
        <v>2336.4034317183805</v>
      </c>
      <c r="CU41" s="21">
        <f t="shared" si="278"/>
        <v>1868.7207207709791</v>
      </c>
      <c r="CV41" s="21">
        <f t="shared" si="278"/>
        <v>1876.3489339892171</v>
      </c>
      <c r="CW41" s="21">
        <f t="shared" si="278"/>
        <v>1830.6639166053021</v>
      </c>
      <c r="CX41" s="21">
        <f t="shared" si="278"/>
        <v>2272.4448938124806</v>
      </c>
      <c r="CY41" s="21">
        <f t="shared" si="278"/>
        <v>1881.0758782537685</v>
      </c>
      <c r="CZ41" s="21">
        <f t="shared" si="278"/>
        <v>1903.0753509586871</v>
      </c>
      <c r="DA41" s="21">
        <f t="shared" si="278"/>
        <v>1873.7586538885948</v>
      </c>
      <c r="DB41" s="21">
        <f t="shared" si="278"/>
        <v>2353.893990913682</v>
      </c>
      <c r="DE41" s="126"/>
      <c r="DF41" s="22">
        <v>1431.2988317065401</v>
      </c>
    </row>
    <row r="42" spans="1:110" s="44" customFormat="1" x14ac:dyDescent="0.2">
      <c r="A42" s="43" t="s">
        <v>349</v>
      </c>
      <c r="B42" s="44">
        <f t="shared" ref="B42:E42" si="279">B41/B25</f>
        <v>0.45958163448621148</v>
      </c>
      <c r="C42" s="44">
        <f t="shared" si="279"/>
        <v>0.45171036450293339</v>
      </c>
      <c r="D42" s="44">
        <f t="shared" si="279"/>
        <v>0.4993573672001107</v>
      </c>
      <c r="E42" s="44">
        <f t="shared" si="279"/>
        <v>0.47536472434389671</v>
      </c>
      <c r="F42" s="44">
        <f t="shared" ref="F42:AE42" si="280">F41/F25</f>
        <v>0.56495422112935267</v>
      </c>
      <c r="G42" s="44">
        <f t="shared" si="280"/>
        <v>0.56837383256421048</v>
      </c>
      <c r="H42" s="44">
        <f t="shared" si="280"/>
        <v>0.5642778244966411</v>
      </c>
      <c r="I42" s="44">
        <f t="shared" si="280"/>
        <v>0.5283931787787608</v>
      </c>
      <c r="J42" s="44">
        <f t="shared" si="280"/>
        <v>0.54234132291168913</v>
      </c>
      <c r="K42" s="44">
        <f t="shared" si="280"/>
        <v>0.51071361953297578</v>
      </c>
      <c r="L42" s="44">
        <f t="shared" si="280"/>
        <v>0.54298754122659243</v>
      </c>
      <c r="M42" s="44">
        <f t="shared" si="280"/>
        <v>0.52712246654203398</v>
      </c>
      <c r="N42" s="44">
        <f t="shared" si="280"/>
        <v>0.53281389163972914</v>
      </c>
      <c r="O42" s="44">
        <f t="shared" si="280"/>
        <v>0.50795752165019392</v>
      </c>
      <c r="P42" s="44">
        <f t="shared" si="280"/>
        <v>0.50550236920994096</v>
      </c>
      <c r="Q42" s="44">
        <f t="shared" si="280"/>
        <v>0.37572766748914405</v>
      </c>
      <c r="R42" s="44">
        <f t="shared" si="280"/>
        <v>0.48296246876982785</v>
      </c>
      <c r="S42" s="44">
        <f t="shared" si="280"/>
        <v>0.51658786889709452</v>
      </c>
      <c r="T42" s="44">
        <f t="shared" si="280"/>
        <v>0.47636456052549264</v>
      </c>
      <c r="U42" s="44">
        <f t="shared" si="280"/>
        <v>0.47701374552700426</v>
      </c>
      <c r="V42" s="44">
        <f t="shared" si="280"/>
        <v>0.44529187701525502</v>
      </c>
      <c r="W42" s="44">
        <f t="shared" si="280"/>
        <v>0.45204535944823959</v>
      </c>
      <c r="X42" s="44">
        <f t="shared" si="280"/>
        <v>0.44520927428366497</v>
      </c>
      <c r="Y42" s="44">
        <f t="shared" si="280"/>
        <v>0.45724954883741736</v>
      </c>
      <c r="Z42" s="44">
        <f t="shared" ref="Z42:AA42" si="281">Z41/Z25</f>
        <v>0.45641446011623743</v>
      </c>
      <c r="AA42" s="44">
        <f t="shared" si="281"/>
        <v>0.4637149644521032</v>
      </c>
      <c r="AB42" s="52">
        <f t="shared" si="280"/>
        <v>0.4189772642953179</v>
      </c>
      <c r="AC42" s="52">
        <f t="shared" si="280"/>
        <v>0.40599877914524696</v>
      </c>
      <c r="AD42" s="52">
        <f t="shared" si="280"/>
        <v>0.38738840012984488</v>
      </c>
      <c r="AE42" s="52">
        <f t="shared" si="280"/>
        <v>0.38600646875468481</v>
      </c>
      <c r="AI42" s="44">
        <f t="shared" ref="AI42:BN42" si="282">AI41/AI25</f>
        <v>0.5097783572359843</v>
      </c>
      <c r="AJ42" s="44">
        <f t="shared" si="282"/>
        <v>0.52252252252252251</v>
      </c>
      <c r="AK42" s="44">
        <f t="shared" si="282"/>
        <v>0.48808030112923462</v>
      </c>
      <c r="AL42" s="44">
        <f t="shared" si="282"/>
        <v>0.46842709529276694</v>
      </c>
      <c r="AM42" s="44">
        <f t="shared" si="282"/>
        <v>0.47839506172839508</v>
      </c>
      <c r="AN42" s="44">
        <f t="shared" si="282"/>
        <v>0.50617283950617287</v>
      </c>
      <c r="AO42" s="44">
        <f t="shared" si="282"/>
        <v>0.47487684729064039</v>
      </c>
      <c r="AP42" s="44">
        <f t="shared" si="282"/>
        <v>0.45306122448979591</v>
      </c>
      <c r="AQ42" s="44">
        <f t="shared" si="282"/>
        <v>0.42010771992818674</v>
      </c>
      <c r="AR42" s="44">
        <f t="shared" si="282"/>
        <v>0.46261298274445356</v>
      </c>
      <c r="AS42" s="44">
        <f t="shared" si="282"/>
        <v>0.47602739726027399</v>
      </c>
      <c r="AT42" s="44">
        <f t="shared" si="282"/>
        <v>0.54679376083188913</v>
      </c>
      <c r="AU42" s="44">
        <f t="shared" si="282"/>
        <v>0.31689779147406266</v>
      </c>
      <c r="AV42" s="44">
        <f t="shared" si="282"/>
        <v>0.3544004725339634</v>
      </c>
      <c r="AW42" s="44">
        <f t="shared" si="282"/>
        <v>0.35797665369649806</v>
      </c>
      <c r="AX42" s="44">
        <f t="shared" si="282"/>
        <v>0.40252827677977376</v>
      </c>
      <c r="AY42" s="44">
        <f t="shared" si="282"/>
        <v>0.43649258542875563</v>
      </c>
      <c r="AZ42" s="44">
        <f t="shared" si="282"/>
        <v>0.48845346396081174</v>
      </c>
      <c r="BA42" s="44">
        <f t="shared" si="282"/>
        <v>0.45945945945945948</v>
      </c>
      <c r="BB42" s="44">
        <f t="shared" si="282"/>
        <v>0.45258019525801951</v>
      </c>
      <c r="BC42" s="44">
        <f t="shared" si="282"/>
        <v>0.48751835535976507</v>
      </c>
      <c r="BD42" s="44">
        <f t="shared" si="282"/>
        <v>0.4728299223712068</v>
      </c>
      <c r="BE42" s="44">
        <f t="shared" si="282"/>
        <v>0.48667122351332875</v>
      </c>
      <c r="BF42" s="44">
        <f t="shared" si="282"/>
        <v>0.51580796252927397</v>
      </c>
      <c r="BG42" s="44">
        <f t="shared" si="282"/>
        <v>0.44711538461538464</v>
      </c>
      <c r="BH42" s="44">
        <f t="shared" si="282"/>
        <v>0.46092925026399156</v>
      </c>
      <c r="BI42" s="44">
        <f t="shared" si="282"/>
        <v>0.44368600682593856</v>
      </c>
      <c r="BJ42" s="44">
        <f t="shared" si="282"/>
        <v>0.45797413793103448</v>
      </c>
      <c r="BK42" s="44">
        <f t="shared" si="282"/>
        <v>0.45598417408506431</v>
      </c>
      <c r="BL42" s="44">
        <f t="shared" si="282"/>
        <v>0.46184538653366586</v>
      </c>
      <c r="BM42" s="44">
        <f t="shared" si="282"/>
        <v>0.44964394710071209</v>
      </c>
      <c r="BN42" s="44">
        <f t="shared" si="282"/>
        <v>0.44707091469681398</v>
      </c>
      <c r="BO42" s="44">
        <f t="shared" ref="BO42:CH42" si="283">BO41/BO25</f>
        <v>0.41828793774319067</v>
      </c>
      <c r="BP42" s="44">
        <f t="shared" si="283"/>
        <v>0.41051065939514131</v>
      </c>
      <c r="BQ42" s="44">
        <f t="shared" si="283"/>
        <v>0.41403508771929826</v>
      </c>
      <c r="BR42" s="44">
        <f t="shared" si="283"/>
        <v>0.44346928239545691</v>
      </c>
      <c r="BS42" s="44">
        <f t="shared" si="283"/>
        <v>0.40721649484536082</v>
      </c>
      <c r="BT42" s="44">
        <f t="shared" si="283"/>
        <v>0.41272812353766963</v>
      </c>
      <c r="BU42" s="44">
        <f t="shared" si="283"/>
        <v>0.44212523719165087</v>
      </c>
      <c r="BV42" s="44">
        <f t="shared" si="283"/>
        <v>0.44486156733927734</v>
      </c>
      <c r="BW42" s="44">
        <f t="shared" si="283"/>
        <v>0.41542394546229228</v>
      </c>
      <c r="BX42" s="44">
        <f t="shared" si="283"/>
        <v>0.42383238760366654</v>
      </c>
      <c r="BY42" s="44">
        <f t="shared" si="283"/>
        <v>0.41629867523083097</v>
      </c>
      <c r="BZ42" s="44">
        <f t="shared" si="283"/>
        <v>0.42553191489361702</v>
      </c>
      <c r="CA42" s="44">
        <f t="shared" si="283"/>
        <v>0.44384407564646855</v>
      </c>
      <c r="CB42" s="44">
        <f t="shared" si="283"/>
        <v>0.44172932330827069</v>
      </c>
      <c r="CC42" s="44">
        <f t="shared" si="283"/>
        <v>0.42679355783308931</v>
      </c>
      <c r="CD42" s="44">
        <f t="shared" si="283"/>
        <v>0.43096539162112935</v>
      </c>
      <c r="CE42" s="44">
        <f t="shared" si="283"/>
        <v>0.44106330884924799</v>
      </c>
      <c r="CF42" s="44">
        <f t="shared" si="283"/>
        <v>0.44029075804776741</v>
      </c>
      <c r="CG42" s="44">
        <f t="shared" si="283"/>
        <v>0.43503025987896049</v>
      </c>
      <c r="CH42" s="44">
        <f t="shared" si="283"/>
        <v>0.42717134166948295</v>
      </c>
      <c r="CI42" s="44">
        <f t="shared" ref="CI42:CJ42" si="284">CI41/CI25</f>
        <v>0.43171806167400884</v>
      </c>
      <c r="CJ42" s="44">
        <f t="shared" si="284"/>
        <v>0.4297395517867959</v>
      </c>
      <c r="CK42" s="44">
        <f t="shared" ref="CK42:CL42" si="285">CK41/CK25</f>
        <v>0.42870118074477748</v>
      </c>
      <c r="CL42" s="44">
        <f t="shared" si="285"/>
        <v>0.43507267095544438</v>
      </c>
      <c r="CM42" s="52">
        <f>AVERAGE(CI42:CL42)*0.98</f>
        <v>0.42268170896445151</v>
      </c>
      <c r="CN42" s="52">
        <f t="shared" ref="CN42:CP42" si="286">AVERAGE(CJ42:CM42)*0.98</f>
        <v>0.42046780255060995</v>
      </c>
      <c r="CO42" s="52">
        <f t="shared" si="286"/>
        <v>0.41819622398774436</v>
      </c>
      <c r="CP42" s="52">
        <f t="shared" si="286"/>
        <v>0.41562250958227126</v>
      </c>
      <c r="CQ42" s="52">
        <f t="shared" ref="CQ42" si="287">AVERAGE(CM42:CP42)*0.98</f>
        <v>0.41085722004584385</v>
      </c>
      <c r="CR42" s="52">
        <f t="shared" ref="CR42" si="288">AVERAGE(CN42:CQ42)*0.98</f>
        <v>0.40796022026078493</v>
      </c>
      <c r="CS42" s="52">
        <f t="shared" ref="CS42" si="289">AVERAGE(CO42:CR42)*0.98</f>
        <v>0.40489586259977789</v>
      </c>
      <c r="CT42" s="52">
        <f t="shared" ref="CT42" si="290">AVERAGE(CP42:CS42)*0.98</f>
        <v>0.40163727405972605</v>
      </c>
      <c r="CU42" s="52">
        <f>AVERAGE(CQ42:CT42)*0.97</f>
        <v>0.39414751491428718</v>
      </c>
      <c r="CV42" s="52">
        <f t="shared" ref="CV42:CX42" si="291">AVERAGE(CR42:CU42)*0.97</f>
        <v>0.39009541141988469</v>
      </c>
      <c r="CW42" s="52">
        <f t="shared" si="291"/>
        <v>0.38576319527596636</v>
      </c>
      <c r="CX42" s="52">
        <f t="shared" si="291"/>
        <v>0.3811235234499421</v>
      </c>
      <c r="CY42" s="52">
        <f t="shared" ref="CY42:DB42" si="292">AVERAGE(CU42:CX42)</f>
        <v>0.38778241126502011</v>
      </c>
      <c r="CZ42" s="52">
        <f t="shared" si="292"/>
        <v>0.38619113535270333</v>
      </c>
      <c r="DA42" s="52">
        <f t="shared" si="292"/>
        <v>0.38521506633590796</v>
      </c>
      <c r="DB42" s="52">
        <f t="shared" si="292"/>
        <v>0.38507803410089336</v>
      </c>
      <c r="DE42" s="128"/>
      <c r="DF42" s="44">
        <v>0.41645255794970326</v>
      </c>
    </row>
    <row r="43" spans="1:110" s="26" customFormat="1" x14ac:dyDescent="0.2">
      <c r="A43" s="34" t="s">
        <v>13</v>
      </c>
      <c r="B43" s="26">
        <f t="shared" ref="B43:E43" si="293">B31-B41</f>
        <v>72.389700000000033</v>
      </c>
      <c r="C43" s="26">
        <f t="shared" si="293"/>
        <v>77.114199999999983</v>
      </c>
      <c r="D43" s="26">
        <f t="shared" si="293"/>
        <v>73.304499999999962</v>
      </c>
      <c r="E43" s="26">
        <f t="shared" si="293"/>
        <v>91.886100000000056</v>
      </c>
      <c r="F43" s="26">
        <f t="shared" ref="F43:AE43" si="294">F31-F41</f>
        <v>74.103199999999958</v>
      </c>
      <c r="G43" s="26">
        <f t="shared" si="294"/>
        <v>108.03369999999984</v>
      </c>
      <c r="H43" s="26">
        <f t="shared" si="294"/>
        <v>155.73890000000029</v>
      </c>
      <c r="I43" s="26">
        <f t="shared" si="294"/>
        <v>202.83229999999992</v>
      </c>
      <c r="J43" s="26">
        <f t="shared" si="294"/>
        <v>258.72629999999981</v>
      </c>
      <c r="K43" s="26">
        <f t="shared" si="294"/>
        <v>420.77540000000022</v>
      </c>
      <c r="L43" s="26">
        <f t="shared" si="294"/>
        <v>387.78580000000056</v>
      </c>
      <c r="M43" s="26">
        <f t="shared" si="294"/>
        <v>500.45999999999958</v>
      </c>
      <c r="N43" s="26">
        <f t="shared" si="294"/>
        <v>692.22</v>
      </c>
      <c r="O43" s="26">
        <f t="shared" si="294"/>
        <v>951.48000000000047</v>
      </c>
      <c r="P43" s="26">
        <f t="shared" si="294"/>
        <v>1020.1599999999999</v>
      </c>
      <c r="Q43" s="26">
        <f t="shared" si="294"/>
        <v>2729.8000000000011</v>
      </c>
      <c r="R43" s="26">
        <f t="shared" si="294"/>
        <v>1377.2699999999995</v>
      </c>
      <c r="S43" s="26">
        <f t="shared" si="294"/>
        <v>1341.0500000000002</v>
      </c>
      <c r="T43" s="26">
        <f t="shared" si="294"/>
        <v>1976.4900000000007</v>
      </c>
      <c r="U43" s="26">
        <f t="shared" si="294"/>
        <v>2170.3599999999997</v>
      </c>
      <c r="V43" s="26">
        <f t="shared" si="294"/>
        <v>2480.0800000000004</v>
      </c>
      <c r="W43" s="26">
        <f t="shared" si="294"/>
        <v>2431.2699999999991</v>
      </c>
      <c r="X43" s="26">
        <f t="shared" si="294"/>
        <v>2823.9699999999993</v>
      </c>
      <c r="Y43" s="26">
        <f t="shared" si="294"/>
        <v>3363.59</v>
      </c>
      <c r="Z43" s="26">
        <f t="shared" ref="Z43:AA43" si="295">Z31-Z41</f>
        <v>3704.3499999999985</v>
      </c>
      <c r="AA43" s="26">
        <f t="shared" si="295"/>
        <v>4373.1699999999983</v>
      </c>
      <c r="AB43" s="27">
        <f t="shared" si="294"/>
        <v>5621.0500369711208</v>
      </c>
      <c r="AC43" s="27">
        <f t="shared" si="294"/>
        <v>6835.0962139992107</v>
      </c>
      <c r="AD43" s="27">
        <f t="shared" si="294"/>
        <v>7505.9168677624848</v>
      </c>
      <c r="AE43" s="27">
        <f t="shared" si="294"/>
        <v>7718.5358805393753</v>
      </c>
      <c r="AI43" s="26">
        <f t="shared" ref="AI43:BN43" si="296">AI31-AI41</f>
        <v>156</v>
      </c>
      <c r="AJ43" s="26">
        <f t="shared" si="296"/>
        <v>154</v>
      </c>
      <c r="AK43" s="26">
        <f t="shared" si="296"/>
        <v>162</v>
      </c>
      <c r="AL43" s="26">
        <f t="shared" si="296"/>
        <v>220</v>
      </c>
      <c r="AM43" s="26">
        <f t="shared" si="296"/>
        <v>208</v>
      </c>
      <c r="AN43" s="26">
        <f t="shared" si="296"/>
        <v>179</v>
      </c>
      <c r="AO43" s="26">
        <f t="shared" si="296"/>
        <v>215</v>
      </c>
      <c r="AP43" s="26">
        <f t="shared" si="296"/>
        <v>350</v>
      </c>
      <c r="AQ43" s="26">
        <f t="shared" si="296"/>
        <v>345</v>
      </c>
      <c r="AR43" s="26">
        <f t="shared" si="296"/>
        <v>273</v>
      </c>
      <c r="AS43" s="26">
        <f t="shared" si="296"/>
        <v>240</v>
      </c>
      <c r="AT43" s="26">
        <f t="shared" si="296"/>
        <v>162</v>
      </c>
      <c r="AU43" s="26">
        <f t="shared" si="296"/>
        <v>912</v>
      </c>
      <c r="AV43" s="26">
        <f t="shared" si="296"/>
        <v>717</v>
      </c>
      <c r="AW43" s="26">
        <f t="shared" si="296"/>
        <v>618</v>
      </c>
      <c r="AX43" s="26">
        <f t="shared" si="296"/>
        <v>487</v>
      </c>
      <c r="AY43" s="26">
        <f t="shared" si="296"/>
        <v>437</v>
      </c>
      <c r="AZ43" s="26">
        <f t="shared" si="296"/>
        <v>330</v>
      </c>
      <c r="BA43" s="26">
        <f t="shared" si="296"/>
        <v>316</v>
      </c>
      <c r="BB43" s="26">
        <f t="shared" si="296"/>
        <v>295</v>
      </c>
      <c r="BC43" s="26">
        <f t="shared" si="296"/>
        <v>297</v>
      </c>
      <c r="BD43" s="26">
        <f t="shared" si="296"/>
        <v>329</v>
      </c>
      <c r="BE43" s="26">
        <f t="shared" si="296"/>
        <v>359</v>
      </c>
      <c r="BF43" s="26">
        <f t="shared" si="296"/>
        <v>364</v>
      </c>
      <c r="BG43" s="26">
        <f t="shared" si="296"/>
        <v>477</v>
      </c>
      <c r="BH43" s="26">
        <f t="shared" si="296"/>
        <v>473</v>
      </c>
      <c r="BI43" s="26">
        <f t="shared" si="296"/>
        <v>561</v>
      </c>
      <c r="BJ43" s="26">
        <f t="shared" si="296"/>
        <v>473</v>
      </c>
      <c r="BK43" s="26">
        <f t="shared" si="296"/>
        <v>541</v>
      </c>
      <c r="BL43" s="26">
        <f t="shared" si="296"/>
        <v>541</v>
      </c>
      <c r="BM43" s="26">
        <f t="shared" si="296"/>
        <v>540</v>
      </c>
      <c r="BN43" s="26">
        <f t="shared" si="296"/>
        <v>548</v>
      </c>
      <c r="BO43" s="26">
        <f t="shared" ref="BO43:CT43" si="297">BO31-BO41</f>
        <v>661</v>
      </c>
      <c r="BP43" s="26">
        <f t="shared" si="297"/>
        <v>635</v>
      </c>
      <c r="BQ43" s="26">
        <f t="shared" si="297"/>
        <v>607</v>
      </c>
      <c r="BR43" s="26">
        <f t="shared" si="297"/>
        <v>582</v>
      </c>
      <c r="BS43" s="26">
        <f t="shared" si="297"/>
        <v>677</v>
      </c>
      <c r="BT43" s="26">
        <f t="shared" si="297"/>
        <v>660</v>
      </c>
      <c r="BU43" s="26">
        <f t="shared" si="297"/>
        <v>538</v>
      </c>
      <c r="BV43" s="26">
        <f t="shared" si="297"/>
        <v>561</v>
      </c>
      <c r="BW43" s="26">
        <f t="shared" si="297"/>
        <v>712</v>
      </c>
      <c r="BX43" s="26">
        <f t="shared" si="297"/>
        <v>679</v>
      </c>
      <c r="BY43" s="26">
        <f t="shared" si="297"/>
        <v>724</v>
      </c>
      <c r="BZ43" s="26">
        <f t="shared" si="297"/>
        <v>727</v>
      </c>
      <c r="CA43" s="26">
        <f t="shared" si="297"/>
        <v>791</v>
      </c>
      <c r="CB43" s="26">
        <f t="shared" si="297"/>
        <v>825</v>
      </c>
      <c r="CC43" s="26">
        <f t="shared" si="297"/>
        <v>869</v>
      </c>
      <c r="CD43" s="26">
        <f t="shared" si="297"/>
        <v>883</v>
      </c>
      <c r="CE43" s="26">
        <f t="shared" si="297"/>
        <v>904</v>
      </c>
      <c r="CF43" s="26">
        <f t="shared" si="297"/>
        <v>939</v>
      </c>
      <c r="CG43" s="26">
        <f t="shared" si="297"/>
        <v>914</v>
      </c>
      <c r="CH43" s="26">
        <f t="shared" si="297"/>
        <v>964</v>
      </c>
      <c r="CI43" s="26">
        <f t="shared" ref="CI43:CJ43" si="298">CI31-CI41</f>
        <v>1032</v>
      </c>
      <c r="CJ43" s="26">
        <f t="shared" si="298"/>
        <v>1083</v>
      </c>
      <c r="CK43" s="26">
        <f t="shared" ref="CK43:CL43" si="299">CK31-CK41</f>
        <v>1088</v>
      </c>
      <c r="CL43" s="26">
        <f t="shared" si="299"/>
        <v>1356</v>
      </c>
      <c r="CM43" s="27">
        <f t="shared" si="297"/>
        <v>1258.8879481298779</v>
      </c>
      <c r="CN43" s="27">
        <f t="shared" si="297"/>
        <v>1323.4621249280142</v>
      </c>
      <c r="CO43" s="27">
        <f t="shared" si="297"/>
        <v>1334.6406245276185</v>
      </c>
      <c r="CP43" s="27">
        <f t="shared" si="297"/>
        <v>1704.0593393856084</v>
      </c>
      <c r="CQ43" s="27">
        <f t="shared" si="297"/>
        <v>1530.0177372496405</v>
      </c>
      <c r="CR43" s="27">
        <f t="shared" si="297"/>
        <v>1609.3239522694989</v>
      </c>
      <c r="CS43" s="27">
        <f t="shared" si="297"/>
        <v>1623.4097509327391</v>
      </c>
      <c r="CT43" s="27">
        <f t="shared" si="297"/>
        <v>2072.3447735473346</v>
      </c>
      <c r="CU43" s="27">
        <f t="shared" ref="CU43:DB43" si="300">CU31-CU41</f>
        <v>1724.5025556770636</v>
      </c>
      <c r="CV43" s="27">
        <f t="shared" si="300"/>
        <v>1769.0665255751996</v>
      </c>
      <c r="CW43" s="27">
        <f t="shared" si="300"/>
        <v>1765.9265250738238</v>
      </c>
      <c r="CX43" s="27">
        <f t="shared" si="300"/>
        <v>2246.4212614363978</v>
      </c>
      <c r="CY43" s="27">
        <f t="shared" si="300"/>
        <v>1795.3023057208891</v>
      </c>
      <c r="CZ43" s="27">
        <f t="shared" si="300"/>
        <v>1831.6313461370878</v>
      </c>
      <c r="DA43" s="27">
        <f t="shared" si="300"/>
        <v>1812.7294869034686</v>
      </c>
      <c r="DB43" s="27">
        <f t="shared" si="300"/>
        <v>2278.8727417779314</v>
      </c>
      <c r="DE43" s="121"/>
      <c r="DF43" s="26">
        <v>1168.0408803261362</v>
      </c>
    </row>
    <row r="44" spans="1:110" s="168" customFormat="1" x14ac:dyDescent="0.2">
      <c r="A44" s="165" t="s">
        <v>14</v>
      </c>
      <c r="B44" s="166">
        <f t="shared" ref="B44:E44" si="301">B43/B25</f>
        <v>0.19794090295222747</v>
      </c>
      <c r="C44" s="166">
        <f t="shared" si="301"/>
        <v>0.19150509692197962</v>
      </c>
      <c r="D44" s="166">
        <f t="shared" si="301"/>
        <v>0.18073230799727108</v>
      </c>
      <c r="E44" s="166">
        <f t="shared" si="301"/>
        <v>0.20004236575975795</v>
      </c>
      <c r="F44" s="166">
        <f t="shared" ref="F44:AE44" si="302">F43/F25</f>
        <v>0.13528586896970102</v>
      </c>
      <c r="G44" s="166">
        <f t="shared" si="302"/>
        <v>0.11170171627846559</v>
      </c>
      <c r="H44" s="166">
        <f t="shared" si="302"/>
        <v>0.11991118779130124</v>
      </c>
      <c r="I44" s="166">
        <f t="shared" si="302"/>
        <v>0.1497084950396291</v>
      </c>
      <c r="J44" s="166">
        <f t="shared" si="302"/>
        <v>0.15866378079616458</v>
      </c>
      <c r="K44" s="166">
        <f t="shared" si="302"/>
        <v>0.21960704533073419</v>
      </c>
      <c r="L44" s="166">
        <f t="shared" si="302"/>
        <v>0.17644330952793294</v>
      </c>
      <c r="M44" s="166">
        <f t="shared" si="302"/>
        <v>0.18563607228701134</v>
      </c>
      <c r="N44" s="166">
        <f t="shared" si="302"/>
        <v>0.21556830284571837</v>
      </c>
      <c r="O44" s="166">
        <f t="shared" si="302"/>
        <v>0.22737005104284166</v>
      </c>
      <c r="P44" s="166">
        <f t="shared" si="302"/>
        <v>0.21922659532175051</v>
      </c>
      <c r="Q44" s="166">
        <f t="shared" si="302"/>
        <v>0.40945873988465331</v>
      </c>
      <c r="R44" s="166">
        <f t="shared" si="302"/>
        <v>0.23681970669000574</v>
      </c>
      <c r="S44" s="166">
        <f t="shared" si="302"/>
        <v>0.22539299442168939</v>
      </c>
      <c r="T44" s="166">
        <f t="shared" si="302"/>
        <v>0.25759696590553655</v>
      </c>
      <c r="U44" s="166">
        <f t="shared" si="302"/>
        <v>0.27336884439579762</v>
      </c>
      <c r="V44" s="166">
        <f t="shared" si="302"/>
        <v>0.30983300789424045</v>
      </c>
      <c r="W44" s="166">
        <f t="shared" si="302"/>
        <v>0.28576146797617302</v>
      </c>
      <c r="X44" s="166">
        <f t="shared" si="302"/>
        <v>0.29354739790959594</v>
      </c>
      <c r="Y44" s="166">
        <f t="shared" si="302"/>
        <v>0.31353841966323137</v>
      </c>
      <c r="Z44" s="166">
        <f t="shared" ref="Z44:AA44" si="303">Z43/Z25</f>
        <v>0.32166733674363424</v>
      </c>
      <c r="AA44" s="166">
        <f t="shared" si="303"/>
        <v>0.31282220758197749</v>
      </c>
      <c r="AB44" s="167">
        <f t="shared" si="302"/>
        <v>0.33886632797695443</v>
      </c>
      <c r="AC44" s="167">
        <f t="shared" si="302"/>
        <v>0.35187869218642076</v>
      </c>
      <c r="AD44" s="167">
        <f t="shared" si="302"/>
        <v>0.37049426689409326</v>
      </c>
      <c r="AE44" s="167">
        <f t="shared" si="302"/>
        <v>0.37187689889247744</v>
      </c>
      <c r="AI44" s="166">
        <f t="shared" ref="AI44:BN44" si="304">AI43/AI25</f>
        <v>0.20338983050847459</v>
      </c>
      <c r="AJ44" s="166">
        <f t="shared" si="304"/>
        <v>0.1981981981981982</v>
      </c>
      <c r="AK44" s="166">
        <f t="shared" si="304"/>
        <v>0.20326223337515684</v>
      </c>
      <c r="AL44" s="166">
        <f t="shared" si="304"/>
        <v>0.2525832376578645</v>
      </c>
      <c r="AM44" s="166">
        <f t="shared" si="304"/>
        <v>0.2139917695473251</v>
      </c>
      <c r="AN44" s="166">
        <f t="shared" si="304"/>
        <v>0.18415637860082304</v>
      </c>
      <c r="AO44" s="166">
        <f t="shared" si="304"/>
        <v>0.21182266009852216</v>
      </c>
      <c r="AP44" s="166">
        <f t="shared" si="304"/>
        <v>0.2857142857142857</v>
      </c>
      <c r="AQ44" s="166">
        <f t="shared" si="304"/>
        <v>0.30969479353680429</v>
      </c>
      <c r="AR44" s="166">
        <f t="shared" si="304"/>
        <v>0.22432210353327856</v>
      </c>
      <c r="AS44" s="166">
        <f t="shared" si="304"/>
        <v>0.20547945205479451</v>
      </c>
      <c r="AT44" s="166">
        <f t="shared" si="304"/>
        <v>0.14038128249566725</v>
      </c>
      <c r="AU44" s="166">
        <f t="shared" si="304"/>
        <v>0.46841294298921415</v>
      </c>
      <c r="AV44" s="166">
        <f t="shared" si="304"/>
        <v>0.42350856467808623</v>
      </c>
      <c r="AW44" s="166">
        <f t="shared" si="304"/>
        <v>0.40077821011673154</v>
      </c>
      <c r="AX44" s="166">
        <f t="shared" si="304"/>
        <v>0.32401862940785098</v>
      </c>
      <c r="AY44" s="166">
        <f t="shared" si="304"/>
        <v>0.28175370728562216</v>
      </c>
      <c r="AZ44" s="166">
        <f t="shared" si="304"/>
        <v>0.23093072078376486</v>
      </c>
      <c r="BA44" s="166">
        <f t="shared" si="304"/>
        <v>0.21898821898821899</v>
      </c>
      <c r="BB44" s="166">
        <f t="shared" si="304"/>
        <v>0.20571827057182707</v>
      </c>
      <c r="BC44" s="166">
        <f t="shared" si="304"/>
        <v>0.21806167400881057</v>
      </c>
      <c r="BD44" s="166">
        <f t="shared" si="304"/>
        <v>0.23218066337332394</v>
      </c>
      <c r="BE44" s="166">
        <f t="shared" si="304"/>
        <v>0.24538619275461382</v>
      </c>
      <c r="BF44" s="166">
        <f t="shared" si="304"/>
        <v>0.21311475409836064</v>
      </c>
      <c r="BG44" s="166">
        <f t="shared" si="304"/>
        <v>0.25480769230769229</v>
      </c>
      <c r="BH44" s="166">
        <f t="shared" si="304"/>
        <v>0.24973600844772967</v>
      </c>
      <c r="BI44" s="166">
        <f t="shared" si="304"/>
        <v>0.27352510970258409</v>
      </c>
      <c r="BJ44" s="166">
        <f t="shared" si="304"/>
        <v>0.25484913793103448</v>
      </c>
      <c r="BK44" s="166">
        <f t="shared" si="304"/>
        <v>0.2675568743818002</v>
      </c>
      <c r="BL44" s="166">
        <f t="shared" si="304"/>
        <v>0.26982543640897755</v>
      </c>
      <c r="BM44" s="166">
        <f t="shared" si="304"/>
        <v>0.27466937945066122</v>
      </c>
      <c r="BN44" s="166">
        <f t="shared" si="304"/>
        <v>0.28160328879753338</v>
      </c>
      <c r="BO44" s="166">
        <f t="shared" ref="BO44:CT44" si="305">BO43/BO25</f>
        <v>0.32149805447470819</v>
      </c>
      <c r="BP44" s="166">
        <f t="shared" si="305"/>
        <v>0.31482399603371342</v>
      </c>
      <c r="BQ44" s="166">
        <f t="shared" si="305"/>
        <v>0.30426065162907268</v>
      </c>
      <c r="BR44" s="166">
        <f t="shared" si="305"/>
        <v>0.30046463603510581</v>
      </c>
      <c r="BS44" s="166">
        <f t="shared" si="305"/>
        <v>0.31724461105904406</v>
      </c>
      <c r="BT44" s="166">
        <f t="shared" si="305"/>
        <v>0.30884417407580722</v>
      </c>
      <c r="BU44" s="166">
        <f t="shared" si="305"/>
        <v>0.25521821631878555</v>
      </c>
      <c r="BV44" s="166">
        <f t="shared" si="305"/>
        <v>0.26325668700140781</v>
      </c>
      <c r="BW44" s="166">
        <f t="shared" si="305"/>
        <v>0.30336599914784834</v>
      </c>
      <c r="BX44" s="166">
        <f t="shared" si="305"/>
        <v>0.2963771278917503</v>
      </c>
      <c r="BY44" s="166">
        <f t="shared" si="305"/>
        <v>0.29064632677639501</v>
      </c>
      <c r="BZ44" s="166">
        <f t="shared" si="305"/>
        <v>0.29185066238458451</v>
      </c>
      <c r="CA44" s="166">
        <f t="shared" si="305"/>
        <v>0.30528753377074491</v>
      </c>
      <c r="CB44" s="166">
        <f t="shared" si="305"/>
        <v>0.31015037593984962</v>
      </c>
      <c r="CC44" s="166">
        <f t="shared" si="305"/>
        <v>0.31808199121522696</v>
      </c>
      <c r="CD44" s="166">
        <f t="shared" si="305"/>
        <v>0.32167577413479054</v>
      </c>
      <c r="CE44" s="166">
        <f t="shared" si="305"/>
        <v>0.31619447359216507</v>
      </c>
      <c r="CF44" s="166">
        <f t="shared" si="305"/>
        <v>0.32502596053997923</v>
      </c>
      <c r="CG44" s="166">
        <f t="shared" si="305"/>
        <v>0.32538269846920614</v>
      </c>
      <c r="CH44" s="166">
        <f t="shared" si="305"/>
        <v>0.32578573842514363</v>
      </c>
      <c r="CI44" s="166">
        <f t="shared" ref="CI44:CJ44" si="306">CI43/CI25</f>
        <v>0.32473253618628067</v>
      </c>
      <c r="CJ44" s="166">
        <f t="shared" si="306"/>
        <v>0.32798304058146577</v>
      </c>
      <c r="CK44" s="166">
        <f t="shared" ref="CK44:CL44" si="307">CK43/CK25</f>
        <v>0.32939751740841661</v>
      </c>
      <c r="CL44" s="166">
        <f t="shared" si="307"/>
        <v>0.32308791994281627</v>
      </c>
      <c r="CM44" s="167">
        <f t="shared" si="305"/>
        <v>0.33492641085554992</v>
      </c>
      <c r="CN44" s="167">
        <f t="shared" si="305"/>
        <v>0.33742969775931952</v>
      </c>
      <c r="CO44" s="167">
        <f t="shared" si="305"/>
        <v>0.3397450033076021</v>
      </c>
      <c r="CP44" s="167">
        <f t="shared" si="305"/>
        <v>0.34227934999861309</v>
      </c>
      <c r="CQ44" s="167">
        <f t="shared" si="305"/>
        <v>0.34697995670569654</v>
      </c>
      <c r="CR44" s="167">
        <f t="shared" si="305"/>
        <v>0.34993422072364022</v>
      </c>
      <c r="CS44" s="167">
        <f t="shared" si="305"/>
        <v>0.35299781355327126</v>
      </c>
      <c r="CT44" s="167">
        <f t="shared" si="305"/>
        <v>0.35624451430774873</v>
      </c>
      <c r="CU44" s="167">
        <f t="shared" ref="CU44:DB44" si="308">CU43/CU25</f>
        <v>0.36372925564983521</v>
      </c>
      <c r="CV44" s="167">
        <f t="shared" si="308"/>
        <v>0.36779125759738313</v>
      </c>
      <c r="CW44" s="167">
        <f t="shared" si="308"/>
        <v>0.3721215307495121</v>
      </c>
      <c r="CX44" s="167">
        <f t="shared" si="308"/>
        <v>0.37675896504364387</v>
      </c>
      <c r="CY44" s="167">
        <f t="shared" si="308"/>
        <v>0.37010025226009352</v>
      </c>
      <c r="CZ44" s="167">
        <f t="shared" si="308"/>
        <v>0.37169300141265821</v>
      </c>
      <c r="DA44" s="167">
        <f t="shared" si="308"/>
        <v>0.37266843736647698</v>
      </c>
      <c r="DB44" s="167">
        <f t="shared" si="308"/>
        <v>0.37280516402071834</v>
      </c>
      <c r="DE44" s="169"/>
      <c r="DF44" s="168">
        <v>0.33985468416938974</v>
      </c>
    </row>
    <row r="45" spans="1:110" s="38" customFormat="1" x14ac:dyDescent="0.2">
      <c r="A45" s="39" t="s">
        <v>449</v>
      </c>
      <c r="B45" s="39"/>
      <c r="C45" s="39">
        <f t="shared" ref="C45:E45" si="309">+IF(B43&lt;0,1-C43/B43,C43/B43-1)</f>
        <v>6.5264809772660248E-2</v>
      </c>
      <c r="D45" s="39">
        <f t="shared" si="309"/>
        <v>-4.9403352430551384E-2</v>
      </c>
      <c r="E45" s="39">
        <f t="shared" si="309"/>
        <v>0.25348512028593206</v>
      </c>
      <c r="F45" s="39">
        <f t="shared" ref="F45:Y45" si="310">+IF(E43&lt;0,1-F43/E43,F43/E43-1)</f>
        <v>-0.19353199232528195</v>
      </c>
      <c r="G45" s="39">
        <f t="shared" si="310"/>
        <v>0.45788171091126828</v>
      </c>
      <c r="H45" s="39">
        <f t="shared" si="310"/>
        <v>0.44157702642786933</v>
      </c>
      <c r="I45" s="39">
        <f t="shared" si="310"/>
        <v>0.3023868795785738</v>
      </c>
      <c r="J45" s="39">
        <f t="shared" si="310"/>
        <v>0.27556755013871026</v>
      </c>
      <c r="K45" s="39">
        <f t="shared" si="310"/>
        <v>0.62633408354697817</v>
      </c>
      <c r="L45" s="39">
        <f t="shared" si="310"/>
        <v>-7.8401921785350659E-2</v>
      </c>
      <c r="M45" s="39">
        <f t="shared" si="310"/>
        <v>0.29055782857443169</v>
      </c>
      <c r="N45" s="39">
        <f t="shared" si="310"/>
        <v>0.38316748591296124</v>
      </c>
      <c r="O45" s="39">
        <f t="shared" si="310"/>
        <v>0.37453410765363682</v>
      </c>
      <c r="P45" s="39">
        <f t="shared" si="310"/>
        <v>7.2182284441080657E-2</v>
      </c>
      <c r="Q45" s="39">
        <f t="shared" si="310"/>
        <v>1.6758547678795499</v>
      </c>
      <c r="R45" s="39">
        <f t="shared" si="310"/>
        <v>-0.49546853249322331</v>
      </c>
      <c r="S45" s="39">
        <f t="shared" si="310"/>
        <v>-2.6298401911026392E-2</v>
      </c>
      <c r="T45" s="39">
        <f t="shared" si="310"/>
        <v>0.47383766451661047</v>
      </c>
      <c r="U45" s="39">
        <f t="shared" si="310"/>
        <v>9.8088024730708989E-2</v>
      </c>
      <c r="V45" s="39">
        <f t="shared" si="310"/>
        <v>0.14270443613041195</v>
      </c>
      <c r="W45" s="39">
        <f t="shared" si="310"/>
        <v>-1.9680816747847385E-2</v>
      </c>
      <c r="X45" s="39">
        <f t="shared" si="310"/>
        <v>0.1615205221962186</v>
      </c>
      <c r="Y45" s="39">
        <f t="shared" si="310"/>
        <v>0.19108559935126812</v>
      </c>
      <c r="Z45" s="39">
        <f t="shared" ref="Z45:AE45" si="311">+IF(Y43&lt;0,1-Z43/Y43,Z43/Y43-1)</f>
        <v>0.10130842344043067</v>
      </c>
      <c r="AA45" s="39">
        <f t="shared" si="311"/>
        <v>0.18054989404348931</v>
      </c>
      <c r="AB45" s="40">
        <f t="shared" si="311"/>
        <v>0.28534908018008065</v>
      </c>
      <c r="AC45" s="40">
        <f t="shared" si="311"/>
        <v>0.21598209748053998</v>
      </c>
      <c r="AD45" s="40">
        <f t="shared" si="311"/>
        <v>9.8143556836748136E-2</v>
      </c>
      <c r="AE45" s="40">
        <f t="shared" si="311"/>
        <v>2.8326854203525542E-2</v>
      </c>
      <c r="AI45" s="39"/>
      <c r="AJ45" s="39"/>
      <c r="AK45" s="39"/>
      <c r="AL45" s="39"/>
      <c r="AM45" s="39">
        <f>+IF(AI43&lt;0,1-AM43/AI43,AM43/AI43-1)</f>
        <v>0.33333333333333326</v>
      </c>
      <c r="AN45" s="39">
        <f t="shared" ref="AN45" si="312">+IF(AJ43&lt;0,1-AN43/AJ43,AN43/AJ43-1)</f>
        <v>0.16233766233766245</v>
      </c>
      <c r="AO45" s="39">
        <f t="shared" ref="AO45" si="313">+IF(AK43&lt;0,1-AO43/AK43,AO43/AK43-1)</f>
        <v>0.32716049382716039</v>
      </c>
      <c r="AP45" s="39">
        <f t="shared" ref="AP45" si="314">+IF(AL43&lt;0,1-AP43/AL43,AP43/AL43-1)</f>
        <v>0.59090909090909083</v>
      </c>
      <c r="AQ45" s="39">
        <f t="shared" ref="AQ45" si="315">+IF(AM43&lt;0,1-AQ43/AM43,AQ43/AM43-1)</f>
        <v>0.65865384615384626</v>
      </c>
      <c r="AR45" s="39">
        <f t="shared" ref="AR45" si="316">+IF(AN43&lt;0,1-AR43/AN43,AR43/AN43-1)</f>
        <v>0.52513966480446927</v>
      </c>
      <c r="AS45" s="39">
        <f t="shared" ref="AS45" si="317">+IF(AO43&lt;0,1-AS43/AO43,AS43/AO43-1)</f>
        <v>0.11627906976744184</v>
      </c>
      <c r="AT45" s="39">
        <f t="shared" ref="AT45" si="318">+IF(AP43&lt;0,1-AT43/AP43,AT43/AP43-1)</f>
        <v>-0.53714285714285714</v>
      </c>
      <c r="AU45" s="39">
        <f t="shared" ref="AU45" si="319">+IF(AQ43&lt;0,1-AU43/AQ43,AU43/AQ43-1)</f>
        <v>1.6434782608695651</v>
      </c>
      <c r="AV45" s="39">
        <f t="shared" ref="AV45" si="320">+IF(AR43&lt;0,1-AV43/AR43,AV43/AR43-1)</f>
        <v>1.6263736263736264</v>
      </c>
      <c r="AW45" s="39">
        <f t="shared" ref="AW45" si="321">+IF(AS43&lt;0,1-AW43/AS43,AW43/AS43-1)</f>
        <v>1.5750000000000002</v>
      </c>
      <c r="AX45" s="39">
        <f t="shared" ref="AX45" si="322">+IF(AT43&lt;0,1-AX43/AT43,AX43/AT43-1)</f>
        <v>2.0061728395061729</v>
      </c>
      <c r="AY45" s="39">
        <f t="shared" ref="AY45" si="323">+IF(AU43&lt;0,1-AY43/AU43,AY43/AU43-1)</f>
        <v>-0.52083333333333326</v>
      </c>
      <c r="AZ45" s="39">
        <f t="shared" ref="AZ45" si="324">+IF(AV43&lt;0,1-AZ43/AV43,AZ43/AV43-1)</f>
        <v>-0.53974895397489542</v>
      </c>
      <c r="BA45" s="39">
        <f t="shared" ref="BA45" si="325">+IF(AW43&lt;0,1-BA43/AW43,BA43/AW43-1)</f>
        <v>-0.48867313915857602</v>
      </c>
      <c r="BB45" s="39">
        <f t="shared" ref="BB45" si="326">+IF(AX43&lt;0,1-BB43/AX43,BB43/AX43-1)</f>
        <v>-0.39425051334702255</v>
      </c>
      <c r="BC45" s="39">
        <f t="shared" ref="BC45" si="327">+IF(AY43&lt;0,1-BC43/AY43,BC43/AY43-1)</f>
        <v>-0.3203661327231121</v>
      </c>
      <c r="BD45" s="39">
        <f t="shared" ref="BD45" si="328">+IF(AZ43&lt;0,1-BD43/AZ43,BD43/AZ43-1)</f>
        <v>-3.0303030303030498E-3</v>
      </c>
      <c r="BE45" s="39">
        <f t="shared" ref="BE45" si="329">+IF(BA43&lt;0,1-BE43/BA43,BE43/BA43-1)</f>
        <v>0.13607594936708867</v>
      </c>
      <c r="BF45" s="39">
        <f t="shared" ref="BF45" si="330">+IF(BB43&lt;0,1-BF43/BB43,BF43/BB43-1)</f>
        <v>0.23389830508474585</v>
      </c>
      <c r="BG45" s="39">
        <f t="shared" ref="BG45" si="331">+IF(BC43&lt;0,1-BG43/BC43,BG43/BC43-1)</f>
        <v>0.60606060606060597</v>
      </c>
      <c r="BH45" s="39">
        <f t="shared" ref="BH45" si="332">+IF(BD43&lt;0,1-BH43/BD43,BH43/BD43-1)</f>
        <v>0.43768996960486328</v>
      </c>
      <c r="BI45" s="39">
        <f t="shared" ref="BI45" si="333">+IF(BE43&lt;0,1-BI43/BE43,BI43/BE43-1)</f>
        <v>0.56267409470752083</v>
      </c>
      <c r="BJ45" s="39">
        <f t="shared" ref="BJ45" si="334">+IF(BF43&lt;0,1-BJ43/BF43,BJ43/BF43-1)</f>
        <v>0.2994505494505495</v>
      </c>
      <c r="BK45" s="39">
        <f t="shared" ref="BK45" si="335">+IF(BG43&lt;0,1-BK43/BG43,BK43/BG43-1)</f>
        <v>0.13417190775681331</v>
      </c>
      <c r="BL45" s="39">
        <f t="shared" ref="BL45" si="336">+IF(BH43&lt;0,1-BL43/BH43,BL43/BH43-1)</f>
        <v>0.14376321353065546</v>
      </c>
      <c r="BM45" s="39">
        <f t="shared" ref="BM45" si="337">+IF(BI43&lt;0,1-BM43/BI43,BM43/BI43-1)</f>
        <v>-3.7433155080213942E-2</v>
      </c>
      <c r="BN45" s="39">
        <f t="shared" ref="BN45" si="338">+IF(BJ43&lt;0,1-BN43/BJ43,BN43/BJ43-1)</f>
        <v>0.15856236786469347</v>
      </c>
      <c r="BO45" s="39">
        <f t="shared" ref="BO45" si="339">+IF(BK43&lt;0,1-BO43/BK43,BO43/BK43-1)</f>
        <v>0.22181146025877996</v>
      </c>
      <c r="BP45" s="39">
        <f t="shared" ref="BP45" si="340">+IF(BL43&lt;0,1-BP43/BL43,BP43/BL43-1)</f>
        <v>0.17375231053604434</v>
      </c>
      <c r="BQ45" s="39">
        <f t="shared" ref="BQ45" si="341">+IF(BM43&lt;0,1-BQ43/BM43,BQ43/BM43-1)</f>
        <v>0.124074074074074</v>
      </c>
      <c r="BR45" s="39">
        <f t="shared" ref="BR45" si="342">+IF(BN43&lt;0,1-BR43/BN43,BR43/BN43-1)</f>
        <v>6.2043795620438047E-2</v>
      </c>
      <c r="BS45" s="39">
        <f t="shared" ref="BS45" si="343">+IF(BO43&lt;0,1-BS43/BO43,BS43/BO43-1)</f>
        <v>2.4205748865355536E-2</v>
      </c>
      <c r="BT45" s="39">
        <f t="shared" ref="BT45" si="344">+IF(BP43&lt;0,1-BT43/BP43,BT43/BP43-1)</f>
        <v>3.937007874015741E-2</v>
      </c>
      <c r="BU45" s="39">
        <f t="shared" ref="BU45" si="345">+IF(BQ43&lt;0,1-BU43/BQ43,BU43/BQ43-1)</f>
        <v>-0.11367380560131801</v>
      </c>
      <c r="BV45" s="39">
        <f t="shared" ref="BV45" si="346">+IF(BR43&lt;0,1-BV43/BR43,BV43/BR43-1)</f>
        <v>-3.6082474226804107E-2</v>
      </c>
      <c r="BW45" s="39">
        <f t="shared" ref="BW45" si="347">+IF(BS43&lt;0,1-BW43/BS43,BW43/BS43-1)</f>
        <v>5.1698670605613062E-2</v>
      </c>
      <c r="BX45" s="39">
        <f t="shared" ref="BX45" si="348">+IF(BT43&lt;0,1-BX43/BT43,BX43/BT43-1)</f>
        <v>2.8787878787878807E-2</v>
      </c>
      <c r="BY45" s="39">
        <f t="shared" ref="BY45" si="349">+IF(BU43&lt;0,1-BY43/BU43,BY43/BU43-1)</f>
        <v>0.34572490706319692</v>
      </c>
      <c r="BZ45" s="39">
        <f t="shared" ref="BZ45" si="350">+IF(BV43&lt;0,1-BZ43/BV43,BZ43/BV43-1)</f>
        <v>0.29590017825311943</v>
      </c>
      <c r="CA45" s="39">
        <f t="shared" ref="CA45" si="351">+IF(BW43&lt;0,1-CA43/BW43,CA43/BW43-1)</f>
        <v>0.11095505617977519</v>
      </c>
      <c r="CB45" s="39">
        <f t="shared" ref="CB45" si="352">+IF(BX43&lt;0,1-CB43/BX43,CB43/BX43-1)</f>
        <v>0.21502209131075101</v>
      </c>
      <c r="CC45" s="39">
        <f t="shared" ref="CC45" si="353">+IF(BY43&lt;0,1-CC43/BY43,CC43/BY43-1)</f>
        <v>0.20027624309392267</v>
      </c>
      <c r="CD45" s="39">
        <f t="shared" ref="CD45" si="354">+IF(BZ43&lt;0,1-CD43/BZ43,CD43/BZ43-1)</f>
        <v>0.21458046767537819</v>
      </c>
      <c r="CE45" s="39">
        <f t="shared" ref="CE45" si="355">+IF(CA43&lt;0,1-CE43/CA43,CE43/CA43-1)</f>
        <v>0.14285714285714279</v>
      </c>
      <c r="CF45" s="39">
        <f t="shared" ref="CF45" si="356">+IF(CB43&lt;0,1-CF43/CB43,CF43/CB43-1)</f>
        <v>0.13818181818181818</v>
      </c>
      <c r="CG45" s="39">
        <f t="shared" ref="CG45" si="357">+IF(CC43&lt;0,1-CG43/CC43,CG43/CC43-1)</f>
        <v>5.1783659378596081E-2</v>
      </c>
      <c r="CH45" s="39">
        <f t="shared" ref="CH45:CL45" si="358">+IF(CD43&lt;0,1-CH43/CD43,CH43/CD43-1)</f>
        <v>9.1732729331823304E-2</v>
      </c>
      <c r="CI45" s="39">
        <f t="shared" si="358"/>
        <v>0.1415929203539823</v>
      </c>
      <c r="CJ45" s="39">
        <f t="shared" si="358"/>
        <v>0.15335463258785942</v>
      </c>
      <c r="CK45" s="39">
        <f t="shared" si="358"/>
        <v>0.19037199124726478</v>
      </c>
      <c r="CL45" s="39">
        <f t="shared" si="358"/>
        <v>0.4066390041493777</v>
      </c>
      <c r="CM45" s="40">
        <f t="shared" ref="CM45" si="359">+CM43/CI43-1</f>
        <v>0.21985266291654848</v>
      </c>
      <c r="CN45" s="40">
        <f t="shared" ref="CN45" si="360">+CN43/CJ43-1</f>
        <v>0.22203335635089028</v>
      </c>
      <c r="CO45" s="40">
        <f t="shared" ref="CO45" si="361">+CO43/CK43-1</f>
        <v>0.2266917504849435</v>
      </c>
      <c r="CP45" s="40">
        <f t="shared" ref="CP45" si="362">+CP43/CL43-1</f>
        <v>0.25668092875044857</v>
      </c>
      <c r="CQ45" s="40">
        <f t="shared" ref="CQ45" si="363">+CQ43/CM43-1</f>
        <v>0.21537245592233623</v>
      </c>
      <c r="CR45" s="40">
        <f t="shared" ref="CR45" si="364">+CR43/CN43-1</f>
        <v>0.21599547275070941</v>
      </c>
      <c r="CS45" s="40">
        <f t="shared" ref="CS45" si="365">+CS43/CO43-1</f>
        <v>0.21636470604761282</v>
      </c>
      <c r="CT45" s="40">
        <f t="shared" ref="CT45" si="366">+CT43/CP43-1</f>
        <v>0.21612242346825195</v>
      </c>
      <c r="CU45" s="40">
        <f t="shared" ref="CU45" si="367">+CU43/CQ43-1</f>
        <v>0.12711278679489624</v>
      </c>
      <c r="CV45" s="40">
        <f t="shared" ref="CV45" si="368">+CV43/CR43-1</f>
        <v>9.9260669724345219E-2</v>
      </c>
      <c r="CW45" s="40">
        <f t="shared" ref="CW45" si="369">+CW43/CS43-1</f>
        <v>8.7788541407491705E-2</v>
      </c>
      <c r="CX45" s="40">
        <f t="shared" ref="CX45" si="370">+CX43/CT43-1</f>
        <v>8.3999771713221261E-2</v>
      </c>
      <c r="CY45" s="40">
        <f t="shared" ref="CY45" si="371">+CY43/CU43-1</f>
        <v>4.1055172583393862E-2</v>
      </c>
      <c r="CZ45" s="40">
        <f t="shared" ref="CZ45" si="372">+CZ43/CV43-1</f>
        <v>3.5366007811122646E-2</v>
      </c>
      <c r="DA45" s="40">
        <f t="shared" ref="DA45" si="373">+DA43/CW43-1</f>
        <v>2.6503346070804623E-2</v>
      </c>
      <c r="DB45" s="40">
        <f t="shared" ref="DB45" si="374">+DB43/CX43-1</f>
        <v>1.4445857016499142E-2</v>
      </c>
      <c r="DE45" s="122"/>
      <c r="DF45" s="38">
        <v>0.21166066423873042</v>
      </c>
    </row>
    <row r="46" spans="1:110" s="38" customFormat="1" x14ac:dyDescent="0.2">
      <c r="A46" s="39" t="s">
        <v>450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40"/>
      <c r="AD46" s="40"/>
      <c r="AE46" s="40"/>
      <c r="AI46" s="39"/>
      <c r="AJ46" s="39">
        <f>+IF(AI43&lt;0,1-AJ43/AI43,AJ43/AI43-1)</f>
        <v>-1.2820512820512775E-2</v>
      </c>
      <c r="AK46" s="39">
        <f t="shared" ref="AK46:AM46" si="375">+IF(AJ43&lt;0,1-AK43/AJ43,AK43/AJ43-1)</f>
        <v>5.1948051948051965E-2</v>
      </c>
      <c r="AL46" s="39">
        <f t="shared" si="375"/>
        <v>0.35802469135802473</v>
      </c>
      <c r="AM46" s="39">
        <f t="shared" si="375"/>
        <v>-5.4545454545454564E-2</v>
      </c>
      <c r="AN46" s="39">
        <f t="shared" ref="AN46" si="376">+IF(AM43&lt;0,1-AN43/AM43,AN43/AM43-1)</f>
        <v>-0.13942307692307687</v>
      </c>
      <c r="AO46" s="39">
        <f t="shared" ref="AO46" si="377">+IF(AN43&lt;0,1-AO43/AN43,AO43/AN43-1)</f>
        <v>0.2011173184357542</v>
      </c>
      <c r="AP46" s="39">
        <f t="shared" ref="AP46" si="378">+IF(AO43&lt;0,1-AP43/AO43,AP43/AO43-1)</f>
        <v>0.62790697674418605</v>
      </c>
      <c r="AQ46" s="39">
        <f t="shared" ref="AQ46" si="379">+IF(AP43&lt;0,1-AQ43/AP43,AQ43/AP43-1)</f>
        <v>-1.4285714285714235E-2</v>
      </c>
      <c r="AR46" s="39">
        <f t="shared" ref="AR46" si="380">+IF(AQ43&lt;0,1-AR43/AQ43,AR43/AQ43-1)</f>
        <v>-0.20869565217391306</v>
      </c>
      <c r="AS46" s="39">
        <f t="shared" ref="AS46" si="381">+IF(AR43&lt;0,1-AS43/AR43,AS43/AR43-1)</f>
        <v>-0.12087912087912089</v>
      </c>
      <c r="AT46" s="39">
        <f t="shared" ref="AT46" si="382">+IF(AS43&lt;0,1-AT43/AS43,AT43/AS43-1)</f>
        <v>-0.32499999999999996</v>
      </c>
      <c r="AU46" s="39">
        <f t="shared" ref="AU46" si="383">+IF(AT43&lt;0,1-AU43/AT43,AU43/AT43-1)</f>
        <v>4.6296296296296298</v>
      </c>
      <c r="AV46" s="39">
        <f t="shared" ref="AV46" si="384">+IF(AU43&lt;0,1-AV43/AU43,AV43/AU43-1)</f>
        <v>-0.21381578947368418</v>
      </c>
      <c r="AW46" s="39">
        <f t="shared" ref="AW46" si="385">+IF(AV43&lt;0,1-AW43/AV43,AW43/AV43-1)</f>
        <v>-0.13807531380753135</v>
      </c>
      <c r="AX46" s="39">
        <f t="shared" ref="AX46" si="386">+IF(AW43&lt;0,1-AX43/AW43,AX43/AW43-1)</f>
        <v>-0.21197411003236244</v>
      </c>
      <c r="AY46" s="39">
        <f t="shared" ref="AY46" si="387">+IF(AX43&lt;0,1-AY43/AX43,AY43/AX43-1)</f>
        <v>-0.10266940451745377</v>
      </c>
      <c r="AZ46" s="39">
        <f t="shared" ref="AZ46" si="388">+IF(AY43&lt;0,1-AZ43/AY43,AZ43/AY43-1)</f>
        <v>-0.24485125858123569</v>
      </c>
      <c r="BA46" s="39">
        <f t="shared" ref="BA46" si="389">+IF(AZ43&lt;0,1-BA43/AZ43,BA43/AZ43-1)</f>
        <v>-4.2424242424242475E-2</v>
      </c>
      <c r="BB46" s="39">
        <f t="shared" ref="BB46" si="390">+IF(BA43&lt;0,1-BB43/BA43,BB43/BA43-1)</f>
        <v>-6.6455696202531667E-2</v>
      </c>
      <c r="BC46" s="39">
        <f t="shared" ref="BC46" si="391">+IF(BB43&lt;0,1-BC43/BB43,BC43/BB43-1)</f>
        <v>6.7796610169490457E-3</v>
      </c>
      <c r="BD46" s="39">
        <f t="shared" ref="BD46" si="392">+IF(BC43&lt;0,1-BD43/BC43,BD43/BC43-1)</f>
        <v>0.1077441077441077</v>
      </c>
      <c r="BE46" s="39">
        <f t="shared" ref="BE46" si="393">+IF(BD43&lt;0,1-BE43/BD43,BE43/BD43-1)</f>
        <v>9.1185410334346573E-2</v>
      </c>
      <c r="BF46" s="39">
        <f t="shared" ref="BF46" si="394">+IF(BE43&lt;0,1-BF43/BE43,BF43/BE43-1)</f>
        <v>1.3927576601671321E-2</v>
      </c>
      <c r="BG46" s="39">
        <f t="shared" ref="BG46" si="395">+IF(BF43&lt;0,1-BG43/BF43,BG43/BF43-1)</f>
        <v>0.31043956043956045</v>
      </c>
      <c r="BH46" s="39">
        <f t="shared" ref="BH46" si="396">+IF(BG43&lt;0,1-BH43/BG43,BH43/BG43-1)</f>
        <v>-8.3857442348008737E-3</v>
      </c>
      <c r="BI46" s="39">
        <f t="shared" ref="BI46" si="397">+IF(BH43&lt;0,1-BI43/BH43,BI43/BH43-1)</f>
        <v>0.18604651162790709</v>
      </c>
      <c r="BJ46" s="39">
        <f t="shared" ref="BJ46" si="398">+IF(BI43&lt;0,1-BJ43/BI43,BJ43/BI43-1)</f>
        <v>-0.15686274509803921</v>
      </c>
      <c r="BK46" s="39">
        <f t="shared" ref="BK46" si="399">+IF(BJ43&lt;0,1-BK43/BJ43,BK43/BJ43-1)</f>
        <v>0.14376321353065546</v>
      </c>
      <c r="BL46" s="39">
        <f t="shared" ref="BL46" si="400">+IF(BK43&lt;0,1-BL43/BK43,BL43/BK43-1)</f>
        <v>0</v>
      </c>
      <c r="BM46" s="39">
        <f t="shared" ref="BM46" si="401">+IF(BL43&lt;0,1-BM43/BL43,BM43/BL43-1)</f>
        <v>-1.848428835489857E-3</v>
      </c>
      <c r="BN46" s="39">
        <f t="shared" ref="BN46" si="402">+IF(BM43&lt;0,1-BN43/BM43,BN43/BM43-1)</f>
        <v>1.4814814814814836E-2</v>
      </c>
      <c r="BO46" s="39">
        <f t="shared" ref="BO46" si="403">+IF(BN43&lt;0,1-BO43/BN43,BO43/BN43-1)</f>
        <v>0.20620437956204385</v>
      </c>
      <c r="BP46" s="39">
        <f t="shared" ref="BP46" si="404">+IF(BO43&lt;0,1-BP43/BO43,BP43/BO43-1)</f>
        <v>-3.9334341906202774E-2</v>
      </c>
      <c r="BQ46" s="39">
        <f t="shared" ref="BQ46" si="405">+IF(BP43&lt;0,1-BQ43/BP43,BQ43/BP43-1)</f>
        <v>-4.4094488188976433E-2</v>
      </c>
      <c r="BR46" s="39">
        <f t="shared" ref="BR46" si="406">+IF(BQ43&lt;0,1-BR43/BQ43,BR43/BQ43-1)</f>
        <v>-4.1186161449752845E-2</v>
      </c>
      <c r="BS46" s="39">
        <f t="shared" ref="BS46" si="407">+IF(BR43&lt;0,1-BS43/BR43,BS43/BR43-1)</f>
        <v>0.16323024054982826</v>
      </c>
      <c r="BT46" s="39">
        <f t="shared" ref="BT46" si="408">+IF(BS43&lt;0,1-BT43/BS43,BT43/BS43-1)</f>
        <v>-2.5110782865583436E-2</v>
      </c>
      <c r="BU46" s="39">
        <f t="shared" ref="BU46" si="409">+IF(BT43&lt;0,1-BU43/BT43,BU43/BT43-1)</f>
        <v>-0.18484848484848482</v>
      </c>
      <c r="BV46" s="39">
        <f t="shared" ref="BV46" si="410">+IF(BU43&lt;0,1-BV43/BU43,BV43/BU43-1)</f>
        <v>4.2750929368029711E-2</v>
      </c>
      <c r="BW46" s="39">
        <f t="shared" ref="BW46" si="411">+IF(BV43&lt;0,1-BW43/BV43,BW43/BV43-1)</f>
        <v>0.26916221033868082</v>
      </c>
      <c r="BX46" s="39">
        <f t="shared" ref="BX46" si="412">+IF(BW43&lt;0,1-BX43/BW43,BX43/BW43-1)</f>
        <v>-4.6348314606741603E-2</v>
      </c>
      <c r="BY46" s="39">
        <f t="shared" ref="BY46" si="413">+IF(BX43&lt;0,1-BY43/BX43,BY43/BX43-1)</f>
        <v>6.6273932253313683E-2</v>
      </c>
      <c r="BZ46" s="39">
        <f t="shared" ref="BZ46" si="414">+IF(BY43&lt;0,1-BZ43/BY43,BZ43/BY43-1)</f>
        <v>4.1436464088397962E-3</v>
      </c>
      <c r="CA46" s="39">
        <f t="shared" ref="CA46" si="415">+IF(BZ43&lt;0,1-CA43/BZ43,CA43/BZ43-1)</f>
        <v>8.803301237964245E-2</v>
      </c>
      <c r="CB46" s="39">
        <f t="shared" ref="CB46" si="416">+IF(CA43&lt;0,1-CB43/CA43,CB43/CA43-1)</f>
        <v>4.2983565107458821E-2</v>
      </c>
      <c r="CC46" s="39">
        <f t="shared" ref="CC46" si="417">+IF(CB43&lt;0,1-CC43/CB43,CC43/CB43-1)</f>
        <v>5.3333333333333233E-2</v>
      </c>
      <c r="CD46" s="39">
        <f t="shared" ref="CD46" si="418">+IF(CC43&lt;0,1-CD43/CC43,CD43/CC43-1)</f>
        <v>1.6110471806674243E-2</v>
      </c>
      <c r="CE46" s="39">
        <f t="shared" ref="CE46" si="419">+IF(CD43&lt;0,1-CE43/CD43,CE43/CD43-1)</f>
        <v>2.3782559456398733E-2</v>
      </c>
      <c r="CF46" s="39">
        <f t="shared" ref="CF46" si="420">+IF(CE43&lt;0,1-CF43/CE43,CF43/CE43-1)</f>
        <v>3.8716814159291957E-2</v>
      </c>
      <c r="CG46" s="39">
        <f t="shared" ref="CG46" si="421">+IF(CF43&lt;0,1-CG43/CF43,CG43/CF43-1)</f>
        <v>-2.6624068157614533E-2</v>
      </c>
      <c r="CH46" s="39">
        <f t="shared" ref="CH46:CI46" si="422">+IF(CG43&lt;0,1-CH43/CG43,CH43/CG43-1)</f>
        <v>5.4704595185995686E-2</v>
      </c>
      <c r="CI46" s="39">
        <f t="shared" si="422"/>
        <v>7.0539419087136901E-2</v>
      </c>
      <c r="CJ46" s="39">
        <f>+IF(CI43&gt;1,CJ43/CI43-1,1-CJ43/CI43)</f>
        <v>4.9418604651162878E-2</v>
      </c>
      <c r="CK46" s="39">
        <f>+IF(CJ43&gt;1,CK43/CJ43-1,1-CK43/CJ43)</f>
        <v>4.6168051708217472E-3</v>
      </c>
      <c r="CL46" s="39">
        <f>+IF(CK43&gt;1,CL43/CK43-1,1-CL43/CK43)</f>
        <v>0.24632352941176472</v>
      </c>
      <c r="CM46" s="40">
        <f t="shared" ref="CM46" si="423">+CM43/CL43-1</f>
        <v>-7.1616557426343652E-2</v>
      </c>
      <c r="CN46" s="40">
        <f t="shared" ref="CN46" si="424">+CN43/CM43-1</f>
        <v>5.1294618312982765E-2</v>
      </c>
      <c r="CO46" s="40">
        <f t="shared" ref="CO46" si="425">+CO43/CN43-1</f>
        <v>8.4464068816569871E-3</v>
      </c>
      <c r="CP46" s="40">
        <f t="shared" ref="CP46" si="426">+CP43/CO43-1</f>
        <v>0.27679264969829731</v>
      </c>
      <c r="CQ46" s="40">
        <f t="shared" ref="CQ46" si="427">+CQ43/CP43-1</f>
        <v>-0.1021335337997783</v>
      </c>
      <c r="CR46" s="40">
        <f t="shared" ref="CR46" si="428">+CR43/CQ43-1</f>
        <v>5.1833526559253551E-2</v>
      </c>
      <c r="CS46" s="40">
        <f t="shared" ref="CS46" si="429">+CS43/CR43-1</f>
        <v>8.7526185410813362E-3</v>
      </c>
      <c r="CT46" s="40">
        <f t="shared" ref="CT46" si="430">+CT43/CS43-1</f>
        <v>0.27653833073052403</v>
      </c>
      <c r="CU46" s="40">
        <f t="shared" ref="CU46" si="431">+CU43/CT43-1</f>
        <v>-0.16784958869312672</v>
      </c>
      <c r="CV46" s="40">
        <f t="shared" ref="CV46" si="432">+CV43/CU43-1</f>
        <v>2.5841637492175051E-2</v>
      </c>
      <c r="CW46" s="40">
        <f t="shared" ref="CW46" si="433">+CW43/CV43-1</f>
        <v>-1.7749476664564723E-3</v>
      </c>
      <c r="CX46" s="40">
        <f t="shared" ref="CX46" si="434">+CX43/CW43-1</f>
        <v>0.2720921451375149</v>
      </c>
      <c r="CY46" s="40">
        <f t="shared" ref="CY46" si="435">+CY43/CX43-1</f>
        <v>-0.20081672278469087</v>
      </c>
      <c r="CZ46" s="40">
        <f t="shared" ref="CZ46" si="436">+CZ43/CY43-1</f>
        <v>2.0235611740949233E-2</v>
      </c>
      <c r="DA46" s="40">
        <f t="shared" ref="DA46" si="437">+DA43/CZ43-1</f>
        <v>-1.0319685385098532E-2</v>
      </c>
      <c r="DB46" s="40">
        <f t="shared" ref="DB46" si="438">+DB43/DA43-1</f>
        <v>0.25714992680498394</v>
      </c>
      <c r="DE46" s="122"/>
      <c r="DF46" s="38">
        <v>7.35669855938752E-2</v>
      </c>
    </row>
    <row r="47" spans="1:110" s="23" customFormat="1" x14ac:dyDescent="0.2">
      <c r="A47" s="23" t="s">
        <v>15</v>
      </c>
      <c r="B47" s="23">
        <f>'Annual Raw'!C27</f>
        <v>10.858700000000001</v>
      </c>
      <c r="C47" s="23">
        <f>'Annual Raw'!D27</f>
        <v>14.499000000000001</v>
      </c>
      <c r="D47" s="23">
        <f>'Annual Raw'!E27</f>
        <v>15.248900000000001</v>
      </c>
      <c r="E47" s="23">
        <f>'Annual Raw'!F27</f>
        <v>16.024100000000001</v>
      </c>
      <c r="F47" s="23">
        <f>'Annual Raw'!G27</f>
        <v>18.7149</v>
      </c>
      <c r="G47" s="23">
        <f>'Annual Raw'!H27</f>
        <v>25.518000000000001</v>
      </c>
      <c r="H47" s="23">
        <f>'Annual Raw'!I27</f>
        <v>32.871299999999998</v>
      </c>
      <c r="I47" s="23">
        <f>'Annual Raw'!J27</f>
        <v>38.831200000000003</v>
      </c>
      <c r="J47" s="23">
        <f>'Annual Raw'!K27</f>
        <v>42.279699999999998</v>
      </c>
      <c r="K47" s="23">
        <f>'Annual Raw'!L27</f>
        <v>66.086100000000002</v>
      </c>
      <c r="L47" s="23">
        <f>'Annual Raw'!M27</f>
        <v>62.558399999999999</v>
      </c>
      <c r="M47" s="23">
        <f>'Annual Raw'!N27</f>
        <v>81.73</v>
      </c>
      <c r="N47" s="23">
        <f>'Annual Raw'!O27</f>
        <v>82.69</v>
      </c>
      <c r="O47" s="23">
        <f>'Annual Raw'!P27</f>
        <v>87</v>
      </c>
      <c r="P47" s="23">
        <f>'Annual Raw'!Q27</f>
        <v>190.74</v>
      </c>
      <c r="Q47" s="23">
        <f>'Annual Raw'!R27</f>
        <v>237.55</v>
      </c>
      <c r="R47" s="23">
        <f>'Annual Raw'!S27</f>
        <v>306.92</v>
      </c>
      <c r="S47" s="23">
        <f>'Annual Raw'!T27</f>
        <v>408.6</v>
      </c>
      <c r="T47" s="23">
        <f>'Annual Raw'!U27</f>
        <v>617.69000000000005</v>
      </c>
      <c r="U47" s="23">
        <f>'Annual Raw'!V27</f>
        <v>654.38</v>
      </c>
      <c r="V47" s="23">
        <f>'Annual Raw'!W27</f>
        <v>657.79</v>
      </c>
      <c r="W47" s="23">
        <f>'Annual Raw'!X27</f>
        <v>662.16</v>
      </c>
      <c r="X47" s="23">
        <f>'Annual Raw'!Y27</f>
        <v>706.59</v>
      </c>
      <c r="Y47" s="23">
        <f>'Annual Raw'!Z27</f>
        <v>808.27</v>
      </c>
      <c r="Z47" s="23">
        <f>'Annual Raw'!AA27</f>
        <v>794.93</v>
      </c>
      <c r="AA47" s="23">
        <f>'Annual Raw'!AB27</f>
        <v>1118.8699999999999</v>
      </c>
      <c r="AB47" s="76">
        <f>+SUM(CM47:CP47)</f>
        <v>1850.8604810199042</v>
      </c>
      <c r="AC47" s="76">
        <f>+SUM(CQ47:CT47)</f>
        <v>1885.1708930469485</v>
      </c>
      <c r="AD47" s="76">
        <f>+SUM(CU47:CX47)</f>
        <v>1917.337579603912</v>
      </c>
      <c r="AE47" s="76">
        <f>+SUM(CY47:DB47)</f>
        <v>1947.4944813408645</v>
      </c>
      <c r="AI47" s="23">
        <f>'QTR Raw'!C28</f>
        <v>20</v>
      </c>
      <c r="AJ47" s="23">
        <f>'QTR Raw'!D28</f>
        <v>20</v>
      </c>
      <c r="AK47" s="23">
        <f>'QTR Raw'!E28</f>
        <v>21</v>
      </c>
      <c r="AL47" s="23">
        <f>'QTR Raw'!F28</f>
        <v>22</v>
      </c>
      <c r="AM47" s="23">
        <f>'QTR Raw'!G28</f>
        <v>21</v>
      </c>
      <c r="AN47" s="23">
        <f>'QTR Raw'!H28</f>
        <v>22</v>
      </c>
      <c r="AO47" s="23">
        <f>'QTR Raw'!I28</f>
        <v>21</v>
      </c>
      <c r="AP47" s="23">
        <f>'QTR Raw'!J28</f>
        <v>23</v>
      </c>
      <c r="AQ47" s="23">
        <f>'QTR Raw'!K28</f>
        <v>21</v>
      </c>
      <c r="AR47" s="23">
        <f>'QTR Raw'!L28</f>
        <v>56</v>
      </c>
      <c r="AS47" s="23">
        <f>'QTR Raw'!M28</f>
        <v>54</v>
      </c>
      <c r="AT47" s="23">
        <f>'QTR Raw'!N28</f>
        <v>60</v>
      </c>
      <c r="AU47" s="23">
        <f>'QTR Raw'!O28</f>
        <v>57</v>
      </c>
      <c r="AV47" s="23">
        <f>'QTR Raw'!P28</f>
        <v>59</v>
      </c>
      <c r="AW47" s="23">
        <f>'QTR Raw'!Q28</f>
        <v>59</v>
      </c>
      <c r="AX47" s="23">
        <f>'QTR Raw'!R28</f>
        <v>63</v>
      </c>
      <c r="AY47" s="23">
        <f>'QTR Raw'!S28</f>
        <v>68</v>
      </c>
      <c r="AZ47" s="23">
        <f>'QTR Raw'!T28</f>
        <v>69</v>
      </c>
      <c r="BA47" s="23">
        <f>'QTR Raw'!U28</f>
        <v>73</v>
      </c>
      <c r="BB47" s="23">
        <f>'QTR Raw'!V28</f>
        <v>97</v>
      </c>
      <c r="BC47" s="23">
        <f>'QTR Raw'!W28</f>
        <v>80</v>
      </c>
      <c r="BD47" s="23">
        <f>'QTR Raw'!X28</f>
        <v>84</v>
      </c>
      <c r="BE47" s="23">
        <f>'QTR Raw'!Y28</f>
        <v>94</v>
      </c>
      <c r="BF47" s="23">
        <f>'QTR Raw'!Z28</f>
        <v>151</v>
      </c>
      <c r="BG47" s="23">
        <f>'QTR Raw'!AA28</f>
        <v>150</v>
      </c>
      <c r="BH47" s="23">
        <f>'QTR Raw'!AB28</f>
        <v>152</v>
      </c>
      <c r="BI47" s="23">
        <f>'QTR Raw'!AC28</f>
        <v>156</v>
      </c>
      <c r="BJ47" s="23">
        <f>'QTR Raw'!AD28</f>
        <v>160</v>
      </c>
      <c r="BK47" s="23">
        <f>'QTR Raw'!AE28</f>
        <v>160</v>
      </c>
      <c r="BL47" s="23">
        <f>'QTR Raw'!AF28</f>
        <v>163</v>
      </c>
      <c r="BM47" s="23">
        <f>'QTR Raw'!AG28</f>
        <v>163</v>
      </c>
      <c r="BN47" s="23">
        <f>'QTR Raw'!AH28</f>
        <v>168</v>
      </c>
      <c r="BO47" s="23">
        <f>'QTR Raw'!AI28</f>
        <v>161</v>
      </c>
      <c r="BP47" s="23">
        <f>'QTR Raw'!AJ28</f>
        <v>165</v>
      </c>
      <c r="BQ47" s="23">
        <f>'QTR Raw'!AK28</f>
        <v>167</v>
      </c>
      <c r="BR47" s="23">
        <f>'QTR Raw'!AL28</f>
        <v>165</v>
      </c>
      <c r="BS47" s="23">
        <f>'QTR Raw'!AM28</f>
        <v>165</v>
      </c>
      <c r="BT47" s="23">
        <f>'QTR Raw'!AN28</f>
        <v>168</v>
      </c>
      <c r="BU47" s="23">
        <f>'QTR Raw'!AO28</f>
        <v>167</v>
      </c>
      <c r="BV47" s="23">
        <f>'QTR Raw'!AP28</f>
        <v>162</v>
      </c>
      <c r="BW47" s="23">
        <f>'QTR Raw'!AQ28</f>
        <v>155</v>
      </c>
      <c r="BX47" s="23">
        <f>'QTR Raw'!AR28</f>
        <v>163</v>
      </c>
      <c r="BY47" s="23">
        <f>'QTR Raw'!AS28</f>
        <v>193</v>
      </c>
      <c r="BZ47" s="23">
        <f>'QTR Raw'!AT28</f>
        <v>196</v>
      </c>
      <c r="CA47" s="23">
        <f>'QTR Raw'!AU28</f>
        <v>191</v>
      </c>
      <c r="CB47" s="23">
        <f>'QTR Raw'!AV28</f>
        <v>201</v>
      </c>
      <c r="CC47" s="23">
        <f>'QTR Raw'!AW28</f>
        <v>213</v>
      </c>
      <c r="CD47" s="23">
        <f>'QTR Raw'!AX28</f>
        <v>203</v>
      </c>
      <c r="CE47" s="23">
        <f>'QTR Raw'!AY28</f>
        <v>197</v>
      </c>
      <c r="CF47" s="23">
        <f>'QTR Raw'!AZ28</f>
        <v>198</v>
      </c>
      <c r="CG47" s="23">
        <f>'QTR Raw'!BA28</f>
        <v>199</v>
      </c>
      <c r="CH47" s="23">
        <f>'QTR Raw'!BB28</f>
        <v>201</v>
      </c>
      <c r="CI47" s="23">
        <f>'QTR Raw'!BC28</f>
        <v>201</v>
      </c>
      <c r="CJ47" s="23">
        <f>'QTR Raw'!BD28</f>
        <v>204</v>
      </c>
      <c r="CK47" s="23">
        <f>'QTR Raw'!BE28</f>
        <v>206</v>
      </c>
      <c r="CL47" s="23">
        <f>'QTR Raw'!BF28</f>
        <v>508</v>
      </c>
      <c r="CM47" s="24">
        <f t="shared" ref="CM47:DB47" si="439">CM48*CL149</f>
        <v>459.37600000000003</v>
      </c>
      <c r="CN47" s="24">
        <f t="shared" si="439"/>
        <v>461.62598400000007</v>
      </c>
      <c r="CO47" s="24">
        <f t="shared" si="439"/>
        <v>463.83996825600002</v>
      </c>
      <c r="CP47" s="24">
        <f t="shared" si="439"/>
        <v>466.01852876390399</v>
      </c>
      <c r="CQ47" s="24">
        <f t="shared" si="439"/>
        <v>468.16223230368155</v>
      </c>
      <c r="CR47" s="24">
        <f t="shared" si="439"/>
        <v>470.27163658682269</v>
      </c>
      <c r="CS47" s="24">
        <f t="shared" si="439"/>
        <v>472.34729040143355</v>
      </c>
      <c r="CT47" s="24">
        <f t="shared" si="439"/>
        <v>474.38973375501058</v>
      </c>
      <c r="CU47" s="24">
        <f t="shared" si="439"/>
        <v>476.39949801493043</v>
      </c>
      <c r="CV47" s="24">
        <f t="shared" si="439"/>
        <v>478.37710604669155</v>
      </c>
      <c r="CW47" s="24">
        <f t="shared" si="439"/>
        <v>480.32307234994454</v>
      </c>
      <c r="CX47" s="24">
        <f t="shared" si="439"/>
        <v>482.23790319234541</v>
      </c>
      <c r="CY47" s="24">
        <f t="shared" si="439"/>
        <v>484.12209674126785</v>
      </c>
      <c r="CZ47" s="24">
        <f t="shared" si="439"/>
        <v>485.97614319340755</v>
      </c>
      <c r="DA47" s="24">
        <f t="shared" si="439"/>
        <v>487.80052490231304</v>
      </c>
      <c r="DB47" s="24">
        <f t="shared" si="439"/>
        <v>489.59571650387602</v>
      </c>
      <c r="DE47" s="123"/>
      <c r="DF47" s="23">
        <v>202.97058823529409</v>
      </c>
    </row>
    <row r="48" spans="1:110" s="46" customFormat="1" x14ac:dyDescent="0.2">
      <c r="A48" s="46" t="s">
        <v>483</v>
      </c>
      <c r="B48" s="46">
        <f t="shared" ref="B48:D48" si="440">+B47/B149</f>
        <v>6.7298288584323199E-2</v>
      </c>
      <c r="C48" s="46">
        <f t="shared" si="440"/>
        <v>8.5154192576861368E-2</v>
      </c>
      <c r="D48" s="46">
        <f t="shared" si="440"/>
        <v>8.9239669982525319E-2</v>
      </c>
      <c r="E48" s="46">
        <f t="shared" ref="E48:AE48" si="441">+E47/E149</f>
        <v>7.871956722193485E-2</v>
      </c>
      <c r="F48" s="46">
        <f t="shared" si="441"/>
        <v>8.4697637097536999E-2</v>
      </c>
      <c r="G48" s="46">
        <f t="shared" si="441"/>
        <v>6.9496851834552939E-2</v>
      </c>
      <c r="H48" s="46">
        <f t="shared" si="441"/>
        <v>7.7370049583602246E-2</v>
      </c>
      <c r="I48" s="46">
        <f t="shared" si="441"/>
        <v>8.2634624518848551E-2</v>
      </c>
      <c r="J48" s="46">
        <f t="shared" si="441"/>
        <v>8.2698048855959827E-2</v>
      </c>
      <c r="K48" s="46">
        <f t="shared" si="441"/>
        <v>0.12212175087355744</v>
      </c>
      <c r="L48" s="46">
        <f t="shared" si="441"/>
        <v>9.8432250099835125E-2</v>
      </c>
      <c r="M48" s="46">
        <f t="shared" si="441"/>
        <v>0.10256378079235005</v>
      </c>
      <c r="N48" s="46">
        <f t="shared" si="441"/>
        <v>0.10086360420580125</v>
      </c>
      <c r="O48" s="46">
        <f t="shared" si="441"/>
        <v>9.9389951333196253E-2</v>
      </c>
      <c r="P48" s="46">
        <f t="shared" si="441"/>
        <v>7.0441468656981004E-2</v>
      </c>
      <c r="Q48" s="46">
        <f t="shared" si="441"/>
        <v>8.6880988954721683E-2</v>
      </c>
      <c r="R48" s="46">
        <f t="shared" si="441"/>
        <v>8.6972291963025722E-2</v>
      </c>
      <c r="S48" s="46">
        <f t="shared" si="441"/>
        <v>5.4800326173258099E-2</v>
      </c>
      <c r="T48" s="46">
        <f t="shared" si="441"/>
        <v>8.3326138687588702E-2</v>
      </c>
      <c r="U48" s="46">
        <f t="shared" si="441"/>
        <v>9.0999481298228505E-2</v>
      </c>
      <c r="V48" s="46">
        <f t="shared" si="441"/>
        <v>9.783591635184577E-2</v>
      </c>
      <c r="W48" s="46">
        <f t="shared" si="441"/>
        <v>0.10743821767045203</v>
      </c>
      <c r="X48" s="46">
        <f t="shared" si="441"/>
        <v>9.0775249070202138E-2</v>
      </c>
      <c r="Y48" s="46">
        <f t="shared" si="441"/>
        <v>0.10362329617132134</v>
      </c>
      <c r="Z48" s="46">
        <f t="shared" si="441"/>
        <v>0.10448579262409928</v>
      </c>
      <c r="AA48" s="46">
        <f t="shared" ref="AA48" si="442">+AA47/AA149</f>
        <v>3.9583108537182901E-2</v>
      </c>
      <c r="AB48" s="110">
        <f t="shared" si="441"/>
        <v>6.3255353919939833E-2</v>
      </c>
      <c r="AC48" s="110">
        <f t="shared" si="441"/>
        <v>6.3313950611689929E-2</v>
      </c>
      <c r="AD48" s="110">
        <f t="shared" si="441"/>
        <v>6.3367075124558289E-2</v>
      </c>
      <c r="AE48" s="110">
        <f t="shared" si="441"/>
        <v>6.3415363758464668E-2</v>
      </c>
      <c r="AI48" s="46" t="e">
        <f t="shared" ref="AI48:BN48" si="443">+AI47/AH149</f>
        <v>#DIV/0!</v>
      </c>
      <c r="AJ48" s="46" t="e">
        <f t="shared" si="443"/>
        <v>#DIV/0!</v>
      </c>
      <c r="AK48" s="46">
        <f t="shared" si="443"/>
        <v>2.0558807980733458E-2</v>
      </c>
      <c r="AL48" s="46">
        <f t="shared" si="443"/>
        <v>2.1537798836958864E-2</v>
      </c>
      <c r="AM48" s="46">
        <f t="shared" si="443"/>
        <v>1.9004524886877826E-2</v>
      </c>
      <c r="AN48" s="46">
        <f t="shared" si="443"/>
        <v>1.9909502262443438E-2</v>
      </c>
      <c r="AO48" s="46">
        <f t="shared" si="443"/>
        <v>1.6457680250783698E-2</v>
      </c>
      <c r="AP48" s="46">
        <f t="shared" si="443"/>
        <v>1.8025078369905956E-2</v>
      </c>
      <c r="AQ48" s="46">
        <f t="shared" si="443"/>
        <v>1.4904187366926898E-2</v>
      </c>
      <c r="AR48" s="46">
        <f t="shared" si="443"/>
        <v>3.9744499645138397E-2</v>
      </c>
      <c r="AS48" s="46">
        <f t="shared" si="443"/>
        <v>1.5570934256055362E-2</v>
      </c>
      <c r="AT48" s="46">
        <f t="shared" si="443"/>
        <v>1.7301038062283738E-2</v>
      </c>
      <c r="AU48" s="46">
        <f t="shared" si="443"/>
        <v>1.6309012875536481E-2</v>
      </c>
      <c r="AV48" s="46">
        <f t="shared" si="443"/>
        <v>1.688125894134478E-2</v>
      </c>
      <c r="AW48" s="46">
        <f t="shared" si="443"/>
        <v>1.6010854816824967E-2</v>
      </c>
      <c r="AX48" s="46">
        <f t="shared" si="443"/>
        <v>1.7096336499321574E-2</v>
      </c>
      <c r="AY48" s="46">
        <f t="shared" si="443"/>
        <v>2.487198244330651E-2</v>
      </c>
      <c r="AZ48" s="46">
        <f t="shared" si="443"/>
        <v>2.5237746891002194E-2</v>
      </c>
      <c r="BA48" s="46">
        <f t="shared" si="443"/>
        <v>2.291993720565149E-2</v>
      </c>
      <c r="BB48" s="46">
        <f t="shared" si="443"/>
        <v>3.0455259026687598E-2</v>
      </c>
      <c r="BC48" s="46">
        <f t="shared" si="443"/>
        <v>2.2315202231520222E-2</v>
      </c>
      <c r="BD48" s="46">
        <f t="shared" si="443"/>
        <v>2.3430962343096235E-2</v>
      </c>
      <c r="BE48" s="46">
        <f t="shared" si="443"/>
        <v>2.5046629363176125E-2</v>
      </c>
      <c r="BF48" s="46">
        <f t="shared" si="443"/>
        <v>4.0234479083399943E-2</v>
      </c>
      <c r="BG48" s="46">
        <f t="shared" si="443"/>
        <v>1.953125E-2</v>
      </c>
      <c r="BH48" s="46">
        <f t="shared" si="443"/>
        <v>1.9791666666666666E-2</v>
      </c>
      <c r="BI48" s="46">
        <f t="shared" si="443"/>
        <v>2.0722635494155154E-2</v>
      </c>
      <c r="BJ48" s="46">
        <f t="shared" si="443"/>
        <v>2.1253985122210415E-2</v>
      </c>
      <c r="BK48" s="46">
        <f t="shared" si="443"/>
        <v>2.1189246457422858E-2</v>
      </c>
      <c r="BL48" s="46">
        <f t="shared" si="443"/>
        <v>2.1586544828499536E-2</v>
      </c>
      <c r="BM48" s="46">
        <f t="shared" si="443"/>
        <v>2.2325708807012738E-2</v>
      </c>
      <c r="BN48" s="46">
        <f t="shared" si="443"/>
        <v>2.3010546500479387E-2</v>
      </c>
      <c r="BO48" s="46">
        <f t="shared" ref="BO48:CL48" si="444">+BO47/BN149</f>
        <v>2.2389097482964818E-2</v>
      </c>
      <c r="BP48" s="46">
        <f t="shared" si="444"/>
        <v>2.2945348352106799E-2</v>
      </c>
      <c r="BQ48" s="46">
        <f t="shared" si="444"/>
        <v>2.4087696523871341E-2</v>
      </c>
      <c r="BR48" s="46">
        <f t="shared" si="444"/>
        <v>2.3799221116399826E-2</v>
      </c>
      <c r="BS48" s="46">
        <f t="shared" si="444"/>
        <v>2.4469820554649267E-2</v>
      </c>
      <c r="BT48" s="46">
        <f t="shared" si="444"/>
        <v>2.4914726382915618E-2</v>
      </c>
      <c r="BU48" s="46">
        <f t="shared" si="444"/>
        <v>2.4685883222468587E-2</v>
      </c>
      <c r="BV48" s="46">
        <f t="shared" si="444"/>
        <v>2.394678492239468E-2</v>
      </c>
      <c r="BW48" s="46">
        <f t="shared" si="444"/>
        <v>2.5322659696128083E-2</v>
      </c>
      <c r="BX48" s="46">
        <f t="shared" si="444"/>
        <v>2.6629635680444373E-2</v>
      </c>
      <c r="BY48" s="46">
        <f t="shared" si="444"/>
        <v>3.1639344262295081E-2</v>
      </c>
      <c r="BZ48" s="46">
        <f t="shared" si="444"/>
        <v>3.2131147540983604E-2</v>
      </c>
      <c r="CA48" s="46">
        <f t="shared" si="444"/>
        <v>2.4753758424053914E-2</v>
      </c>
      <c r="CB48" s="46">
        <f t="shared" si="444"/>
        <v>2.6049766718506999E-2</v>
      </c>
      <c r="CC48" s="46">
        <f t="shared" si="444"/>
        <v>2.7009890945980219E-2</v>
      </c>
      <c r="CD48" s="46">
        <f t="shared" si="444"/>
        <v>2.5741820948516358E-2</v>
      </c>
      <c r="CE48" s="46">
        <f t="shared" si="444"/>
        <v>2.5511525511525513E-2</v>
      </c>
      <c r="CF48" s="46">
        <f t="shared" si="444"/>
        <v>2.564102564102564E-2</v>
      </c>
      <c r="CG48" s="46">
        <f t="shared" si="444"/>
        <v>2.68882583434671E-2</v>
      </c>
      <c r="CH48" s="46">
        <f t="shared" si="444"/>
        <v>2.7158492095662748E-2</v>
      </c>
      <c r="CI48" s="46">
        <f t="shared" si="444"/>
        <v>2.641948890775786E-2</v>
      </c>
      <c r="CJ48" s="46">
        <f t="shared" si="444"/>
        <v>2.7541440417333821E-2</v>
      </c>
      <c r="CK48" s="46">
        <f t="shared" si="444"/>
        <v>2.8579356270810211E-2</v>
      </c>
      <c r="CL48" s="46">
        <f t="shared" si="444"/>
        <v>7.1529146719234021E-2</v>
      </c>
      <c r="CM48" s="47">
        <v>1.6E-2</v>
      </c>
      <c r="CN48" s="47">
        <f t="shared" ref="CN48" si="445">CM48</f>
        <v>1.6E-2</v>
      </c>
      <c r="CO48" s="47">
        <f t="shared" ref="CO48" si="446">CN48</f>
        <v>1.6E-2</v>
      </c>
      <c r="CP48" s="47">
        <f t="shared" ref="CP48" si="447">CO48</f>
        <v>1.6E-2</v>
      </c>
      <c r="CQ48" s="47">
        <v>1.6E-2</v>
      </c>
      <c r="CR48" s="47">
        <f t="shared" ref="CR48" si="448">CQ48</f>
        <v>1.6E-2</v>
      </c>
      <c r="CS48" s="47">
        <f t="shared" ref="CS48" si="449">CR48</f>
        <v>1.6E-2</v>
      </c>
      <c r="CT48" s="47">
        <f t="shared" ref="CT48" si="450">CS48</f>
        <v>1.6E-2</v>
      </c>
      <c r="CU48" s="47">
        <v>1.6E-2</v>
      </c>
      <c r="CV48" s="47">
        <f t="shared" ref="CV48" si="451">CU48</f>
        <v>1.6E-2</v>
      </c>
      <c r="CW48" s="47">
        <f t="shared" ref="CW48" si="452">CV48</f>
        <v>1.6E-2</v>
      </c>
      <c r="CX48" s="47">
        <f t="shared" ref="CX48" si="453">CW48</f>
        <v>1.6E-2</v>
      </c>
      <c r="CY48" s="47">
        <f t="shared" ref="CY48" si="454">CX48</f>
        <v>1.6E-2</v>
      </c>
      <c r="CZ48" s="47">
        <f t="shared" ref="CZ48" si="455">CY48</f>
        <v>1.6E-2</v>
      </c>
      <c r="DA48" s="47">
        <f t="shared" ref="DA48" si="456">CZ48</f>
        <v>1.6E-2</v>
      </c>
      <c r="DB48" s="47">
        <f t="shared" ref="DB48" si="457">DA48</f>
        <v>1.6E-2</v>
      </c>
      <c r="DE48" s="130"/>
      <c r="DF48" s="46">
        <v>2.8579356270810211E-2</v>
      </c>
    </row>
    <row r="49" spans="1:110" s="26" customFormat="1" x14ac:dyDescent="0.2">
      <c r="A49" s="34" t="s">
        <v>16</v>
      </c>
      <c r="B49" s="26">
        <f>B43-B47</f>
        <v>61.531000000000034</v>
      </c>
      <c r="C49" s="26">
        <f t="shared" ref="C49:T49" si="458">C43-C47</f>
        <v>62.61519999999998</v>
      </c>
      <c r="D49" s="26">
        <f>D43-D47</f>
        <v>58.055599999999963</v>
      </c>
      <c r="E49" s="26">
        <f t="shared" si="458"/>
        <v>75.862000000000052</v>
      </c>
      <c r="F49" s="26">
        <f t="shared" si="458"/>
        <v>55.388299999999958</v>
      </c>
      <c r="G49" s="26">
        <f t="shared" si="458"/>
        <v>82.515699999999839</v>
      </c>
      <c r="H49" s="26">
        <f t="shared" si="458"/>
        <v>122.86760000000029</v>
      </c>
      <c r="I49" s="26">
        <f t="shared" si="458"/>
        <v>164.00109999999992</v>
      </c>
      <c r="J49" s="26">
        <f t="shared" si="458"/>
        <v>216.44659999999982</v>
      </c>
      <c r="K49" s="26">
        <f t="shared" si="458"/>
        <v>354.68930000000023</v>
      </c>
      <c r="L49" s="26">
        <f t="shared" si="458"/>
        <v>325.22740000000056</v>
      </c>
      <c r="M49" s="26">
        <f t="shared" si="458"/>
        <v>418.72999999999956</v>
      </c>
      <c r="N49" s="26">
        <f t="shared" si="458"/>
        <v>609.53</v>
      </c>
      <c r="O49" s="26">
        <f t="shared" si="458"/>
        <v>864.48000000000047</v>
      </c>
      <c r="P49" s="26">
        <f t="shared" si="458"/>
        <v>829.41999999999985</v>
      </c>
      <c r="Q49" s="26">
        <f t="shared" si="458"/>
        <v>2492.2500000000009</v>
      </c>
      <c r="R49" s="26">
        <f t="shared" si="458"/>
        <v>1070.3499999999995</v>
      </c>
      <c r="S49" s="26">
        <f t="shared" si="458"/>
        <v>932.45000000000016</v>
      </c>
      <c r="T49" s="26">
        <f t="shared" si="458"/>
        <v>1358.8000000000006</v>
      </c>
      <c r="U49" s="26">
        <f t="shared" ref="U49:Z49" si="459">U43-U47</f>
        <v>1515.9799999999996</v>
      </c>
      <c r="V49" s="26">
        <f t="shared" si="459"/>
        <v>1822.2900000000004</v>
      </c>
      <c r="W49" s="26">
        <f t="shared" si="459"/>
        <v>1769.1099999999992</v>
      </c>
      <c r="X49" s="26">
        <f t="shared" si="459"/>
        <v>2117.3799999999992</v>
      </c>
      <c r="Y49" s="26">
        <f t="shared" si="459"/>
        <v>2555.3200000000002</v>
      </c>
      <c r="Z49" s="26">
        <f t="shared" si="459"/>
        <v>2909.4199999999987</v>
      </c>
      <c r="AA49" s="26">
        <f t="shared" ref="AA49" si="460">AA43-AA47</f>
        <v>3254.2999999999984</v>
      </c>
      <c r="AB49" s="27">
        <f t="shared" ref="AA49:AD49" si="461">AB43-AB47</f>
        <v>3770.1895559512168</v>
      </c>
      <c r="AC49" s="27">
        <f t="shared" si="461"/>
        <v>4949.9253209522622</v>
      </c>
      <c r="AD49" s="27">
        <f t="shared" si="461"/>
        <v>5588.579288158573</v>
      </c>
      <c r="AE49" s="27">
        <f t="shared" ref="AE49" si="462">AE43-AE47</f>
        <v>5771.0413991985106</v>
      </c>
      <c r="AI49" s="26">
        <f t="shared" ref="AI49" si="463">AI43-AI47</f>
        <v>136</v>
      </c>
      <c r="AJ49" s="26">
        <f t="shared" ref="AJ49" si="464">AJ43-AJ47</f>
        <v>134</v>
      </c>
      <c r="AK49" s="26">
        <f t="shared" ref="AK49:AM49" si="465">AK43-AK47</f>
        <v>141</v>
      </c>
      <c r="AL49" s="26">
        <f t="shared" si="465"/>
        <v>198</v>
      </c>
      <c r="AM49" s="26">
        <f t="shared" si="465"/>
        <v>187</v>
      </c>
      <c r="AN49" s="26">
        <f t="shared" ref="AN49:AO49" si="466">AN43-AN47</f>
        <v>157</v>
      </c>
      <c r="AO49" s="26">
        <f t="shared" si="466"/>
        <v>194</v>
      </c>
      <c r="AP49" s="26">
        <f t="shared" ref="AP49:CD49" si="467">AP43-AP47</f>
        <v>327</v>
      </c>
      <c r="AQ49" s="26">
        <f t="shared" si="467"/>
        <v>324</v>
      </c>
      <c r="AR49" s="26">
        <f t="shared" si="467"/>
        <v>217</v>
      </c>
      <c r="AS49" s="26">
        <f t="shared" si="467"/>
        <v>186</v>
      </c>
      <c r="AT49" s="26">
        <f t="shared" si="467"/>
        <v>102</v>
      </c>
      <c r="AU49" s="26">
        <f t="shared" si="467"/>
        <v>855</v>
      </c>
      <c r="AV49" s="26">
        <f t="shared" si="467"/>
        <v>658</v>
      </c>
      <c r="AW49" s="26">
        <f t="shared" si="467"/>
        <v>559</v>
      </c>
      <c r="AX49" s="26">
        <f t="shared" si="467"/>
        <v>424</v>
      </c>
      <c r="AY49" s="26">
        <f t="shared" si="467"/>
        <v>369</v>
      </c>
      <c r="AZ49" s="26">
        <f t="shared" si="467"/>
        <v>261</v>
      </c>
      <c r="BA49" s="26">
        <f t="shared" si="467"/>
        <v>243</v>
      </c>
      <c r="BB49" s="26">
        <f t="shared" si="467"/>
        <v>198</v>
      </c>
      <c r="BC49" s="26">
        <f t="shared" si="467"/>
        <v>217</v>
      </c>
      <c r="BD49" s="26">
        <f t="shared" si="467"/>
        <v>245</v>
      </c>
      <c r="BE49" s="26">
        <f t="shared" si="467"/>
        <v>265</v>
      </c>
      <c r="BF49" s="26">
        <f t="shared" si="467"/>
        <v>213</v>
      </c>
      <c r="BG49" s="26">
        <f t="shared" si="467"/>
        <v>327</v>
      </c>
      <c r="BH49" s="26">
        <f t="shared" si="467"/>
        <v>321</v>
      </c>
      <c r="BI49" s="26">
        <f t="shared" si="467"/>
        <v>405</v>
      </c>
      <c r="BJ49" s="26">
        <f t="shared" si="467"/>
        <v>313</v>
      </c>
      <c r="BK49" s="26">
        <f t="shared" si="467"/>
        <v>381</v>
      </c>
      <c r="BL49" s="26">
        <f t="shared" si="467"/>
        <v>378</v>
      </c>
      <c r="BM49" s="26">
        <f t="shared" si="467"/>
        <v>377</v>
      </c>
      <c r="BN49" s="26">
        <f t="shared" si="467"/>
        <v>380</v>
      </c>
      <c r="BO49" s="26">
        <f t="shared" si="467"/>
        <v>500</v>
      </c>
      <c r="BP49" s="26">
        <f t="shared" si="467"/>
        <v>470</v>
      </c>
      <c r="BQ49" s="26">
        <f t="shared" si="467"/>
        <v>440</v>
      </c>
      <c r="BR49" s="26">
        <f t="shared" si="467"/>
        <v>417</v>
      </c>
      <c r="BS49" s="26">
        <f t="shared" si="467"/>
        <v>512</v>
      </c>
      <c r="BT49" s="26">
        <f t="shared" si="467"/>
        <v>492</v>
      </c>
      <c r="BU49" s="26">
        <f t="shared" si="467"/>
        <v>371</v>
      </c>
      <c r="BV49" s="26">
        <f t="shared" si="467"/>
        <v>399</v>
      </c>
      <c r="BW49" s="26">
        <f t="shared" si="467"/>
        <v>557</v>
      </c>
      <c r="BX49" s="26">
        <f t="shared" si="467"/>
        <v>516</v>
      </c>
      <c r="BY49" s="26">
        <f t="shared" si="467"/>
        <v>531</v>
      </c>
      <c r="BZ49" s="26">
        <f t="shared" si="467"/>
        <v>531</v>
      </c>
      <c r="CA49" s="26">
        <f t="shared" si="467"/>
        <v>600</v>
      </c>
      <c r="CB49" s="26">
        <f t="shared" si="467"/>
        <v>624</v>
      </c>
      <c r="CC49" s="26">
        <f t="shared" si="467"/>
        <v>656</v>
      </c>
      <c r="CD49" s="26">
        <f t="shared" si="467"/>
        <v>680</v>
      </c>
      <c r="CE49" s="26">
        <f t="shared" ref="CE49:CF49" si="468">CE43-CE47</f>
        <v>707</v>
      </c>
      <c r="CF49" s="26">
        <f t="shared" si="468"/>
        <v>741</v>
      </c>
      <c r="CG49" s="26">
        <f t="shared" ref="CG49:CH49" si="469">CG43-CG47</f>
        <v>715</v>
      </c>
      <c r="CH49" s="26">
        <f t="shared" si="469"/>
        <v>763</v>
      </c>
      <c r="CI49" s="26">
        <f t="shared" ref="CI49:CJ49" si="470">CI43-CI47</f>
        <v>831</v>
      </c>
      <c r="CJ49" s="26">
        <f t="shared" si="470"/>
        <v>879</v>
      </c>
      <c r="CK49" s="26">
        <f t="shared" ref="CK49:CL49" si="471">CK43-CK47</f>
        <v>882</v>
      </c>
      <c r="CL49" s="26">
        <f t="shared" si="471"/>
        <v>848</v>
      </c>
      <c r="CM49" s="27">
        <f t="shared" ref="CM49:DB49" si="472">CM43-CM47</f>
        <v>799.51194812987796</v>
      </c>
      <c r="CN49" s="27">
        <f t="shared" si="472"/>
        <v>861.83614092801417</v>
      </c>
      <c r="CO49" s="27">
        <f t="shared" si="472"/>
        <v>870.80065627161844</v>
      </c>
      <c r="CP49" s="27">
        <f t="shared" si="472"/>
        <v>1238.0408106217044</v>
      </c>
      <c r="CQ49" s="27">
        <f t="shared" si="472"/>
        <v>1061.855504945959</v>
      </c>
      <c r="CR49" s="27">
        <f t="shared" si="472"/>
        <v>1139.0523156826762</v>
      </c>
      <c r="CS49" s="27">
        <f t="shared" si="472"/>
        <v>1151.0624605313055</v>
      </c>
      <c r="CT49" s="27">
        <f t="shared" si="472"/>
        <v>1597.955039792324</v>
      </c>
      <c r="CU49" s="27">
        <f t="shared" si="472"/>
        <v>1248.1030576621331</v>
      </c>
      <c r="CV49" s="27">
        <f t="shared" si="472"/>
        <v>1290.6894195285081</v>
      </c>
      <c r="CW49" s="27">
        <f t="shared" si="472"/>
        <v>1285.6034527238792</v>
      </c>
      <c r="CX49" s="27">
        <f t="shared" si="472"/>
        <v>1764.1833582440524</v>
      </c>
      <c r="CY49" s="27">
        <f t="shared" si="472"/>
        <v>1311.1802089796213</v>
      </c>
      <c r="CZ49" s="27">
        <f t="shared" si="472"/>
        <v>1345.6552029436803</v>
      </c>
      <c r="DA49" s="27">
        <f t="shared" si="472"/>
        <v>1324.9289620011555</v>
      </c>
      <c r="DB49" s="27">
        <f t="shared" si="472"/>
        <v>1789.2770252740554</v>
      </c>
      <c r="DE49" s="121"/>
      <c r="DF49" s="26">
        <v>965.07029209084203</v>
      </c>
    </row>
    <row r="50" spans="1:110" s="23" customFormat="1" x14ac:dyDescent="0.2">
      <c r="A50" s="23" t="s">
        <v>17</v>
      </c>
      <c r="B50" s="23">
        <f>'Annual Raw'!C23</f>
        <v>8.7222000000000008</v>
      </c>
      <c r="C50" s="23">
        <f>'Annual Raw'!D23</f>
        <v>7.8742999999999999</v>
      </c>
      <c r="D50" s="23">
        <f>'Annual Raw'!E23</f>
        <v>4.6654</v>
      </c>
      <c r="E50" s="23">
        <f>'Annual Raw'!F23</f>
        <v>4.8133999999999997</v>
      </c>
      <c r="F50" s="23">
        <f>'Annual Raw'!G23</f>
        <v>5.2708000000000004</v>
      </c>
      <c r="G50" s="23">
        <f>'Annual Raw'!H23</f>
        <v>5.1421999999999999</v>
      </c>
      <c r="H50" s="23">
        <f>'Annual Raw'!I23</f>
        <v>9.8132000000000001</v>
      </c>
      <c r="I50" s="23">
        <f>'Annual Raw'!J23</f>
        <v>7.9535999999999998</v>
      </c>
      <c r="J50" s="23">
        <f>'Annual Raw'!K23</f>
        <v>23.794799999999999</v>
      </c>
      <c r="K50" s="23">
        <f>'Annual Raw'!L23</f>
        <v>21.6309</v>
      </c>
      <c r="L50" s="23">
        <f>'Annual Raw'!M23</f>
        <v>56.233899999999998</v>
      </c>
      <c r="M50" s="23">
        <f>'Annual Raw'!N23</f>
        <v>44.7</v>
      </c>
      <c r="N50" s="23">
        <f>'Annual Raw'!O23</f>
        <v>43.36</v>
      </c>
      <c r="O50" s="23">
        <f>'Annual Raw'!P23</f>
        <v>38.130000000000003</v>
      </c>
      <c r="P50" s="23">
        <f>'Annual Raw'!Q23</f>
        <v>285.55</v>
      </c>
      <c r="Q50" s="23">
        <f>'Annual Raw'!R23</f>
        <v>228.8</v>
      </c>
      <c r="R50" s="23">
        <f>'Annual Raw'!S23</f>
        <v>223.3</v>
      </c>
      <c r="S50" s="23">
        <f>'Annual Raw'!T23</f>
        <v>307.04000000000002</v>
      </c>
      <c r="T50" s="23">
        <f>'Annual Raw'!U23</f>
        <v>63.62</v>
      </c>
      <c r="U50" s="23">
        <f>'Annual Raw'!V23</f>
        <v>121.3</v>
      </c>
      <c r="V50" s="23">
        <f>'Annual Raw'!W23</f>
        <v>56.91</v>
      </c>
      <c r="W50" s="23">
        <f>'Annual Raw'!X23</f>
        <v>196.56</v>
      </c>
      <c r="X50" s="23">
        <f>'Annual Raw'!Y23</f>
        <v>63.22</v>
      </c>
      <c r="Y50" s="23">
        <f>'Annual Raw'!Z23</f>
        <v>61.97</v>
      </c>
      <c r="Z50" s="23">
        <f>'Annual Raw'!AA23</f>
        <v>39.909999999999997</v>
      </c>
      <c r="AA50" s="23">
        <f>'Annual Raw'!AB23</f>
        <v>91.71</v>
      </c>
      <c r="AB50" s="76">
        <f t="shared" ref="AB50:AB51" si="473">+SUM(CM50:CP50)</f>
        <v>0</v>
      </c>
      <c r="AC50" s="76">
        <f t="shared" ref="AC50:AC51" si="474">+SUM(CQ50:CT50)</f>
        <v>0</v>
      </c>
      <c r="AD50" s="76">
        <f t="shared" ref="AD50:AD51" si="475">+SUM(CU50:CX50)</f>
        <v>0</v>
      </c>
      <c r="AE50" s="76">
        <f t="shared" ref="AE50:AE51" si="476">+SUM(CY50:DB50)</f>
        <v>0</v>
      </c>
      <c r="AF50" s="23">
        <f>Z50-Z51</f>
        <v>-212.4</v>
      </c>
      <c r="AG50" s="23">
        <f>AA50-AA51</f>
        <v>-293.36</v>
      </c>
      <c r="AI50" s="23">
        <f>'QTR Raw'!C23</f>
        <v>14</v>
      </c>
      <c r="AJ50" s="23">
        <f>'QTR Raw'!D23</f>
        <v>12</v>
      </c>
      <c r="AK50" s="23">
        <f>'QTR Raw'!E23</f>
        <v>9</v>
      </c>
      <c r="AL50" s="23">
        <f>'QTR Raw'!F23</f>
        <v>8</v>
      </c>
      <c r="AM50" s="23">
        <f>'QTR Raw'!G23</f>
        <v>8</v>
      </c>
      <c r="AN50" s="23">
        <f>'QTR Raw'!H23</f>
        <v>10</v>
      </c>
      <c r="AO50" s="23">
        <f>'QTR Raw'!I23</f>
        <v>10</v>
      </c>
      <c r="AP50" s="23">
        <f>'QTR Raw'!J23</f>
        <v>10</v>
      </c>
      <c r="AQ50" s="23">
        <f>'QTR Raw'!K23</f>
        <v>49</v>
      </c>
      <c r="AR50" s="23">
        <f>'QTR Raw'!L23</f>
        <v>72</v>
      </c>
      <c r="AS50" s="23">
        <f>'QTR Raw'!M23</f>
        <v>65</v>
      </c>
      <c r="AT50" s="23">
        <f>'QTR Raw'!N23</f>
        <v>100</v>
      </c>
      <c r="AU50" s="23">
        <f>'QTR Raw'!O23</f>
        <v>75</v>
      </c>
      <c r="AV50" s="23">
        <f>'QTR Raw'!P23</f>
        <v>71</v>
      </c>
      <c r="AW50" s="23">
        <f>'QTR Raw'!Q23</f>
        <v>55</v>
      </c>
      <c r="AX50" s="23">
        <f>'QTR Raw'!R23</f>
        <v>24</v>
      </c>
      <c r="AY50" s="23">
        <f>'QTR Raw'!S23</f>
        <v>26</v>
      </c>
      <c r="AZ50" s="23">
        <f>'QTR Raw'!T23</f>
        <v>43</v>
      </c>
      <c r="BA50" s="23">
        <f>'QTR Raw'!U23</f>
        <v>50</v>
      </c>
      <c r="BB50" s="23">
        <f>'QTR Raw'!V23</f>
        <v>104</v>
      </c>
      <c r="BC50" s="23">
        <f>'QTR Raw'!W23</f>
        <v>105</v>
      </c>
      <c r="BD50" s="23">
        <f>'QTR Raw'!X23</f>
        <v>78</v>
      </c>
      <c r="BE50" s="23">
        <f>'QTR Raw'!Y23</f>
        <v>74</v>
      </c>
      <c r="BF50" s="23">
        <f>'QTR Raw'!Z23</f>
        <v>42</v>
      </c>
      <c r="BG50" s="23">
        <f>'QTR Raw'!AA23</f>
        <v>27</v>
      </c>
      <c r="BH50" s="23">
        <f>'QTR Raw'!AB23</f>
        <v>10</v>
      </c>
      <c r="BI50" s="23">
        <f>'QTR Raw'!AC23</f>
        <v>3</v>
      </c>
      <c r="BJ50" s="23">
        <f>'QTR Raw'!AD23</f>
        <v>17</v>
      </c>
      <c r="BK50" s="23">
        <f>'QTR Raw'!AE23</f>
        <v>20</v>
      </c>
      <c r="BL50" s="23">
        <f>'QTR Raw'!AF23</f>
        <v>34</v>
      </c>
      <c r="BM50" s="23">
        <f>'QTR Raw'!AG23</f>
        <v>53</v>
      </c>
      <c r="BN50" s="23">
        <f>'QTR Raw'!AH23</f>
        <v>15</v>
      </c>
      <c r="BO50" s="23">
        <f>'QTR Raw'!AI23</f>
        <v>4</v>
      </c>
      <c r="BP50" s="23">
        <f>'QTR Raw'!AJ23</f>
        <v>6</v>
      </c>
      <c r="BQ50" s="23">
        <f>'QTR Raw'!AK23</f>
        <v>8</v>
      </c>
      <c r="BR50" s="23">
        <f>'QTR Raw'!AL23</f>
        <v>39</v>
      </c>
      <c r="BS50" s="23">
        <f>'QTR Raw'!AM23</f>
        <v>40</v>
      </c>
      <c r="BT50" s="23">
        <f>'QTR Raw'!AN23</f>
        <v>51</v>
      </c>
      <c r="BU50" s="23">
        <f>'QTR Raw'!AO23</f>
        <v>48</v>
      </c>
      <c r="BV50" s="23">
        <f>'QTR Raw'!AP23</f>
        <v>56</v>
      </c>
      <c r="BW50" s="23">
        <f>'QTR Raw'!AQ23</f>
        <v>30</v>
      </c>
      <c r="BX50" s="23">
        <f>'QTR Raw'!AR23</f>
        <v>16</v>
      </c>
      <c r="BY50" s="23">
        <f>'QTR Raw'!AS23</f>
        <v>-10</v>
      </c>
      <c r="BZ50" s="23">
        <f>'QTR Raw'!AT23</f>
        <v>9</v>
      </c>
      <c r="CA50" s="23">
        <f>'QTR Raw'!AU23</f>
        <v>34</v>
      </c>
      <c r="CB50" s="23">
        <f>'QTR Raw'!AV23</f>
        <v>26</v>
      </c>
      <c r="CC50" s="23">
        <f>'QTR Raw'!AW23</f>
        <v>-33</v>
      </c>
      <c r="CD50" s="23">
        <f>'QTR Raw'!AX23</f>
        <v>31</v>
      </c>
      <c r="CE50" s="23">
        <f>'QTR Raw'!AY23</f>
        <v>24</v>
      </c>
      <c r="CF50" s="23">
        <f>'QTR Raw'!AZ23</f>
        <v>-16</v>
      </c>
      <c r="CG50" s="23">
        <f>'QTR Raw'!BA23</f>
        <v>33</v>
      </c>
      <c r="CH50" s="23">
        <f>'QTR Raw'!BB23</f>
        <v>-18</v>
      </c>
      <c r="CI50" s="23">
        <f>'QTR Raw'!BC23</f>
        <v>-37</v>
      </c>
      <c r="CJ50" s="23">
        <f>'QTR Raw'!BD23</f>
        <v>-27</v>
      </c>
      <c r="CK50" s="23">
        <f>'QTR Raw'!BE23</f>
        <v>-13</v>
      </c>
      <c r="CL50" s="23">
        <f>'QTR Raw'!BF23</f>
        <v>-17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3"/>
      <c r="DF50" s="23">
        <v>-94</v>
      </c>
    </row>
    <row r="51" spans="1:110" s="23" customFormat="1" x14ac:dyDescent="0.2">
      <c r="A51" s="23" t="s">
        <v>18</v>
      </c>
      <c r="B51" s="23">
        <f>'Annual Raw'!C25</f>
        <v>11.071400000000001</v>
      </c>
      <c r="C51" s="23">
        <f>'Annual Raw'!D25</f>
        <v>8.8752999999999993</v>
      </c>
      <c r="D51" s="23">
        <f>'Annual Raw'!E25</f>
        <v>1.3837999999999999</v>
      </c>
      <c r="E51" s="23">
        <f>'Annual Raw'!F25</f>
        <v>0.8387</v>
      </c>
      <c r="F51" s="23">
        <f>'Annual Raw'!G25</f>
        <v>3.7915999999999999</v>
      </c>
      <c r="G51" s="23">
        <f>'Annual Raw'!H25</f>
        <v>9.9539000000000009</v>
      </c>
      <c r="H51" s="23">
        <f>'Annual Raw'!I25</f>
        <v>23.643899999999999</v>
      </c>
      <c r="I51" s="23">
        <f>'Annual Raw'!J25</f>
        <v>22.856000000000002</v>
      </c>
      <c r="J51" s="23">
        <f>'Annual Raw'!K25</f>
        <v>39.296300000000002</v>
      </c>
      <c r="K51" s="23">
        <f>'Annual Raw'!L25</f>
        <v>29.101800000000001</v>
      </c>
      <c r="L51" s="23">
        <f>'Annual Raw'!M25</f>
        <v>39.126399999999997</v>
      </c>
      <c r="M51" s="23">
        <f>'Annual Raw'!N25</f>
        <v>39.450000000000003</v>
      </c>
      <c r="N51" s="23">
        <f>'Annual Raw'!O25</f>
        <v>33.799999999999997</v>
      </c>
      <c r="O51" s="23">
        <f>'Annual Raw'!P25</f>
        <v>58.63</v>
      </c>
      <c r="P51" s="23">
        <f>'Annual Raw'!Q25</f>
        <v>175.16</v>
      </c>
      <c r="Q51" s="23">
        <f>'Annual Raw'!R25</f>
        <v>183.98</v>
      </c>
      <c r="R51" s="23">
        <f>'Annual Raw'!S25</f>
        <v>205.56</v>
      </c>
      <c r="S51" s="23">
        <f>'Annual Raw'!T25</f>
        <v>308.48</v>
      </c>
      <c r="T51" s="23">
        <f>'Annual Raw'!U25</f>
        <v>503.75</v>
      </c>
      <c r="U51" s="23">
        <f>'Annual Raw'!V25</f>
        <v>450.71</v>
      </c>
      <c r="V51" s="23">
        <f>'Annual Raw'!W25</f>
        <v>352.94</v>
      </c>
      <c r="W51" s="23">
        <f>'Annual Raw'!X25</f>
        <v>255.06</v>
      </c>
      <c r="X51" s="23">
        <f>'Annual Raw'!Y25</f>
        <v>333.44</v>
      </c>
      <c r="Y51" s="23">
        <f>'Annual Raw'!Z25</f>
        <v>353.56</v>
      </c>
      <c r="Z51" s="23">
        <f>'Annual Raw'!AA25</f>
        <v>252.31</v>
      </c>
      <c r="AA51" s="23">
        <f>'Annual Raw'!AB25</f>
        <v>385.07</v>
      </c>
      <c r="AB51" s="76">
        <f t="shared" si="473"/>
        <v>238.9930459120155</v>
      </c>
      <c r="AC51" s="76">
        <f t="shared" si="474"/>
        <v>195.43509084891258</v>
      </c>
      <c r="AD51" s="76">
        <f t="shared" si="475"/>
        <v>132.02771021512112</v>
      </c>
      <c r="AE51" s="76">
        <f t="shared" si="476"/>
        <v>57.308652509686382</v>
      </c>
      <c r="AI51" s="23">
        <f>'QTR Raw'!C25</f>
        <v>10</v>
      </c>
      <c r="AJ51" s="23">
        <f>'QTR Raw'!D25</f>
        <v>7</v>
      </c>
      <c r="AK51" s="23">
        <f>'QTR Raw'!E25</f>
        <v>7</v>
      </c>
      <c r="AL51" s="23">
        <f>'QTR Raw'!F25</f>
        <v>10</v>
      </c>
      <c r="AM51" s="23">
        <f>'QTR Raw'!G25</f>
        <v>8</v>
      </c>
      <c r="AN51" s="23">
        <f>'QTR Raw'!H25</f>
        <v>15</v>
      </c>
      <c r="AO51" s="23">
        <f>'QTR Raw'!I25</f>
        <v>16</v>
      </c>
      <c r="AP51" s="23">
        <f>'QTR Raw'!J25</f>
        <v>20</v>
      </c>
      <c r="AQ51" s="23">
        <f>'QTR Raw'!K25</f>
        <v>24</v>
      </c>
      <c r="AR51" s="23">
        <f>'QTR Raw'!L25</f>
        <v>54</v>
      </c>
      <c r="AS51" s="23">
        <f>'QTR Raw'!M25</f>
        <v>50</v>
      </c>
      <c r="AT51" s="23">
        <f>'QTR Raw'!N25</f>
        <v>47</v>
      </c>
      <c r="AU51" s="23">
        <f>'QTR Raw'!O25</f>
        <v>55</v>
      </c>
      <c r="AV51" s="23">
        <f>'QTR Raw'!P25</f>
        <v>48</v>
      </c>
      <c r="AW51" s="23">
        <f>'QTR Raw'!Q25</f>
        <v>43</v>
      </c>
      <c r="AX51" s="23">
        <f>'QTR Raw'!R25</f>
        <v>38</v>
      </c>
      <c r="AY51" s="23">
        <f>'QTR Raw'!S25</f>
        <v>49</v>
      </c>
      <c r="AZ51" s="23">
        <f>'QTR Raw'!T25</f>
        <v>51</v>
      </c>
      <c r="BA51" s="23">
        <f>'QTR Raw'!U25</f>
        <v>48</v>
      </c>
      <c r="BB51" s="23">
        <f>'QTR Raw'!V25</f>
        <v>58</v>
      </c>
      <c r="BC51" s="23">
        <f>'QTR Raw'!W25</f>
        <v>56</v>
      </c>
      <c r="BD51" s="23">
        <f>'QTR Raw'!X25</f>
        <v>51</v>
      </c>
      <c r="BE51" s="23">
        <f>'QTR Raw'!Y25</f>
        <v>80</v>
      </c>
      <c r="BF51" s="23">
        <f>'QTR Raw'!Z25</f>
        <v>121</v>
      </c>
      <c r="BG51" s="23">
        <f>'QTR Raw'!AA25</f>
        <v>122</v>
      </c>
      <c r="BH51" s="23">
        <f>'QTR Raw'!AB25</f>
        <v>126</v>
      </c>
      <c r="BI51" s="23">
        <f>'QTR Raw'!AC25</f>
        <v>133</v>
      </c>
      <c r="BJ51" s="23">
        <f>'QTR Raw'!AD25</f>
        <v>123</v>
      </c>
      <c r="BK51" s="23">
        <f>'QTR Raw'!AE25</f>
        <v>122</v>
      </c>
      <c r="BL51" s="23">
        <f>'QTR Raw'!AF25</f>
        <v>116</v>
      </c>
      <c r="BM51" s="23">
        <f>'QTR Raw'!AG25</f>
        <v>111</v>
      </c>
      <c r="BN51" s="23">
        <f>'QTR Raw'!AH25</f>
        <v>102</v>
      </c>
      <c r="BO51" s="23">
        <f>'QTR Raw'!AI25</f>
        <v>102</v>
      </c>
      <c r="BP51" s="23">
        <f>'QTR Raw'!AJ25</f>
        <v>92</v>
      </c>
      <c r="BQ51" s="23">
        <f>'QTR Raw'!AK25</f>
        <v>91</v>
      </c>
      <c r="BR51" s="23">
        <f>'QTR Raw'!AL25</f>
        <v>73</v>
      </c>
      <c r="BS51" s="23">
        <f>'QTR Raw'!AM25</f>
        <v>68</v>
      </c>
      <c r="BT51" s="23">
        <f>'QTR Raw'!AN25</f>
        <v>71</v>
      </c>
      <c r="BU51" s="23">
        <f>'QTR Raw'!AO25</f>
        <v>62</v>
      </c>
      <c r="BV51" s="23">
        <f>'QTR Raw'!AP25</f>
        <v>57</v>
      </c>
      <c r="BW51" s="23">
        <f>'QTR Raw'!AQ25</f>
        <v>55</v>
      </c>
      <c r="BX51" s="23">
        <f>'QTR Raw'!AR25</f>
        <v>69</v>
      </c>
      <c r="BY51" s="23">
        <f>'QTR Raw'!AS25</f>
        <v>102</v>
      </c>
      <c r="BZ51" s="23">
        <f>'QTR Raw'!AT25</f>
        <v>107</v>
      </c>
      <c r="CA51" s="23">
        <f>'QTR Raw'!AU25</f>
        <v>103</v>
      </c>
      <c r="CB51" s="23">
        <f>'QTR Raw'!AV25</f>
        <v>91</v>
      </c>
      <c r="CC51" s="23">
        <f>'QTR Raw'!AW25</f>
        <v>80</v>
      </c>
      <c r="CD51" s="23">
        <f>'QTR Raw'!AX25</f>
        <v>80</v>
      </c>
      <c r="CE51" s="23">
        <f>'QTR Raw'!AY25</f>
        <v>75</v>
      </c>
      <c r="CF51" s="23">
        <f>'QTR Raw'!AZ25</f>
        <v>64</v>
      </c>
      <c r="CG51" s="23">
        <f>'QTR Raw'!BA25</f>
        <v>57</v>
      </c>
      <c r="CH51" s="23">
        <f>'QTR Raw'!BB25</f>
        <v>56</v>
      </c>
      <c r="CI51" s="23">
        <f>'QTR Raw'!BC25</f>
        <v>56</v>
      </c>
      <c r="CJ51" s="23">
        <f>'QTR Raw'!BD25</f>
        <v>48</v>
      </c>
      <c r="CK51" s="23">
        <f>'QTR Raw'!BE25</f>
        <v>45</v>
      </c>
      <c r="CL51" s="23">
        <f>'QTR Raw'!BF25</f>
        <v>236</v>
      </c>
      <c r="CM51" s="24">
        <f t="shared" ref="CM51:DB51" si="477">CM52*CL183</f>
        <v>63.835000000000001</v>
      </c>
      <c r="CN51" s="24">
        <f t="shared" si="477"/>
        <v>60.574155523198947</v>
      </c>
      <c r="CO51" s="24">
        <f t="shared" si="477"/>
        <v>58.532935704641112</v>
      </c>
      <c r="CP51" s="24">
        <f t="shared" si="477"/>
        <v>56.050954684175451</v>
      </c>
      <c r="CQ51" s="24">
        <f t="shared" si="477"/>
        <v>54.788928104839073</v>
      </c>
      <c r="CR51" s="24">
        <f t="shared" si="477"/>
        <v>50.146965990207299</v>
      </c>
      <c r="CS51" s="24">
        <f t="shared" si="477"/>
        <v>47.058926753511045</v>
      </c>
      <c r="CT51" s="24">
        <f t="shared" si="477"/>
        <v>43.440270000355149</v>
      </c>
      <c r="CU51" s="24">
        <f t="shared" si="477"/>
        <v>41.13585066499509</v>
      </c>
      <c r="CV51" s="24">
        <f t="shared" si="477"/>
        <v>34.457202460841629</v>
      </c>
      <c r="CW51" s="24">
        <f t="shared" si="477"/>
        <v>30.40841106714932</v>
      </c>
      <c r="CX51" s="24">
        <f t="shared" si="477"/>
        <v>26.026246022135094</v>
      </c>
      <c r="CY51" s="24">
        <f t="shared" si="477"/>
        <v>22.987545942901999</v>
      </c>
      <c r="CZ51" s="24">
        <f t="shared" si="477"/>
        <v>15.879724736141952</v>
      </c>
      <c r="DA51" s="24">
        <f t="shared" si="477"/>
        <v>11.538467708588806</v>
      </c>
      <c r="DB51" s="24">
        <f t="shared" si="477"/>
        <v>6.9029141220536259</v>
      </c>
      <c r="DE51" s="123"/>
      <c r="DF51" s="23">
        <v>34.092620858789729</v>
      </c>
    </row>
    <row r="52" spans="1:110" s="46" customFormat="1" x14ac:dyDescent="0.2">
      <c r="A52" s="46" t="s">
        <v>482</v>
      </c>
      <c r="B52" s="46">
        <f t="shared" ref="B52:D52" si="478">+B51/B143</f>
        <v>0.12908995510989332</v>
      </c>
      <c r="C52" s="46">
        <f t="shared" si="478"/>
        <v>0.39869636311363471</v>
      </c>
      <c r="D52" s="46">
        <f t="shared" si="478"/>
        <v>0.34151036525172757</v>
      </c>
      <c r="E52" s="46" t="e">
        <f t="shared" ref="E52:AE52" si="479">+E51/E143</f>
        <v>#DIV/0!</v>
      </c>
      <c r="F52" s="46">
        <f t="shared" si="479"/>
        <v>1.7853703786542857E-2</v>
      </c>
      <c r="G52" s="46">
        <f t="shared" si="479"/>
        <v>3.7500951284441211E-2</v>
      </c>
      <c r="H52" s="46">
        <f t="shared" si="479"/>
        <v>7.9096614092598022E-2</v>
      </c>
      <c r="I52" s="46">
        <f t="shared" si="479"/>
        <v>6.3526192881041804E-2</v>
      </c>
      <c r="J52" s="46">
        <f t="shared" si="479"/>
        <v>8.1425794224896417E-2</v>
      </c>
      <c r="K52" s="46">
        <f t="shared" si="479"/>
        <v>5.57083452256594E-2</v>
      </c>
      <c r="L52" s="46">
        <f t="shared" si="479"/>
        <v>6.8396268468079793E-2</v>
      </c>
      <c r="M52" s="46">
        <f t="shared" si="479"/>
        <v>6.816650251412576E-2</v>
      </c>
      <c r="N52" s="46">
        <f t="shared" si="479"/>
        <v>4.8775560269564332E-2</v>
      </c>
      <c r="O52" s="46">
        <f t="shared" si="479"/>
        <v>5.1804269456421859E-2</v>
      </c>
      <c r="P52" s="46">
        <f t="shared" si="479"/>
        <v>6.3918842483624352E-2</v>
      </c>
      <c r="Q52" s="46">
        <f t="shared" si="479"/>
        <v>7.8233433120152407E-2</v>
      </c>
      <c r="R52" s="46">
        <f t="shared" si="479"/>
        <v>8.1892172915346992E-2</v>
      </c>
      <c r="S52" s="46">
        <f t="shared" si="479"/>
        <v>4.7735178697433746E-2</v>
      </c>
      <c r="T52" s="46">
        <f t="shared" si="479"/>
        <v>8.3428561964856499E-2</v>
      </c>
      <c r="U52" s="46">
        <f t="shared" si="479"/>
        <v>7.7175973411095472E-2</v>
      </c>
      <c r="V52" s="46">
        <f t="shared" si="479"/>
        <v>7.3141213480165626E-2</v>
      </c>
      <c r="W52" s="46">
        <f t="shared" si="479"/>
        <v>6.3477763121873518E-2</v>
      </c>
      <c r="X52" s="46">
        <f t="shared" si="479"/>
        <v>6.2945274007513263E-2</v>
      </c>
      <c r="Y52" s="46">
        <f t="shared" si="479"/>
        <v>8.9794840276119892E-2</v>
      </c>
      <c r="Z52" s="46">
        <f t="shared" si="479"/>
        <v>8.3378220740295231E-2</v>
      </c>
      <c r="AA52" s="46">
        <f t="shared" ref="AA52" si="480">+AA51/AA143</f>
        <v>2.6021337672588091E-2</v>
      </c>
      <c r="AB52" s="110">
        <f t="shared" si="479"/>
        <v>1.6150361259090112E-2</v>
      </c>
      <c r="AC52" s="110">
        <f t="shared" si="479"/>
        <v>1.3206858416604446E-2</v>
      </c>
      <c r="AD52" s="110">
        <f t="shared" si="479"/>
        <v>8.921996906008995E-3</v>
      </c>
      <c r="AE52" s="110">
        <f t="shared" si="479"/>
        <v>3.8727295924913083E-3</v>
      </c>
      <c r="AI52" s="46" t="e">
        <f t="shared" ref="AI52:BN52" si="481">(AI51-AI50)/AH183</f>
        <v>#DIV/0!</v>
      </c>
      <c r="AJ52" s="46" t="e">
        <f t="shared" si="481"/>
        <v>#DIV/0!</v>
      </c>
      <c r="AK52" s="46">
        <f t="shared" si="481"/>
        <v>1.266704667806701E-2</v>
      </c>
      <c r="AL52" s="46">
        <f t="shared" si="481"/>
        <v>-8.3351848535888427E-3</v>
      </c>
      <c r="AM52" s="46">
        <f t="shared" si="481"/>
        <v>0</v>
      </c>
      <c r="AN52" s="46">
        <f t="shared" si="481"/>
        <v>-2.5839793281653776E-2</v>
      </c>
      <c r="AO52" s="46">
        <f t="shared" si="481"/>
        <v>-0.23076923076923078</v>
      </c>
      <c r="AP52" s="46">
        <f t="shared" si="481"/>
        <v>-6.1304808517079465E-2</v>
      </c>
      <c r="AQ52" s="46" t="e">
        <f t="shared" si="481"/>
        <v>#DIV/0!</v>
      </c>
      <c r="AR52" s="46">
        <f t="shared" si="481"/>
        <v>5.673689519241655E-2</v>
      </c>
      <c r="AS52" s="46">
        <f t="shared" si="481"/>
        <v>-1.0135135135135136E-2</v>
      </c>
      <c r="AT52" s="46">
        <f t="shared" si="481"/>
        <v>-4.096222262019527E-2</v>
      </c>
      <c r="AU52" s="46">
        <f t="shared" si="481"/>
        <v>-1.2202562538133009E-2</v>
      </c>
      <c r="AV52" s="46">
        <f t="shared" si="481"/>
        <v>-1.4769210908360444E-2</v>
      </c>
      <c r="AW52" s="46">
        <f t="shared" si="481"/>
        <v>-1.8838304552590265E-2</v>
      </c>
      <c r="AX52" s="46">
        <f t="shared" si="481"/>
        <v>4.857345449030874E-2</v>
      </c>
      <c r="AY52" s="46">
        <f t="shared" si="481"/>
        <v>5.39906103286385E-2</v>
      </c>
      <c r="AZ52" s="46">
        <f t="shared" si="481"/>
        <v>5.2894132552062857E-2</v>
      </c>
      <c r="BA52" s="46">
        <f t="shared" si="481"/>
        <v>-9.1743119266055051E-3</v>
      </c>
      <c r="BB52" s="46">
        <f t="shared" si="481"/>
        <v>7.5512923607113631</v>
      </c>
      <c r="BC52" s="46">
        <f t="shared" si="481"/>
        <v>-9.0239410681399637E-2</v>
      </c>
      <c r="BD52" s="46">
        <f t="shared" si="481"/>
        <v>-8.5229749184420056E-2</v>
      </c>
      <c r="BE52" s="46">
        <f t="shared" si="481"/>
        <v>1.4925373134328358E-2</v>
      </c>
      <c r="BF52" s="46">
        <f t="shared" si="481"/>
        <v>0.21332471977345613</v>
      </c>
      <c r="BG52" s="46">
        <f t="shared" si="481"/>
        <v>2.1699406121516673E-2</v>
      </c>
      <c r="BH52" s="46">
        <f t="shared" si="481"/>
        <v>2.6805104507545769E-2</v>
      </c>
      <c r="BI52" s="46">
        <f t="shared" si="481"/>
        <v>3.2346354814630503E-2</v>
      </c>
      <c r="BJ52" s="46">
        <f t="shared" si="481"/>
        <v>2.7276357279467187E-2</v>
      </c>
      <c r="BK52" s="46">
        <f t="shared" si="481"/>
        <v>2.7717391304347826E-2</v>
      </c>
      <c r="BL52" s="46">
        <f t="shared" si="481"/>
        <v>2.291874921504429E-2</v>
      </c>
      <c r="BM52" s="46">
        <f t="shared" si="481"/>
        <v>1.77153329260843E-2</v>
      </c>
      <c r="BN52" s="46">
        <f t="shared" si="481"/>
        <v>2.9062667130954036E-2</v>
      </c>
      <c r="BO52" s="46">
        <f t="shared" ref="BO52:CL52" si="482">(BO51-BO50)/BN183</f>
        <v>2.6486486486486487E-2</v>
      </c>
      <c r="BP52" s="46">
        <f t="shared" si="482"/>
        <v>2.4727819047613422E-2</v>
      </c>
      <c r="BQ52" s="46">
        <f t="shared" si="482"/>
        <v>2.8424657534246577E-2</v>
      </c>
      <c r="BR52" s="46">
        <f t="shared" si="482"/>
        <v>1.3059354382904656E-2</v>
      </c>
      <c r="BS52" s="46">
        <f t="shared" si="482"/>
        <v>6.8593826555609994E-3</v>
      </c>
      <c r="BT52" s="46">
        <f t="shared" si="482"/>
        <v>5.0386200996200481E-3</v>
      </c>
      <c r="BU52" s="46">
        <f t="shared" si="482"/>
        <v>3.7950664136622392E-3</v>
      </c>
      <c r="BV52" s="46">
        <f t="shared" si="482"/>
        <v>2.9346337454866443E-4</v>
      </c>
      <c r="BW52" s="46">
        <f t="shared" si="482"/>
        <v>7.2865053920139903E-3</v>
      </c>
      <c r="BX52" s="46">
        <f t="shared" si="482"/>
        <v>1.5952349307339821E-2</v>
      </c>
      <c r="BY52" s="46">
        <f t="shared" si="482"/>
        <v>3.4923604614904895E-2</v>
      </c>
      <c r="BZ52" s="46">
        <f t="shared" si="482"/>
        <v>3.1186239150802198E-2</v>
      </c>
      <c r="CA52" s="46">
        <f t="shared" si="482"/>
        <v>1.5098468271334792E-2</v>
      </c>
      <c r="CB52" s="46">
        <f t="shared" si="482"/>
        <v>1.5143888216097386E-2</v>
      </c>
      <c r="CC52" s="46">
        <f t="shared" si="482"/>
        <v>3.1163816878102591E-2</v>
      </c>
      <c r="CD52" s="46">
        <f t="shared" si="482"/>
        <v>1.5097831259205923E-2</v>
      </c>
      <c r="CE52" s="46">
        <f t="shared" si="482"/>
        <v>1.7241379310344827E-2</v>
      </c>
      <c r="CF52" s="46">
        <f t="shared" si="482"/>
        <v>3.0942124278281302E-2</v>
      </c>
      <c r="CG52" s="46">
        <f t="shared" si="482"/>
        <v>1.3237727523441808E-2</v>
      </c>
      <c r="CH52" s="46">
        <f t="shared" si="482"/>
        <v>5.8808189672957749E-2</v>
      </c>
      <c r="CI52" s="46">
        <f t="shared" si="482"/>
        <v>3.9838589456910066E-2</v>
      </c>
      <c r="CJ52" s="46">
        <f t="shared" si="482"/>
        <v>4.3844813396444547E-2</v>
      </c>
      <c r="CK52" s="46">
        <f t="shared" si="482"/>
        <v>3.2293986636971049E-2</v>
      </c>
      <c r="CL52" s="46">
        <f t="shared" si="482"/>
        <v>0.23965240610263014</v>
      </c>
      <c r="CM52" s="47">
        <v>5.0000000000000001E-3</v>
      </c>
      <c r="CN52" s="47">
        <f t="shared" ref="CN52" si="483">+CM52</f>
        <v>5.0000000000000001E-3</v>
      </c>
      <c r="CO52" s="47">
        <f t="shared" ref="CO52" si="484">+CN52</f>
        <v>5.0000000000000001E-3</v>
      </c>
      <c r="CP52" s="47">
        <f t="shared" ref="CP52" si="485">+CO52</f>
        <v>5.0000000000000001E-3</v>
      </c>
      <c r="CQ52" s="47">
        <f>+CP52</f>
        <v>5.0000000000000001E-3</v>
      </c>
      <c r="CR52" s="47">
        <f t="shared" ref="CR52:DB52" si="486">+CQ52</f>
        <v>5.0000000000000001E-3</v>
      </c>
      <c r="CS52" s="47">
        <f t="shared" si="486"/>
        <v>5.0000000000000001E-3</v>
      </c>
      <c r="CT52" s="47">
        <f t="shared" si="486"/>
        <v>5.0000000000000001E-3</v>
      </c>
      <c r="CU52" s="47">
        <f t="shared" si="486"/>
        <v>5.0000000000000001E-3</v>
      </c>
      <c r="CV52" s="47">
        <f t="shared" si="486"/>
        <v>5.0000000000000001E-3</v>
      </c>
      <c r="CW52" s="47">
        <f t="shared" si="486"/>
        <v>5.0000000000000001E-3</v>
      </c>
      <c r="CX52" s="47">
        <f t="shared" si="486"/>
        <v>5.0000000000000001E-3</v>
      </c>
      <c r="CY52" s="47">
        <f t="shared" si="486"/>
        <v>5.0000000000000001E-3</v>
      </c>
      <c r="CZ52" s="47">
        <f t="shared" si="486"/>
        <v>5.0000000000000001E-3</v>
      </c>
      <c r="DA52" s="47">
        <f t="shared" si="486"/>
        <v>5.0000000000000001E-3</v>
      </c>
      <c r="DB52" s="47">
        <f t="shared" si="486"/>
        <v>5.0000000000000001E-3</v>
      </c>
      <c r="DE52" s="130"/>
      <c r="DF52" s="46">
        <v>3.2293986636971049E-2</v>
      </c>
    </row>
    <row r="53" spans="1:110" s="26" customFormat="1" x14ac:dyDescent="0.2">
      <c r="A53" s="26" t="s">
        <v>20</v>
      </c>
      <c r="B53" s="26">
        <f>B49+B50-B51</f>
        <v>59.181800000000038</v>
      </c>
      <c r="C53" s="26">
        <f t="shared" ref="C53:T53" si="487">C49+C50-C51</f>
        <v>61.614199999999983</v>
      </c>
      <c r="D53" s="26">
        <f>D49+D50-D51</f>
        <v>61.33719999999996</v>
      </c>
      <c r="E53" s="26">
        <f t="shared" si="487"/>
        <v>79.83670000000005</v>
      </c>
      <c r="F53" s="26">
        <f t="shared" si="487"/>
        <v>56.867499999999957</v>
      </c>
      <c r="G53" s="26">
        <f t="shared" si="487"/>
        <v>77.703999999999837</v>
      </c>
      <c r="H53" s="26">
        <f t="shared" si="487"/>
        <v>109.03690000000029</v>
      </c>
      <c r="I53" s="26">
        <f t="shared" si="487"/>
        <v>149.09869999999992</v>
      </c>
      <c r="J53" s="26">
        <f t="shared" si="487"/>
        <v>200.94509999999983</v>
      </c>
      <c r="K53" s="26">
        <f t="shared" si="487"/>
        <v>347.2184000000002</v>
      </c>
      <c r="L53" s="26">
        <f t="shared" si="487"/>
        <v>342.33490000000057</v>
      </c>
      <c r="M53" s="26">
        <f t="shared" si="487"/>
        <v>423.97999999999956</v>
      </c>
      <c r="N53" s="26">
        <f t="shared" si="487"/>
        <v>619.09</v>
      </c>
      <c r="O53" s="26">
        <f t="shared" si="487"/>
        <v>843.98000000000047</v>
      </c>
      <c r="P53" s="26">
        <f t="shared" si="487"/>
        <v>939.80999999999983</v>
      </c>
      <c r="Q53" s="26">
        <f t="shared" si="487"/>
        <v>2537.0700000000011</v>
      </c>
      <c r="R53" s="26">
        <f t="shared" si="487"/>
        <v>1088.0899999999995</v>
      </c>
      <c r="S53" s="26">
        <f t="shared" si="487"/>
        <v>931.01000000000022</v>
      </c>
      <c r="T53" s="26">
        <f t="shared" si="487"/>
        <v>918.67000000000053</v>
      </c>
      <c r="U53" s="26">
        <f t="shared" ref="U53:Z53" si="488">U49+U50-U51</f>
        <v>1186.5699999999995</v>
      </c>
      <c r="V53" s="26">
        <f t="shared" si="488"/>
        <v>1526.2600000000004</v>
      </c>
      <c r="W53" s="26">
        <f t="shared" si="488"/>
        <v>1710.6099999999992</v>
      </c>
      <c r="X53" s="26">
        <f t="shared" si="488"/>
        <v>1847.1599999999989</v>
      </c>
      <c r="Y53" s="26">
        <f t="shared" si="488"/>
        <v>2263.73</v>
      </c>
      <c r="Z53" s="26">
        <f t="shared" si="488"/>
        <v>2697.0199999999986</v>
      </c>
      <c r="AA53" s="26">
        <f t="shared" ref="AA53" si="489">AA49+AA50-AA51</f>
        <v>2960.9399999999982</v>
      </c>
      <c r="AB53" s="27">
        <f t="shared" ref="AB53:AD53" si="490">AB49+AB50-AB51</f>
        <v>3531.1965100392013</v>
      </c>
      <c r="AC53" s="27">
        <f t="shared" si="490"/>
        <v>4754.4902301033499</v>
      </c>
      <c r="AD53" s="27">
        <f t="shared" si="490"/>
        <v>5456.5515779434518</v>
      </c>
      <c r="AE53" s="27">
        <f t="shared" ref="AE53" si="491">AE49+AE50-AE51</f>
        <v>5713.7327466888246</v>
      </c>
      <c r="AI53" s="26">
        <f>AI49+AI50-AI51</f>
        <v>140</v>
      </c>
      <c r="AJ53" s="26">
        <f t="shared" ref="AJ53" si="492">AJ49+AJ50-AJ51</f>
        <v>139</v>
      </c>
      <c r="AK53" s="26">
        <f t="shared" ref="AK53:AM53" si="493">AK49+AK50-AK51</f>
        <v>143</v>
      </c>
      <c r="AL53" s="26">
        <f t="shared" si="493"/>
        <v>196</v>
      </c>
      <c r="AM53" s="26">
        <f t="shared" si="493"/>
        <v>187</v>
      </c>
      <c r="AN53" s="26">
        <f t="shared" ref="AN53:AO53" si="494">AN49+AN50-AN51</f>
        <v>152</v>
      </c>
      <c r="AO53" s="26">
        <f t="shared" si="494"/>
        <v>188</v>
      </c>
      <c r="AP53" s="26">
        <f t="shared" ref="AP53:CD53" si="495">AP49+AP50-AP51</f>
        <v>317</v>
      </c>
      <c r="AQ53" s="26">
        <f t="shared" si="495"/>
        <v>349</v>
      </c>
      <c r="AR53" s="26">
        <f t="shared" si="495"/>
        <v>235</v>
      </c>
      <c r="AS53" s="26">
        <f t="shared" si="495"/>
        <v>201</v>
      </c>
      <c r="AT53" s="26">
        <f t="shared" si="495"/>
        <v>155</v>
      </c>
      <c r="AU53" s="26">
        <f t="shared" si="495"/>
        <v>875</v>
      </c>
      <c r="AV53" s="26">
        <f t="shared" si="495"/>
        <v>681</v>
      </c>
      <c r="AW53" s="26">
        <f t="shared" si="495"/>
        <v>571</v>
      </c>
      <c r="AX53" s="26">
        <f t="shared" si="495"/>
        <v>410</v>
      </c>
      <c r="AY53" s="26">
        <f t="shared" si="495"/>
        <v>346</v>
      </c>
      <c r="AZ53" s="26">
        <f t="shared" si="495"/>
        <v>253</v>
      </c>
      <c r="BA53" s="26">
        <f t="shared" si="495"/>
        <v>245</v>
      </c>
      <c r="BB53" s="26">
        <f t="shared" si="495"/>
        <v>244</v>
      </c>
      <c r="BC53" s="26">
        <f t="shared" si="495"/>
        <v>266</v>
      </c>
      <c r="BD53" s="26">
        <f t="shared" si="495"/>
        <v>272</v>
      </c>
      <c r="BE53" s="26">
        <f t="shared" si="495"/>
        <v>259</v>
      </c>
      <c r="BF53" s="26">
        <f t="shared" si="495"/>
        <v>134</v>
      </c>
      <c r="BG53" s="26">
        <f t="shared" si="495"/>
        <v>232</v>
      </c>
      <c r="BH53" s="26">
        <f t="shared" si="495"/>
        <v>205</v>
      </c>
      <c r="BI53" s="26">
        <f t="shared" si="495"/>
        <v>275</v>
      </c>
      <c r="BJ53" s="26">
        <f t="shared" si="495"/>
        <v>207</v>
      </c>
      <c r="BK53" s="26">
        <f t="shared" si="495"/>
        <v>279</v>
      </c>
      <c r="BL53" s="26">
        <f t="shared" si="495"/>
        <v>296</v>
      </c>
      <c r="BM53" s="26">
        <f t="shared" si="495"/>
        <v>319</v>
      </c>
      <c r="BN53" s="26">
        <f t="shared" si="495"/>
        <v>293</v>
      </c>
      <c r="BO53" s="26">
        <f t="shared" si="495"/>
        <v>402</v>
      </c>
      <c r="BP53" s="26">
        <f t="shared" si="495"/>
        <v>384</v>
      </c>
      <c r="BQ53" s="26">
        <f t="shared" si="495"/>
        <v>357</v>
      </c>
      <c r="BR53" s="26">
        <f t="shared" si="495"/>
        <v>383</v>
      </c>
      <c r="BS53" s="26">
        <f t="shared" si="495"/>
        <v>484</v>
      </c>
      <c r="BT53" s="26">
        <f t="shared" si="495"/>
        <v>472</v>
      </c>
      <c r="BU53" s="26">
        <f t="shared" si="495"/>
        <v>357</v>
      </c>
      <c r="BV53" s="26">
        <f t="shared" si="495"/>
        <v>398</v>
      </c>
      <c r="BW53" s="26">
        <f t="shared" si="495"/>
        <v>532</v>
      </c>
      <c r="BX53" s="26">
        <f t="shared" si="495"/>
        <v>463</v>
      </c>
      <c r="BY53" s="26">
        <f t="shared" si="495"/>
        <v>419</v>
      </c>
      <c r="BZ53" s="26">
        <f t="shared" si="495"/>
        <v>433</v>
      </c>
      <c r="CA53" s="26">
        <f t="shared" si="495"/>
        <v>531</v>
      </c>
      <c r="CB53" s="26">
        <f t="shared" si="495"/>
        <v>559</v>
      </c>
      <c r="CC53" s="26">
        <f t="shared" si="495"/>
        <v>543</v>
      </c>
      <c r="CD53" s="26">
        <f t="shared" si="495"/>
        <v>631</v>
      </c>
      <c r="CE53" s="26">
        <f t="shared" ref="CE53:CF53" si="496">CE49+CE50-CE51</f>
        <v>656</v>
      </c>
      <c r="CF53" s="26">
        <f t="shared" si="496"/>
        <v>661</v>
      </c>
      <c r="CG53" s="26">
        <f t="shared" ref="CG53:CH53" si="497">CG49+CG50-CG51</f>
        <v>691</v>
      </c>
      <c r="CH53" s="26">
        <f t="shared" si="497"/>
        <v>689</v>
      </c>
      <c r="CI53" s="26">
        <f t="shared" ref="CI53:CJ53" si="498">CI49+CI50-CI51</f>
        <v>738</v>
      </c>
      <c r="CJ53" s="26">
        <f t="shared" si="498"/>
        <v>804</v>
      </c>
      <c r="CK53" s="26">
        <f t="shared" ref="CK53:CL53" si="499">CK49+CK50-CK51</f>
        <v>824</v>
      </c>
      <c r="CL53" s="26">
        <f t="shared" si="499"/>
        <v>595</v>
      </c>
      <c r="CM53" s="27">
        <f t="shared" ref="CM53:DB53" si="500">CM49+CM50-CM51</f>
        <v>735.67694812987793</v>
      </c>
      <c r="CN53" s="27">
        <f t="shared" si="500"/>
        <v>801.26198540481528</v>
      </c>
      <c r="CO53" s="27">
        <f t="shared" si="500"/>
        <v>812.26772056697735</v>
      </c>
      <c r="CP53" s="27">
        <f t="shared" si="500"/>
        <v>1181.989855937529</v>
      </c>
      <c r="CQ53" s="27">
        <f t="shared" si="500"/>
        <v>1007.0665768411199</v>
      </c>
      <c r="CR53" s="27">
        <f t="shared" si="500"/>
        <v>1088.9053496924689</v>
      </c>
      <c r="CS53" s="27">
        <f t="shared" si="500"/>
        <v>1104.0035337777945</v>
      </c>
      <c r="CT53" s="27">
        <f t="shared" si="500"/>
        <v>1554.5147697919688</v>
      </c>
      <c r="CU53" s="27">
        <f t="shared" si="500"/>
        <v>1206.967206997138</v>
      </c>
      <c r="CV53" s="27">
        <f t="shared" si="500"/>
        <v>1256.2322170676664</v>
      </c>
      <c r="CW53" s="27">
        <f t="shared" si="500"/>
        <v>1255.1950416567299</v>
      </c>
      <c r="CX53" s="27">
        <f t="shared" si="500"/>
        <v>1738.1571122219173</v>
      </c>
      <c r="CY53" s="27">
        <f t="shared" si="500"/>
        <v>1288.1926630367193</v>
      </c>
      <c r="CZ53" s="27">
        <f t="shared" si="500"/>
        <v>1329.7754782075383</v>
      </c>
      <c r="DA53" s="27">
        <f t="shared" si="500"/>
        <v>1313.3904942925667</v>
      </c>
      <c r="DB53" s="27">
        <f t="shared" si="500"/>
        <v>1782.3741111520019</v>
      </c>
      <c r="DE53" s="121"/>
      <c r="DF53" s="26">
        <v>930.97767123205233</v>
      </c>
    </row>
    <row r="54" spans="1:110" s="23" customFormat="1" x14ac:dyDescent="0.2">
      <c r="A54" s="23" t="s">
        <v>21</v>
      </c>
      <c r="B54" s="23">
        <f>'Annual Raw'!C30</f>
        <v>16.375399999999999</v>
      </c>
      <c r="C54" s="23">
        <f>'Annual Raw'!D30</f>
        <v>14.8223</v>
      </c>
      <c r="D54" s="23">
        <f>'Annual Raw'!E30</f>
        <v>17.048500000000001</v>
      </c>
      <c r="E54" s="23">
        <f>'Annual Raw'!F30</f>
        <v>23.726299999999998</v>
      </c>
      <c r="F54" s="23">
        <f>'Annual Raw'!G30</f>
        <v>8.1056000000000008</v>
      </c>
      <c r="G54" s="23">
        <f>'Annual Raw'!H30</f>
        <v>18.782699999999998</v>
      </c>
      <c r="H54" s="23">
        <f>'Annual Raw'!I30</f>
        <v>15.5237</v>
      </c>
      <c r="I54" s="23">
        <f>'Annual Raw'!J30</f>
        <v>14.422000000000001</v>
      </c>
      <c r="J54" s="23">
        <f>'Annual Raw'!K30</f>
        <v>7.8159999999999998</v>
      </c>
      <c r="K54" s="23">
        <f>'Annual Raw'!L30</f>
        <v>116.0231</v>
      </c>
      <c r="L54" s="23">
        <f>'Annual Raw'!M30</f>
        <v>72.169499999999999</v>
      </c>
      <c r="M54" s="23">
        <f>'Annual Raw'!N30</f>
        <v>72.319999999999993</v>
      </c>
      <c r="N54" s="23">
        <f>'Annual Raw'!O30</f>
        <v>146.69</v>
      </c>
      <c r="O54" s="23">
        <f>'Annual Raw'!P30</f>
        <v>180.07</v>
      </c>
      <c r="P54" s="23">
        <f>'Annual Raw'!Q30</f>
        <v>188.84</v>
      </c>
      <c r="Q54" s="23">
        <f>'Annual Raw'!R30</f>
        <v>610.16999999999996</v>
      </c>
      <c r="R54" s="23">
        <f>'Annual Raw'!S30</f>
        <v>154.51</v>
      </c>
      <c r="S54" s="23">
        <f>'Annual Raw'!T30</f>
        <v>252.87</v>
      </c>
      <c r="T54" s="23">
        <f>'Annual Raw'!U30</f>
        <v>125.35</v>
      </c>
      <c r="U54" s="23">
        <f>'Annual Raw'!V30</f>
        <v>161.85</v>
      </c>
      <c r="V54" s="23">
        <f>'Annual Raw'!W30</f>
        <v>274.38</v>
      </c>
      <c r="W54" s="23">
        <f>'Annual Raw'!X30</f>
        <v>448.73</v>
      </c>
      <c r="X54" s="23">
        <f>'Annual Raw'!Y30</f>
        <v>601.92999999999995</v>
      </c>
      <c r="Y54" s="23">
        <f>'Annual Raw'!Z30</f>
        <v>695.73</v>
      </c>
      <c r="Z54" s="23">
        <f>'Annual Raw'!AA30</f>
        <v>761.56</v>
      </c>
      <c r="AA54" s="23">
        <f>'Annual Raw'!AB30</f>
        <v>734.01</v>
      </c>
      <c r="AB54" s="24">
        <f>+SUM(CM54:CP54)</f>
        <v>887.36832028799654</v>
      </c>
      <c r="AC54" s="24">
        <f>+SUM(CQ54:CT54)</f>
        <v>1195.4231282876458</v>
      </c>
      <c r="AD54" s="24">
        <f>+SUM(CU54:CX54)</f>
        <v>1372.5690786009686</v>
      </c>
      <c r="AE54" s="24">
        <f>+SUM(CY54:DB54)</f>
        <v>1437.4668493370948</v>
      </c>
      <c r="AI54" s="23">
        <f>'QTR Raw'!C29</f>
        <v>37</v>
      </c>
      <c r="AJ54" s="23">
        <f>'QTR Raw'!D29</f>
        <v>31</v>
      </c>
      <c r="AK54" s="23">
        <f>'QTR Raw'!E29</f>
        <v>31</v>
      </c>
      <c r="AL54" s="23">
        <f>'QTR Raw'!F29</f>
        <v>48</v>
      </c>
      <c r="AM54" s="23">
        <f>'QTR Raw'!G29</f>
        <v>38</v>
      </c>
      <c r="AN54" s="23">
        <f>'QTR Raw'!H29</f>
        <v>39</v>
      </c>
      <c r="AO54" s="23">
        <f>'QTR Raw'!I29</f>
        <v>30</v>
      </c>
      <c r="AP54" s="23">
        <f>'QTR Raw'!J29</f>
        <v>73</v>
      </c>
      <c r="AQ54" s="23">
        <f>'QTR Raw'!K29</f>
        <v>93</v>
      </c>
      <c r="AR54" s="23">
        <f>'QTR Raw'!L29</f>
        <v>37</v>
      </c>
      <c r="AS54" s="23">
        <f>'QTR Raw'!M29</f>
        <v>34</v>
      </c>
      <c r="AT54" s="23">
        <f>'QTR Raw'!N29</f>
        <v>25</v>
      </c>
      <c r="AU54" s="23">
        <f>'QTR Raw'!O29</f>
        <v>225</v>
      </c>
      <c r="AV54" s="23">
        <f>'QTR Raw'!P29</f>
        <v>172</v>
      </c>
      <c r="AW54" s="23">
        <f>'QTR Raw'!Q29</f>
        <v>87</v>
      </c>
      <c r="AX54" s="23">
        <f>'QTR Raw'!R29</f>
        <v>126</v>
      </c>
      <c r="AY54" s="23">
        <f>'QTR Raw'!S29</f>
        <v>54</v>
      </c>
      <c r="AZ54" s="23">
        <f>'QTR Raw'!T29</f>
        <v>46</v>
      </c>
      <c r="BA54" s="23">
        <f>'QTR Raw'!U29</f>
        <v>16</v>
      </c>
      <c r="BB54" s="23">
        <f>'QTR Raw'!V29</f>
        <v>38</v>
      </c>
      <c r="BC54" s="23">
        <f>'QTR Raw'!W29</f>
        <v>78</v>
      </c>
      <c r="BD54" s="23">
        <f>'QTR Raw'!X29</f>
        <v>68</v>
      </c>
      <c r="BE54" s="23">
        <f>'QTR Raw'!Y29</f>
        <v>201</v>
      </c>
      <c r="BF54" s="23">
        <f>'QTR Raw'!Z29</f>
        <v>-94</v>
      </c>
      <c r="BG54" s="23">
        <f>'QTR Raw'!AA29</f>
        <v>69</v>
      </c>
      <c r="BH54" s="23">
        <f>'QTR Raw'!AB29</f>
        <v>26</v>
      </c>
      <c r="BI54" s="23">
        <f>'QTR Raw'!AC29</f>
        <v>29</v>
      </c>
      <c r="BJ54" s="23">
        <f>'QTR Raw'!AD29</f>
        <v>2</v>
      </c>
      <c r="BK54" s="23">
        <f>'QTR Raw'!AE29</f>
        <v>63</v>
      </c>
      <c r="BL54" s="23">
        <f>'QTR Raw'!AF29</f>
        <v>52</v>
      </c>
      <c r="BM54" s="23">
        <f>'QTR Raw'!AG29</f>
        <v>68</v>
      </c>
      <c r="BN54" s="23">
        <f>'QTR Raw'!AH29</f>
        <v>-21</v>
      </c>
      <c r="BO54" s="23">
        <f>'QTR Raw'!AI29</f>
        <v>81</v>
      </c>
      <c r="BP54" s="23">
        <f>'QTR Raw'!AJ29</f>
        <v>74</v>
      </c>
      <c r="BQ54" s="23">
        <f>'QTR Raw'!AK29</f>
        <v>60</v>
      </c>
      <c r="BR54" s="23">
        <f>'QTR Raw'!AL29</f>
        <v>59</v>
      </c>
      <c r="BS54" s="23">
        <f>'QTR Raw'!AM29</f>
        <v>154</v>
      </c>
      <c r="BT54" s="23">
        <f>'QTR Raw'!AN29</f>
        <v>156</v>
      </c>
      <c r="BU54" s="23">
        <f>'QTR Raw'!AO29</f>
        <v>108</v>
      </c>
      <c r="BV54" s="23">
        <f>'QTR Raw'!AP29</f>
        <v>31</v>
      </c>
      <c r="BW54" s="23">
        <f>'QTR Raw'!AQ29</f>
        <v>178</v>
      </c>
      <c r="BX54" s="23">
        <f>'QTR Raw'!AR29</f>
        <v>151</v>
      </c>
      <c r="BY54" s="23">
        <f>'QTR Raw'!AS29</f>
        <v>127</v>
      </c>
      <c r="BZ54" s="23">
        <f>'QTR Raw'!AT29</f>
        <v>146</v>
      </c>
      <c r="CA54" s="23">
        <f>'QTR Raw'!AU29</f>
        <v>153</v>
      </c>
      <c r="CB54" s="23">
        <f>'QTR Raw'!AV29</f>
        <v>173</v>
      </c>
      <c r="CC54" s="23">
        <f>'QTR Raw'!AW29</f>
        <v>188</v>
      </c>
      <c r="CD54" s="23">
        <f>'QTR Raw'!AX29</f>
        <v>182</v>
      </c>
      <c r="CE54" s="23">
        <f>'QTR Raw'!AY29</f>
        <v>199</v>
      </c>
      <c r="CF54" s="23">
        <f>'QTR Raw'!AZ29</f>
        <v>208</v>
      </c>
      <c r="CG54" s="23">
        <f>'QTR Raw'!BA29</f>
        <v>188</v>
      </c>
      <c r="CH54" s="23">
        <f>'QTR Raw'!BB29</f>
        <v>167</v>
      </c>
      <c r="CI54" s="23">
        <f>'QTR Raw'!BC29</f>
        <v>190</v>
      </c>
      <c r="CJ54" s="23">
        <f>'QTR Raw'!BD29</f>
        <v>200</v>
      </c>
      <c r="CK54" s="23">
        <f>'QTR Raw'!BE29</f>
        <v>179</v>
      </c>
      <c r="CL54" s="23">
        <f>'QTR Raw'!BF29</f>
        <v>165</v>
      </c>
      <c r="CM54" s="24">
        <f t="shared" ref="CM54:DB54" si="501">+CM53*CM55</f>
        <v>184.05767810174754</v>
      </c>
      <c r="CN54" s="24">
        <f t="shared" si="501"/>
        <v>199.01110891688919</v>
      </c>
      <c r="CO54" s="24">
        <f t="shared" si="501"/>
        <v>201.66662113811623</v>
      </c>
      <c r="CP54" s="24">
        <f t="shared" si="501"/>
        <v>302.63291213124359</v>
      </c>
      <c r="CQ54" s="24">
        <f t="shared" si="501"/>
        <v>252.4900013709433</v>
      </c>
      <c r="CR54" s="24">
        <f t="shared" si="501"/>
        <v>273.15278489305592</v>
      </c>
      <c r="CS54" s="24">
        <f t="shared" si="501"/>
        <v>277.624306151214</v>
      </c>
      <c r="CT54" s="24">
        <f t="shared" si="501"/>
        <v>392.15603587243254</v>
      </c>
      <c r="CU54" s="24">
        <f t="shared" si="501"/>
        <v>303.34364958211262</v>
      </c>
      <c r="CV54" s="24">
        <f t="shared" si="501"/>
        <v>315.91651066802962</v>
      </c>
      <c r="CW54" s="24">
        <f t="shared" si="501"/>
        <v>315.85293098840282</v>
      </c>
      <c r="CX54" s="24">
        <f t="shared" si="501"/>
        <v>437.45598736242368</v>
      </c>
      <c r="CY54" s="24">
        <f t="shared" si="501"/>
        <v>324.0194672903138</v>
      </c>
      <c r="CZ54" s="24">
        <f t="shared" si="501"/>
        <v>334.54632964902248</v>
      </c>
      <c r="DA54" s="24">
        <f t="shared" si="501"/>
        <v>330.45756262482848</v>
      </c>
      <c r="DB54" s="24">
        <f t="shared" si="501"/>
        <v>448.44348977293015</v>
      </c>
      <c r="DE54" s="123"/>
      <c r="DF54" s="23">
        <v>224.7896940821513</v>
      </c>
    </row>
    <row r="55" spans="1:110" s="90" customFormat="1" x14ac:dyDescent="0.2">
      <c r="A55" s="90" t="s">
        <v>106</v>
      </c>
      <c r="B55" s="90">
        <f t="shared" ref="B55:E55" si="502">B54/B53</f>
        <v>0.2766965519805073</v>
      </c>
      <c r="C55" s="90">
        <f t="shared" si="502"/>
        <v>0.24056629802870125</v>
      </c>
      <c r="D55" s="90">
        <f t="shared" si="502"/>
        <v>0.277947151157862</v>
      </c>
      <c r="E55" s="90">
        <f t="shared" si="502"/>
        <v>0.29718537965622305</v>
      </c>
      <c r="F55" s="90">
        <f t="shared" ref="F55:T55" si="503">F54/F53</f>
        <v>0.14253483975908923</v>
      </c>
      <c r="G55" s="90">
        <f t="shared" si="503"/>
        <v>0.24172114691650415</v>
      </c>
      <c r="H55" s="90">
        <f t="shared" si="503"/>
        <v>0.14237106887668266</v>
      </c>
      <c r="I55" s="90">
        <f t="shared" si="503"/>
        <v>9.6727872208141372E-2</v>
      </c>
      <c r="J55" s="90">
        <f t="shared" si="503"/>
        <v>3.8896196025680681E-2</v>
      </c>
      <c r="K55" s="90">
        <f t="shared" si="503"/>
        <v>0.33415020632547104</v>
      </c>
      <c r="L55" s="90">
        <f t="shared" si="503"/>
        <v>0.21081549091255342</v>
      </c>
      <c r="M55" s="90">
        <f t="shared" si="503"/>
        <v>0.17057408368319277</v>
      </c>
      <c r="N55" s="90">
        <f t="shared" si="503"/>
        <v>0.23694454764250752</v>
      </c>
      <c r="O55" s="90">
        <f t="shared" si="503"/>
        <v>0.21335813644873089</v>
      </c>
      <c r="P55" s="90">
        <f t="shared" si="503"/>
        <v>0.20093423138719532</v>
      </c>
      <c r="Q55" s="90">
        <f t="shared" si="503"/>
        <v>0.24050183873523384</v>
      </c>
      <c r="R55" s="90">
        <f t="shared" si="503"/>
        <v>0.1420011212307806</v>
      </c>
      <c r="S55" s="90">
        <f t="shared" si="503"/>
        <v>0.27160825340221906</v>
      </c>
      <c r="T55" s="90">
        <f t="shared" si="503"/>
        <v>0.13644725527120721</v>
      </c>
      <c r="U55" s="90">
        <f t="shared" ref="U55:Z55" si="504">U54/U53</f>
        <v>0.13640156080130128</v>
      </c>
      <c r="V55" s="90">
        <f t="shared" si="504"/>
        <v>0.17977277790153703</v>
      </c>
      <c r="W55" s="90">
        <f t="shared" si="504"/>
        <v>0.26232162795727854</v>
      </c>
      <c r="X55" s="90">
        <f t="shared" si="504"/>
        <v>0.32586781870547232</v>
      </c>
      <c r="Y55" s="90">
        <f t="shared" si="504"/>
        <v>0.3073378892359071</v>
      </c>
      <c r="Z55" s="90">
        <f t="shared" si="504"/>
        <v>0.28237091308184603</v>
      </c>
      <c r="AA55" s="90">
        <f t="shared" ref="AA55" si="505">AA54/AA53</f>
        <v>0.24789762710490601</v>
      </c>
      <c r="AB55" s="91">
        <f t="shared" ref="AA55:AD55" si="506">AB54/AB53</f>
        <v>0.25129395029849116</v>
      </c>
      <c r="AC55" s="91">
        <f t="shared" si="506"/>
        <v>0.25143034698415195</v>
      </c>
      <c r="AD55" s="91">
        <f t="shared" si="506"/>
        <v>0.25154514879859036</v>
      </c>
      <c r="AE55" s="91">
        <f t="shared" ref="AE55" si="507">AE54/AE53</f>
        <v>0.25158104396291964</v>
      </c>
      <c r="AI55" s="90">
        <f t="shared" ref="AI55" si="508">AI54/AI53</f>
        <v>0.26428571428571429</v>
      </c>
      <c r="AJ55" s="90">
        <f t="shared" ref="AJ55" si="509">AJ54/AJ53</f>
        <v>0.22302158273381295</v>
      </c>
      <c r="AK55" s="90">
        <f t="shared" ref="AK55:AM55" si="510">AK54/AK53</f>
        <v>0.21678321678321677</v>
      </c>
      <c r="AL55" s="90">
        <f t="shared" si="510"/>
        <v>0.24489795918367346</v>
      </c>
      <c r="AM55" s="90">
        <f t="shared" si="510"/>
        <v>0.20320855614973263</v>
      </c>
      <c r="AN55" s="90">
        <f t="shared" ref="AN55:AO55" si="511">AN54/AN53</f>
        <v>0.25657894736842107</v>
      </c>
      <c r="AO55" s="90">
        <f t="shared" si="511"/>
        <v>0.15957446808510639</v>
      </c>
      <c r="AP55" s="90">
        <f t="shared" ref="AP55:CD55" si="512">AP54/AP53</f>
        <v>0.2302839116719243</v>
      </c>
      <c r="AQ55" s="90">
        <f t="shared" si="512"/>
        <v>0.26647564469914042</v>
      </c>
      <c r="AR55" s="90">
        <f t="shared" si="512"/>
        <v>0.1574468085106383</v>
      </c>
      <c r="AS55" s="90">
        <f t="shared" si="512"/>
        <v>0.1691542288557214</v>
      </c>
      <c r="AT55" s="90">
        <f t="shared" si="512"/>
        <v>0.16129032258064516</v>
      </c>
      <c r="AU55" s="90">
        <f t="shared" si="512"/>
        <v>0.25714285714285712</v>
      </c>
      <c r="AV55" s="90">
        <f t="shared" si="512"/>
        <v>0.25256975036710722</v>
      </c>
      <c r="AW55" s="90">
        <f t="shared" si="512"/>
        <v>0.15236427320490367</v>
      </c>
      <c r="AX55" s="90">
        <f t="shared" si="512"/>
        <v>0.3073170731707317</v>
      </c>
      <c r="AY55" s="90">
        <f t="shared" si="512"/>
        <v>0.15606936416184972</v>
      </c>
      <c r="AZ55" s="90">
        <f t="shared" si="512"/>
        <v>0.18181818181818182</v>
      </c>
      <c r="BA55" s="90">
        <f t="shared" si="512"/>
        <v>6.5306122448979598E-2</v>
      </c>
      <c r="BB55" s="90">
        <f t="shared" si="512"/>
        <v>0.15573770491803279</v>
      </c>
      <c r="BC55" s="90">
        <f t="shared" si="512"/>
        <v>0.2932330827067669</v>
      </c>
      <c r="BD55" s="90">
        <f t="shared" si="512"/>
        <v>0.25</v>
      </c>
      <c r="BE55" s="90">
        <f t="shared" si="512"/>
        <v>0.77606177606177607</v>
      </c>
      <c r="BF55" s="90">
        <f t="shared" si="512"/>
        <v>-0.70149253731343286</v>
      </c>
      <c r="BG55" s="90">
        <f t="shared" si="512"/>
        <v>0.29741379310344829</v>
      </c>
      <c r="BH55" s="90">
        <f t="shared" si="512"/>
        <v>0.12682926829268293</v>
      </c>
      <c r="BI55" s="90">
        <f t="shared" si="512"/>
        <v>0.10545454545454545</v>
      </c>
      <c r="BJ55" s="90">
        <f t="shared" si="512"/>
        <v>9.6618357487922701E-3</v>
      </c>
      <c r="BK55" s="90">
        <f t="shared" si="512"/>
        <v>0.22580645161290322</v>
      </c>
      <c r="BL55" s="90">
        <f t="shared" si="512"/>
        <v>0.17567567567567569</v>
      </c>
      <c r="BM55" s="90">
        <f t="shared" si="512"/>
        <v>0.21316614420062696</v>
      </c>
      <c r="BN55" s="90">
        <f t="shared" si="512"/>
        <v>-7.1672354948805458E-2</v>
      </c>
      <c r="BO55" s="90">
        <f t="shared" si="512"/>
        <v>0.20149253731343283</v>
      </c>
      <c r="BP55" s="90">
        <f t="shared" si="512"/>
        <v>0.19270833333333334</v>
      </c>
      <c r="BQ55" s="90">
        <f t="shared" si="512"/>
        <v>0.16806722689075632</v>
      </c>
      <c r="BR55" s="90">
        <f t="shared" si="512"/>
        <v>0.15404699738903394</v>
      </c>
      <c r="BS55" s="90">
        <f t="shared" si="512"/>
        <v>0.31818181818181818</v>
      </c>
      <c r="BT55" s="90">
        <f t="shared" si="512"/>
        <v>0.33050847457627119</v>
      </c>
      <c r="BU55" s="90">
        <f t="shared" si="512"/>
        <v>0.30252100840336132</v>
      </c>
      <c r="BV55" s="90">
        <f t="shared" si="512"/>
        <v>7.7889447236180909E-2</v>
      </c>
      <c r="BW55" s="90">
        <f t="shared" si="512"/>
        <v>0.33458646616541354</v>
      </c>
      <c r="BX55" s="90">
        <f t="shared" si="512"/>
        <v>0.326133909287257</v>
      </c>
      <c r="BY55" s="90">
        <f t="shared" si="512"/>
        <v>0.30310262529832938</v>
      </c>
      <c r="BZ55" s="90">
        <f t="shared" si="512"/>
        <v>0.33718244803695152</v>
      </c>
      <c r="CA55" s="90">
        <f t="shared" si="512"/>
        <v>0.28813559322033899</v>
      </c>
      <c r="CB55" s="90">
        <f t="shared" si="512"/>
        <v>0.30948121645796062</v>
      </c>
      <c r="CC55" s="90">
        <f t="shared" si="512"/>
        <v>0.34622467771639043</v>
      </c>
      <c r="CD55" s="90">
        <f t="shared" si="512"/>
        <v>0.28843106180665612</v>
      </c>
      <c r="CE55" s="90">
        <f t="shared" ref="CE55:CF55" si="513">CE54/CE53</f>
        <v>0.30335365853658536</v>
      </c>
      <c r="CF55" s="90">
        <f t="shared" si="513"/>
        <v>0.31467473524962181</v>
      </c>
      <c r="CG55" s="90">
        <f t="shared" ref="CG55:CH55" si="514">CG54/CG53</f>
        <v>0.27206946454413894</v>
      </c>
      <c r="CH55" s="90">
        <f t="shared" si="514"/>
        <v>0.24238026124818576</v>
      </c>
      <c r="CI55" s="90">
        <f t="shared" ref="CI55:CJ55" si="515">CI54/CI53</f>
        <v>0.25745257452574527</v>
      </c>
      <c r="CJ55" s="90">
        <f t="shared" si="515"/>
        <v>0.24875621890547264</v>
      </c>
      <c r="CK55" s="90">
        <f t="shared" ref="CK55:CL55" si="516">CK54/CK53</f>
        <v>0.21723300970873785</v>
      </c>
      <c r="CL55" s="90">
        <f t="shared" si="516"/>
        <v>0.27731092436974791</v>
      </c>
      <c r="CM55" s="91">
        <f>AVERAGE(CI55:CL55)</f>
        <v>0.25018818187742592</v>
      </c>
      <c r="CN55" s="91">
        <f t="shared" ref="CN55:DB55" si="517">AVERAGE(CJ55:CM55)</f>
        <v>0.24837208371534608</v>
      </c>
      <c r="CO55" s="91">
        <f t="shared" si="517"/>
        <v>0.24827604991781443</v>
      </c>
      <c r="CP55" s="91">
        <f t="shared" si="517"/>
        <v>0.2560368099700836</v>
      </c>
      <c r="CQ55" s="91">
        <f t="shared" si="517"/>
        <v>0.2507182813701675</v>
      </c>
      <c r="CR55" s="91">
        <f t="shared" si="517"/>
        <v>0.25085080624335288</v>
      </c>
      <c r="CS55" s="91">
        <f t="shared" si="517"/>
        <v>0.25147048687535462</v>
      </c>
      <c r="CT55" s="91">
        <f t="shared" si="517"/>
        <v>0.25226909611473963</v>
      </c>
      <c r="CU55" s="91">
        <f t="shared" si="517"/>
        <v>0.25132716765090363</v>
      </c>
      <c r="CV55" s="91">
        <f t="shared" si="517"/>
        <v>0.2514793892210877</v>
      </c>
      <c r="CW55" s="91">
        <f t="shared" si="517"/>
        <v>0.25163653496552141</v>
      </c>
      <c r="CX55" s="91">
        <f t="shared" si="517"/>
        <v>0.25167804698806306</v>
      </c>
      <c r="CY55" s="91">
        <f t="shared" si="517"/>
        <v>0.25153028470639394</v>
      </c>
      <c r="CZ55" s="91">
        <f t="shared" si="517"/>
        <v>0.25158106397026653</v>
      </c>
      <c r="DA55" s="91">
        <f t="shared" si="517"/>
        <v>0.25160648265756125</v>
      </c>
      <c r="DB55" s="91">
        <f t="shared" si="517"/>
        <v>0.25159896958057121</v>
      </c>
      <c r="DE55" s="127"/>
      <c r="DF55" s="90">
        <v>0.24145551609703536</v>
      </c>
    </row>
    <row r="56" spans="1:110" s="26" customFormat="1" x14ac:dyDescent="0.2">
      <c r="A56" s="26" t="s">
        <v>22</v>
      </c>
      <c r="B56" s="26">
        <f t="shared" ref="B56:E56" si="518">B53-B54</f>
        <v>42.806400000000039</v>
      </c>
      <c r="C56" s="26">
        <f t="shared" si="518"/>
        <v>46.791899999999984</v>
      </c>
      <c r="D56" s="26">
        <f t="shared" si="518"/>
        <v>44.288699999999963</v>
      </c>
      <c r="E56" s="26">
        <f t="shared" si="518"/>
        <v>56.110400000000055</v>
      </c>
      <c r="F56" s="26">
        <f t="shared" ref="F56:T56" si="519">F53-F54</f>
        <v>48.761899999999955</v>
      </c>
      <c r="G56" s="26">
        <f t="shared" si="519"/>
        <v>58.921299999999839</v>
      </c>
      <c r="H56" s="26">
        <f t="shared" si="519"/>
        <v>93.513200000000282</v>
      </c>
      <c r="I56" s="26">
        <f t="shared" si="519"/>
        <v>134.67669999999993</v>
      </c>
      <c r="J56" s="26">
        <f t="shared" si="519"/>
        <v>193.12909999999982</v>
      </c>
      <c r="K56" s="26">
        <f t="shared" si="519"/>
        <v>231.1953000000002</v>
      </c>
      <c r="L56" s="26">
        <f t="shared" si="519"/>
        <v>270.16540000000055</v>
      </c>
      <c r="M56" s="26">
        <f t="shared" si="519"/>
        <v>351.65999999999957</v>
      </c>
      <c r="N56" s="26">
        <f t="shared" si="519"/>
        <v>472.40000000000003</v>
      </c>
      <c r="O56" s="26">
        <f t="shared" si="519"/>
        <v>663.91000000000054</v>
      </c>
      <c r="P56" s="26">
        <f t="shared" si="519"/>
        <v>750.9699999999998</v>
      </c>
      <c r="Q56" s="26">
        <f t="shared" si="519"/>
        <v>1926.900000000001</v>
      </c>
      <c r="R56" s="26">
        <f t="shared" si="519"/>
        <v>933.57999999999947</v>
      </c>
      <c r="S56" s="26">
        <f t="shared" si="519"/>
        <v>678.14000000000021</v>
      </c>
      <c r="T56" s="26">
        <f t="shared" si="519"/>
        <v>793.3200000000005</v>
      </c>
      <c r="U56" s="26">
        <f t="shared" ref="U56:Z56" si="520">U53-U54</f>
        <v>1024.7199999999996</v>
      </c>
      <c r="V56" s="26">
        <f t="shared" si="520"/>
        <v>1251.8800000000006</v>
      </c>
      <c r="W56" s="26">
        <f t="shared" si="520"/>
        <v>1261.8799999999992</v>
      </c>
      <c r="X56" s="26">
        <f t="shared" si="520"/>
        <v>1245.2299999999991</v>
      </c>
      <c r="Y56" s="26">
        <f t="shared" si="520"/>
        <v>1568</v>
      </c>
      <c r="Z56" s="26">
        <f t="shared" si="520"/>
        <v>1935.4599999999987</v>
      </c>
      <c r="AA56" s="26">
        <f t="shared" ref="AA56" si="521">AA53-AA54</f>
        <v>2226.9299999999985</v>
      </c>
      <c r="AB56" s="27">
        <f t="shared" ref="AA56:AD56" si="522">AB53-AB54</f>
        <v>2643.8281897512047</v>
      </c>
      <c r="AC56" s="27">
        <f t="shared" si="522"/>
        <v>3559.0671018157041</v>
      </c>
      <c r="AD56" s="27">
        <f t="shared" si="522"/>
        <v>4083.9824993424832</v>
      </c>
      <c r="AE56" s="27">
        <f t="shared" ref="AE56" si="523">AE53-AE54</f>
        <v>4276.26589735173</v>
      </c>
      <c r="AI56" s="26">
        <f>AI53-AI54</f>
        <v>103</v>
      </c>
      <c r="AJ56" s="26">
        <f t="shared" ref="AJ56" si="524">AJ53-AJ54</f>
        <v>108</v>
      </c>
      <c r="AK56" s="26">
        <f t="shared" ref="AK56:AM56" si="525">AK53-AK54</f>
        <v>112</v>
      </c>
      <c r="AL56" s="26">
        <f t="shared" si="525"/>
        <v>148</v>
      </c>
      <c r="AM56" s="26">
        <f t="shared" si="525"/>
        <v>149</v>
      </c>
      <c r="AN56" s="26">
        <f t="shared" ref="AN56:AO56" si="526">AN53-AN54</f>
        <v>113</v>
      </c>
      <c r="AO56" s="26">
        <f t="shared" si="526"/>
        <v>158</v>
      </c>
      <c r="AP56" s="26">
        <f t="shared" ref="AP56:CD56" si="527">AP53-AP54</f>
        <v>244</v>
      </c>
      <c r="AQ56" s="26">
        <f t="shared" si="527"/>
        <v>256</v>
      </c>
      <c r="AR56" s="26">
        <f t="shared" si="527"/>
        <v>198</v>
      </c>
      <c r="AS56" s="26">
        <f t="shared" si="527"/>
        <v>167</v>
      </c>
      <c r="AT56" s="26">
        <f t="shared" si="527"/>
        <v>130</v>
      </c>
      <c r="AU56" s="26">
        <f t="shared" si="527"/>
        <v>650</v>
      </c>
      <c r="AV56" s="26">
        <f t="shared" si="527"/>
        <v>509</v>
      </c>
      <c r="AW56" s="26">
        <f t="shared" si="527"/>
        <v>484</v>
      </c>
      <c r="AX56" s="26">
        <f t="shared" si="527"/>
        <v>284</v>
      </c>
      <c r="AY56" s="26">
        <f t="shared" si="527"/>
        <v>292</v>
      </c>
      <c r="AZ56" s="26">
        <f t="shared" si="527"/>
        <v>207</v>
      </c>
      <c r="BA56" s="26">
        <f t="shared" si="527"/>
        <v>229</v>
      </c>
      <c r="BB56" s="26">
        <f t="shared" si="527"/>
        <v>206</v>
      </c>
      <c r="BC56" s="26">
        <f t="shared" si="527"/>
        <v>188</v>
      </c>
      <c r="BD56" s="26">
        <f t="shared" si="527"/>
        <v>204</v>
      </c>
      <c r="BE56" s="26">
        <f t="shared" si="527"/>
        <v>58</v>
      </c>
      <c r="BF56" s="26">
        <f t="shared" si="527"/>
        <v>228</v>
      </c>
      <c r="BG56" s="26">
        <f t="shared" si="527"/>
        <v>163</v>
      </c>
      <c r="BH56" s="26">
        <f t="shared" si="527"/>
        <v>179</v>
      </c>
      <c r="BI56" s="26">
        <f t="shared" si="527"/>
        <v>246</v>
      </c>
      <c r="BJ56" s="26">
        <f t="shared" si="527"/>
        <v>205</v>
      </c>
      <c r="BK56" s="26">
        <f t="shared" si="527"/>
        <v>216</v>
      </c>
      <c r="BL56" s="26">
        <f t="shared" si="527"/>
        <v>244</v>
      </c>
      <c r="BM56" s="26">
        <f t="shared" si="527"/>
        <v>251</v>
      </c>
      <c r="BN56" s="26">
        <f t="shared" si="527"/>
        <v>314</v>
      </c>
      <c r="BO56" s="26">
        <f t="shared" si="527"/>
        <v>321</v>
      </c>
      <c r="BP56" s="26">
        <f t="shared" si="527"/>
        <v>310</v>
      </c>
      <c r="BQ56" s="26">
        <f t="shared" si="527"/>
        <v>297</v>
      </c>
      <c r="BR56" s="26">
        <f t="shared" si="527"/>
        <v>324</v>
      </c>
      <c r="BS56" s="26">
        <f t="shared" si="527"/>
        <v>330</v>
      </c>
      <c r="BT56" s="26">
        <f t="shared" si="527"/>
        <v>316</v>
      </c>
      <c r="BU56" s="26">
        <f t="shared" si="527"/>
        <v>249</v>
      </c>
      <c r="BV56" s="26">
        <f t="shared" si="527"/>
        <v>367</v>
      </c>
      <c r="BW56" s="26">
        <f t="shared" si="527"/>
        <v>354</v>
      </c>
      <c r="BX56" s="26">
        <f t="shared" si="527"/>
        <v>312</v>
      </c>
      <c r="BY56" s="26">
        <f t="shared" si="527"/>
        <v>292</v>
      </c>
      <c r="BZ56" s="26">
        <f t="shared" si="527"/>
        <v>287</v>
      </c>
      <c r="CA56" s="26">
        <f t="shared" si="527"/>
        <v>378</v>
      </c>
      <c r="CB56" s="26">
        <f t="shared" si="527"/>
        <v>386</v>
      </c>
      <c r="CC56" s="26">
        <f t="shared" si="527"/>
        <v>355</v>
      </c>
      <c r="CD56" s="26">
        <f t="shared" si="527"/>
        <v>449</v>
      </c>
      <c r="CE56" s="26">
        <f t="shared" ref="CE56:CF56" si="528">CE53-CE54</f>
        <v>457</v>
      </c>
      <c r="CF56" s="26">
        <f t="shared" si="528"/>
        <v>453</v>
      </c>
      <c r="CG56" s="26">
        <f t="shared" ref="CG56:CH56" si="529">CG53-CG54</f>
        <v>503</v>
      </c>
      <c r="CH56" s="26">
        <f t="shared" si="529"/>
        <v>522</v>
      </c>
      <c r="CI56" s="26">
        <f t="shared" ref="CI56:CJ56" si="530">CI53-CI54</f>
        <v>548</v>
      </c>
      <c r="CJ56" s="26">
        <f t="shared" si="530"/>
        <v>604</v>
      </c>
      <c r="CK56" s="26">
        <f t="shared" ref="CK56:CL56" si="531">CK53-CK54</f>
        <v>645</v>
      </c>
      <c r="CL56" s="26">
        <f t="shared" si="531"/>
        <v>430</v>
      </c>
      <c r="CM56" s="27">
        <f t="shared" ref="CM56:DB56" si="532">CM53-CM54</f>
        <v>551.61927002813036</v>
      </c>
      <c r="CN56" s="27">
        <f t="shared" si="532"/>
        <v>602.25087648792612</v>
      </c>
      <c r="CO56" s="27">
        <f t="shared" si="532"/>
        <v>610.60109942886106</v>
      </c>
      <c r="CP56" s="27">
        <f t="shared" si="532"/>
        <v>879.35694380628547</v>
      </c>
      <c r="CQ56" s="27">
        <f t="shared" si="532"/>
        <v>754.57657547017652</v>
      </c>
      <c r="CR56" s="27">
        <f t="shared" si="532"/>
        <v>815.75256479941299</v>
      </c>
      <c r="CS56" s="27">
        <f t="shared" si="532"/>
        <v>826.37922762658047</v>
      </c>
      <c r="CT56" s="27">
        <f t="shared" si="532"/>
        <v>1162.3587339195362</v>
      </c>
      <c r="CU56" s="27">
        <f t="shared" si="532"/>
        <v>903.62355741502529</v>
      </c>
      <c r="CV56" s="27">
        <f t="shared" si="532"/>
        <v>940.31570639963684</v>
      </c>
      <c r="CW56" s="27">
        <f t="shared" si="532"/>
        <v>939.34211066832711</v>
      </c>
      <c r="CX56" s="27">
        <f t="shared" si="532"/>
        <v>1300.7011248594936</v>
      </c>
      <c r="CY56" s="27">
        <f t="shared" si="532"/>
        <v>964.17319574640555</v>
      </c>
      <c r="CZ56" s="27">
        <f t="shared" si="532"/>
        <v>995.22914855851582</v>
      </c>
      <c r="DA56" s="27">
        <f t="shared" si="532"/>
        <v>982.93293166773822</v>
      </c>
      <c r="DB56" s="27">
        <f t="shared" si="532"/>
        <v>1333.9306213790717</v>
      </c>
      <c r="DE56" s="121"/>
      <c r="DF56" s="26">
        <v>706.18797714990103</v>
      </c>
    </row>
    <row r="57" spans="1:110" s="45" customFormat="1" x14ac:dyDescent="0.2">
      <c r="A57" s="45" t="s">
        <v>107</v>
      </c>
      <c r="B57" s="45">
        <f t="shared" ref="B57:E57" si="533">+B56/B25</f>
        <v>0.11704893746118901</v>
      </c>
      <c r="C57" s="45">
        <f t="shared" si="533"/>
        <v>0.11620281795912525</v>
      </c>
      <c r="D57" s="45">
        <f t="shared" si="533"/>
        <v>0.10919382806238004</v>
      </c>
      <c r="E57" s="45">
        <f t="shared" si="533"/>
        <v>0.12215620381892719</v>
      </c>
      <c r="F57" s="45">
        <f t="shared" ref="F57:AE57" si="534">+F56/F25</f>
        <v>8.9021742841249266E-2</v>
      </c>
      <c r="G57" s="45">
        <f t="shared" si="534"/>
        <v>6.0921826572248719E-2</v>
      </c>
      <c r="H57" s="45">
        <f t="shared" si="534"/>
        <v>7.2000501391531108E-2</v>
      </c>
      <c r="I57" s="45">
        <f t="shared" si="534"/>
        <v>9.9403527317412532E-2</v>
      </c>
      <c r="J57" s="45">
        <f t="shared" si="534"/>
        <v>0.1184363290000303</v>
      </c>
      <c r="K57" s="45">
        <f t="shared" si="534"/>
        <v>0.12066322491132492</v>
      </c>
      <c r="L57" s="45">
        <f t="shared" si="534"/>
        <v>0.12292579381694184</v>
      </c>
      <c r="M57" s="45">
        <f t="shared" si="534"/>
        <v>0.13044155612926187</v>
      </c>
      <c r="N57" s="45">
        <f t="shared" si="534"/>
        <v>0.14711286334448204</v>
      </c>
      <c r="O57" s="45">
        <f t="shared" si="534"/>
        <v>0.15865099696037022</v>
      </c>
      <c r="P57" s="45">
        <f t="shared" si="534"/>
        <v>0.16137919178244095</v>
      </c>
      <c r="Q57" s="45">
        <f t="shared" si="534"/>
        <v>0.28902705175607685</v>
      </c>
      <c r="R57" s="45">
        <f t="shared" si="534"/>
        <v>0.160527813552648</v>
      </c>
      <c r="S57" s="45">
        <f t="shared" si="534"/>
        <v>0.11397636571128927</v>
      </c>
      <c r="T57" s="45">
        <f t="shared" si="534"/>
        <v>0.10339380669377547</v>
      </c>
      <c r="U57" s="45">
        <f t="shared" si="534"/>
        <v>0.12906915084560242</v>
      </c>
      <c r="V57" s="45">
        <f t="shared" si="534"/>
        <v>0.15639565897980784</v>
      </c>
      <c r="W57" s="45">
        <f t="shared" si="534"/>
        <v>0.14831618093003787</v>
      </c>
      <c r="X57" s="45">
        <f t="shared" si="534"/>
        <v>0.1294397696501613</v>
      </c>
      <c r="Y57" s="45">
        <f t="shared" si="534"/>
        <v>0.14616176229324823</v>
      </c>
      <c r="Z57" s="45">
        <f t="shared" ref="Z57:AA57" si="535">+Z56/Z25</f>
        <v>0.16806572369615022</v>
      </c>
      <c r="AA57" s="45">
        <f t="shared" si="535"/>
        <v>0.15929706796912377</v>
      </c>
      <c r="AB57" s="48">
        <f t="shared" si="534"/>
        <v>0.15938380632984078</v>
      </c>
      <c r="AC57" s="48">
        <f t="shared" si="534"/>
        <v>0.18322490832325383</v>
      </c>
      <c r="AD57" s="48">
        <f t="shared" si="534"/>
        <v>0.20158657879636938</v>
      </c>
      <c r="AE57" s="48">
        <f t="shared" si="534"/>
        <v>0.20602929433239761</v>
      </c>
      <c r="AI57" s="45">
        <f t="shared" ref="AI57:BN57" si="536">+AI56/AI25</f>
        <v>0.13428943937418514</v>
      </c>
      <c r="AJ57" s="45">
        <f t="shared" si="536"/>
        <v>0.138996138996139</v>
      </c>
      <c r="AK57" s="45">
        <f t="shared" si="536"/>
        <v>0.14052697616060225</v>
      </c>
      <c r="AL57" s="45">
        <f t="shared" si="536"/>
        <v>0.16991963260619977</v>
      </c>
      <c r="AM57" s="45">
        <f t="shared" si="536"/>
        <v>0.15329218106995884</v>
      </c>
      <c r="AN57" s="45">
        <f t="shared" si="536"/>
        <v>0.11625514403292181</v>
      </c>
      <c r="AO57" s="45">
        <f t="shared" si="536"/>
        <v>0.15566502463054188</v>
      </c>
      <c r="AP57" s="45">
        <f t="shared" si="536"/>
        <v>0.19918367346938776</v>
      </c>
      <c r="AQ57" s="45">
        <f t="shared" si="536"/>
        <v>0.22980251346499103</v>
      </c>
      <c r="AR57" s="45">
        <f t="shared" si="536"/>
        <v>0.16269515201314708</v>
      </c>
      <c r="AS57" s="45">
        <f t="shared" si="536"/>
        <v>0.14297945205479451</v>
      </c>
      <c r="AT57" s="45">
        <f t="shared" si="536"/>
        <v>0.11265164644714037</v>
      </c>
      <c r="AU57" s="45">
        <f t="shared" si="536"/>
        <v>0.33384694401643555</v>
      </c>
      <c r="AV57" s="45">
        <f t="shared" si="536"/>
        <v>0.30064973419964558</v>
      </c>
      <c r="AW57" s="45">
        <f t="shared" si="536"/>
        <v>0.31387808041504539</v>
      </c>
      <c r="AX57" s="45">
        <f t="shared" si="536"/>
        <v>0.18895542248835662</v>
      </c>
      <c r="AY57" s="45">
        <f t="shared" si="536"/>
        <v>0.1882656350741457</v>
      </c>
      <c r="AZ57" s="45">
        <f t="shared" si="536"/>
        <v>0.14485654303708886</v>
      </c>
      <c r="BA57" s="45">
        <f t="shared" si="536"/>
        <v>0.1586971586971587</v>
      </c>
      <c r="BB57" s="45">
        <f t="shared" si="536"/>
        <v>0.14365411436541142</v>
      </c>
      <c r="BC57" s="45">
        <f t="shared" si="536"/>
        <v>0.13803230543318648</v>
      </c>
      <c r="BD57" s="45">
        <f t="shared" si="536"/>
        <v>0.14396612561750177</v>
      </c>
      <c r="BE57" s="45">
        <f t="shared" si="536"/>
        <v>3.9644565960355434E-2</v>
      </c>
      <c r="BF57" s="45">
        <f t="shared" si="536"/>
        <v>0.13348946135831383</v>
      </c>
      <c r="BG57" s="45">
        <f t="shared" si="536"/>
        <v>8.7072649572649569E-2</v>
      </c>
      <c r="BH57" s="45">
        <f t="shared" si="536"/>
        <v>9.4508975712777193E-2</v>
      </c>
      <c r="BI57" s="45">
        <f t="shared" si="536"/>
        <v>0.11994149195514384</v>
      </c>
      <c r="BJ57" s="45">
        <f t="shared" si="536"/>
        <v>0.11045258620689655</v>
      </c>
      <c r="BK57" s="45">
        <f t="shared" si="536"/>
        <v>0.10682492581602374</v>
      </c>
      <c r="BL57" s="45">
        <f t="shared" si="536"/>
        <v>0.12169576059850375</v>
      </c>
      <c r="BM57" s="45">
        <f t="shared" si="536"/>
        <v>0.12767039674465921</v>
      </c>
      <c r="BN57" s="45">
        <f t="shared" si="536"/>
        <v>0.16135662898252826</v>
      </c>
      <c r="BO57" s="45">
        <f t="shared" ref="BO57:CT57" si="537">+BO56/BO25</f>
        <v>0.1561284046692607</v>
      </c>
      <c r="BP57" s="45">
        <f t="shared" si="537"/>
        <v>0.15369360436291521</v>
      </c>
      <c r="BQ57" s="45">
        <f t="shared" si="537"/>
        <v>0.14887218045112782</v>
      </c>
      <c r="BR57" s="45">
        <f t="shared" si="537"/>
        <v>0.16726897263810014</v>
      </c>
      <c r="BS57" s="45">
        <f t="shared" si="537"/>
        <v>0.15463917525773196</v>
      </c>
      <c r="BT57" s="45">
        <f t="shared" si="537"/>
        <v>0.14787084698175013</v>
      </c>
      <c r="BU57" s="45">
        <f t="shared" si="537"/>
        <v>0.11812144212523719</v>
      </c>
      <c r="BV57" s="45">
        <f t="shared" si="537"/>
        <v>0.17221961520412951</v>
      </c>
      <c r="BW57" s="45">
        <f t="shared" si="537"/>
        <v>0.15083084789092457</v>
      </c>
      <c r="BX57" s="45">
        <f t="shared" si="537"/>
        <v>0.13618507202095154</v>
      </c>
      <c r="BY57" s="45">
        <f t="shared" si="537"/>
        <v>0.1172219991971096</v>
      </c>
      <c r="BZ57" s="45">
        <f t="shared" si="537"/>
        <v>0.11521477318346046</v>
      </c>
      <c r="CA57" s="45">
        <f t="shared" si="537"/>
        <v>0.14588961790814359</v>
      </c>
      <c r="CB57" s="45">
        <f t="shared" si="537"/>
        <v>0.14511278195488722</v>
      </c>
      <c r="CC57" s="45">
        <f t="shared" si="537"/>
        <v>0.12994143484626647</v>
      </c>
      <c r="CD57" s="45">
        <f t="shared" si="537"/>
        <v>0.16357012750455374</v>
      </c>
      <c r="CE57" s="45">
        <f t="shared" si="537"/>
        <v>0.15984610003497726</v>
      </c>
      <c r="CF57" s="45">
        <f t="shared" si="537"/>
        <v>0.15680166147455868</v>
      </c>
      <c r="CG57" s="45">
        <f t="shared" si="537"/>
        <v>0.17906728373086508</v>
      </c>
      <c r="CH57" s="45">
        <f t="shared" si="537"/>
        <v>0.17641094964515039</v>
      </c>
      <c r="CI57" s="45">
        <f t="shared" ref="CI57:CJ57" si="538">+CI56/CI25</f>
        <v>0.1724354940213971</v>
      </c>
      <c r="CJ57" s="45">
        <f t="shared" si="538"/>
        <v>0.18291944276196245</v>
      </c>
      <c r="CK57" s="45">
        <f t="shared" ref="CK57:CL57" si="539">+CK56/CK25</f>
        <v>0.19527702089009991</v>
      </c>
      <c r="CL57" s="45">
        <f t="shared" si="539"/>
        <v>0.10245413390517036</v>
      </c>
      <c r="CM57" s="48">
        <f t="shared" si="537"/>
        <v>0.14675798790808625</v>
      </c>
      <c r="CN57" s="48">
        <f t="shared" si="537"/>
        <v>0.1535497899040062</v>
      </c>
      <c r="CO57" s="48">
        <f t="shared" si="537"/>
        <v>0.15543410618008729</v>
      </c>
      <c r="CP57" s="48">
        <f t="shared" si="537"/>
        <v>0.17662866320799692</v>
      </c>
      <c r="CQ57" s="48">
        <f t="shared" si="537"/>
        <v>0.17112412563165932</v>
      </c>
      <c r="CR57" s="48">
        <f t="shared" si="537"/>
        <v>0.1773786673987128</v>
      </c>
      <c r="CS57" s="48">
        <f t="shared" si="537"/>
        <v>0.17968973042721983</v>
      </c>
      <c r="CT57" s="48">
        <f t="shared" si="537"/>
        <v>0.19981420461602395</v>
      </c>
      <c r="CU57" s="48">
        <f t="shared" ref="CU57:DB57" si="540">+CU56/CU25</f>
        <v>0.19059080129758416</v>
      </c>
      <c r="CV57" s="48">
        <f t="shared" si="540"/>
        <v>0.19549287219871322</v>
      </c>
      <c r="CW57" s="48">
        <f t="shared" si="540"/>
        <v>0.19794109163446805</v>
      </c>
      <c r="CX57" s="48">
        <f t="shared" si="540"/>
        <v>0.21814733418246757</v>
      </c>
      <c r="CY57" s="48">
        <f t="shared" si="540"/>
        <v>0.1987635964322336</v>
      </c>
      <c r="CZ57" s="48">
        <f t="shared" si="540"/>
        <v>0.20196187955684425</v>
      </c>
      <c r="DA57" s="48">
        <f t="shared" si="540"/>
        <v>0.20207542400956857</v>
      </c>
      <c r="DB57" s="48">
        <f t="shared" si="540"/>
        <v>0.21822026960026863</v>
      </c>
      <c r="DE57" s="129"/>
      <c r="DF57" s="45">
        <v>0.20547336654132134</v>
      </c>
    </row>
    <row r="58" spans="1:110" s="39" customFormat="1" x14ac:dyDescent="0.2">
      <c r="A58" s="39" t="s">
        <v>451</v>
      </c>
      <c r="C58" s="39">
        <f t="shared" ref="C58:E58" si="541">+IF(B56&lt;0,1-C56/B56,C56/B56-1)</f>
        <v>9.3105236600133257E-2</v>
      </c>
      <c r="D58" s="39">
        <f t="shared" si="541"/>
        <v>-5.3496438486148712E-2</v>
      </c>
      <c r="E58" s="39">
        <f t="shared" si="541"/>
        <v>0.26692361708517298</v>
      </c>
      <c r="F58" s="39">
        <f t="shared" ref="F58:AE58" si="542">+IF(E56&lt;0,1-F56/E56,F56/E56-1)</f>
        <v>-0.13096502609142147</v>
      </c>
      <c r="G58" s="39">
        <f t="shared" si="542"/>
        <v>0.20834709065889334</v>
      </c>
      <c r="H58" s="39">
        <f t="shared" si="542"/>
        <v>0.58708650352250435</v>
      </c>
      <c r="I58" s="39">
        <f t="shared" si="542"/>
        <v>0.44018919254179645</v>
      </c>
      <c r="J58" s="39">
        <f t="shared" si="542"/>
        <v>0.43402013859858402</v>
      </c>
      <c r="K58" s="39">
        <f t="shared" si="542"/>
        <v>0.19710235277853205</v>
      </c>
      <c r="L58" s="39">
        <f t="shared" si="542"/>
        <v>0.16855922244094201</v>
      </c>
      <c r="M58" s="39">
        <f t="shared" si="542"/>
        <v>0.30164706509419359</v>
      </c>
      <c r="N58" s="39">
        <f t="shared" si="542"/>
        <v>0.34334300176306831</v>
      </c>
      <c r="O58" s="39">
        <f t="shared" si="542"/>
        <v>0.40539796782387905</v>
      </c>
      <c r="P58" s="39">
        <f t="shared" si="542"/>
        <v>0.1311322317784025</v>
      </c>
      <c r="Q58" s="39">
        <f t="shared" si="542"/>
        <v>1.5658814599784301</v>
      </c>
      <c r="R58" s="39">
        <f t="shared" si="542"/>
        <v>-0.51550158285328818</v>
      </c>
      <c r="S58" s="39">
        <f t="shared" si="542"/>
        <v>-0.27361340217228236</v>
      </c>
      <c r="T58" s="39">
        <f t="shared" si="542"/>
        <v>0.16984693426136244</v>
      </c>
      <c r="U58" s="39">
        <f t="shared" si="542"/>
        <v>0.29168557454747002</v>
      </c>
      <c r="V58" s="39">
        <f t="shared" si="542"/>
        <v>0.2216800687016951</v>
      </c>
      <c r="W58" s="39">
        <f t="shared" si="542"/>
        <v>7.9879860689511251E-3</v>
      </c>
      <c r="X58" s="39">
        <f t="shared" si="542"/>
        <v>-1.319459853551852E-2</v>
      </c>
      <c r="Y58" s="39">
        <f t="shared" si="542"/>
        <v>0.2592051267637312</v>
      </c>
      <c r="Z58" s="39">
        <f t="shared" ref="Z58:AA58" si="543">+IF(Y56&lt;0,1-Z56/Y56,Z56/Y56-1)</f>
        <v>0.23434948979591752</v>
      </c>
      <c r="AA58" s="39">
        <f t="shared" si="543"/>
        <v>0.15059469066785147</v>
      </c>
      <c r="AB58" s="40">
        <f t="shared" si="542"/>
        <v>0.18720758611685429</v>
      </c>
      <c r="AC58" s="40">
        <f t="shared" si="542"/>
        <v>0.34617942104272181</v>
      </c>
      <c r="AD58" s="40">
        <f t="shared" si="542"/>
        <v>0.14748679429477085</v>
      </c>
      <c r="AE58" s="40">
        <f t="shared" si="542"/>
        <v>4.7082326635876637E-2</v>
      </c>
      <c r="AM58" s="39">
        <f>+IF(AI56&lt;0,1-AM56/AI56,AM56/AI56-1)</f>
        <v>0.44660194174757284</v>
      </c>
      <c r="AN58" s="39">
        <f t="shared" ref="AN58" si="544">+IF(AJ56&lt;0,1-AN56/AJ56,AN56/AJ56-1)</f>
        <v>4.629629629629628E-2</v>
      </c>
      <c r="AO58" s="39">
        <f t="shared" ref="AO58" si="545">+IF(AK56&lt;0,1-AO56/AK56,AO56/AK56-1)</f>
        <v>0.41071428571428581</v>
      </c>
      <c r="AP58" s="39">
        <f t="shared" ref="AP58" si="546">+IF(AL56&lt;0,1-AP56/AL56,AP56/AL56-1)</f>
        <v>0.64864864864864868</v>
      </c>
      <c r="AQ58" s="39">
        <f t="shared" ref="AQ58" si="547">+IF(AM56&lt;0,1-AQ56/AM56,AQ56/AM56-1)</f>
        <v>0.71812080536912748</v>
      </c>
      <c r="AR58" s="39">
        <f t="shared" ref="AR58" si="548">+IF(AN56&lt;0,1-AR56/AN56,AR56/AN56-1)</f>
        <v>0.75221238938053103</v>
      </c>
      <c r="AS58" s="39">
        <f t="shared" ref="AS58" si="549">+IF(AO56&lt;0,1-AS56/AO56,AS56/AO56-1)</f>
        <v>5.6962025316455778E-2</v>
      </c>
      <c r="AT58" s="39">
        <f t="shared" ref="AT58" si="550">+IF(AP56&lt;0,1-AT56/AP56,AT56/AP56-1)</f>
        <v>-0.46721311475409832</v>
      </c>
      <c r="AU58" s="39">
        <f t="shared" ref="AU58" si="551">+IF(AQ56&lt;0,1-AU56/AQ56,AU56/AQ56-1)</f>
        <v>1.5390625</v>
      </c>
      <c r="AV58" s="39">
        <f t="shared" ref="AV58" si="552">+IF(AR56&lt;0,1-AV56/AR56,AV56/AR56-1)</f>
        <v>1.5707070707070705</v>
      </c>
      <c r="AW58" s="39">
        <f t="shared" ref="AW58" si="553">+IF(AS56&lt;0,1-AW56/AS56,AW56/AS56-1)</f>
        <v>1.8982035928143715</v>
      </c>
      <c r="AX58" s="39">
        <f t="shared" ref="AX58" si="554">+IF(AT56&lt;0,1-AX56/AT56,AX56/AT56-1)</f>
        <v>1.1846153846153844</v>
      </c>
      <c r="AY58" s="39">
        <f t="shared" ref="AY58" si="555">+IF(AU56&lt;0,1-AY56/AU56,AY56/AU56-1)</f>
        <v>-0.55076923076923079</v>
      </c>
      <c r="AZ58" s="39">
        <f t="shared" ref="AZ58" si="556">+IF(AV56&lt;0,1-AZ56/AV56,AZ56/AV56-1)</f>
        <v>-0.59332023575638515</v>
      </c>
      <c r="BA58" s="39">
        <f t="shared" ref="BA58" si="557">+IF(AW56&lt;0,1-BA56/AW56,BA56/AW56-1)</f>
        <v>-0.52685950413223148</v>
      </c>
      <c r="BB58" s="39">
        <f t="shared" ref="BB58" si="558">+IF(AX56&lt;0,1-BB56/AX56,BB56/AX56-1)</f>
        <v>-0.27464788732394363</v>
      </c>
      <c r="BC58" s="39">
        <f t="shared" ref="BC58" si="559">+IF(AY56&lt;0,1-BC56/AY56,BC56/AY56-1)</f>
        <v>-0.35616438356164382</v>
      </c>
      <c r="BD58" s="39">
        <f t="shared" ref="BD58" si="560">+IF(AZ56&lt;0,1-BD56/AZ56,BD56/AZ56-1)</f>
        <v>-1.4492753623188359E-2</v>
      </c>
      <c r="BE58" s="39">
        <f t="shared" ref="BE58" si="561">+IF(BA56&lt;0,1-BE56/BA56,BE56/BA56-1)</f>
        <v>-0.7467248908296944</v>
      </c>
      <c r="BF58" s="39">
        <f t="shared" ref="BF58" si="562">+IF(BB56&lt;0,1-BF56/BB56,BF56/BB56-1)</f>
        <v>0.10679611650485432</v>
      </c>
      <c r="BG58" s="39">
        <f t="shared" ref="BG58" si="563">+IF(BC56&lt;0,1-BG56/BC56,BG56/BC56-1)</f>
        <v>-0.13297872340425532</v>
      </c>
      <c r="BH58" s="39">
        <f t="shared" ref="BH58" si="564">+IF(BD56&lt;0,1-BH56/BD56,BH56/BD56-1)</f>
        <v>-0.12254901960784315</v>
      </c>
      <c r="BI58" s="39">
        <f t="shared" ref="BI58" si="565">+IF(BE56&lt;0,1-BI56/BE56,BI56/BE56-1)</f>
        <v>3.2413793103448274</v>
      </c>
      <c r="BJ58" s="39">
        <f t="shared" ref="BJ58" si="566">+IF(BF56&lt;0,1-BJ56/BF56,BJ56/BF56-1)</f>
        <v>-0.10087719298245612</v>
      </c>
      <c r="BK58" s="39">
        <f t="shared" ref="BK58" si="567">+IF(BG56&lt;0,1-BK56/BG56,BK56/BG56-1)</f>
        <v>0.32515337423312873</v>
      </c>
      <c r="BL58" s="39">
        <f t="shared" ref="BL58" si="568">+IF(BH56&lt;0,1-BL56/BH56,BL56/BH56-1)</f>
        <v>0.36312849162011163</v>
      </c>
      <c r="BM58" s="39">
        <f t="shared" ref="BM58" si="569">+IF(BI56&lt;0,1-BM56/BI56,BM56/BI56-1)</f>
        <v>2.0325203252032464E-2</v>
      </c>
      <c r="BN58" s="39">
        <f t="shared" ref="BN58" si="570">+IF(BJ56&lt;0,1-BN56/BJ56,BN56/BJ56-1)</f>
        <v>0.53170731707317076</v>
      </c>
      <c r="BO58" s="39">
        <f t="shared" ref="BO58" si="571">+IF(BK56&lt;0,1-BO56/BK56,BO56/BK56-1)</f>
        <v>0.48611111111111116</v>
      </c>
      <c r="BP58" s="39">
        <f t="shared" ref="BP58" si="572">+IF(BL56&lt;0,1-BP56/BL56,BP56/BL56-1)</f>
        <v>0.27049180327868849</v>
      </c>
      <c r="BQ58" s="39">
        <f t="shared" ref="BQ58" si="573">+IF(BM56&lt;0,1-BQ56/BM56,BQ56/BM56-1)</f>
        <v>0.18326693227091639</v>
      </c>
      <c r="BR58" s="39">
        <f t="shared" ref="BR58" si="574">+IF(BN56&lt;0,1-BR56/BN56,BR56/BN56-1)</f>
        <v>3.1847133757961776E-2</v>
      </c>
      <c r="BS58" s="39">
        <f t="shared" ref="BS58" si="575">+IF(BO56&lt;0,1-BS56/BO56,BS56/BO56-1)</f>
        <v>2.8037383177569986E-2</v>
      </c>
      <c r="BT58" s="39">
        <f t="shared" ref="BT58" si="576">+IF(BP56&lt;0,1-BT56/BP56,BT56/BP56-1)</f>
        <v>1.9354838709677358E-2</v>
      </c>
      <c r="BU58" s="39">
        <f t="shared" ref="BU58" si="577">+IF(BQ56&lt;0,1-BU56/BQ56,BU56/BQ56-1)</f>
        <v>-0.16161616161616166</v>
      </c>
      <c r="BV58" s="39">
        <f t="shared" ref="BV58" si="578">+IF(BR56&lt;0,1-BV56/BR56,BV56/BR56-1)</f>
        <v>0.13271604938271597</v>
      </c>
      <c r="BW58" s="39">
        <f t="shared" ref="BW58" si="579">+IF(BS56&lt;0,1-BW56/BS56,BW56/BS56-1)</f>
        <v>7.2727272727272751E-2</v>
      </c>
      <c r="BX58" s="39">
        <f t="shared" ref="BX58" si="580">+IF(BT56&lt;0,1-BX56/BT56,BX56/BT56-1)</f>
        <v>-1.2658227848101222E-2</v>
      </c>
      <c r="BY58" s="39">
        <f t="shared" ref="BY58" si="581">+IF(BU56&lt;0,1-BY56/BU56,BY56/BU56-1)</f>
        <v>0.17269076305220876</v>
      </c>
      <c r="BZ58" s="39">
        <f t="shared" ref="BZ58" si="582">+IF(BV56&lt;0,1-BZ56/BV56,BZ56/BV56-1)</f>
        <v>-0.21798365122615804</v>
      </c>
      <c r="CA58" s="39">
        <f t="shared" ref="CA58" si="583">+IF(BW56&lt;0,1-CA56/BW56,CA56/BW56-1)</f>
        <v>6.7796610169491567E-2</v>
      </c>
      <c r="CB58" s="39">
        <f t="shared" ref="CB58" si="584">+IF(BX56&lt;0,1-CB56/BX56,CB56/BX56-1)</f>
        <v>0.23717948717948723</v>
      </c>
      <c r="CC58" s="39">
        <f t="shared" ref="CC58" si="585">+IF(BY56&lt;0,1-CC56/BY56,CC56/BY56-1)</f>
        <v>0.21575342465753433</v>
      </c>
      <c r="CD58" s="39">
        <f t="shared" ref="CD58" si="586">+IF(BZ56&lt;0,1-CD56/BZ56,CD56/BZ56-1)</f>
        <v>0.56445993031358888</v>
      </c>
      <c r="CE58" s="39">
        <f t="shared" ref="CE58" si="587">+IF(CA56&lt;0,1-CE56/CA56,CE56/CA56-1)</f>
        <v>0.20899470899470907</v>
      </c>
      <c r="CF58" s="39">
        <f t="shared" ref="CF58" si="588">+IF(CB56&lt;0,1-CF56/CB56,CF56/CB56-1)</f>
        <v>0.17357512953367871</v>
      </c>
      <c r="CG58" s="39">
        <f t="shared" ref="CG58" si="589">+IF(CC56&lt;0,1-CG56/CC56,CG56/CC56-1)</f>
        <v>0.41690140845070434</v>
      </c>
      <c r="CH58" s="39">
        <f t="shared" ref="CH58:CL58" si="590">+IF(CD56&lt;0,1-CH56/CD56,CH56/CD56-1)</f>
        <v>0.16258351893095768</v>
      </c>
      <c r="CI58" s="39">
        <f t="shared" si="590"/>
        <v>0.19912472647702417</v>
      </c>
      <c r="CJ58" s="39">
        <f t="shared" si="590"/>
        <v>0.33333333333333326</v>
      </c>
      <c r="CK58" s="39">
        <f t="shared" si="590"/>
        <v>0.28230616302186884</v>
      </c>
      <c r="CL58" s="39">
        <f t="shared" si="590"/>
        <v>-0.17624521072796939</v>
      </c>
      <c r="CM58" s="40">
        <f t="shared" ref="CM58" si="591">+CM56/CI56-1</f>
        <v>6.6045073506029173E-3</v>
      </c>
      <c r="CN58" s="40">
        <f t="shared" ref="CN58" si="592">+CN56/CJ56-1</f>
        <v>-2.8958998544269532E-3</v>
      </c>
      <c r="CO58" s="40">
        <f t="shared" ref="CO58" si="593">+CO56/CK56-1</f>
        <v>-5.3331628792463448E-2</v>
      </c>
      <c r="CP58" s="40">
        <f t="shared" ref="CP58" si="594">+CP56/CL56-1</f>
        <v>1.0450161483867104</v>
      </c>
      <c r="CQ58" s="40">
        <f t="shared" ref="CQ58" si="595">+CQ56/CM56-1</f>
        <v>0.36793004970927901</v>
      </c>
      <c r="CR58" s="40">
        <f t="shared" ref="CR58" si="596">+CR56/CN56-1</f>
        <v>0.35450623095235478</v>
      </c>
      <c r="CS58" s="40">
        <f t="shared" ref="CS58" si="597">+CS56/CO56-1</f>
        <v>0.35338640627989726</v>
      </c>
      <c r="CT58" s="40">
        <f t="shared" ref="CT58" si="598">+CT56/CP56-1</f>
        <v>0.32182811781559506</v>
      </c>
      <c r="CU58" s="40">
        <f t="shared" ref="CU58" si="599">+CU56/CQ56-1</f>
        <v>0.19752399794809117</v>
      </c>
      <c r="CV58" s="40">
        <f t="shared" ref="CV58" si="600">+CV56/CR56-1</f>
        <v>0.15269721110941648</v>
      </c>
      <c r="CW58" s="40">
        <f t="shared" ref="CW58" si="601">+CW56/CS56-1</f>
        <v>0.13669617926649003</v>
      </c>
      <c r="CX58" s="40">
        <f t="shared" ref="CX58" si="602">+CX56/CT56-1</f>
        <v>0.11901867031485147</v>
      </c>
      <c r="CY58" s="40">
        <f t="shared" ref="CY58" si="603">+CY56/CU56-1</f>
        <v>6.700759163981207E-2</v>
      </c>
      <c r="CZ58" s="40">
        <f t="shared" ref="CZ58" si="604">+CZ56/CV56-1</f>
        <v>5.8398941743870614E-2</v>
      </c>
      <c r="DA58" s="40">
        <f t="shared" ref="DA58" si="605">+DA56/CW56-1</f>
        <v>4.6405692350358851E-2</v>
      </c>
      <c r="DB58" s="40">
        <f t="shared" ref="DB58" si="606">+DB56/CX56-1</f>
        <v>2.5547372785710287E-2</v>
      </c>
      <c r="DE58" s="122"/>
      <c r="DF58" s="39">
        <v>0.35285053093850771</v>
      </c>
    </row>
    <row r="59" spans="1:110" s="39" customFormat="1" x14ac:dyDescent="0.2">
      <c r="A59" s="39" t="s">
        <v>452</v>
      </c>
      <c r="AB59" s="40"/>
      <c r="AC59" s="40"/>
      <c r="AD59" s="40"/>
      <c r="AE59" s="40"/>
      <c r="AJ59" s="39">
        <f>+IF(AI56&lt;0,1-AJ56/AI56,AJ56/AI56-1)</f>
        <v>4.8543689320388328E-2</v>
      </c>
      <c r="AK59" s="39">
        <f t="shared" ref="AK59:AM59" si="607">+IF(AJ56&lt;0,1-AK56/AJ56,AK56/AJ56-1)</f>
        <v>3.7037037037036979E-2</v>
      </c>
      <c r="AL59" s="39">
        <f t="shared" si="607"/>
        <v>0.3214285714285714</v>
      </c>
      <c r="AM59" s="39">
        <f t="shared" si="607"/>
        <v>6.7567567567567988E-3</v>
      </c>
      <c r="AN59" s="39">
        <f t="shared" ref="AN59" si="608">+IF(AM56&lt;0,1-AN56/AM56,AN56/AM56-1)</f>
        <v>-0.24161073825503354</v>
      </c>
      <c r="AO59" s="39">
        <f t="shared" ref="AO59" si="609">+IF(AN56&lt;0,1-AO56/AN56,AO56/AN56-1)</f>
        <v>0.39823008849557517</v>
      </c>
      <c r="AP59" s="39">
        <f t="shared" ref="AP59" si="610">+IF(AO56&lt;0,1-AP56/AO56,AP56/AO56-1)</f>
        <v>0.54430379746835444</v>
      </c>
      <c r="AQ59" s="39">
        <f t="shared" ref="AQ59" si="611">+IF(AP56&lt;0,1-AQ56/AP56,AQ56/AP56-1)</f>
        <v>4.9180327868852514E-2</v>
      </c>
      <c r="AR59" s="39">
        <f t="shared" ref="AR59" si="612">+IF(AQ56&lt;0,1-AR56/AQ56,AR56/AQ56-1)</f>
        <v>-0.2265625</v>
      </c>
      <c r="AS59" s="39">
        <f t="shared" ref="AS59" si="613">+IF(AR56&lt;0,1-AS56/AR56,AS56/AR56-1)</f>
        <v>-0.15656565656565657</v>
      </c>
      <c r="AT59" s="39">
        <f t="shared" ref="AT59" si="614">+IF(AS56&lt;0,1-AT56/AS56,AT56/AS56-1)</f>
        <v>-0.22155688622754488</v>
      </c>
      <c r="AU59" s="39">
        <f t="shared" ref="AU59" si="615">+IF(AT56&lt;0,1-AU56/AT56,AU56/AT56-1)</f>
        <v>4</v>
      </c>
      <c r="AV59" s="39">
        <f t="shared" ref="AV59" si="616">+IF(AU56&lt;0,1-AV56/AU56,AV56/AU56-1)</f>
        <v>-0.21692307692307689</v>
      </c>
      <c r="AW59" s="39">
        <f t="shared" ref="AW59" si="617">+IF(AV56&lt;0,1-AW56/AV56,AW56/AV56-1)</f>
        <v>-4.9115913555992097E-2</v>
      </c>
      <c r="AX59" s="39">
        <f t="shared" ref="AX59" si="618">+IF(AW56&lt;0,1-AX56/AW56,AX56/AW56-1)</f>
        <v>-0.41322314049586772</v>
      </c>
      <c r="AY59" s="39">
        <f t="shared" ref="AY59" si="619">+IF(AX56&lt;0,1-AY56/AX56,AY56/AX56-1)</f>
        <v>2.8169014084507005E-2</v>
      </c>
      <c r="AZ59" s="39">
        <f t="shared" ref="AZ59" si="620">+IF(AY56&lt;0,1-AZ56/AY56,AZ56/AY56-1)</f>
        <v>-0.29109589041095896</v>
      </c>
      <c r="BA59" s="39">
        <f t="shared" ref="BA59" si="621">+IF(AZ56&lt;0,1-BA56/AZ56,BA56/AZ56-1)</f>
        <v>0.106280193236715</v>
      </c>
      <c r="BB59" s="39">
        <f t="shared" ref="BB59" si="622">+IF(BA56&lt;0,1-BB56/BA56,BB56/BA56-1)</f>
        <v>-0.10043668122270744</v>
      </c>
      <c r="BC59" s="39">
        <f t="shared" ref="BC59" si="623">+IF(BB56&lt;0,1-BC56/BB56,BC56/BB56-1)</f>
        <v>-8.737864077669899E-2</v>
      </c>
      <c r="BD59" s="39">
        <f t="shared" ref="BD59" si="624">+IF(BC56&lt;0,1-BD56/BC56,BD56/BC56-1)</f>
        <v>8.5106382978723305E-2</v>
      </c>
      <c r="BE59" s="39">
        <f t="shared" ref="BE59" si="625">+IF(BD56&lt;0,1-BE56/BD56,BE56/BD56-1)</f>
        <v>-0.71568627450980393</v>
      </c>
      <c r="BF59" s="39">
        <f t="shared" ref="BF59" si="626">+IF(BE56&lt;0,1-BF56/BE56,BF56/BE56-1)</f>
        <v>2.9310344827586206</v>
      </c>
      <c r="BG59" s="39">
        <f t="shared" ref="BG59" si="627">+IF(BF56&lt;0,1-BG56/BF56,BG56/BF56-1)</f>
        <v>-0.28508771929824561</v>
      </c>
      <c r="BH59" s="39">
        <f t="shared" ref="BH59" si="628">+IF(BG56&lt;0,1-BH56/BG56,BH56/BG56-1)</f>
        <v>9.8159509202454087E-2</v>
      </c>
      <c r="BI59" s="39">
        <f t="shared" ref="BI59" si="629">+IF(BH56&lt;0,1-BI56/BH56,BI56/BH56-1)</f>
        <v>0.37430167597765363</v>
      </c>
      <c r="BJ59" s="39">
        <f t="shared" ref="BJ59" si="630">+IF(BI56&lt;0,1-BJ56/BI56,BJ56/BI56-1)</f>
        <v>-0.16666666666666663</v>
      </c>
      <c r="BK59" s="39">
        <f t="shared" ref="BK59" si="631">+IF(BJ56&lt;0,1-BK56/BJ56,BK56/BJ56-1)</f>
        <v>5.3658536585365901E-2</v>
      </c>
      <c r="BL59" s="39">
        <f t="shared" ref="BL59" si="632">+IF(BK56&lt;0,1-BL56/BK56,BL56/BK56-1)</f>
        <v>0.12962962962962954</v>
      </c>
      <c r="BM59" s="39">
        <f t="shared" ref="BM59" si="633">+IF(BL56&lt;0,1-BM56/BL56,BM56/BL56-1)</f>
        <v>2.8688524590164022E-2</v>
      </c>
      <c r="BN59" s="39">
        <f t="shared" ref="BN59" si="634">+IF(BM56&lt;0,1-BN56/BM56,BN56/BM56-1)</f>
        <v>0.25099601593625498</v>
      </c>
      <c r="BO59" s="39">
        <f t="shared" ref="BO59" si="635">+IF(BN56&lt;0,1-BO56/BN56,BO56/BN56-1)</f>
        <v>2.2292993630573354E-2</v>
      </c>
      <c r="BP59" s="39">
        <f t="shared" ref="BP59" si="636">+IF(BO56&lt;0,1-BP56/BO56,BP56/BO56-1)</f>
        <v>-3.4267912772585674E-2</v>
      </c>
      <c r="BQ59" s="39">
        <f t="shared" ref="BQ59" si="637">+IF(BP56&lt;0,1-BQ56/BP56,BQ56/BP56-1)</f>
        <v>-4.1935483870967794E-2</v>
      </c>
      <c r="BR59" s="39">
        <f t="shared" ref="BR59" si="638">+IF(BQ56&lt;0,1-BR56/BQ56,BR56/BQ56-1)</f>
        <v>9.0909090909090828E-2</v>
      </c>
      <c r="BS59" s="39">
        <f t="shared" ref="BS59" si="639">+IF(BR56&lt;0,1-BS56/BR56,BS56/BR56-1)</f>
        <v>1.8518518518518601E-2</v>
      </c>
      <c r="BT59" s="39">
        <f t="shared" ref="BT59" si="640">+IF(BS56&lt;0,1-BT56/BS56,BT56/BS56-1)</f>
        <v>-4.2424242424242475E-2</v>
      </c>
      <c r="BU59" s="39">
        <f t="shared" ref="BU59" si="641">+IF(BT56&lt;0,1-BU56/BT56,BU56/BT56-1)</f>
        <v>-0.21202531645569622</v>
      </c>
      <c r="BV59" s="39">
        <f t="shared" ref="BV59" si="642">+IF(BU56&lt;0,1-BV56/BU56,BV56/BU56-1)</f>
        <v>0.47389558232931717</v>
      </c>
      <c r="BW59" s="39">
        <f t="shared" ref="BW59" si="643">+IF(BV56&lt;0,1-BW56/BV56,BW56/BV56-1)</f>
        <v>-3.5422343324250649E-2</v>
      </c>
      <c r="BX59" s="39">
        <f t="shared" ref="BX59" si="644">+IF(BW56&lt;0,1-BX56/BW56,BX56/BW56-1)</f>
        <v>-0.11864406779661019</v>
      </c>
      <c r="BY59" s="39">
        <f t="shared" ref="BY59" si="645">+IF(BX56&lt;0,1-BY56/BX56,BY56/BX56-1)</f>
        <v>-6.4102564102564097E-2</v>
      </c>
      <c r="BZ59" s="39">
        <f t="shared" ref="BZ59" si="646">+IF(BY56&lt;0,1-BZ56/BY56,BZ56/BY56-1)</f>
        <v>-1.7123287671232834E-2</v>
      </c>
      <c r="CA59" s="39">
        <f t="shared" ref="CA59" si="647">+IF(BZ56&lt;0,1-CA56/BZ56,CA56/BZ56-1)</f>
        <v>0.31707317073170738</v>
      </c>
      <c r="CB59" s="39">
        <f t="shared" ref="CB59" si="648">+IF(CA56&lt;0,1-CB56/CA56,CB56/CA56-1)</f>
        <v>2.1164021164021163E-2</v>
      </c>
      <c r="CC59" s="39">
        <f t="shared" ref="CC59" si="649">+IF(CB56&lt;0,1-CC56/CB56,CC56/CB56-1)</f>
        <v>-8.0310880829015496E-2</v>
      </c>
      <c r="CD59" s="39">
        <f t="shared" ref="CD59" si="650">+IF(CC56&lt;0,1-CD56/CC56,CD56/CC56-1)</f>
        <v>0.26478873239436629</v>
      </c>
      <c r="CE59" s="39">
        <f t="shared" ref="CE59" si="651">+IF(CD56&lt;0,1-CE56/CD56,CE56/CD56-1)</f>
        <v>1.7817371937639104E-2</v>
      </c>
      <c r="CF59" s="39">
        <f t="shared" ref="CF59" si="652">+IF(CE56&lt;0,1-CF56/CE56,CF56/CE56-1)</f>
        <v>-8.7527352297592786E-3</v>
      </c>
      <c r="CG59" s="39">
        <f t="shared" ref="CG59" si="653">+IF(CF56&lt;0,1-CG56/CF56,CG56/CF56-1)</f>
        <v>0.11037527593818974</v>
      </c>
      <c r="CH59" s="39">
        <f t="shared" ref="CH59:CL59" si="654">+IF(CG56&lt;0,1-CH56/CG56,CH56/CG56-1)</f>
        <v>3.7773359840954202E-2</v>
      </c>
      <c r="CI59" s="39">
        <f t="shared" si="654"/>
        <v>4.9808429118773923E-2</v>
      </c>
      <c r="CJ59" s="39">
        <f t="shared" si="654"/>
        <v>0.10218978102189791</v>
      </c>
      <c r="CK59" s="39">
        <f t="shared" si="654"/>
        <v>6.7880794701986824E-2</v>
      </c>
      <c r="CL59" s="39">
        <f t="shared" si="654"/>
        <v>-0.33333333333333337</v>
      </c>
      <c r="CM59" s="40">
        <f t="shared" ref="CM59" si="655">+CM56/CL56-1</f>
        <v>0.28283551169332632</v>
      </c>
      <c r="CN59" s="40">
        <f t="shared" ref="CN59" si="656">+CN56/CM56-1</f>
        <v>9.1787232989909429E-2</v>
      </c>
      <c r="CO59" s="40">
        <f t="shared" ref="CO59" si="657">+CO56/CN56-1</f>
        <v>1.3865024140155668E-2</v>
      </c>
      <c r="CP59" s="40">
        <f t="shared" ref="CP59" si="658">+CP56/CO56-1</f>
        <v>0.44014962408159919</v>
      </c>
      <c r="CQ59" s="40">
        <f t="shared" ref="CQ59" si="659">+CQ56/CP56-1</f>
        <v>-0.14189956560301742</v>
      </c>
      <c r="CR59" s="40">
        <f t="shared" ref="CR59" si="660">+CR56/CQ56-1</f>
        <v>8.1073268529595843E-2</v>
      </c>
      <c r="CS59" s="40">
        <f t="shared" ref="CS59" si="661">+CS56/CR56-1</f>
        <v>1.3026821227072105E-2</v>
      </c>
      <c r="CT59" s="40">
        <f t="shared" ref="CT59" si="662">+CT56/CS56-1</f>
        <v>0.40656818935044226</v>
      </c>
      <c r="CU59" s="40">
        <f t="shared" ref="CU59" si="663">+CU56/CT56-1</f>
        <v>-0.22259494332876217</v>
      </c>
      <c r="CV59" s="40">
        <f t="shared" ref="CV59" si="664">+CV56/CU56-1</f>
        <v>4.0605569303190814E-2</v>
      </c>
      <c r="CW59" s="40">
        <f t="shared" ref="CW59" si="665">+CW56/CV56-1</f>
        <v>-1.0353923950048305E-3</v>
      </c>
      <c r="CX59" s="40">
        <f t="shared" ref="CX59" si="666">+CX56/CW56-1</f>
        <v>0.38469372349767772</v>
      </c>
      <c r="CY59" s="40">
        <f t="shared" ref="CY59" si="667">+CY56/CX56-1</f>
        <v>-0.25872809877783487</v>
      </c>
      <c r="CZ59" s="40">
        <f t="shared" ref="CZ59" si="668">+CZ56/CY56-1</f>
        <v>3.2209931731268071E-2</v>
      </c>
      <c r="DA59" s="40">
        <f t="shared" ref="DA59" si="669">+DA56/CZ56-1</f>
        <v>-1.2355161530977488E-2</v>
      </c>
      <c r="DB59" s="40">
        <f t="shared" ref="DB59" si="670">+DB56/DA56-1</f>
        <v>0.35709220680580622</v>
      </c>
      <c r="DE59" s="122"/>
      <c r="DF59" s="39">
        <v>9.4865080852559736E-2</v>
      </c>
    </row>
    <row r="60" spans="1:110" s="75" customFormat="1" x14ac:dyDescent="0.2">
      <c r="A60" s="23" t="s">
        <v>23</v>
      </c>
      <c r="B60" s="75">
        <f>'Annual Raw'!C32</f>
        <v>0</v>
      </c>
      <c r="C60" s="75">
        <f>'Annual Raw'!D32</f>
        <v>0</v>
      </c>
      <c r="D60" s="75">
        <f>'Annual Raw'!E32</f>
        <v>0</v>
      </c>
      <c r="E60" s="75">
        <f>'Annual Raw'!F32</f>
        <v>0</v>
      </c>
      <c r="F60" s="75">
        <f>'Annual Raw'!G32</f>
        <v>0</v>
      </c>
      <c r="G60" s="75">
        <f>'Annual Raw'!H32</f>
        <v>0</v>
      </c>
      <c r="H60" s="75">
        <f>'Annual Raw'!I32</f>
        <v>0</v>
      </c>
      <c r="I60" s="75">
        <f>'Annual Raw'!J32</f>
        <v>0</v>
      </c>
      <c r="J60" s="75">
        <f>'Annual Raw'!K32</f>
        <v>0</v>
      </c>
      <c r="K60" s="75">
        <f>'Annual Raw'!L32</f>
        <v>0</v>
      </c>
      <c r="L60" s="75">
        <f>'Annual Raw'!M32</f>
        <v>4.1000000000000003E-3</v>
      </c>
      <c r="M60" s="75">
        <f>'Annual Raw'!N32</f>
        <v>-2.2599999999999998</v>
      </c>
      <c r="N60" s="75">
        <f>'Annual Raw'!O32</f>
        <v>-2.15</v>
      </c>
      <c r="O60" s="75">
        <f>'Annual Raw'!P32</f>
        <v>-0.03</v>
      </c>
      <c r="P60" s="75">
        <f>'Annual Raw'!Q32</f>
        <v>-0.03</v>
      </c>
      <c r="Q60" s="75">
        <f>'Annual Raw'!R32</f>
        <v>-0.03</v>
      </c>
      <c r="R60" s="75">
        <f>'Annual Raw'!S32</f>
        <v>-0.03</v>
      </c>
      <c r="S60" s="75">
        <f>'Annual Raw'!T32</f>
        <v>-0.03</v>
      </c>
      <c r="T60" s="75">
        <f>'Annual Raw'!U32</f>
        <v>-0.03</v>
      </c>
      <c r="U60" s="75">
        <f>'Annual Raw'!V32</f>
        <v>0</v>
      </c>
      <c r="V60" s="75">
        <f>'Annual Raw'!W32</f>
        <v>0</v>
      </c>
      <c r="W60" s="75">
        <f>'Annual Raw'!X32</f>
        <v>0</v>
      </c>
      <c r="X60" s="75">
        <f>'Annual Raw'!Y32</f>
        <v>0</v>
      </c>
      <c r="Y60" s="75">
        <f>'Annual Raw'!Z32</f>
        <v>0</v>
      </c>
      <c r="Z60" s="75">
        <f>'Annual Raw'!AA32</f>
        <v>0</v>
      </c>
      <c r="AA60" s="75">
        <f>'Annual Raw'!AB32</f>
        <v>25.19</v>
      </c>
      <c r="AB60" s="76">
        <f t="shared" ref="AB60:AB61" si="671">+SUM(CM60:CP60)</f>
        <v>100</v>
      </c>
      <c r="AC60" s="76">
        <f t="shared" ref="AC60:AC61" si="672">+SUM(CQ60:CT60)</f>
        <v>100</v>
      </c>
      <c r="AD60" s="76">
        <f t="shared" ref="AD60:AD61" si="673">+SUM(CU60:CX60)</f>
        <v>100</v>
      </c>
      <c r="AE60" s="76">
        <f t="shared" ref="AE60:AE61" si="674">+SUM(CY60:DB60)</f>
        <v>100</v>
      </c>
      <c r="AI60" s="75">
        <f>'QTR Raw'!C34</f>
        <v>-1</v>
      </c>
      <c r="AJ60" s="75">
        <f>'QTR Raw'!D34</f>
        <v>-1</v>
      </c>
      <c r="AK60" s="75">
        <f>'QTR Raw'!E34</f>
        <v>0</v>
      </c>
      <c r="AL60" s="75">
        <f>'QTR Raw'!F34</f>
        <v>0</v>
      </c>
      <c r="AM60" s="75">
        <f>'QTR Raw'!G34</f>
        <v>0</v>
      </c>
      <c r="AN60" s="75">
        <f>'QTR Raw'!H34</f>
        <v>0</v>
      </c>
      <c r="AO60" s="75">
        <f>'QTR Raw'!I34</f>
        <v>0</v>
      </c>
      <c r="AP60" s="75">
        <f>'QTR Raw'!J34</f>
        <v>0</v>
      </c>
      <c r="AQ60" s="75">
        <f>'QTR Raw'!K34</f>
        <v>0</v>
      </c>
      <c r="AR60" s="75">
        <f>'QTR Raw'!L34</f>
        <v>0</v>
      </c>
      <c r="AS60" s="75">
        <f>'QTR Raw'!M34</f>
        <v>0</v>
      </c>
      <c r="AT60" s="75">
        <f>'QTR Raw'!N34</f>
        <v>0</v>
      </c>
      <c r="AU60" s="75">
        <f>'QTR Raw'!O34</f>
        <v>0</v>
      </c>
      <c r="AV60" s="75">
        <f>'QTR Raw'!P34</f>
        <v>0</v>
      </c>
      <c r="AW60" s="75">
        <f>'QTR Raw'!Q34</f>
        <v>0</v>
      </c>
      <c r="AX60" s="75">
        <f>'QTR Raw'!R34</f>
        <v>0</v>
      </c>
      <c r="AY60" s="75">
        <f>'QTR Raw'!S34</f>
        <v>0</v>
      </c>
      <c r="AZ60" s="75">
        <f>'QTR Raw'!T34</f>
        <v>0</v>
      </c>
      <c r="BA60" s="75">
        <f>'QTR Raw'!U34</f>
        <v>0</v>
      </c>
      <c r="BB60" s="75">
        <f>'QTR Raw'!V34</f>
        <v>0</v>
      </c>
      <c r="BC60" s="75">
        <f>'QTR Raw'!W34</f>
        <v>0</v>
      </c>
      <c r="BD60" s="75">
        <f>'QTR Raw'!X34</f>
        <v>0</v>
      </c>
      <c r="BE60" s="75">
        <f>'QTR Raw'!Y34</f>
        <v>0</v>
      </c>
      <c r="BF60" s="75">
        <f>'QTR Raw'!Z34</f>
        <v>0</v>
      </c>
      <c r="BG60" s="75">
        <f>'QTR Raw'!AA34</f>
        <v>0</v>
      </c>
      <c r="BH60" s="75">
        <f>'QTR Raw'!AB34</f>
        <v>0</v>
      </c>
      <c r="BI60" s="75">
        <f>'QTR Raw'!AC34</f>
        <v>0</v>
      </c>
      <c r="BJ60" s="75">
        <f>'QTR Raw'!AD34</f>
        <v>0</v>
      </c>
      <c r="BK60" s="75">
        <f>'QTR Raw'!AE34</f>
        <v>0</v>
      </c>
      <c r="BL60" s="75">
        <f>'QTR Raw'!AF34</f>
        <v>0</v>
      </c>
      <c r="BM60" s="75">
        <f>'QTR Raw'!AG34</f>
        <v>0</v>
      </c>
      <c r="BN60" s="75">
        <f>'QTR Raw'!AH34</f>
        <v>0</v>
      </c>
      <c r="BO60" s="75">
        <f>'QTR Raw'!AI34</f>
        <v>0</v>
      </c>
      <c r="BP60" s="75">
        <f>'QTR Raw'!AJ34</f>
        <v>0</v>
      </c>
      <c r="BQ60" s="75">
        <f>'QTR Raw'!AK34</f>
        <v>0</v>
      </c>
      <c r="BR60" s="75">
        <f>'QTR Raw'!AL34</f>
        <v>0</v>
      </c>
      <c r="BS60" s="75">
        <f>'QTR Raw'!AM34</f>
        <v>0</v>
      </c>
      <c r="BT60" s="75">
        <f>'QTR Raw'!AN34</f>
        <v>0</v>
      </c>
      <c r="BU60" s="75">
        <f>'QTR Raw'!AO34</f>
        <v>0</v>
      </c>
      <c r="BV60" s="75">
        <f>'QTR Raw'!AP34</f>
        <v>0</v>
      </c>
      <c r="BW60" s="75">
        <f>'QTR Raw'!AQ34</f>
        <v>0</v>
      </c>
      <c r="BX60" s="75">
        <f>'QTR Raw'!AR34</f>
        <v>0</v>
      </c>
      <c r="BY60" s="75">
        <f>'QTR Raw'!AS34</f>
        <v>0</v>
      </c>
      <c r="BZ60" s="75">
        <f>'QTR Raw'!AT34</f>
        <v>0</v>
      </c>
      <c r="CA60" s="75">
        <f>'QTR Raw'!AU34</f>
        <v>0</v>
      </c>
      <c r="CB60" s="75">
        <f>'QTR Raw'!AV34</f>
        <v>0</v>
      </c>
      <c r="CC60" s="75">
        <f>'QTR Raw'!AW34</f>
        <v>0</v>
      </c>
      <c r="CD60" s="75">
        <f>'QTR Raw'!AX34</f>
        <v>0</v>
      </c>
      <c r="CE60" s="75">
        <f>'QTR Raw'!AY34</f>
        <v>0</v>
      </c>
      <c r="CF60" s="75">
        <f>'QTR Raw'!AZ34</f>
        <v>0</v>
      </c>
      <c r="CG60" s="75">
        <f>'QTR Raw'!BA34</f>
        <v>0</v>
      </c>
      <c r="CH60" s="75">
        <f>'QTR Raw'!BB34</f>
        <v>0</v>
      </c>
      <c r="CI60" s="75">
        <f>'QTR Raw'!BC34</f>
        <v>0</v>
      </c>
      <c r="CJ60" s="75">
        <f>'QTR Raw'!BD34</f>
        <v>0</v>
      </c>
      <c r="CK60" s="75">
        <f>'QTR Raw'!BE34</f>
        <v>0</v>
      </c>
      <c r="CL60" s="75">
        <f>'QTR Raw'!BF34</f>
        <v>25</v>
      </c>
      <c r="CM60" s="76">
        <f t="shared" ref="CM60:CM61" si="675">+CL60</f>
        <v>25</v>
      </c>
      <c r="CN60" s="76">
        <f t="shared" ref="CN60:CN61" si="676">+CM60</f>
        <v>25</v>
      </c>
      <c r="CO60" s="76">
        <f t="shared" ref="CO60:CO61" si="677">+CN60</f>
        <v>25</v>
      </c>
      <c r="CP60" s="76">
        <f t="shared" ref="CP60:CP61" si="678">+CO60</f>
        <v>25</v>
      </c>
      <c r="CQ60" s="76">
        <f t="shared" ref="CQ60:CQ61" si="679">+CP60</f>
        <v>25</v>
      </c>
      <c r="CR60" s="76">
        <f t="shared" ref="CR60:CR61" si="680">+CQ60</f>
        <v>25</v>
      </c>
      <c r="CS60" s="76">
        <f t="shared" ref="CS60:CS61" si="681">+CR60</f>
        <v>25</v>
      </c>
      <c r="CT60" s="76">
        <f t="shared" ref="CT60:CT61" si="682">+CS60</f>
        <v>25</v>
      </c>
      <c r="CU60" s="76">
        <f t="shared" ref="CU60:CU61" si="683">+CT60</f>
        <v>25</v>
      </c>
      <c r="CV60" s="76">
        <f t="shared" ref="CV60:CV61" si="684">+CU60</f>
        <v>25</v>
      </c>
      <c r="CW60" s="76">
        <f t="shared" ref="CW60:CW61" si="685">+CV60</f>
        <v>25</v>
      </c>
      <c r="CX60" s="76">
        <f t="shared" ref="CX60:CX61" si="686">+CW60</f>
        <v>25</v>
      </c>
      <c r="CY60" s="76">
        <f t="shared" ref="CY60:CY61" si="687">+CX60</f>
        <v>25</v>
      </c>
      <c r="CZ60" s="76">
        <f t="shared" ref="CZ60:CZ61" si="688">+CY60</f>
        <v>25</v>
      </c>
      <c r="DA60" s="76">
        <f t="shared" ref="DA60:DA61" si="689">+CZ60</f>
        <v>25</v>
      </c>
      <c r="DB60" s="76">
        <f t="shared" ref="DB60:DB61" si="690">+DA60</f>
        <v>25</v>
      </c>
      <c r="DE60" s="131"/>
      <c r="DF60" s="75">
        <v>0</v>
      </c>
    </row>
    <row r="61" spans="1:110" s="75" customFormat="1" x14ac:dyDescent="0.2">
      <c r="A61" s="23" t="s">
        <v>24</v>
      </c>
      <c r="B61" s="75">
        <f>'Annual Raw'!C33+'Annual Raw'!C28</f>
        <v>0</v>
      </c>
      <c r="C61" s="75">
        <f>'Annual Raw'!D33+'Annual Raw'!D28</f>
        <v>0</v>
      </c>
      <c r="D61" s="75">
        <f>'Annual Raw'!E33+'Annual Raw'!E28</f>
        <v>0</v>
      </c>
      <c r="E61" s="75">
        <f>'Annual Raw'!F33+'Annual Raw'!F28</f>
        <v>0</v>
      </c>
      <c r="F61" s="75">
        <f>'Annual Raw'!G33+'Annual Raw'!G28</f>
        <v>0</v>
      </c>
      <c r="G61" s="75">
        <f>'Annual Raw'!H33+'Annual Raw'!H28</f>
        <v>0</v>
      </c>
      <c r="H61" s="75">
        <f>'Annual Raw'!I33+'Annual Raw'!I28</f>
        <v>0</v>
      </c>
      <c r="I61" s="75">
        <f>'Annual Raw'!J33+'Annual Raw'!J28</f>
        <v>0</v>
      </c>
      <c r="J61" s="75">
        <f>'Annual Raw'!K33+'Annual Raw'!K28</f>
        <v>0</v>
      </c>
      <c r="K61" s="75">
        <f>'Annual Raw'!L33+'Annual Raw'!L28</f>
        <v>0</v>
      </c>
      <c r="L61" s="75">
        <f>'Annual Raw'!M33+'Annual Raw'!M28</f>
        <v>0</v>
      </c>
      <c r="M61" s="75">
        <f>'Annual Raw'!N33+'Annual Raw'!N28</f>
        <v>0</v>
      </c>
      <c r="N61" s="75">
        <f>'Annual Raw'!O33+'Annual Raw'!O28</f>
        <v>0</v>
      </c>
      <c r="O61" s="75">
        <f>'Annual Raw'!P33+'Annual Raw'!P28</f>
        <v>0</v>
      </c>
      <c r="P61" s="75">
        <f>'Annual Raw'!Q33+'Annual Raw'!Q28</f>
        <v>0</v>
      </c>
      <c r="Q61" s="75">
        <f>'Annual Raw'!R33+'Annual Raw'!R28</f>
        <v>0</v>
      </c>
      <c r="R61" s="75">
        <f>'Annual Raw'!S33+'Annual Raw'!S28</f>
        <v>0</v>
      </c>
      <c r="S61" s="75">
        <f>'Annual Raw'!T33+'Annual Raw'!T28</f>
        <v>0</v>
      </c>
      <c r="T61" s="75">
        <f>'Annual Raw'!U33+'Annual Raw'!U28</f>
        <v>0</v>
      </c>
      <c r="U61" s="75">
        <f>'Annual Raw'!V33+'Annual Raw'!V28</f>
        <v>0</v>
      </c>
      <c r="V61" s="75">
        <f>'Annual Raw'!W33+'Annual Raw'!W28</f>
        <v>0</v>
      </c>
      <c r="W61" s="75">
        <f>'Annual Raw'!X33+'Annual Raw'!X28</f>
        <v>0</v>
      </c>
      <c r="X61" s="75">
        <f>'Annual Raw'!Y33+'Annual Raw'!Y28</f>
        <v>0</v>
      </c>
      <c r="Y61" s="75">
        <f>'Annual Raw'!Z33+'Annual Raw'!Z28</f>
        <v>0</v>
      </c>
      <c r="Z61" s="75">
        <f>'Annual Raw'!AA33+'Annual Raw'!AA28</f>
        <v>0</v>
      </c>
      <c r="AA61" s="75">
        <f>'Annual Raw'!AB33+'Annual Raw'!AB28</f>
        <v>0</v>
      </c>
      <c r="AB61" s="76">
        <f t="shared" si="671"/>
        <v>0</v>
      </c>
      <c r="AC61" s="76">
        <f t="shared" si="672"/>
        <v>0</v>
      </c>
      <c r="AD61" s="76">
        <f t="shared" si="673"/>
        <v>0</v>
      </c>
      <c r="AE61" s="76">
        <f t="shared" si="674"/>
        <v>0</v>
      </c>
      <c r="AI61" s="75">
        <f>'QTR Raw'!C35</f>
        <v>0</v>
      </c>
      <c r="AJ61" s="75">
        <f>'QTR Raw'!D35</f>
        <v>0</v>
      </c>
      <c r="AK61" s="75">
        <f>'QTR Raw'!E35</f>
        <v>0</v>
      </c>
      <c r="AL61" s="75">
        <f>'QTR Raw'!F35</f>
        <v>0</v>
      </c>
      <c r="AM61" s="75">
        <f>'QTR Raw'!G35</f>
        <v>0</v>
      </c>
      <c r="AN61" s="75">
        <f>'QTR Raw'!H35</f>
        <v>0</v>
      </c>
      <c r="AO61" s="75">
        <f>'QTR Raw'!I35</f>
        <v>0</v>
      </c>
      <c r="AP61" s="75">
        <f>'QTR Raw'!J35</f>
        <v>0</v>
      </c>
      <c r="AQ61" s="75">
        <f>'QTR Raw'!K35</f>
        <v>0</v>
      </c>
      <c r="AR61" s="75">
        <f>'QTR Raw'!L35</f>
        <v>0</v>
      </c>
      <c r="AS61" s="75">
        <f>'QTR Raw'!M35</f>
        <v>0</v>
      </c>
      <c r="AT61" s="75">
        <f>'QTR Raw'!N35</f>
        <v>0</v>
      </c>
      <c r="AU61" s="75">
        <f>'QTR Raw'!O35</f>
        <v>0</v>
      </c>
      <c r="AV61" s="75">
        <f>'QTR Raw'!P35</f>
        <v>0</v>
      </c>
      <c r="AW61" s="75">
        <f>'QTR Raw'!Q35</f>
        <v>0</v>
      </c>
      <c r="AX61" s="75">
        <f>'QTR Raw'!R35</f>
        <v>0</v>
      </c>
      <c r="AY61" s="75">
        <f>'QTR Raw'!S35</f>
        <v>0</v>
      </c>
      <c r="AZ61" s="75">
        <f>'QTR Raw'!T35</f>
        <v>0</v>
      </c>
      <c r="BA61" s="75">
        <f>'QTR Raw'!U35</f>
        <v>0</v>
      </c>
      <c r="BB61" s="75">
        <f>'QTR Raw'!V35</f>
        <v>0</v>
      </c>
      <c r="BC61" s="75">
        <f>'QTR Raw'!W35</f>
        <v>0</v>
      </c>
      <c r="BD61" s="75">
        <f>'QTR Raw'!X35</f>
        <v>0</v>
      </c>
      <c r="BE61" s="75">
        <f>'QTR Raw'!Y35</f>
        <v>0</v>
      </c>
      <c r="BF61" s="75">
        <f>'QTR Raw'!Z35</f>
        <v>0</v>
      </c>
      <c r="BG61" s="75">
        <f>'QTR Raw'!AA35</f>
        <v>0</v>
      </c>
      <c r="BH61" s="75">
        <f>'QTR Raw'!AB35</f>
        <v>0</v>
      </c>
      <c r="BI61" s="75">
        <f>'QTR Raw'!AC35</f>
        <v>0</v>
      </c>
      <c r="BJ61" s="75">
        <f>'QTR Raw'!AD35</f>
        <v>0</v>
      </c>
      <c r="BK61" s="75">
        <f>'QTR Raw'!AE35</f>
        <v>0</v>
      </c>
      <c r="BL61" s="75">
        <f>'QTR Raw'!AF35</f>
        <v>0</v>
      </c>
      <c r="BM61" s="75">
        <f>'QTR Raw'!AG35</f>
        <v>0</v>
      </c>
      <c r="BN61" s="75">
        <f>'QTR Raw'!AH35</f>
        <v>0</v>
      </c>
      <c r="BO61" s="75">
        <f>'QTR Raw'!AI35</f>
        <v>0</v>
      </c>
      <c r="BP61" s="75">
        <f>'QTR Raw'!AJ35</f>
        <v>0</v>
      </c>
      <c r="BQ61" s="75">
        <f>'QTR Raw'!AK35</f>
        <v>0</v>
      </c>
      <c r="BR61" s="75">
        <f>'QTR Raw'!AL35</f>
        <v>0</v>
      </c>
      <c r="BS61" s="75">
        <f>'QTR Raw'!AM35</f>
        <v>0</v>
      </c>
      <c r="BT61" s="75">
        <f>'QTR Raw'!AN35</f>
        <v>0</v>
      </c>
      <c r="BU61" s="75">
        <f>'QTR Raw'!AO35</f>
        <v>0</v>
      </c>
      <c r="BV61" s="75">
        <f>'QTR Raw'!AP35</f>
        <v>0</v>
      </c>
      <c r="BW61" s="75">
        <f>'QTR Raw'!AQ35</f>
        <v>0</v>
      </c>
      <c r="BX61" s="75">
        <f>'QTR Raw'!AR35</f>
        <v>0</v>
      </c>
      <c r="BY61" s="75">
        <f>'QTR Raw'!AS35</f>
        <v>0</v>
      </c>
      <c r="BZ61" s="75">
        <f>'QTR Raw'!AT35</f>
        <v>0</v>
      </c>
      <c r="CA61" s="75">
        <f>'QTR Raw'!AU35</f>
        <v>0</v>
      </c>
      <c r="CB61" s="75">
        <f>'QTR Raw'!AV35</f>
        <v>0</v>
      </c>
      <c r="CC61" s="75">
        <f>'QTR Raw'!AW35</f>
        <v>0</v>
      </c>
      <c r="CD61" s="75">
        <f>'QTR Raw'!AX35</f>
        <v>0</v>
      </c>
      <c r="CE61" s="75">
        <f>'QTR Raw'!AY35</f>
        <v>0</v>
      </c>
      <c r="CF61" s="75">
        <f>'QTR Raw'!AZ35</f>
        <v>0</v>
      </c>
      <c r="CG61" s="75">
        <f>'QTR Raw'!BA35</f>
        <v>0</v>
      </c>
      <c r="CH61" s="75">
        <f>'QTR Raw'!BB35</f>
        <v>0</v>
      </c>
      <c r="CI61" s="75">
        <f>'QTR Raw'!BC35</f>
        <v>0</v>
      </c>
      <c r="CJ61" s="75">
        <f>'QTR Raw'!BD35</f>
        <v>0</v>
      </c>
      <c r="CK61" s="75">
        <f>'QTR Raw'!BE35</f>
        <v>0</v>
      </c>
      <c r="CL61" s="75">
        <f>'QTR Raw'!BF35</f>
        <v>0</v>
      </c>
      <c r="CM61" s="76">
        <f t="shared" si="675"/>
        <v>0</v>
      </c>
      <c r="CN61" s="76">
        <f t="shared" si="676"/>
        <v>0</v>
      </c>
      <c r="CO61" s="76">
        <f t="shared" si="677"/>
        <v>0</v>
      </c>
      <c r="CP61" s="76">
        <f t="shared" si="678"/>
        <v>0</v>
      </c>
      <c r="CQ61" s="76">
        <f t="shared" si="679"/>
        <v>0</v>
      </c>
      <c r="CR61" s="76">
        <f t="shared" si="680"/>
        <v>0</v>
      </c>
      <c r="CS61" s="76">
        <f t="shared" si="681"/>
        <v>0</v>
      </c>
      <c r="CT61" s="76">
        <f t="shared" si="682"/>
        <v>0</v>
      </c>
      <c r="CU61" s="76">
        <f t="shared" si="683"/>
        <v>0</v>
      </c>
      <c r="CV61" s="76">
        <f t="shared" si="684"/>
        <v>0</v>
      </c>
      <c r="CW61" s="76">
        <f t="shared" si="685"/>
        <v>0</v>
      </c>
      <c r="CX61" s="76">
        <f t="shared" si="686"/>
        <v>0</v>
      </c>
      <c r="CY61" s="76">
        <f t="shared" si="687"/>
        <v>0</v>
      </c>
      <c r="CZ61" s="76">
        <f t="shared" si="688"/>
        <v>0</v>
      </c>
      <c r="DA61" s="76">
        <f t="shared" si="689"/>
        <v>0</v>
      </c>
      <c r="DB61" s="76">
        <f t="shared" si="690"/>
        <v>0</v>
      </c>
      <c r="DE61" s="131"/>
      <c r="DF61" s="75">
        <v>0</v>
      </c>
    </row>
    <row r="62" spans="1:110" s="23" customFormat="1" x14ac:dyDescent="0.2">
      <c r="A62" s="23" t="s">
        <v>19</v>
      </c>
      <c r="B62" s="75">
        <f>'Annual Raw'!C29+'Annual Raw'!C31+'Annual Raw'!C34+'Annual Raw'!C36</f>
        <v>0</v>
      </c>
      <c r="C62" s="75">
        <f>'Annual Raw'!D29+'Annual Raw'!D31+'Annual Raw'!D34+'Annual Raw'!D36</f>
        <v>-0.75239999999999996</v>
      </c>
      <c r="D62" s="75">
        <f>'Annual Raw'!E29+'Annual Raw'!E31+'Annual Raw'!E34+'Annual Raw'!E36</f>
        <v>0</v>
      </c>
      <c r="E62" s="75">
        <f>'Annual Raw'!F29+'Annual Raw'!F31+'Annual Raw'!F34+'Annual Raw'!F36</f>
        <v>-1.556</v>
      </c>
      <c r="F62" s="75">
        <f>'Annual Raw'!G29+'Annual Raw'!G31+'Annual Raw'!G34+'Annual Raw'!G36</f>
        <v>0</v>
      </c>
      <c r="G62" s="75">
        <f>'Annual Raw'!H29+'Annual Raw'!H31+'Annual Raw'!H34+'Annual Raw'!H36</f>
        <v>-8.0586000000000002</v>
      </c>
      <c r="H62" s="75">
        <f>'Annual Raw'!I29+'Annual Raw'!I31+'Annual Raw'!I34+'Annual Raw'!I36</f>
        <v>0</v>
      </c>
      <c r="I62" s="75">
        <f>'Annual Raw'!J29+'Annual Raw'!J31+'Annual Raw'!J34+'Annual Raw'!J36</f>
        <v>0</v>
      </c>
      <c r="J62" s="75">
        <f>'Annual Raw'!K29+'Annual Raw'!K31+'Annual Raw'!K34+'Annual Raw'!K36</f>
        <v>-8.7594999999999992</v>
      </c>
      <c r="K62" s="75">
        <f>'Annual Raw'!L29+'Annual Raw'!L31+'Annual Raw'!L34+'Annual Raw'!L36</f>
        <v>0</v>
      </c>
      <c r="L62" s="75">
        <f>'Annual Raw'!M29+'Annual Raw'!M31+'Annual Raw'!M34+'Annual Raw'!M36</f>
        <v>0</v>
      </c>
      <c r="M62" s="75">
        <f>'Annual Raw'!N29+'Annual Raw'!N31+'Annual Raw'!N34+'Annual Raw'!N36</f>
        <v>-65.36</v>
      </c>
      <c r="N62" s="75">
        <f>'Annual Raw'!O29+'Annual Raw'!O31+'Annual Raw'!O34+'Annual Raw'!O36</f>
        <v>-37.49</v>
      </c>
      <c r="O62" s="75">
        <f>'Annual Raw'!P29+'Annual Raw'!P31+'Annual Raw'!P34+'Annual Raw'!P36</f>
        <v>0</v>
      </c>
      <c r="P62" s="75">
        <f>'Annual Raw'!Q29+'Annual Raw'!Q31+'Annual Raw'!Q34+'Annual Raw'!Q36</f>
        <v>0</v>
      </c>
      <c r="Q62" s="75">
        <f>'Annual Raw'!R29+'Annual Raw'!R31+'Annual Raw'!R34+'Annual Raw'!R36</f>
        <v>-193.63</v>
      </c>
      <c r="R62" s="75">
        <f>'Annual Raw'!S29+'Annual Raw'!S31+'Annual Raw'!S34+'Annual Raw'!S36</f>
        <v>0</v>
      </c>
      <c r="S62" s="75">
        <f>'Annual Raw'!T29+'Annual Raw'!T31+'Annual Raw'!T34+'Annual Raw'!T36</f>
        <v>0</v>
      </c>
      <c r="T62" s="75">
        <f>'Annual Raw'!U29+'Annual Raw'!U31+'Annual Raw'!U34+'Annual Raw'!U36</f>
        <v>-357.01</v>
      </c>
      <c r="U62" s="75">
        <f>'Annual Raw'!V29+'Annual Raw'!V31+'Annual Raw'!V34+'Annual Raw'!V36</f>
        <v>0</v>
      </c>
      <c r="V62" s="75">
        <f>'Annual Raw'!W29+'Annual Raw'!W31+'Annual Raw'!W34+'Annual Raw'!W36</f>
        <v>0</v>
      </c>
      <c r="W62" s="75">
        <f>'Annual Raw'!X29+'Annual Raw'!X31+'Annual Raw'!X34+'Annual Raw'!X36</f>
        <v>-484.7</v>
      </c>
      <c r="X62" s="75">
        <f>'Annual Raw'!Y29+'Annual Raw'!Y31+'Annual Raw'!Y34+'Annual Raw'!Y36</f>
        <v>0</v>
      </c>
      <c r="Y62" s="75">
        <f>'Annual Raw'!Z29+'Annual Raw'!Z31+'Annual Raw'!Z34+'Annual Raw'!Z36</f>
        <v>88.38</v>
      </c>
      <c r="Z62" s="75">
        <f>'Annual Raw'!AA29+'Annual Raw'!AA31+'Annual Raw'!AA34+'Annual Raw'!AA36</f>
        <v>-24.21</v>
      </c>
      <c r="AA62" s="75">
        <f>'Annual Raw'!AB29+'Annual Raw'!AB31+'Annual Raw'!AB34+'Annual Raw'!AB36</f>
        <v>-88.75</v>
      </c>
      <c r="AB62" s="76">
        <f>+SUM(CM62:CP62)</f>
        <v>0</v>
      </c>
      <c r="AC62" s="76">
        <f>+SUM(CQ62:CT62)</f>
        <v>0</v>
      </c>
      <c r="AD62" s="76">
        <f>+SUM(CU62:CX62)</f>
        <v>0</v>
      </c>
      <c r="AE62" s="76">
        <f>+SUM(CY62:DB62)</f>
        <v>0</v>
      </c>
      <c r="AI62" s="75">
        <f>'QTR Raw'!C26+'QTR Raw'!C31+'QTR Raw'!C32+'QTR Raw'!C33+'QTR Raw'!C36+'QTR Raw'!C37+'QTR Raw'!C39</f>
        <v>0</v>
      </c>
      <c r="AJ62" s="75">
        <f>'QTR Raw'!D26+'QTR Raw'!D31+'QTR Raw'!D32+'QTR Raw'!D33+'QTR Raw'!D36+'QTR Raw'!D37+'QTR Raw'!D39</f>
        <v>0</v>
      </c>
      <c r="AK62" s="75">
        <f>'QTR Raw'!E26+'QTR Raw'!E31+'QTR Raw'!E32+'QTR Raw'!E33+'QTR Raw'!E36+'QTR Raw'!E37+'QTR Raw'!E39</f>
        <v>0</v>
      </c>
      <c r="AL62" s="75">
        <f>'QTR Raw'!F26+'QTR Raw'!F31+'QTR Raw'!F32+'QTR Raw'!F33+'QTR Raw'!F36+'QTR Raw'!F37+'QTR Raw'!F39</f>
        <v>-37</v>
      </c>
      <c r="AM62" s="75">
        <f>'QTR Raw'!G26+'QTR Raw'!G31+'QTR Raw'!G32+'QTR Raw'!G33+'QTR Raw'!G36+'QTR Raw'!G37+'QTR Raw'!G39</f>
        <v>0</v>
      </c>
      <c r="AN62" s="75">
        <f>'QTR Raw'!H26+'QTR Raw'!H31+'QTR Raw'!H32+'QTR Raw'!H33+'QTR Raw'!H36+'QTR Raw'!H37+'QTR Raw'!H39</f>
        <v>0</v>
      </c>
      <c r="AO62" s="75">
        <f>'QTR Raw'!I26+'QTR Raw'!I31+'QTR Raw'!I32+'QTR Raw'!I33+'QTR Raw'!I36+'QTR Raw'!I37+'QTR Raw'!I39</f>
        <v>0</v>
      </c>
      <c r="AP62" s="75">
        <f>'QTR Raw'!J26+'QTR Raw'!J31+'QTR Raw'!J32+'QTR Raw'!J33+'QTR Raw'!J36+'QTR Raw'!J37+'QTR Raw'!J39</f>
        <v>0</v>
      </c>
      <c r="AQ62" s="75">
        <f>'QTR Raw'!K26+'QTR Raw'!K31+'QTR Raw'!K32+'QTR Raw'!K33+'QTR Raw'!K36+'QTR Raw'!K37+'QTR Raw'!K39</f>
        <v>0</v>
      </c>
      <c r="AR62" s="75">
        <f>'QTR Raw'!L26+'QTR Raw'!L31+'QTR Raw'!L32+'QTR Raw'!L33+'QTR Raw'!L36+'QTR Raw'!L37+'QTR Raw'!L39</f>
        <v>0</v>
      </c>
      <c r="AS62" s="75">
        <f>'QTR Raw'!M26+'QTR Raw'!M31+'QTR Raw'!M32+'QTR Raw'!M33+'QTR Raw'!M36+'QTR Raw'!M37+'QTR Raw'!M39</f>
        <v>0</v>
      </c>
      <c r="AT62" s="75">
        <f>'QTR Raw'!N26+'QTR Raw'!N31+'QTR Raw'!N32+'QTR Raw'!N33+'QTR Raw'!N36+'QTR Raw'!N37+'QTR Raw'!N39</f>
        <v>0</v>
      </c>
      <c r="AU62" s="75">
        <f>'QTR Raw'!O26+'QTR Raw'!O31+'QTR Raw'!O32+'QTR Raw'!O33+'QTR Raw'!O36+'QTR Raw'!O37+'QTR Raw'!O39</f>
        <v>0</v>
      </c>
      <c r="AV62" s="75">
        <f>'QTR Raw'!P26+'QTR Raw'!P31+'QTR Raw'!P32+'QTR Raw'!P33+'QTR Raw'!P36+'QTR Raw'!P37+'QTR Raw'!P39</f>
        <v>0</v>
      </c>
      <c r="AW62" s="75">
        <f>'QTR Raw'!Q26+'QTR Raw'!Q31+'QTR Raw'!Q32+'QTR Raw'!Q33+'QTR Raw'!Q36+'QTR Raw'!Q37+'QTR Raw'!Q39</f>
        <v>-194</v>
      </c>
      <c r="AX62" s="75">
        <f>'QTR Raw'!R26+'QTR Raw'!R31+'QTR Raw'!R32+'QTR Raw'!R33+'QTR Raw'!R36+'QTR Raw'!R37+'QTR Raw'!R39</f>
        <v>0</v>
      </c>
      <c r="AY62" s="75">
        <f>'QTR Raw'!S26+'QTR Raw'!S31+'QTR Raw'!S32+'QTR Raw'!S33+'QTR Raw'!S36+'QTR Raw'!S37+'QTR Raw'!S39</f>
        <v>0</v>
      </c>
      <c r="AZ62" s="75">
        <f>'QTR Raw'!T26+'QTR Raw'!T31+'QTR Raw'!T32+'QTR Raw'!T33+'QTR Raw'!T36+'QTR Raw'!T37+'QTR Raw'!T39</f>
        <v>0</v>
      </c>
      <c r="BA62" s="75">
        <f>'QTR Raw'!U26+'QTR Raw'!U31+'QTR Raw'!U32+'QTR Raw'!U33+'QTR Raw'!U36+'QTR Raw'!U37+'QTR Raw'!U39</f>
        <v>0</v>
      </c>
      <c r="BB62" s="75">
        <f>'QTR Raw'!V26+'QTR Raw'!V31+'QTR Raw'!V32+'QTR Raw'!V33+'QTR Raw'!V36+'QTR Raw'!V37+'QTR Raw'!V39</f>
        <v>0</v>
      </c>
      <c r="BC62" s="75">
        <f>'QTR Raw'!W26+'QTR Raw'!W31+'QTR Raw'!W32+'QTR Raw'!W33+'QTR Raw'!W36+'QTR Raw'!W37+'QTR Raw'!W39</f>
        <v>0</v>
      </c>
      <c r="BD62" s="75">
        <f>'QTR Raw'!X26+'QTR Raw'!X31+'QTR Raw'!X32+'QTR Raw'!X33+'QTR Raw'!X36+'QTR Raw'!X37+'QTR Raw'!X39</f>
        <v>0</v>
      </c>
      <c r="BE62" s="75">
        <f>'QTR Raw'!Y26+'QTR Raw'!Y31+'QTR Raw'!Y32+'QTR Raw'!Y33+'QTR Raw'!Y36+'QTR Raw'!Y37+'QTR Raw'!Y39</f>
        <v>0</v>
      </c>
      <c r="BF62" s="75">
        <f>'QTR Raw'!Z26+'QTR Raw'!Z31+'QTR Raw'!Z32+'QTR Raw'!Z33+'QTR Raw'!Z36+'QTR Raw'!Z37+'QTR Raw'!Z39</f>
        <v>0</v>
      </c>
      <c r="BG62" s="75">
        <f>'QTR Raw'!AA26+'QTR Raw'!AA31+'QTR Raw'!AA32+'QTR Raw'!AA33+'QTR Raw'!AA36+'QTR Raw'!AA37+'QTR Raw'!AA39</f>
        <v>0</v>
      </c>
      <c r="BH62" s="75">
        <f>'QTR Raw'!AB26+'QTR Raw'!AB31+'QTR Raw'!AB32+'QTR Raw'!AB33+'QTR Raw'!AB36+'QTR Raw'!AB37+'QTR Raw'!AB39</f>
        <v>0</v>
      </c>
      <c r="BI62" s="75">
        <f>'QTR Raw'!AC26+'QTR Raw'!AC31+'QTR Raw'!AC32+'QTR Raw'!AC33+'QTR Raw'!AC36+'QTR Raw'!AC37+'QTR Raw'!AC39</f>
        <v>0</v>
      </c>
      <c r="BJ62" s="75">
        <f>'QTR Raw'!AD26+'QTR Raw'!AD31+'QTR Raw'!AD32+'QTR Raw'!AD33+'QTR Raw'!AD36+'QTR Raw'!AD37+'QTR Raw'!AD39</f>
        <v>-357</v>
      </c>
      <c r="BK62" s="75">
        <f>'QTR Raw'!AE26+'QTR Raw'!AE31+'QTR Raw'!AE32+'QTR Raw'!AE33+'QTR Raw'!AE36+'QTR Raw'!AE37+'QTR Raw'!AE39</f>
        <v>0</v>
      </c>
      <c r="BL62" s="75">
        <f>'QTR Raw'!AF26+'QTR Raw'!AF31+'QTR Raw'!AF32+'QTR Raw'!AF33+'QTR Raw'!AF36+'QTR Raw'!AF37+'QTR Raw'!AF39</f>
        <v>0</v>
      </c>
      <c r="BM62" s="75">
        <f>'QTR Raw'!AG26+'QTR Raw'!AG31+'QTR Raw'!AG32+'QTR Raw'!AG33+'QTR Raw'!AG36+'QTR Raw'!AG37+'QTR Raw'!AG39</f>
        <v>0</v>
      </c>
      <c r="BN62" s="75">
        <f>'QTR Raw'!AH26+'QTR Raw'!AH31+'QTR Raw'!AH32+'QTR Raw'!AH33+'QTR Raw'!AH36+'QTR Raw'!AH37+'QTR Raw'!AH39</f>
        <v>0</v>
      </c>
      <c r="BO62" s="75">
        <f>'QTR Raw'!AI26+'QTR Raw'!AI31+'QTR Raw'!AI32+'QTR Raw'!AI33+'QTR Raw'!AI36+'QTR Raw'!AI37+'QTR Raw'!AI39</f>
        <v>0</v>
      </c>
      <c r="BP62" s="75">
        <f>'QTR Raw'!AJ26+'QTR Raw'!AJ31+'QTR Raw'!AJ32+'QTR Raw'!AJ33+'QTR Raw'!AJ36+'QTR Raw'!AJ37+'QTR Raw'!AJ39</f>
        <v>0</v>
      </c>
      <c r="BQ62" s="75">
        <f>'QTR Raw'!AK26+'QTR Raw'!AK31+'QTR Raw'!AK32+'QTR Raw'!AK33+'QTR Raw'!AK36+'QTR Raw'!AK37+'QTR Raw'!AK39</f>
        <v>0</v>
      </c>
      <c r="BR62" s="75">
        <f>'QTR Raw'!AL26+'QTR Raw'!AL31+'QTR Raw'!AL32+'QTR Raw'!AL33+'QTR Raw'!AL36+'QTR Raw'!AL37+'QTR Raw'!AL39</f>
        <v>0</v>
      </c>
      <c r="BS62" s="75">
        <f>'QTR Raw'!AM26+'QTR Raw'!AM31+'QTR Raw'!AM32+'QTR Raw'!AM33+'QTR Raw'!AM36+'QTR Raw'!AM37+'QTR Raw'!AM39</f>
        <v>0</v>
      </c>
      <c r="BT62" s="75">
        <f>'QTR Raw'!AN26+'QTR Raw'!AN31+'QTR Raw'!AN32+'QTR Raw'!AN33+'QTR Raw'!AN36+'QTR Raw'!AN37+'QTR Raw'!AN39</f>
        <v>0</v>
      </c>
      <c r="BU62" s="75">
        <f>'QTR Raw'!AO26+'QTR Raw'!AO31+'QTR Raw'!AO32+'QTR Raw'!AO33+'QTR Raw'!AO36+'QTR Raw'!AO37+'QTR Raw'!AO39</f>
        <v>0</v>
      </c>
      <c r="BV62" s="75">
        <f>'QTR Raw'!AP26+'QTR Raw'!AP31+'QTR Raw'!AP32+'QTR Raw'!AP33+'QTR Raw'!AP36+'QTR Raw'!AP37+'QTR Raw'!AP39</f>
        <v>-485</v>
      </c>
      <c r="BW62" s="75">
        <f>'QTR Raw'!AQ26+'QTR Raw'!AQ31+'QTR Raw'!AQ32+'QTR Raw'!AQ33+'QTR Raw'!AQ36+'QTR Raw'!AQ37+'QTR Raw'!AQ39</f>
        <v>0</v>
      </c>
      <c r="BX62" s="75">
        <f>'QTR Raw'!AR26+'QTR Raw'!AR31+'QTR Raw'!AR32+'QTR Raw'!AR33+'QTR Raw'!AR36+'QTR Raw'!AR37+'QTR Raw'!AR39</f>
        <v>0</v>
      </c>
      <c r="BY62" s="75">
        <f>'QTR Raw'!AS26+'QTR Raw'!AS31+'QTR Raw'!AS32+'QTR Raw'!AS33+'QTR Raw'!AS36+'QTR Raw'!AS37+'QTR Raw'!AS39</f>
        <v>0</v>
      </c>
      <c r="BZ62" s="75">
        <f>'QTR Raw'!AT26+'QTR Raw'!AT31+'QTR Raw'!AT32+'QTR Raw'!AT33+'QTR Raw'!AT36+'QTR Raw'!AT37+'QTR Raw'!AT39</f>
        <v>0</v>
      </c>
      <c r="CA62" s="75">
        <f>'QTR Raw'!AU26+'QTR Raw'!AU31+'QTR Raw'!AU32+'QTR Raw'!AU33+'QTR Raw'!AU36+'QTR Raw'!AU37+'QTR Raw'!AU39</f>
        <v>0</v>
      </c>
      <c r="CB62" s="75">
        <f>'QTR Raw'!AV26+'QTR Raw'!AV31+'QTR Raw'!AV32+'QTR Raw'!AV33+'QTR Raw'!AV36+'QTR Raw'!AV37+'QTR Raw'!AV39</f>
        <v>0</v>
      </c>
      <c r="CC62" s="75">
        <f>'QTR Raw'!AW26+'QTR Raw'!AW31+'QTR Raw'!AW32+'QTR Raw'!AW33+'QTR Raw'!AW36+'QTR Raw'!AW37+'QTR Raw'!AW39</f>
        <v>88</v>
      </c>
      <c r="CD62" s="75">
        <f>'QTR Raw'!AX26+'QTR Raw'!AX31+'QTR Raw'!AX32+'QTR Raw'!AX33+'QTR Raw'!AX36+'QTR Raw'!AX37+'QTR Raw'!AX39</f>
        <v>0</v>
      </c>
      <c r="CE62" s="75">
        <f>'QTR Raw'!AY26+'QTR Raw'!AY31+'QTR Raw'!AY32+'QTR Raw'!AY33+'QTR Raw'!AY36+'QTR Raw'!AY37+'QTR Raw'!AY39</f>
        <v>0</v>
      </c>
      <c r="CF62" s="75">
        <f>'QTR Raw'!AZ26+'QTR Raw'!AZ31+'QTR Raw'!AZ32+'QTR Raw'!AZ33+'QTR Raw'!AZ36+'QTR Raw'!AZ37+'QTR Raw'!AZ39</f>
        <v>0</v>
      </c>
      <c r="CG62" s="75">
        <f>'QTR Raw'!BA26+'QTR Raw'!BA31+'QTR Raw'!BA32+'QTR Raw'!BA33+'QTR Raw'!BA36+'QTR Raw'!BA37+'QTR Raw'!BA39</f>
        <v>0</v>
      </c>
      <c r="CH62" s="75">
        <f>'QTR Raw'!BB26+'QTR Raw'!BB31+'QTR Raw'!BB32+'QTR Raw'!BB33+'QTR Raw'!BB36+'QTR Raw'!BB37+'QTR Raw'!BB39</f>
        <v>-24</v>
      </c>
      <c r="CI62" s="75">
        <f>'QTR Raw'!BC26+'QTR Raw'!BC31+'QTR Raw'!BC32+'QTR Raw'!BC33+'QTR Raw'!BC36+'QTR Raw'!BC37+'QTR Raw'!BC39</f>
        <v>0</v>
      </c>
      <c r="CJ62" s="75">
        <f>'QTR Raw'!BD26+'QTR Raw'!BD31+'QTR Raw'!BD32+'QTR Raw'!BD33+'QTR Raw'!BD36+'QTR Raw'!BD37+'QTR Raw'!BD39</f>
        <v>-13</v>
      </c>
      <c r="CK62" s="75">
        <f>'QTR Raw'!BE26+'QTR Raw'!BE31+'QTR Raw'!BE32+'QTR Raw'!BE33+'QTR Raw'!BE36+'QTR Raw'!BE37+'QTR Raw'!BE39</f>
        <v>-10</v>
      </c>
      <c r="CL62" s="75">
        <f>'QTR Raw'!BF26+'QTR Raw'!BF31+'QTR Raw'!BF32+'QTR Raw'!BF33+'QTR Raw'!BF36+'QTR Raw'!BF37+'QTR Raw'!BF39</f>
        <v>-66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3"/>
      <c r="DF62" s="23">
        <v>-89</v>
      </c>
    </row>
    <row r="63" spans="1:110" s="26" customFormat="1" x14ac:dyDescent="0.2">
      <c r="A63" s="35" t="s">
        <v>25</v>
      </c>
      <c r="B63" s="26">
        <f>B56+B60+B61+B62</f>
        <v>42.806400000000039</v>
      </c>
      <c r="C63" s="26">
        <f>C56+C60+C61+C62</f>
        <v>46.039499999999983</v>
      </c>
      <c r="D63" s="26">
        <f>D56+D60+D61+D62</f>
        <v>44.288699999999963</v>
      </c>
      <c r="E63" s="26">
        <f t="shared" ref="E63:U63" si="691">E56+E60+E61+E62</f>
        <v>54.554400000000058</v>
      </c>
      <c r="F63" s="26">
        <f t="shared" si="691"/>
        <v>48.761899999999955</v>
      </c>
      <c r="G63" s="26">
        <f t="shared" si="691"/>
        <v>50.86269999999984</v>
      </c>
      <c r="H63" s="26">
        <f t="shared" si="691"/>
        <v>93.513200000000282</v>
      </c>
      <c r="I63" s="26">
        <f t="shared" si="691"/>
        <v>134.67669999999993</v>
      </c>
      <c r="J63" s="26">
        <f t="shared" si="691"/>
        <v>184.36959999999982</v>
      </c>
      <c r="K63" s="26">
        <f t="shared" si="691"/>
        <v>231.1953000000002</v>
      </c>
      <c r="L63" s="26">
        <f t="shared" si="691"/>
        <v>270.16950000000054</v>
      </c>
      <c r="M63" s="26">
        <f t="shared" si="691"/>
        <v>284.03999999999957</v>
      </c>
      <c r="N63" s="26">
        <f t="shared" si="691"/>
        <v>432.76000000000005</v>
      </c>
      <c r="O63" s="26">
        <f t="shared" si="691"/>
        <v>663.88000000000056</v>
      </c>
      <c r="P63" s="26">
        <f t="shared" si="691"/>
        <v>750.93999999999983</v>
      </c>
      <c r="Q63" s="26">
        <f t="shared" si="691"/>
        <v>1733.2400000000011</v>
      </c>
      <c r="R63" s="26">
        <f t="shared" si="691"/>
        <v>933.5499999999995</v>
      </c>
      <c r="S63" s="26">
        <f t="shared" si="691"/>
        <v>678.11000000000024</v>
      </c>
      <c r="T63" s="26">
        <f t="shared" si="691"/>
        <v>436.28000000000054</v>
      </c>
      <c r="U63" s="26">
        <f t="shared" si="691"/>
        <v>1024.7199999999996</v>
      </c>
      <c r="V63" s="26">
        <f>V56+V60+V61+V62</f>
        <v>1251.8800000000006</v>
      </c>
      <c r="W63" s="26">
        <f>W56+W60+W61+W62</f>
        <v>777.17999999999915</v>
      </c>
      <c r="X63" s="26">
        <f>X56+X60+X61+X62</f>
        <v>1245.2299999999991</v>
      </c>
      <c r="Y63" s="26">
        <f>Y56+Y60+Y61+Y62</f>
        <v>1656.38</v>
      </c>
      <c r="Z63" s="26">
        <f>Z56+Z60+Z61+Z62</f>
        <v>1911.2499999999986</v>
      </c>
      <c r="AA63" s="26">
        <f>AA56+AA60+AA61+AA62</f>
        <v>2163.3699999999985</v>
      </c>
      <c r="AB63" s="27">
        <f t="shared" ref="AA63:AD63" si="692">AB56+AB60+AB61+AB62</f>
        <v>2743.8281897512047</v>
      </c>
      <c r="AC63" s="27">
        <f t="shared" si="692"/>
        <v>3659.0671018157041</v>
      </c>
      <c r="AD63" s="27">
        <f t="shared" si="692"/>
        <v>4183.9824993424827</v>
      </c>
      <c r="AE63" s="27">
        <f t="shared" ref="AE63" si="693">AE56+AE60+AE61+AE62</f>
        <v>4376.26589735173</v>
      </c>
      <c r="AI63" s="26">
        <f t="shared" ref="AI63" si="694">AI56+AI60+AI61+AI62</f>
        <v>102</v>
      </c>
      <c r="AJ63" s="26">
        <f t="shared" ref="AJ63" si="695">AJ56+AJ60+AJ61+AJ62</f>
        <v>107</v>
      </c>
      <c r="AK63" s="26">
        <f t="shared" ref="AK63:AM63" si="696">AK56+AK60+AK61+AK62</f>
        <v>112</v>
      </c>
      <c r="AL63" s="26">
        <f t="shared" si="696"/>
        <v>111</v>
      </c>
      <c r="AM63" s="26">
        <f t="shared" si="696"/>
        <v>149</v>
      </c>
      <c r="AN63" s="26">
        <f t="shared" ref="AN63:AO63" si="697">AN56+AN60+AN61+AN62</f>
        <v>113</v>
      </c>
      <c r="AO63" s="26">
        <f t="shared" si="697"/>
        <v>158</v>
      </c>
      <c r="AP63" s="26">
        <f t="shared" ref="AP63:CD63" si="698">AP56+AP60+AP61+AP62</f>
        <v>244</v>
      </c>
      <c r="AQ63" s="26">
        <f t="shared" si="698"/>
        <v>256</v>
      </c>
      <c r="AR63" s="26">
        <f t="shared" si="698"/>
        <v>198</v>
      </c>
      <c r="AS63" s="26">
        <f t="shared" si="698"/>
        <v>167</v>
      </c>
      <c r="AT63" s="26">
        <f t="shared" si="698"/>
        <v>130</v>
      </c>
      <c r="AU63" s="26">
        <f t="shared" si="698"/>
        <v>650</v>
      </c>
      <c r="AV63" s="26">
        <f t="shared" si="698"/>
        <v>509</v>
      </c>
      <c r="AW63" s="26">
        <f t="shared" si="698"/>
        <v>290</v>
      </c>
      <c r="AX63" s="26">
        <f t="shared" si="698"/>
        <v>284</v>
      </c>
      <c r="AY63" s="26">
        <f t="shared" si="698"/>
        <v>292</v>
      </c>
      <c r="AZ63" s="26">
        <f t="shared" si="698"/>
        <v>207</v>
      </c>
      <c r="BA63" s="26">
        <f t="shared" si="698"/>
        <v>229</v>
      </c>
      <c r="BB63" s="26">
        <f t="shared" si="698"/>
        <v>206</v>
      </c>
      <c r="BC63" s="26">
        <f t="shared" si="698"/>
        <v>188</v>
      </c>
      <c r="BD63" s="26">
        <f t="shared" si="698"/>
        <v>204</v>
      </c>
      <c r="BE63" s="26">
        <f t="shared" si="698"/>
        <v>58</v>
      </c>
      <c r="BF63" s="26">
        <f t="shared" si="698"/>
        <v>228</v>
      </c>
      <c r="BG63" s="26">
        <f t="shared" si="698"/>
        <v>163</v>
      </c>
      <c r="BH63" s="26">
        <f t="shared" si="698"/>
        <v>179</v>
      </c>
      <c r="BI63" s="26">
        <f t="shared" si="698"/>
        <v>246</v>
      </c>
      <c r="BJ63" s="26">
        <f t="shared" si="698"/>
        <v>-152</v>
      </c>
      <c r="BK63" s="26">
        <f t="shared" si="698"/>
        <v>216</v>
      </c>
      <c r="BL63" s="26">
        <f t="shared" si="698"/>
        <v>244</v>
      </c>
      <c r="BM63" s="26">
        <f t="shared" si="698"/>
        <v>251</v>
      </c>
      <c r="BN63" s="26">
        <f t="shared" si="698"/>
        <v>314</v>
      </c>
      <c r="BO63" s="26">
        <f t="shared" si="698"/>
        <v>321</v>
      </c>
      <c r="BP63" s="26">
        <f t="shared" si="698"/>
        <v>310</v>
      </c>
      <c r="BQ63" s="26">
        <f t="shared" si="698"/>
        <v>297</v>
      </c>
      <c r="BR63" s="26">
        <f t="shared" si="698"/>
        <v>324</v>
      </c>
      <c r="BS63" s="26">
        <f t="shared" si="698"/>
        <v>330</v>
      </c>
      <c r="BT63" s="26">
        <f t="shared" si="698"/>
        <v>316</v>
      </c>
      <c r="BU63" s="26">
        <f t="shared" si="698"/>
        <v>249</v>
      </c>
      <c r="BV63" s="26">
        <f t="shared" si="698"/>
        <v>-118</v>
      </c>
      <c r="BW63" s="26">
        <f t="shared" si="698"/>
        <v>354</v>
      </c>
      <c r="BX63" s="26">
        <f t="shared" si="698"/>
        <v>312</v>
      </c>
      <c r="BY63" s="26">
        <f t="shared" si="698"/>
        <v>292</v>
      </c>
      <c r="BZ63" s="26">
        <f t="shared" si="698"/>
        <v>287</v>
      </c>
      <c r="CA63" s="26">
        <f t="shared" si="698"/>
        <v>378</v>
      </c>
      <c r="CB63" s="26">
        <f t="shared" si="698"/>
        <v>386</v>
      </c>
      <c r="CC63" s="26">
        <f t="shared" si="698"/>
        <v>443</v>
      </c>
      <c r="CD63" s="26">
        <f t="shared" si="698"/>
        <v>449</v>
      </c>
      <c r="CE63" s="26">
        <f t="shared" ref="CE63:CF63" si="699">CE56+CE60+CE61+CE62</f>
        <v>457</v>
      </c>
      <c r="CF63" s="26">
        <f t="shared" si="699"/>
        <v>453</v>
      </c>
      <c r="CG63" s="26">
        <f t="shared" ref="CG63:CH63" si="700">CG56+CG60+CG61+CG62</f>
        <v>503</v>
      </c>
      <c r="CH63" s="26">
        <f t="shared" si="700"/>
        <v>498</v>
      </c>
      <c r="CI63" s="26">
        <f t="shared" ref="CI63:CJ63" si="701">CI56+CI60+CI61+CI62</f>
        <v>548</v>
      </c>
      <c r="CJ63" s="26">
        <f t="shared" si="701"/>
        <v>591</v>
      </c>
      <c r="CK63" s="26">
        <f t="shared" ref="CK63:CL63" si="702">CK56+CK60+CK61+CK62</f>
        <v>635</v>
      </c>
      <c r="CL63" s="26">
        <f t="shared" si="702"/>
        <v>389</v>
      </c>
      <c r="CM63" s="27">
        <f t="shared" ref="CM63:DB63" si="703">CM56+CM60+CM61+CM62</f>
        <v>576.61927002813036</v>
      </c>
      <c r="CN63" s="27">
        <f t="shared" si="703"/>
        <v>627.25087648792612</v>
      </c>
      <c r="CO63" s="27">
        <f t="shared" si="703"/>
        <v>635.60109942886106</v>
      </c>
      <c r="CP63" s="27">
        <f t="shared" si="703"/>
        <v>904.35694380628547</v>
      </c>
      <c r="CQ63" s="27">
        <f t="shared" si="703"/>
        <v>779.57657547017652</v>
      </c>
      <c r="CR63" s="27">
        <f t="shared" si="703"/>
        <v>840.75256479941299</v>
      </c>
      <c r="CS63" s="27">
        <f t="shared" si="703"/>
        <v>851.37922762658047</v>
      </c>
      <c r="CT63" s="27">
        <f t="shared" si="703"/>
        <v>1187.3587339195362</v>
      </c>
      <c r="CU63" s="27">
        <f t="shared" si="703"/>
        <v>928.62355741502529</v>
      </c>
      <c r="CV63" s="27">
        <f t="shared" si="703"/>
        <v>965.31570639963684</v>
      </c>
      <c r="CW63" s="27">
        <f t="shared" si="703"/>
        <v>964.34211066832711</v>
      </c>
      <c r="CX63" s="27">
        <f t="shared" si="703"/>
        <v>1325.7011248594936</v>
      </c>
      <c r="CY63" s="27">
        <f t="shared" si="703"/>
        <v>989.17319574640555</v>
      </c>
      <c r="CZ63" s="27">
        <f t="shared" si="703"/>
        <v>1020.2291485585158</v>
      </c>
      <c r="DA63" s="27">
        <f t="shared" si="703"/>
        <v>1007.9329316677382</v>
      </c>
      <c r="DB63" s="27">
        <f t="shared" si="703"/>
        <v>1358.9306213790717</v>
      </c>
      <c r="DE63" s="121"/>
      <c r="DF63" s="26">
        <v>706.18797714990103</v>
      </c>
    </row>
    <row r="64" spans="1:110" s="25" customFormat="1" x14ac:dyDescent="0.2">
      <c r="A64" s="151" t="s">
        <v>486</v>
      </c>
      <c r="AB64" s="17"/>
      <c r="AC64" s="17"/>
      <c r="AD64" s="17"/>
      <c r="AE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1" customFormat="1" x14ac:dyDescent="0.2">
      <c r="AB65" s="20"/>
      <c r="AC65" s="20"/>
      <c r="AD65" s="20"/>
      <c r="AE65" s="20"/>
      <c r="BV65" s="183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22" customFormat="1" x14ac:dyDescent="0.2">
      <c r="A66" s="22" t="s">
        <v>434</v>
      </c>
      <c r="B66" s="22">
        <f>'Annual Raw'!C35</f>
        <v>42.806399999999996</v>
      </c>
      <c r="C66" s="22">
        <f>'Annual Raw'!D35</f>
        <v>46.039499999999997</v>
      </c>
      <c r="D66" s="22">
        <f>'Annual Raw'!E35</f>
        <v>44.288699999999999</v>
      </c>
      <c r="E66" s="22">
        <f>'Annual Raw'!F35</f>
        <v>54.554400000000001</v>
      </c>
      <c r="F66" s="22">
        <f>'Annual Raw'!G35</f>
        <v>48.761899999999997</v>
      </c>
      <c r="G66" s="22">
        <f>'Annual Raw'!H35</f>
        <v>50.862699999999997</v>
      </c>
      <c r="H66" s="22">
        <f>'Annual Raw'!I35</f>
        <v>93.513199999999998</v>
      </c>
      <c r="I66" s="22">
        <f>'Annual Raw'!J35</f>
        <v>134.67670000000001</v>
      </c>
      <c r="J66" s="22">
        <f>'Annual Raw'!K35</f>
        <v>184.36959999999999</v>
      </c>
      <c r="K66" s="22">
        <f>'Annual Raw'!L35</f>
        <v>231.1953</v>
      </c>
      <c r="L66" s="22">
        <f>'Annual Raw'!M35</f>
        <v>270.16950000000003</v>
      </c>
      <c r="M66" s="22">
        <f>'Annual Raw'!N35</f>
        <v>284.04000000000002</v>
      </c>
      <c r="N66" s="22">
        <f>'Annual Raw'!O35</f>
        <v>432.76</v>
      </c>
      <c r="O66" s="22">
        <f>'Annual Raw'!P35</f>
        <v>663.88</v>
      </c>
      <c r="P66" s="22">
        <f>'Annual Raw'!Q35</f>
        <v>750.94</v>
      </c>
      <c r="Q66" s="22">
        <f>'Annual Raw'!R35</f>
        <v>1733.24</v>
      </c>
      <c r="R66" s="22">
        <f>'Annual Raw'!S35</f>
        <v>933.55</v>
      </c>
      <c r="S66" s="22">
        <f>'Annual Raw'!T35</f>
        <v>678.11</v>
      </c>
      <c r="T66" s="22">
        <f>'Annual Raw'!U35</f>
        <v>436.28</v>
      </c>
      <c r="U66" s="22">
        <f>'Annual Raw'!V35</f>
        <v>1024.72</v>
      </c>
      <c r="V66" s="22">
        <f>'Annual Raw'!W35</f>
        <v>1251.8800000000001</v>
      </c>
      <c r="W66" s="22">
        <f>'Annual Raw'!X35</f>
        <v>777.18</v>
      </c>
      <c r="X66" s="22">
        <f>'Annual Raw'!Y35</f>
        <v>1245.23</v>
      </c>
      <c r="Y66" s="22">
        <f>'Annual Raw'!Z35</f>
        <v>1656.38</v>
      </c>
      <c r="Z66" s="22">
        <f>'Annual Raw'!AA35</f>
        <v>1911.25</v>
      </c>
      <c r="AA66" s="22">
        <f>'Annual Raw'!AB35</f>
        <v>2163.37</v>
      </c>
      <c r="AB66" s="21">
        <f t="shared" ref="AA66:AD66" si="704">+AB63</f>
        <v>2743.8281897512047</v>
      </c>
      <c r="AC66" s="21">
        <f t="shared" si="704"/>
        <v>3659.0671018157041</v>
      </c>
      <c r="AD66" s="21">
        <f t="shared" si="704"/>
        <v>4183.9824993424827</v>
      </c>
      <c r="AE66" s="21">
        <f t="shared" ref="AE66" si="705">+AE63</f>
        <v>4376.26589735173</v>
      </c>
      <c r="AI66" s="22">
        <f>'QTR Raw'!C42</f>
        <v>102</v>
      </c>
      <c r="AJ66" s="22">
        <f>'QTR Raw'!D42</f>
        <v>107</v>
      </c>
      <c r="AK66" s="22">
        <f>'QTR Raw'!E42</f>
        <v>112</v>
      </c>
      <c r="AL66" s="22">
        <f>'QTR Raw'!F42</f>
        <v>111</v>
      </c>
      <c r="AM66" s="22">
        <f>'QTR Raw'!G42</f>
        <v>149</v>
      </c>
      <c r="AN66" s="22">
        <f>'QTR Raw'!H42</f>
        <v>113</v>
      </c>
      <c r="AO66" s="22">
        <f>'QTR Raw'!I42</f>
        <v>158</v>
      </c>
      <c r="AP66" s="22">
        <f>'QTR Raw'!J42</f>
        <v>244</v>
      </c>
      <c r="AQ66" s="22">
        <f>'QTR Raw'!K42</f>
        <v>256</v>
      </c>
      <c r="AR66" s="22">
        <f>'QTR Raw'!L42</f>
        <v>198</v>
      </c>
      <c r="AS66" s="22">
        <f>'QTR Raw'!M42</f>
        <v>167</v>
      </c>
      <c r="AT66" s="22">
        <f>'QTR Raw'!N42</f>
        <v>130</v>
      </c>
      <c r="AU66" s="22">
        <f>'QTR Raw'!O42</f>
        <v>650</v>
      </c>
      <c r="AV66" s="22">
        <f>'QTR Raw'!P42</f>
        <v>509</v>
      </c>
      <c r="AW66" s="22">
        <f>'QTR Raw'!Q42</f>
        <v>290</v>
      </c>
      <c r="AX66" s="22">
        <f>'QTR Raw'!R42</f>
        <v>284</v>
      </c>
      <c r="AY66" s="22">
        <f>'QTR Raw'!S42</f>
        <v>292</v>
      </c>
      <c r="AZ66" s="22">
        <f>'QTR Raw'!T42</f>
        <v>207</v>
      </c>
      <c r="BA66" s="22">
        <f>'QTR Raw'!U42</f>
        <v>229</v>
      </c>
      <c r="BB66" s="22">
        <f>'QTR Raw'!V42</f>
        <v>206</v>
      </c>
      <c r="BC66" s="22">
        <f>'QTR Raw'!W42</f>
        <v>188</v>
      </c>
      <c r="BD66" s="22">
        <f>'QTR Raw'!X42</f>
        <v>204</v>
      </c>
      <c r="BE66" s="22">
        <f>'QTR Raw'!Y42</f>
        <v>58</v>
      </c>
      <c r="BF66" s="22">
        <f>'QTR Raw'!Z42</f>
        <v>228</v>
      </c>
      <c r="BG66" s="22">
        <f>'QTR Raw'!AA42</f>
        <v>163</v>
      </c>
      <c r="BH66" s="22">
        <f>'QTR Raw'!AB42</f>
        <v>179</v>
      </c>
      <c r="BI66" s="22">
        <f>'QTR Raw'!AC42</f>
        <v>246</v>
      </c>
      <c r="BJ66" s="22">
        <f>'QTR Raw'!AD42</f>
        <v>-152</v>
      </c>
      <c r="BK66" s="22">
        <f>'QTR Raw'!AE42</f>
        <v>216</v>
      </c>
      <c r="BL66" s="22">
        <f>'QTR Raw'!AF42</f>
        <v>244</v>
      </c>
      <c r="BM66" s="22">
        <f>'QTR Raw'!AG42</f>
        <v>251</v>
      </c>
      <c r="BN66" s="22">
        <f>'QTR Raw'!AH42</f>
        <v>314</v>
      </c>
      <c r="BO66" s="22">
        <f>'QTR Raw'!AI42</f>
        <v>321</v>
      </c>
      <c r="BP66" s="22">
        <f>'QTR Raw'!AJ42</f>
        <v>310</v>
      </c>
      <c r="BQ66" s="22">
        <f>'QTR Raw'!AK42</f>
        <v>297</v>
      </c>
      <c r="BR66" s="22">
        <f>'QTR Raw'!AL42</f>
        <v>324</v>
      </c>
      <c r="BS66" s="22">
        <f>'QTR Raw'!AM42</f>
        <v>330</v>
      </c>
      <c r="BT66" s="22">
        <f>'QTR Raw'!AN42</f>
        <v>316</v>
      </c>
      <c r="BU66" s="22">
        <f>'QTR Raw'!AO42</f>
        <v>249</v>
      </c>
      <c r="BV66" s="22">
        <f>'QTR Raw'!AP42</f>
        <v>-118</v>
      </c>
      <c r="BW66" s="22">
        <f>'QTR Raw'!AQ42</f>
        <v>354</v>
      </c>
      <c r="BX66" s="22">
        <f>'QTR Raw'!AR42</f>
        <v>312</v>
      </c>
      <c r="BY66" s="22">
        <f>'QTR Raw'!AS42</f>
        <v>292</v>
      </c>
      <c r="BZ66" s="22">
        <f>'QTR Raw'!AT42</f>
        <v>287</v>
      </c>
      <c r="CA66" s="22">
        <f>'QTR Raw'!AU42</f>
        <v>378</v>
      </c>
      <c r="CB66" s="22">
        <f>'QTR Raw'!AV42</f>
        <v>386</v>
      </c>
      <c r="CC66" s="22">
        <f>'QTR Raw'!AW42</f>
        <v>443</v>
      </c>
      <c r="CD66" s="22">
        <f>'QTR Raw'!AX42</f>
        <v>449</v>
      </c>
      <c r="CE66" s="22">
        <f>'QTR Raw'!AY42</f>
        <v>457</v>
      </c>
      <c r="CF66" s="22">
        <f>'QTR Raw'!AZ42</f>
        <v>453</v>
      </c>
      <c r="CG66" s="22">
        <f>'QTR Raw'!BA42</f>
        <v>503</v>
      </c>
      <c r="CH66" s="22">
        <f>'QTR Raw'!BB42</f>
        <v>498</v>
      </c>
      <c r="CI66" s="22">
        <f>'QTR Raw'!BC42</f>
        <v>548</v>
      </c>
      <c r="CJ66" s="22">
        <f>'QTR Raw'!BD42</f>
        <v>591</v>
      </c>
      <c r="CK66" s="22">
        <f>'QTR Raw'!BE42</f>
        <v>635</v>
      </c>
      <c r="CL66" s="22">
        <f>'QTR Raw'!BF42</f>
        <v>389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2">
        <v>2163</v>
      </c>
    </row>
    <row r="67" spans="1:110" s="25" customFormat="1" x14ac:dyDescent="0.2">
      <c r="A67" s="36" t="s">
        <v>435</v>
      </c>
      <c r="B67" s="25">
        <f t="shared" ref="B67:V67" si="706">B66-B63</f>
        <v>0</v>
      </c>
      <c r="C67" s="25">
        <f>C66-C63</f>
        <v>0</v>
      </c>
      <c r="D67" s="25">
        <f t="shared" si="706"/>
        <v>0</v>
      </c>
      <c r="E67" s="25">
        <f t="shared" si="706"/>
        <v>-5.6843418860808015E-14</v>
      </c>
      <c r="F67" s="25">
        <f t="shared" si="706"/>
        <v>0</v>
      </c>
      <c r="G67" s="25">
        <f t="shared" si="706"/>
        <v>1.5631940186722204E-13</v>
      </c>
      <c r="H67" s="25">
        <f t="shared" si="706"/>
        <v>-2.8421709430404007E-13</v>
      </c>
      <c r="I67" s="25">
        <f t="shared" si="706"/>
        <v>0</v>
      </c>
      <c r="J67" s="25">
        <f t="shared" si="706"/>
        <v>0</v>
      </c>
      <c r="K67" s="25">
        <f t="shared" si="706"/>
        <v>0</v>
      </c>
      <c r="L67" s="25">
        <f t="shared" si="706"/>
        <v>-5.1159076974727213E-13</v>
      </c>
      <c r="M67" s="25">
        <f t="shared" si="706"/>
        <v>4.5474735088646412E-13</v>
      </c>
      <c r="N67" s="25">
        <f t="shared" si="706"/>
        <v>0</v>
      </c>
      <c r="O67" s="25">
        <f t="shared" si="706"/>
        <v>0</v>
      </c>
      <c r="P67" s="25">
        <f t="shared" si="706"/>
        <v>0</v>
      </c>
      <c r="Q67" s="25">
        <f t="shared" si="706"/>
        <v>0</v>
      </c>
      <c r="R67" s="25">
        <f t="shared" si="706"/>
        <v>0</v>
      </c>
      <c r="S67" s="25">
        <f t="shared" si="706"/>
        <v>0</v>
      </c>
      <c r="T67" s="25">
        <f t="shared" si="706"/>
        <v>-5.6843418860808015E-13</v>
      </c>
      <c r="U67" s="25">
        <f t="shared" si="706"/>
        <v>0</v>
      </c>
      <c r="V67" s="25">
        <f t="shared" si="706"/>
        <v>0</v>
      </c>
      <c r="W67" s="25">
        <f t="shared" ref="W67" si="707">W66-W63</f>
        <v>0</v>
      </c>
      <c r="X67" s="25">
        <f t="shared" ref="X67:Y67" si="708">X66-X63</f>
        <v>0</v>
      </c>
      <c r="Y67" s="25">
        <f t="shared" si="708"/>
        <v>0</v>
      </c>
      <c r="Z67" s="25">
        <f t="shared" ref="Z67:AA67" si="709">Z66-Z63</f>
        <v>0</v>
      </c>
      <c r="AA67" s="25">
        <f t="shared" si="709"/>
        <v>0</v>
      </c>
      <c r="AB67" s="17">
        <f t="shared" ref="AA67:AD67" si="710">AB66-AB63</f>
        <v>0</v>
      </c>
      <c r="AC67" s="17">
        <f t="shared" si="710"/>
        <v>0</v>
      </c>
      <c r="AD67" s="17">
        <f t="shared" si="710"/>
        <v>0</v>
      </c>
      <c r="AE67" s="17">
        <f t="shared" ref="AE67" si="711">AE66-AE63</f>
        <v>0</v>
      </c>
      <c r="AI67" s="25">
        <f t="shared" ref="AI67" si="712">AI66-AI63</f>
        <v>0</v>
      </c>
      <c r="AJ67" s="25">
        <f t="shared" ref="AJ67" si="713">AJ66-AJ63</f>
        <v>0</v>
      </c>
      <c r="AK67" s="25">
        <f t="shared" ref="AK67:AM67" si="714">AK66-AK63</f>
        <v>0</v>
      </c>
      <c r="AL67" s="25">
        <f t="shared" si="714"/>
        <v>0</v>
      </c>
      <c r="AM67" s="25">
        <f t="shared" si="714"/>
        <v>0</v>
      </c>
      <c r="AN67" s="25">
        <f t="shared" ref="AN67:AO67" si="715">AN66-AN63</f>
        <v>0</v>
      </c>
      <c r="AO67" s="25">
        <f t="shared" si="715"/>
        <v>0</v>
      </c>
      <c r="AP67" s="25">
        <f t="shared" ref="AP67:CD67" si="716">AP66-AP63</f>
        <v>0</v>
      </c>
      <c r="AQ67" s="25">
        <f t="shared" si="716"/>
        <v>0</v>
      </c>
      <c r="AR67" s="25">
        <f t="shared" si="716"/>
        <v>0</v>
      </c>
      <c r="AS67" s="25">
        <f t="shared" si="716"/>
        <v>0</v>
      </c>
      <c r="AT67" s="25">
        <f t="shared" si="716"/>
        <v>0</v>
      </c>
      <c r="AU67" s="25">
        <f t="shared" si="716"/>
        <v>0</v>
      </c>
      <c r="AV67" s="25">
        <f t="shared" si="716"/>
        <v>0</v>
      </c>
      <c r="AW67" s="25">
        <f t="shared" si="716"/>
        <v>0</v>
      </c>
      <c r="AX67" s="25">
        <f t="shared" si="716"/>
        <v>0</v>
      </c>
      <c r="AY67" s="25">
        <f t="shared" si="716"/>
        <v>0</v>
      </c>
      <c r="AZ67" s="25">
        <f t="shared" si="716"/>
        <v>0</v>
      </c>
      <c r="BA67" s="25">
        <f t="shared" si="716"/>
        <v>0</v>
      </c>
      <c r="BB67" s="25">
        <f t="shared" si="716"/>
        <v>0</v>
      </c>
      <c r="BC67" s="25">
        <f t="shared" si="716"/>
        <v>0</v>
      </c>
      <c r="BD67" s="25">
        <f t="shared" si="716"/>
        <v>0</v>
      </c>
      <c r="BE67" s="25">
        <f t="shared" si="716"/>
        <v>0</v>
      </c>
      <c r="BF67" s="25">
        <f t="shared" si="716"/>
        <v>0</v>
      </c>
      <c r="BG67" s="25">
        <f t="shared" si="716"/>
        <v>0</v>
      </c>
      <c r="BH67" s="25">
        <f t="shared" si="716"/>
        <v>0</v>
      </c>
      <c r="BI67" s="25">
        <f t="shared" si="716"/>
        <v>0</v>
      </c>
      <c r="BJ67" s="25">
        <f t="shared" si="716"/>
        <v>0</v>
      </c>
      <c r="BK67" s="25">
        <f t="shared" si="716"/>
        <v>0</v>
      </c>
      <c r="BL67" s="25">
        <f t="shared" si="716"/>
        <v>0</v>
      </c>
      <c r="BM67" s="25">
        <f t="shared" si="716"/>
        <v>0</v>
      </c>
      <c r="BN67" s="25">
        <f t="shared" si="716"/>
        <v>0</v>
      </c>
      <c r="BO67" s="25">
        <f t="shared" si="716"/>
        <v>0</v>
      </c>
      <c r="BP67" s="25">
        <f t="shared" si="716"/>
        <v>0</v>
      </c>
      <c r="BQ67" s="25">
        <f t="shared" si="716"/>
        <v>0</v>
      </c>
      <c r="BR67" s="25">
        <f t="shared" si="716"/>
        <v>0</v>
      </c>
      <c r="BS67" s="25">
        <f t="shared" si="716"/>
        <v>0</v>
      </c>
      <c r="BT67" s="25">
        <f t="shared" si="716"/>
        <v>0</v>
      </c>
      <c r="BU67" s="25">
        <f t="shared" si="716"/>
        <v>0</v>
      </c>
      <c r="BV67" s="25">
        <f t="shared" si="716"/>
        <v>0</v>
      </c>
      <c r="BW67" s="25">
        <f t="shared" si="716"/>
        <v>0</v>
      </c>
      <c r="BX67" s="25">
        <f t="shared" si="716"/>
        <v>0</v>
      </c>
      <c r="BY67" s="25">
        <f t="shared" si="716"/>
        <v>0</v>
      </c>
      <c r="BZ67" s="25">
        <f t="shared" si="716"/>
        <v>0</v>
      </c>
      <c r="CA67" s="25">
        <f t="shared" si="716"/>
        <v>0</v>
      </c>
      <c r="CB67" s="25">
        <f t="shared" si="716"/>
        <v>0</v>
      </c>
      <c r="CC67" s="25">
        <f t="shared" si="716"/>
        <v>0</v>
      </c>
      <c r="CD67" s="25">
        <f t="shared" si="716"/>
        <v>0</v>
      </c>
      <c r="CE67" s="25">
        <f t="shared" ref="CE67:CF67" si="717">CE66-CE63</f>
        <v>0</v>
      </c>
      <c r="CF67" s="25">
        <f t="shared" si="717"/>
        <v>0</v>
      </c>
      <c r="CG67" s="25">
        <f t="shared" ref="CG67:CH67" si="718">CG66-CG63</f>
        <v>0</v>
      </c>
      <c r="CH67" s="25">
        <f t="shared" si="718"/>
        <v>0</v>
      </c>
      <c r="CI67" s="25">
        <f t="shared" ref="CI67:CJ67" si="719">CI66-CI63</f>
        <v>0</v>
      </c>
      <c r="CJ67" s="25">
        <f t="shared" si="719"/>
        <v>0</v>
      </c>
      <c r="CK67" s="25">
        <f t="shared" ref="CK67:CL67" si="720">CK66-CK63</f>
        <v>0</v>
      </c>
      <c r="CL67" s="25">
        <f t="shared" si="720"/>
        <v>0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5">
        <v>0</v>
      </c>
    </row>
    <row r="68" spans="1:110" s="1" customFormat="1" x14ac:dyDescent="0.2">
      <c r="A68" s="150" t="s">
        <v>487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38" customFormat="1" x14ac:dyDescent="0.2">
      <c r="A69" s="38" t="s">
        <v>350</v>
      </c>
      <c r="B69" s="39">
        <f t="shared" ref="B69:AE69" si="721">(B63-B62)/B135</f>
        <v>0.1775637007868465</v>
      </c>
      <c r="C69" s="39">
        <f t="shared" si="721"/>
        <v>0.2075287430495773</v>
      </c>
      <c r="D69" s="39">
        <f t="shared" si="721"/>
        <v>0.17667058127085272</v>
      </c>
      <c r="E69" s="39">
        <f t="shared" si="721"/>
        <v>0.1961378834947182</v>
      </c>
      <c r="F69" s="39">
        <f t="shared" si="721"/>
        <v>0.15453354144053483</v>
      </c>
      <c r="G69" s="39">
        <f t="shared" si="721"/>
        <v>0.16939181572692941</v>
      </c>
      <c r="H69" s="39">
        <f t="shared" si="721"/>
        <v>0.22794104204808971</v>
      </c>
      <c r="I69" s="39">
        <f t="shared" si="721"/>
        <v>0.26429946561844397</v>
      </c>
      <c r="J69" s="39">
        <f t="shared" si="721"/>
        <v>0.29671464546252446</v>
      </c>
      <c r="K69" s="39">
        <f t="shared" si="721"/>
        <v>0.27822055564614512</v>
      </c>
      <c r="L69" s="39">
        <f t="shared" si="721"/>
        <v>0.26424905282134875</v>
      </c>
      <c r="M69" s="39">
        <f t="shared" si="721"/>
        <v>0.29267148588995051</v>
      </c>
      <c r="N69" s="39">
        <f t="shared" si="721"/>
        <v>0.33071248233035389</v>
      </c>
      <c r="O69" s="39">
        <f t="shared" si="721"/>
        <v>0.3489642194456567</v>
      </c>
      <c r="P69" s="39">
        <f t="shared" si="721"/>
        <v>0.30151451882307589</v>
      </c>
      <c r="Q69" s="39">
        <f t="shared" si="721"/>
        <v>0.55146389628230486</v>
      </c>
      <c r="R69" s="39">
        <f t="shared" si="721"/>
        <v>0.21460278198582558</v>
      </c>
      <c r="S69" s="39">
        <f t="shared" si="721"/>
        <v>0.1467075131052597</v>
      </c>
      <c r="T69" s="39">
        <f t="shared" si="721"/>
        <v>0.16791516293246703</v>
      </c>
      <c r="U69" s="39">
        <f t="shared" si="721"/>
        <v>0.21245557946765845</v>
      </c>
      <c r="V69" s="39">
        <f t="shared" si="721"/>
        <v>0.21446694202841454</v>
      </c>
      <c r="W69" s="39">
        <f t="shared" si="721"/>
        <v>0.21197557513501697</v>
      </c>
      <c r="X69" s="39">
        <f t="shared" si="721"/>
        <v>0.20090608850819677</v>
      </c>
      <c r="Y69" s="39">
        <f t="shared" si="721"/>
        <v>0.22869978048904999</v>
      </c>
      <c r="Z69" s="39">
        <f t="shared" si="721"/>
        <v>0.25497813769235717</v>
      </c>
      <c r="AA69" s="39">
        <f t="shared" ref="AA69" si="722">(AA63-AA62)/AA135</f>
        <v>0.26847932211391146</v>
      </c>
      <c r="AB69" s="40">
        <f t="shared" si="721"/>
        <v>0.24646281636477174</v>
      </c>
      <c r="AC69" s="40">
        <f t="shared" si="721"/>
        <v>0.24736972711683505</v>
      </c>
      <c r="AD69" s="40">
        <f t="shared" si="721"/>
        <v>0.22048953652867989</v>
      </c>
      <c r="AE69" s="40">
        <f t="shared" si="721"/>
        <v>0.18740317616115182</v>
      </c>
      <c r="AF69" s="39"/>
      <c r="AG69" s="39"/>
      <c r="AH69" s="39"/>
      <c r="AI69" s="39"/>
      <c r="AJ69" s="39"/>
      <c r="AK69" s="39"/>
      <c r="AL69" s="39">
        <f t="shared" ref="AL69:BQ69" si="723">(SUM(AI63:AL63)-SUM(AI62:AL62))/AL135</f>
        <v>0.32981715893108299</v>
      </c>
      <c r="AM69" s="39">
        <f t="shared" si="723"/>
        <v>0.32845321451304904</v>
      </c>
      <c r="AN69" s="39">
        <f t="shared" si="723"/>
        <v>0.34776815456362425</v>
      </c>
      <c r="AO69" s="39">
        <f t="shared" si="723"/>
        <v>0.34237492465340569</v>
      </c>
      <c r="AP69" s="39">
        <f t="shared" si="723"/>
        <v>0.34892275354703101</v>
      </c>
      <c r="AQ69" s="39">
        <f t="shared" si="723"/>
        <v>0.35710977304307551</v>
      </c>
      <c r="AR69" s="39">
        <f t="shared" si="723"/>
        <v>0.36011779554059742</v>
      </c>
      <c r="AS69" s="39">
        <f t="shared" si="723"/>
        <v>0.34001572327044027</v>
      </c>
      <c r="AT69" s="39">
        <f t="shared" si="723"/>
        <v>0.30148534725010034</v>
      </c>
      <c r="AU69" s="39">
        <f t="shared" si="723"/>
        <v>0.36453358802929003</v>
      </c>
      <c r="AV69" s="39">
        <f t="shared" si="723"/>
        <v>0.43026004728132389</v>
      </c>
      <c r="AW69" s="39">
        <f t="shared" si="723"/>
        <v>0.48258029395753949</v>
      </c>
      <c r="AX69" s="39">
        <f t="shared" si="723"/>
        <v>0.55151688609044081</v>
      </c>
      <c r="AY69" s="39">
        <f t="shared" si="723"/>
        <v>0.41442155309033279</v>
      </c>
      <c r="AZ69" s="39">
        <f t="shared" si="723"/>
        <v>0.31493910017399951</v>
      </c>
      <c r="BA69" s="39">
        <f t="shared" si="723"/>
        <v>0.23800564440263405</v>
      </c>
      <c r="BB69" s="39">
        <f t="shared" si="723"/>
        <v>0.21466329579407034</v>
      </c>
      <c r="BC69" s="39">
        <f t="shared" si="723"/>
        <v>0.18285966071821988</v>
      </c>
      <c r="BD69" s="39">
        <f t="shared" si="723"/>
        <v>0.18203830068236848</v>
      </c>
      <c r="BE69" s="39">
        <f t="shared" si="723"/>
        <v>0.14257770049989132</v>
      </c>
      <c r="BF69" s="39">
        <f t="shared" si="723"/>
        <v>0.14668974469926438</v>
      </c>
      <c r="BG69" s="39">
        <f t="shared" si="723"/>
        <v>0.13646812957157783</v>
      </c>
      <c r="BH69" s="39">
        <f t="shared" si="723"/>
        <v>0.13262935586061245</v>
      </c>
      <c r="BI69" s="39">
        <f t="shared" si="723"/>
        <v>0.16382252559726962</v>
      </c>
      <c r="BJ69" s="39">
        <f t="shared" si="723"/>
        <v>0.16786621507197291</v>
      </c>
      <c r="BK69" s="39">
        <f t="shared" si="723"/>
        <v>0.17125506072874494</v>
      </c>
      <c r="BL69" s="39">
        <f t="shared" si="723"/>
        <v>0.17957815888034692</v>
      </c>
      <c r="BM69" s="39">
        <f t="shared" si="723"/>
        <v>0.1720510894064613</v>
      </c>
      <c r="BN69" s="39">
        <f t="shared" si="723"/>
        <v>0.2124792703150912</v>
      </c>
      <c r="BO69" s="39">
        <f t="shared" si="723"/>
        <v>0.2196307094266278</v>
      </c>
      <c r="BP69" s="39">
        <f t="shared" si="723"/>
        <v>0.21623576206834208</v>
      </c>
      <c r="BQ69" s="39">
        <f t="shared" si="723"/>
        <v>0.21310912834591628</v>
      </c>
      <c r="BR69" s="39">
        <f t="shared" ref="BR69:CW69" si="724">(SUM(BO63:BR63)-SUM(BO62:BR62))/BR135</f>
        <v>0.21445700582391231</v>
      </c>
      <c r="BS69" s="39">
        <f t="shared" si="724"/>
        <v>0.20444228274967574</v>
      </c>
      <c r="BT69" s="39">
        <f t="shared" si="724"/>
        <v>0.2037305032963499</v>
      </c>
      <c r="BU69" s="39">
        <f t="shared" si="724"/>
        <v>0.18846629560915276</v>
      </c>
      <c r="BV69" s="39">
        <f t="shared" si="724"/>
        <v>0.21199395262892659</v>
      </c>
      <c r="BW69" s="39">
        <f t="shared" si="724"/>
        <v>0.20390042809576661</v>
      </c>
      <c r="BX69" s="39">
        <f t="shared" si="724"/>
        <v>0.21047447053029059</v>
      </c>
      <c r="BY69" s="39">
        <f t="shared" si="724"/>
        <v>0.20758264139119537</v>
      </c>
      <c r="BZ69" s="39">
        <f t="shared" si="724"/>
        <v>0.20087124878993223</v>
      </c>
      <c r="CA69" s="39">
        <f t="shared" si="724"/>
        <v>0.19297445255474452</v>
      </c>
      <c r="CB69" s="39">
        <f t="shared" si="724"/>
        <v>0.20023855673177277</v>
      </c>
      <c r="CC69" s="39">
        <f t="shared" si="724"/>
        <v>0.19664335664335664</v>
      </c>
      <c r="CD69" s="39">
        <f t="shared" si="724"/>
        <v>0.22870478413068845</v>
      </c>
      <c r="CE69" s="39">
        <f t="shared" si="724"/>
        <v>0.22521536988923835</v>
      </c>
      <c r="CF69" s="39">
        <f t="shared" si="724"/>
        <v>0.22841151385927505</v>
      </c>
      <c r="CG69" s="39">
        <f t="shared" si="724"/>
        <v>0.23254652179343074</v>
      </c>
      <c r="CH69" s="39">
        <f t="shared" si="724"/>
        <v>0.25491753714089233</v>
      </c>
      <c r="CI69" s="39">
        <f t="shared" si="724"/>
        <v>0.24893441082041459</v>
      </c>
      <c r="CJ69" s="39">
        <f t="shared" si="724"/>
        <v>0.25766362883181443</v>
      </c>
      <c r="CK69" s="39">
        <f t="shared" si="724"/>
        <v>0.25528401585204757</v>
      </c>
      <c r="CL69" s="39">
        <f t="shared" si="724"/>
        <v>0.26844677553939683</v>
      </c>
      <c r="CM69" s="40">
        <f t="shared" si="724"/>
        <v>0.25437386992911809</v>
      </c>
      <c r="CN69" s="40">
        <f t="shared" si="724"/>
        <v>0.24016484235979965</v>
      </c>
      <c r="CO69" s="40">
        <f t="shared" si="724"/>
        <v>0.22432201164514803</v>
      </c>
      <c r="CP69" s="40">
        <f t="shared" si="724"/>
        <v>0.2464628163647716</v>
      </c>
      <c r="CQ69" s="40">
        <f t="shared" si="724"/>
        <v>0.24737116923666638</v>
      </c>
      <c r="CR69" s="40">
        <f t="shared" si="724"/>
        <v>0.24780429674975107</v>
      </c>
      <c r="CS69" s="40">
        <f t="shared" si="724"/>
        <v>0.24815731850892808</v>
      </c>
      <c r="CT69" s="40">
        <f t="shared" si="724"/>
        <v>0.24736972711683522</v>
      </c>
      <c r="CU69" s="40">
        <f t="shared" si="724"/>
        <v>0.24223844774736356</v>
      </c>
      <c r="CV69" s="40">
        <f t="shared" si="724"/>
        <v>0.23568957323098938</v>
      </c>
      <c r="CW69" s="40">
        <f t="shared" si="724"/>
        <v>0.22921244273913194</v>
      </c>
      <c r="CX69" s="40">
        <f t="shared" ref="CX69:DB69" si="725">(SUM(CU63:CX63)-SUM(CU62:CX62))/CX135</f>
        <v>0.22048953652867989</v>
      </c>
      <c r="CY69" s="40">
        <f t="shared" si="725"/>
        <v>0.21259811159564854</v>
      </c>
      <c r="CZ69" s="40">
        <f t="shared" si="725"/>
        <v>0.20487911298444206</v>
      </c>
      <c r="DA69" s="40">
        <f t="shared" si="725"/>
        <v>0.19747166490066012</v>
      </c>
      <c r="DB69" s="40">
        <f t="shared" si="725"/>
        <v>0.18740317616115185</v>
      </c>
      <c r="DE69" s="122"/>
      <c r="DF69" s="38">
        <v>0.25568334162656436</v>
      </c>
    </row>
    <row r="70" spans="1:110" s="38" customFormat="1" x14ac:dyDescent="0.2">
      <c r="A70" s="38" t="s">
        <v>351</v>
      </c>
      <c r="B70" s="39">
        <f t="shared" ref="B70:AE70" si="726">+B49/B144</f>
        <v>0.18825956205657007</v>
      </c>
      <c r="C70" s="39">
        <f t="shared" si="726"/>
        <v>0.25275306812544324</v>
      </c>
      <c r="D70" s="39">
        <f t="shared" si="726"/>
        <v>0.22790389468047842</v>
      </c>
      <c r="E70" s="39">
        <f t="shared" si="726"/>
        <v>0.26518100241089543</v>
      </c>
      <c r="F70" s="39">
        <f t="shared" si="726"/>
        <v>0.10491937118426703</v>
      </c>
      <c r="G70" s="39">
        <f t="shared" si="726"/>
        <v>0.13455016372046977</v>
      </c>
      <c r="H70" s="39">
        <f t="shared" si="726"/>
        <v>0.17325403002921744</v>
      </c>
      <c r="I70" s="39">
        <f t="shared" si="726"/>
        <v>0.18864804216853601</v>
      </c>
      <c r="J70" s="39">
        <f t="shared" si="726"/>
        <v>0.19095517286677119</v>
      </c>
      <c r="K70" s="39">
        <f t="shared" si="726"/>
        <v>0.26207777568096108</v>
      </c>
      <c r="L70" s="39">
        <f t="shared" si="726"/>
        <v>0.20376886762987625</v>
      </c>
      <c r="M70" s="39">
        <f t="shared" si="726"/>
        <v>0.2357634314156051</v>
      </c>
      <c r="N70" s="39">
        <f t="shared" si="726"/>
        <v>0.28815706741928931</v>
      </c>
      <c r="O70" s="39">
        <f t="shared" si="726"/>
        <v>0.28487538679030794</v>
      </c>
      <c r="P70" s="39">
        <f t="shared" si="726"/>
        <v>0.15854828781918204</v>
      </c>
      <c r="Q70" s="39">
        <f t="shared" si="726"/>
        <v>0.42629963874216609</v>
      </c>
      <c r="R70" s="39">
        <f t="shared" si="726"/>
        <v>0.15601064023612571</v>
      </c>
      <c r="S70" s="39">
        <f t="shared" si="726"/>
        <v>8.4117950064185681E-2</v>
      </c>
      <c r="T70" s="39">
        <f t="shared" si="726"/>
        <v>0.12625378050536828</v>
      </c>
      <c r="U70" s="39">
        <f t="shared" si="726"/>
        <v>0.14216866339999526</v>
      </c>
      <c r="V70" s="39">
        <f t="shared" si="726"/>
        <v>0.1709043641202968</v>
      </c>
      <c r="W70" s="39">
        <f t="shared" si="726"/>
        <v>0.1774246443453798</v>
      </c>
      <c r="X70" s="39">
        <f t="shared" si="726"/>
        <v>0.18419415816976742</v>
      </c>
      <c r="Y70" s="39">
        <f t="shared" si="726"/>
        <v>0.23674465445631057</v>
      </c>
      <c r="Z70" s="39">
        <f t="shared" si="726"/>
        <v>0.27403977477163499</v>
      </c>
      <c r="AA70" s="39">
        <f t="shared" ref="AA70" si="727">+AA49/AA144</f>
        <v>0.10049386917299682</v>
      </c>
      <c r="AB70" s="40">
        <f t="shared" si="726"/>
        <v>0.10733077110136656</v>
      </c>
      <c r="AC70" s="40">
        <f t="shared" si="726"/>
        <v>0.1276217883780166</v>
      </c>
      <c r="AD70" s="40">
        <f t="shared" si="726"/>
        <v>0.1300580680110959</v>
      </c>
      <c r="AE70" s="40">
        <f t="shared" si="726"/>
        <v>0.12189042125999729</v>
      </c>
      <c r="AF70" s="39"/>
      <c r="AG70" s="39"/>
      <c r="AH70" s="39"/>
      <c r="AI70" s="39"/>
      <c r="AJ70" s="39"/>
      <c r="AK70" s="39"/>
      <c r="AL70" s="39">
        <f t="shared" ref="AL70:BQ70" si="728">+SUM(AI49:AL49)/AL144</f>
        <v>0.30419580419580422</v>
      </c>
      <c r="AM70" s="39">
        <f t="shared" si="728"/>
        <v>0.30683403068340309</v>
      </c>
      <c r="AN70" s="39">
        <f t="shared" si="728"/>
        <v>0.28293289146644574</v>
      </c>
      <c r="AO70" s="39">
        <f t="shared" si="728"/>
        <v>0.28615863141524106</v>
      </c>
      <c r="AP70" s="39">
        <f t="shared" si="728"/>
        <v>0.30265920223932818</v>
      </c>
      <c r="AQ70" s="39">
        <f t="shared" si="728"/>
        <v>0.32177263969171482</v>
      </c>
      <c r="AR70" s="39">
        <f t="shared" si="728"/>
        <v>0.2299696838458207</v>
      </c>
      <c r="AS70" s="39">
        <f t="shared" si="728"/>
        <v>0.22027168234064787</v>
      </c>
      <c r="AT70" s="39">
        <f t="shared" si="728"/>
        <v>0.16596596596596597</v>
      </c>
      <c r="AU70" s="39">
        <f t="shared" si="728"/>
        <v>0.24092116917626219</v>
      </c>
      <c r="AV70" s="39">
        <f t="shared" si="728"/>
        <v>0.31831035701661364</v>
      </c>
      <c r="AW70" s="39">
        <f t="shared" si="728"/>
        <v>0.36550100874243441</v>
      </c>
      <c r="AX70" s="39">
        <f t="shared" si="728"/>
        <v>0.46680381522348979</v>
      </c>
      <c r="AY70" s="39">
        <f t="shared" si="728"/>
        <v>0.35644617840042558</v>
      </c>
      <c r="AZ70" s="39">
        <f t="shared" si="728"/>
        <v>0.26486042692939243</v>
      </c>
      <c r="BA70" s="39">
        <f t="shared" si="728"/>
        <v>0.20525399588542492</v>
      </c>
      <c r="BB70" s="39">
        <f t="shared" si="728"/>
        <v>0.16246966019417475</v>
      </c>
      <c r="BC70" s="39">
        <f t="shared" si="728"/>
        <v>0.13554572271386431</v>
      </c>
      <c r="BD70" s="39">
        <f t="shared" si="728"/>
        <v>0.13102147417295415</v>
      </c>
      <c r="BE70" s="39">
        <f t="shared" si="728"/>
        <v>0.13309352517985612</v>
      </c>
      <c r="BF70" s="39">
        <f t="shared" si="728"/>
        <v>9.0733590733590733E-2</v>
      </c>
      <c r="BG70" s="39">
        <f t="shared" si="728"/>
        <v>9.9781431150812505E-2</v>
      </c>
      <c r="BH70" s="39">
        <f t="shared" si="728"/>
        <v>0.10793711656441718</v>
      </c>
      <c r="BI70" s="39">
        <f t="shared" si="728"/>
        <v>0.1185615283761004</v>
      </c>
      <c r="BJ70" s="39">
        <f t="shared" si="728"/>
        <v>0.14272280848396196</v>
      </c>
      <c r="BK70" s="39">
        <f t="shared" si="728"/>
        <v>0.14509042607540615</v>
      </c>
      <c r="BL70" s="39">
        <f t="shared" si="728"/>
        <v>0.1574291195907056</v>
      </c>
      <c r="BM70" s="39">
        <f t="shared" si="728"/>
        <v>0.15042042977265649</v>
      </c>
      <c r="BN70" s="39">
        <f t="shared" si="728"/>
        <v>0.16496191512513603</v>
      </c>
      <c r="BO70" s="39">
        <f t="shared" si="728"/>
        <v>0.17190621385763852</v>
      </c>
      <c r="BP70" s="39">
        <f t="shared" si="728"/>
        <v>0.18211536433618053</v>
      </c>
      <c r="BQ70" s="39">
        <f t="shared" si="728"/>
        <v>0.18302658486707565</v>
      </c>
      <c r="BR70" s="39">
        <f t="shared" ref="BR70:CW70" si="729">+SUM(BO49:BR49)/BR144</f>
        <v>0.17134014817593549</v>
      </c>
      <c r="BS70" s="39">
        <f t="shared" si="729"/>
        <v>0.16728827435640861</v>
      </c>
      <c r="BT70" s="39">
        <f t="shared" si="729"/>
        <v>0.17628114047551388</v>
      </c>
      <c r="BU70" s="39">
        <f t="shared" si="729"/>
        <v>0.16583379603923745</v>
      </c>
      <c r="BV70" s="39">
        <f t="shared" si="729"/>
        <v>0.17791595627319226</v>
      </c>
      <c r="BW70" s="39">
        <f t="shared" si="729"/>
        <v>0.17617433414043585</v>
      </c>
      <c r="BX70" s="39">
        <f t="shared" si="729"/>
        <v>0.18231279058264913</v>
      </c>
      <c r="BY70" s="39">
        <f t="shared" si="729"/>
        <v>0.19257763676569561</v>
      </c>
      <c r="BZ70" s="39">
        <f t="shared" si="729"/>
        <v>0.18573292735972161</v>
      </c>
      <c r="CA70" s="39">
        <f t="shared" si="729"/>
        <v>0.18344142171313063</v>
      </c>
      <c r="CB70" s="39">
        <f t="shared" si="729"/>
        <v>0.20552009349995504</v>
      </c>
      <c r="CC70" s="39">
        <f t="shared" si="729"/>
        <v>0.20845581877918035</v>
      </c>
      <c r="CD70" s="39">
        <f t="shared" si="729"/>
        <v>0.23716879748008152</v>
      </c>
      <c r="CE70" s="39">
        <f t="shared" si="729"/>
        <v>0.23704559594702693</v>
      </c>
      <c r="CF70" s="39">
        <f t="shared" si="729"/>
        <v>0.26383623957543595</v>
      </c>
      <c r="CG70" s="39">
        <f t="shared" si="729"/>
        <v>0.25716870194482133</v>
      </c>
      <c r="CH70" s="39">
        <f t="shared" si="729"/>
        <v>0.27560145354806265</v>
      </c>
      <c r="CI70" s="39">
        <f t="shared" si="729"/>
        <v>0.27318048362798014</v>
      </c>
      <c r="CJ70" s="39">
        <f t="shared" si="729"/>
        <v>0.28879427484373582</v>
      </c>
      <c r="CK70" s="39">
        <f t="shared" si="729"/>
        <v>0.28739078293643994</v>
      </c>
      <c r="CL70" s="39">
        <f t="shared" si="729"/>
        <v>0.10622857672235432</v>
      </c>
      <c r="CM70" s="40">
        <f t="shared" si="729"/>
        <v>0.10341478523173998</v>
      </c>
      <c r="CN70" s="40">
        <f t="shared" si="729"/>
        <v>0.10097243578409686</v>
      </c>
      <c r="CO70" s="40">
        <f t="shared" si="729"/>
        <v>9.8769861505253825E-2</v>
      </c>
      <c r="CP70" s="40">
        <f t="shared" si="729"/>
        <v>0.1073307711013665</v>
      </c>
      <c r="CQ70" s="40">
        <f t="shared" si="729"/>
        <v>0.11230679148008635</v>
      </c>
      <c r="CR70" s="40">
        <f t="shared" si="729"/>
        <v>0.11728116133764403</v>
      </c>
      <c r="CS70" s="40">
        <f t="shared" si="729"/>
        <v>0.12207951457749114</v>
      </c>
      <c r="CT70" s="40">
        <f t="shared" si="729"/>
        <v>0.12762178837801666</v>
      </c>
      <c r="CU70" s="40">
        <f t="shared" si="729"/>
        <v>0.12932733475128336</v>
      </c>
      <c r="CV70" s="40">
        <f t="shared" si="729"/>
        <v>0.1299860246559125</v>
      </c>
      <c r="CW70" s="40">
        <f t="shared" si="729"/>
        <v>0.13020670364525119</v>
      </c>
      <c r="CX70" s="40">
        <f t="shared" ref="CX70:DB70" si="730">+SUM(CU49:CX49)/CX144</f>
        <v>0.13005806801109587</v>
      </c>
      <c r="CY70" s="40">
        <f t="shared" si="730"/>
        <v>0.12856638877831272</v>
      </c>
      <c r="CZ70" s="40">
        <f t="shared" si="730"/>
        <v>0.1268722444142345</v>
      </c>
      <c r="DA70" s="40">
        <f t="shared" si="730"/>
        <v>0.12494663948893404</v>
      </c>
      <c r="DB70" s="40">
        <f t="shared" si="730"/>
        <v>0.12189042125999731</v>
      </c>
      <c r="DE70" s="122"/>
      <c r="DF70" s="38">
        <v>0.2873195704827845</v>
      </c>
    </row>
    <row r="71" spans="1:110" s="1" customFormat="1" x14ac:dyDescent="0.2">
      <c r="A71" s="150" t="s">
        <v>488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</row>
    <row r="72" spans="1:110" s="8" customFormat="1" x14ac:dyDescent="0.2">
      <c r="A72" s="12" t="s">
        <v>26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0" s="9" customFormat="1" x14ac:dyDescent="0.2">
      <c r="A73" s="9" t="s">
        <v>453</v>
      </c>
      <c r="N73" s="9">
        <f>N25-SUM(AI25:AL25)</f>
        <v>-0.86000000000012733</v>
      </c>
      <c r="O73" s="9">
        <f>O25-SUM(AM25:AP25)</f>
        <v>0.72000000000025466</v>
      </c>
      <c r="P73" s="9">
        <f>P25-SUM(AQ25:AT25)</f>
        <v>0.4499999999998181</v>
      </c>
      <c r="Q73" s="9">
        <f>Q25-SUM(AU25:AX25)</f>
        <v>-18.149999999999636</v>
      </c>
      <c r="R73" s="9">
        <f>R25-SUM(AY25:BB25)</f>
        <v>-41.309999999999491</v>
      </c>
      <c r="S73" s="9">
        <f>S25-SUM(BC25:BF25)</f>
        <v>-0.17000000000007276</v>
      </c>
      <c r="T73" s="9">
        <f>T25-SUM(BG25:BJ25)</f>
        <v>-0.1999999999998181</v>
      </c>
      <c r="U73" s="9">
        <f>U25-SUM(BK25:BN25)</f>
        <v>0.30999999999949068</v>
      </c>
      <c r="V73" s="9">
        <f>V25-SUM(BO25:BR25)</f>
        <v>-0.42999999999938154</v>
      </c>
      <c r="W73" s="9">
        <f>W25-SUM(BS25:BV25)</f>
        <v>-1.9600000000009459</v>
      </c>
      <c r="X73" s="9">
        <f>X25-SUM(BW25:BZ25)</f>
        <v>0.1499999999996362</v>
      </c>
      <c r="Y73" s="9">
        <f>Y25-SUM(CA25:CD25)</f>
        <v>-0.15999999999985448</v>
      </c>
      <c r="Z73" s="9">
        <f>Z25-SUM(CE25:CH25)</f>
        <v>9.0000000000145519E-2</v>
      </c>
      <c r="AA73" s="9">
        <f>AA25-SUM(CF25:CI25)</f>
        <v>2144.7299999999996</v>
      </c>
      <c r="AB73" s="15">
        <f>AB25-SUM(CM25:CP25)</f>
        <v>0</v>
      </c>
      <c r="AC73" s="15">
        <f>AC25-SUM(CQ25:CT25)</f>
        <v>0</v>
      </c>
      <c r="AD73" s="15">
        <f>AD25-SUM(CU25:CX25)</f>
        <v>0</v>
      </c>
      <c r="AE73" s="15">
        <f>AE25-SUM(CY25:DB25)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454</v>
      </c>
      <c r="N74" s="9">
        <f>N31-SUM(AI31:AL31)</f>
        <v>117.15999999999985</v>
      </c>
      <c r="O74" s="9">
        <f>O31-SUM(AM31:AP31)</f>
        <v>131.14000000000033</v>
      </c>
      <c r="P74" s="9">
        <f>P31-SUM(AQ31:AT31)</f>
        <v>134.48999999999978</v>
      </c>
      <c r="Q74" s="9">
        <f>Q31-SUM(AU31:AX31)</f>
        <v>126.72000000000116</v>
      </c>
      <c r="R74" s="9">
        <f>R31-SUM(AY31:BB31)</f>
        <v>121.02999999999975</v>
      </c>
      <c r="S74" s="9">
        <f>S31-SUM(BC31:BF31)</f>
        <v>138.65999999999985</v>
      </c>
      <c r="T74" s="9">
        <f>T31-SUM(BG31:BJ31)</f>
        <v>177.54000000000087</v>
      </c>
      <c r="U74" s="9">
        <f>U31-SUM(BK31:BN31)</f>
        <v>185.51999999999953</v>
      </c>
      <c r="V74" s="9">
        <f>V31-SUM(BO31:BR31)</f>
        <v>186.45000000000073</v>
      </c>
      <c r="W74" s="9">
        <f>W31-SUM(BS31:BV31)</f>
        <v>210.28999999999905</v>
      </c>
      <c r="X74" s="9">
        <f>X31-SUM(BW31:BZ31)</f>
        <v>221.94999999999891</v>
      </c>
      <c r="Y74" s="9">
        <f>Y31-SUM(CA31:CD31)</f>
        <v>226.88999999999942</v>
      </c>
      <c r="Z74" s="9">
        <f>Z31-SUM(CE31:CH31)</f>
        <v>220.45999999999913</v>
      </c>
      <c r="AA74" s="9">
        <f>AA31-SUM(CF31:CI31)</f>
        <v>1876.7799999999988</v>
      </c>
      <c r="AB74" s="15">
        <f>AB31-SUM(CM31:CP31)</f>
        <v>0</v>
      </c>
      <c r="AC74" s="15">
        <f>AC31-SUM(CQ31:CT31)</f>
        <v>0</v>
      </c>
      <c r="AD74" s="15">
        <f>AD31-SUM(CU31:CX31)</f>
        <v>0</v>
      </c>
      <c r="AE74" s="15">
        <f>AE31-SUM(CY31:DB31)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455</v>
      </c>
      <c r="N75" s="9">
        <f>N43-SUM(AI43:AL43)</f>
        <v>0.22000000000002728</v>
      </c>
      <c r="O75" s="9">
        <f>O43-SUM(AM43:AP43)</f>
        <v>-0.51999999999952706</v>
      </c>
      <c r="P75" s="9">
        <f>P43-SUM(AQ43:AT43)</f>
        <v>0.15999999999985448</v>
      </c>
      <c r="Q75" s="9">
        <f>Q43-SUM(AU43:AX43)</f>
        <v>-4.1999999999989086</v>
      </c>
      <c r="R75" s="9">
        <f>R43-SUM(AY43:BB43)</f>
        <v>-0.73000000000047294</v>
      </c>
      <c r="S75" s="9">
        <f>S43-SUM(BC43:BF43)</f>
        <v>-7.9499999999998181</v>
      </c>
      <c r="T75" s="9">
        <f>T43-SUM(BG43:BJ43)</f>
        <v>-7.5099999999993088</v>
      </c>
      <c r="U75" s="9">
        <f>U43-SUM(BK43:BN43)</f>
        <v>0.35999999999967258</v>
      </c>
      <c r="V75" s="9">
        <f>V43-SUM(BO43:BR43)</f>
        <v>-4.919999999999618</v>
      </c>
      <c r="W75" s="9">
        <f>W43-SUM(BS43:BV43)</f>
        <v>-4.7300000000009277</v>
      </c>
      <c r="X75" s="9">
        <f>X43-SUM(BW43:BZ43)</f>
        <v>-18.030000000000655</v>
      </c>
      <c r="Y75" s="9">
        <f>Y43-SUM(CA43:CD43)</f>
        <v>-4.4099999999998545</v>
      </c>
      <c r="Z75" s="9">
        <f>Z43-SUM(CE43:CH43)</f>
        <v>-16.650000000001455</v>
      </c>
      <c r="AA75" s="9">
        <f>AA43-SUM(CF43:CI43)</f>
        <v>524.16999999999825</v>
      </c>
      <c r="AB75" s="15">
        <f>AB43-SUM(CM43:CP43)</f>
        <v>0</v>
      </c>
      <c r="AC75" s="15">
        <f>AC43-SUM(CQ43:CT43)</f>
        <v>0</v>
      </c>
      <c r="AD75" s="15">
        <f>AD43-SUM(CU43:CX43)</f>
        <v>0</v>
      </c>
      <c r="AE75" s="15">
        <f>AE43-SUM(CY43:DB43)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456</v>
      </c>
      <c r="N76" s="9">
        <f>N63-SUM(AI63:AL63)</f>
        <v>0.76000000000004775</v>
      </c>
      <c r="O76" s="9">
        <f>O63-SUM(AM63:AP63)</f>
        <v>-0.11999999999943611</v>
      </c>
      <c r="P76" s="9">
        <f>P63-SUM(AQ63:AT63)</f>
        <v>-6.0000000000172804E-2</v>
      </c>
      <c r="Q76" s="9">
        <f>Q63-SUM(AU63:AX63)</f>
        <v>0.24000000000114596</v>
      </c>
      <c r="R76" s="9">
        <f>R63-SUM(AY63:BB63)</f>
        <v>-0.45000000000050022</v>
      </c>
      <c r="S76" s="9">
        <f>S63-SUM(BC63:BF63)</f>
        <v>0.11000000000024102</v>
      </c>
      <c r="T76" s="9">
        <f>T63-SUM(BG63:BJ63)</f>
        <v>0.28000000000054115</v>
      </c>
      <c r="U76" s="9">
        <f>U63-SUM(BK63:BN63)</f>
        <v>-0.28000000000042746</v>
      </c>
      <c r="V76" s="9">
        <f>V63-SUM(BO63:BR63)</f>
        <v>-0.11999999999943611</v>
      </c>
      <c r="W76" s="9">
        <f>W56-SUM(BS56:BV56)</f>
        <v>-0.12000000000080036</v>
      </c>
      <c r="X76" s="9">
        <f>X56-SUM(BW56:BZ56)</f>
        <v>0.2299999999991087</v>
      </c>
      <c r="Y76" s="9">
        <f>Y56-SUM(CA56:CD56)</f>
        <v>0</v>
      </c>
      <c r="Z76" s="9">
        <f>Z56-SUM(CE56:CH56)</f>
        <v>0.45999999999867214</v>
      </c>
      <c r="AA76" s="9">
        <f>AA56-SUM(CF56:CI56)</f>
        <v>200.92999999999847</v>
      </c>
      <c r="AB76" s="15">
        <f>AB56-SUM(CM56:CP56)</f>
        <v>0</v>
      </c>
      <c r="AC76" s="15">
        <f>AC56-SUM(CQ56:CT56)</f>
        <v>0</v>
      </c>
      <c r="AD76" s="15">
        <f>AD56-SUM(CU56:CX56)</f>
        <v>0</v>
      </c>
      <c r="AE76" s="15">
        <f>AE56-SUM(CY56:DB56)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8" customFormat="1" x14ac:dyDescent="0.2">
      <c r="A77" s="149" t="s">
        <v>489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3" customFormat="1" x14ac:dyDescent="0.2">
      <c r="A78" s="3" t="s">
        <v>27</v>
      </c>
      <c r="B78" s="3">
        <f>'Annual Raw'!C104</f>
        <v>21.081</v>
      </c>
      <c r="C78" s="3">
        <f>'Annual Raw'!D104</f>
        <v>21.081</v>
      </c>
      <c r="D78" s="3">
        <f>'Annual Raw'!E104</f>
        <v>21.102399999999999</v>
      </c>
      <c r="E78" s="3">
        <f t="shared" ref="E78:Y78" ca="1" si="731">+F78</f>
        <v>0</v>
      </c>
      <c r="F78" s="3">
        <f t="shared" ca="1" si="731"/>
        <v>0</v>
      </c>
      <c r="G78" s="3">
        <f t="shared" ca="1" si="731"/>
        <v>0</v>
      </c>
      <c r="H78" s="3">
        <f t="shared" ca="1" si="731"/>
        <v>0</v>
      </c>
      <c r="I78" s="3">
        <f t="shared" ca="1" si="731"/>
        <v>0</v>
      </c>
      <c r="J78" s="3">
        <f t="shared" ca="1" si="731"/>
        <v>0</v>
      </c>
      <c r="K78" s="3">
        <f t="shared" ca="1" si="731"/>
        <v>0</v>
      </c>
      <c r="L78" s="3">
        <f t="shared" ca="1" si="731"/>
        <v>0</v>
      </c>
      <c r="M78" s="3">
        <f t="shared" ca="1" si="731"/>
        <v>0</v>
      </c>
      <c r="N78" s="3">
        <f t="shared" ca="1" si="731"/>
        <v>0</v>
      </c>
      <c r="O78" s="3">
        <f t="shared" ca="1" si="731"/>
        <v>0</v>
      </c>
      <c r="P78" s="3">
        <f t="shared" ca="1" si="731"/>
        <v>0</v>
      </c>
      <c r="Q78" s="3">
        <f t="shared" ca="1" si="731"/>
        <v>0</v>
      </c>
      <c r="R78" s="3">
        <f t="shared" ca="1" si="731"/>
        <v>0</v>
      </c>
      <c r="S78" s="3">
        <f t="shared" ca="1" si="731"/>
        <v>0</v>
      </c>
      <c r="T78" s="3">
        <f t="shared" ca="1" si="731"/>
        <v>0</v>
      </c>
      <c r="U78" s="3">
        <f t="shared" ca="1" si="731"/>
        <v>0</v>
      </c>
      <c r="V78" s="3">
        <f t="shared" ca="1" si="731"/>
        <v>0</v>
      </c>
      <c r="W78" s="3">
        <f t="shared" ca="1" si="731"/>
        <v>0</v>
      </c>
      <c r="X78" s="3">
        <f t="shared" ca="1" si="731"/>
        <v>0</v>
      </c>
      <c r="Y78" s="3">
        <f t="shared" ca="1" si="731"/>
        <v>0</v>
      </c>
      <c r="Z78" s="3">
        <f ca="1">+AA78</f>
        <v>0</v>
      </c>
      <c r="AA78" s="3">
        <f ca="1">+AB78</f>
        <v>0</v>
      </c>
      <c r="AB78" s="37">
        <f t="shared" ref="AB78:AB79" ca="1" si="732">AA78</f>
        <v>0</v>
      </c>
      <c r="AC78" s="37">
        <f t="shared" ref="AC78:AC79" ca="1" si="733">AB78</f>
        <v>0</v>
      </c>
      <c r="AD78" s="37">
        <f t="shared" ref="AD78:AD79" ca="1" si="734">AC78</f>
        <v>0</v>
      </c>
      <c r="AE78" s="37">
        <f t="shared" ref="AE78:AE79" ca="1" si="735">AD78</f>
        <v>0</v>
      </c>
      <c r="AI78" s="3">
        <f t="shared" ref="AI78:CH78" si="736">+AJ78</f>
        <v>169.23</v>
      </c>
      <c r="AJ78" s="3">
        <f t="shared" si="736"/>
        <v>169.23</v>
      </c>
      <c r="AK78" s="3">
        <f t="shared" si="736"/>
        <v>169.23</v>
      </c>
      <c r="AL78" s="3">
        <f t="shared" si="736"/>
        <v>169.23</v>
      </c>
      <c r="AM78" s="3">
        <f t="shared" si="736"/>
        <v>169.23</v>
      </c>
      <c r="AN78" s="3">
        <f t="shared" si="736"/>
        <v>169.23</v>
      </c>
      <c r="AO78" s="3">
        <f t="shared" si="736"/>
        <v>169.23</v>
      </c>
      <c r="AP78" s="3">
        <f t="shared" si="736"/>
        <v>169.23</v>
      </c>
      <c r="AQ78" s="3">
        <f t="shared" si="736"/>
        <v>169.23</v>
      </c>
      <c r="AR78" s="3">
        <f t="shared" si="736"/>
        <v>169.23</v>
      </c>
      <c r="AS78" s="3">
        <f t="shared" si="736"/>
        <v>169.23</v>
      </c>
      <c r="AT78" s="3">
        <f t="shared" si="736"/>
        <v>169.23</v>
      </c>
      <c r="AU78" s="3">
        <f t="shared" si="736"/>
        <v>169.23</v>
      </c>
      <c r="AV78" s="3">
        <f t="shared" si="736"/>
        <v>169.23</v>
      </c>
      <c r="AW78" s="3">
        <f t="shared" si="736"/>
        <v>169.23</v>
      </c>
      <c r="AX78" s="3">
        <f t="shared" si="736"/>
        <v>169.23</v>
      </c>
      <c r="AY78" s="3">
        <f t="shared" si="736"/>
        <v>169.23</v>
      </c>
      <c r="AZ78" s="3">
        <f t="shared" si="736"/>
        <v>169.23</v>
      </c>
      <c r="BA78" s="3">
        <f t="shared" si="736"/>
        <v>169.23</v>
      </c>
      <c r="BB78" s="3">
        <f t="shared" si="736"/>
        <v>169.23</v>
      </c>
      <c r="BC78" s="3">
        <f t="shared" si="736"/>
        <v>169.23</v>
      </c>
      <c r="BD78" s="3">
        <f t="shared" si="736"/>
        <v>169.23</v>
      </c>
      <c r="BE78" s="3">
        <f t="shared" si="736"/>
        <v>169.23</v>
      </c>
      <c r="BF78" s="3">
        <f t="shared" si="736"/>
        <v>169.23</v>
      </c>
      <c r="BG78" s="3">
        <f t="shared" si="736"/>
        <v>169.23</v>
      </c>
      <c r="BH78" s="3">
        <f t="shared" si="736"/>
        <v>169.23</v>
      </c>
      <c r="BI78" s="3">
        <f t="shared" si="736"/>
        <v>169.23</v>
      </c>
      <c r="BJ78" s="3">
        <f t="shared" si="736"/>
        <v>169.23</v>
      </c>
      <c r="BK78" s="3">
        <f t="shared" si="736"/>
        <v>169.23</v>
      </c>
      <c r="BL78" s="3">
        <f t="shared" si="736"/>
        <v>169.23</v>
      </c>
      <c r="BM78" s="3">
        <f t="shared" si="736"/>
        <v>169.23</v>
      </c>
      <c r="BN78" s="3">
        <f t="shared" si="736"/>
        <v>169.23</v>
      </c>
      <c r="BO78" s="3">
        <f t="shared" si="736"/>
        <v>169.23</v>
      </c>
      <c r="BP78" s="3">
        <f t="shared" si="736"/>
        <v>169.23</v>
      </c>
      <c r="BQ78" s="3">
        <f t="shared" si="736"/>
        <v>169.23</v>
      </c>
      <c r="BR78" s="3">
        <f t="shared" si="736"/>
        <v>169.23</v>
      </c>
      <c r="BS78" s="3">
        <f t="shared" si="736"/>
        <v>169.23</v>
      </c>
      <c r="BT78" s="3">
        <f t="shared" si="736"/>
        <v>169.23</v>
      </c>
      <c r="BU78" s="3">
        <f t="shared" si="736"/>
        <v>169.23</v>
      </c>
      <c r="BV78" s="3">
        <f t="shared" si="736"/>
        <v>169.23</v>
      </c>
      <c r="BW78" s="3">
        <f t="shared" si="736"/>
        <v>169.23</v>
      </c>
      <c r="BX78" s="3">
        <f t="shared" si="736"/>
        <v>169.23</v>
      </c>
      <c r="BY78" s="3">
        <f t="shared" si="736"/>
        <v>169.23</v>
      </c>
      <c r="BZ78" s="3">
        <f t="shared" si="736"/>
        <v>169.23</v>
      </c>
      <c r="CA78" s="3">
        <f t="shared" si="736"/>
        <v>169.23</v>
      </c>
      <c r="CB78" s="3">
        <f t="shared" si="736"/>
        <v>169.23</v>
      </c>
      <c r="CC78" s="3">
        <f t="shared" si="736"/>
        <v>169.23</v>
      </c>
      <c r="CD78" s="3">
        <f t="shared" si="736"/>
        <v>169.23</v>
      </c>
      <c r="CE78" s="3">
        <f t="shared" si="736"/>
        <v>169.23</v>
      </c>
      <c r="CF78" s="3">
        <f t="shared" si="736"/>
        <v>169.23</v>
      </c>
      <c r="CG78" s="3">
        <f t="shared" si="736"/>
        <v>169.23</v>
      </c>
      <c r="CH78" s="3">
        <f t="shared" si="736"/>
        <v>169.23</v>
      </c>
      <c r="CI78" s="3">
        <f>+CJ78</f>
        <v>169.23</v>
      </c>
      <c r="CJ78" s="3">
        <f>'QTR Raw'!BD45</f>
        <v>169.23</v>
      </c>
      <c r="CK78" s="3">
        <f>'QTR Raw'!BE45</f>
        <v>169.23</v>
      </c>
      <c r="CL78" s="3">
        <f>'QTR Raw'!BF45</f>
        <v>169.23</v>
      </c>
      <c r="CM78" s="37">
        <f t="shared" ref="CM78:CM79" si="737">+CL78</f>
        <v>169.23</v>
      </c>
      <c r="CN78" s="37">
        <f t="shared" ref="CN78:CN79" si="738">+CM78</f>
        <v>169.23</v>
      </c>
      <c r="CO78" s="37">
        <f t="shared" ref="CO78:CO79" si="739">+CN78</f>
        <v>169.23</v>
      </c>
      <c r="CP78" s="37">
        <f t="shared" ref="CP78:CP79" si="740">+CO78</f>
        <v>169.23</v>
      </c>
      <c r="CQ78" s="37">
        <f t="shared" ref="CQ78:CQ79" si="741">+CP78</f>
        <v>169.23</v>
      </c>
      <c r="CR78" s="37">
        <f t="shared" ref="CR78:CR79" si="742">+CQ78</f>
        <v>169.23</v>
      </c>
      <c r="CS78" s="37">
        <f t="shared" ref="CS78:CS79" si="743">+CR78</f>
        <v>169.23</v>
      </c>
      <c r="CT78" s="37">
        <f t="shared" ref="CT78:CT79" si="744">+CS78</f>
        <v>169.23</v>
      </c>
      <c r="CU78" s="37">
        <f t="shared" ref="CU78:CU79" si="745">+CT78</f>
        <v>169.23</v>
      </c>
      <c r="CV78" s="37">
        <f t="shared" ref="CV78:CV79" si="746">+CU78</f>
        <v>169.23</v>
      </c>
      <c r="CW78" s="37">
        <f t="shared" ref="CW78:CW79" si="747">+CV78</f>
        <v>169.23</v>
      </c>
      <c r="CX78" s="37">
        <f t="shared" ref="CX78:CX79" si="748">+CW78</f>
        <v>169.23</v>
      </c>
      <c r="CY78" s="37">
        <f t="shared" ref="CY78:CY79" si="749">+CX78</f>
        <v>169.23</v>
      </c>
      <c r="CZ78" s="37">
        <f t="shared" ref="CZ78:CZ79" si="750">+CY78</f>
        <v>169.23</v>
      </c>
      <c r="DA78" s="37">
        <f t="shared" ref="DA78:DA79" si="751">+CZ78</f>
        <v>169.23</v>
      </c>
      <c r="DB78" s="37">
        <f t="shared" ref="DB78:DB79" si="752">+DA78</f>
        <v>169.23</v>
      </c>
      <c r="DE78" s="134"/>
      <c r="DF78" s="3">
        <v>169.23</v>
      </c>
    </row>
    <row r="79" spans="1:110" s="3" customFormat="1" x14ac:dyDescent="0.2">
      <c r="A79" s="3" t="s">
        <v>28</v>
      </c>
      <c r="B79" s="3">
        <f>'Annual Raw'!C105</f>
        <v>10</v>
      </c>
      <c r="C79" s="3">
        <f>'Annual Raw'!D105</f>
        <v>10</v>
      </c>
      <c r="D79" s="3">
        <f>'Annual Raw'!E105</f>
        <v>10</v>
      </c>
      <c r="E79" s="3">
        <f t="shared" ref="E79:Y79" ca="1" si="753">+F79</f>
        <v>0</v>
      </c>
      <c r="F79" s="3">
        <f t="shared" ca="1" si="753"/>
        <v>0</v>
      </c>
      <c r="G79" s="3">
        <f t="shared" ca="1" si="753"/>
        <v>0</v>
      </c>
      <c r="H79" s="3">
        <f t="shared" ca="1" si="753"/>
        <v>0</v>
      </c>
      <c r="I79" s="3">
        <f t="shared" ca="1" si="753"/>
        <v>0</v>
      </c>
      <c r="J79" s="3">
        <f t="shared" ca="1" si="753"/>
        <v>0</v>
      </c>
      <c r="K79" s="3">
        <f t="shared" ca="1" si="753"/>
        <v>0</v>
      </c>
      <c r="L79" s="3">
        <f t="shared" ca="1" si="753"/>
        <v>0</v>
      </c>
      <c r="M79" s="3">
        <f t="shared" ca="1" si="753"/>
        <v>0</v>
      </c>
      <c r="N79" s="3">
        <f t="shared" ca="1" si="753"/>
        <v>0</v>
      </c>
      <c r="O79" s="3">
        <f t="shared" ca="1" si="753"/>
        <v>0</v>
      </c>
      <c r="P79" s="3">
        <f t="shared" ca="1" si="753"/>
        <v>0</v>
      </c>
      <c r="Q79" s="3">
        <f t="shared" ca="1" si="753"/>
        <v>0</v>
      </c>
      <c r="R79" s="3">
        <f t="shared" ca="1" si="753"/>
        <v>0</v>
      </c>
      <c r="S79" s="3">
        <f t="shared" ca="1" si="753"/>
        <v>0</v>
      </c>
      <c r="T79" s="3">
        <f t="shared" ca="1" si="753"/>
        <v>0</v>
      </c>
      <c r="U79" s="3">
        <f t="shared" ca="1" si="753"/>
        <v>0</v>
      </c>
      <c r="V79" s="3">
        <f t="shared" ca="1" si="753"/>
        <v>0</v>
      </c>
      <c r="W79" s="3">
        <f t="shared" ca="1" si="753"/>
        <v>0</v>
      </c>
      <c r="X79" s="3">
        <f t="shared" ca="1" si="753"/>
        <v>0</v>
      </c>
      <c r="Y79" s="3">
        <f t="shared" ca="1" si="753"/>
        <v>0</v>
      </c>
      <c r="Z79" s="3">
        <f ca="1">+AA79</f>
        <v>0</v>
      </c>
      <c r="AA79" s="3">
        <f ca="1">+AB79</f>
        <v>0</v>
      </c>
      <c r="AB79" s="37">
        <f t="shared" ca="1" si="732"/>
        <v>0</v>
      </c>
      <c r="AC79" s="37">
        <f t="shared" ca="1" si="733"/>
        <v>0</v>
      </c>
      <c r="AD79" s="37">
        <f t="shared" ca="1" si="734"/>
        <v>0</v>
      </c>
      <c r="AE79" s="37">
        <f t="shared" ca="1" si="735"/>
        <v>0</v>
      </c>
      <c r="AI79" s="3">
        <f t="shared" ref="AI79:CH79" si="754">AJ79</f>
        <v>5</v>
      </c>
      <c r="AJ79" s="3">
        <f t="shared" si="754"/>
        <v>5</v>
      </c>
      <c r="AK79" s="3">
        <f t="shared" si="754"/>
        <v>5</v>
      </c>
      <c r="AL79" s="3">
        <f t="shared" si="754"/>
        <v>5</v>
      </c>
      <c r="AM79" s="3">
        <f t="shared" si="754"/>
        <v>5</v>
      </c>
      <c r="AN79" s="3">
        <f t="shared" si="754"/>
        <v>5</v>
      </c>
      <c r="AO79" s="3">
        <f t="shared" si="754"/>
        <v>5</v>
      </c>
      <c r="AP79" s="3">
        <f t="shared" si="754"/>
        <v>5</v>
      </c>
      <c r="AQ79" s="3">
        <f t="shared" si="754"/>
        <v>5</v>
      </c>
      <c r="AR79" s="3">
        <f t="shared" si="754"/>
        <v>5</v>
      </c>
      <c r="AS79" s="3">
        <f t="shared" si="754"/>
        <v>5</v>
      </c>
      <c r="AT79" s="3">
        <f t="shared" si="754"/>
        <v>5</v>
      </c>
      <c r="AU79" s="3">
        <f t="shared" si="754"/>
        <v>5</v>
      </c>
      <c r="AV79" s="3">
        <f t="shared" si="754"/>
        <v>5</v>
      </c>
      <c r="AW79" s="3">
        <f t="shared" si="754"/>
        <v>5</v>
      </c>
      <c r="AX79" s="3">
        <f t="shared" si="754"/>
        <v>5</v>
      </c>
      <c r="AY79" s="3">
        <f t="shared" si="754"/>
        <v>5</v>
      </c>
      <c r="AZ79" s="3">
        <f t="shared" si="754"/>
        <v>5</v>
      </c>
      <c r="BA79" s="3">
        <f t="shared" si="754"/>
        <v>5</v>
      </c>
      <c r="BB79" s="3">
        <f t="shared" si="754"/>
        <v>5</v>
      </c>
      <c r="BC79" s="3">
        <f t="shared" si="754"/>
        <v>5</v>
      </c>
      <c r="BD79" s="3">
        <f t="shared" si="754"/>
        <v>5</v>
      </c>
      <c r="BE79" s="3">
        <f t="shared" si="754"/>
        <v>5</v>
      </c>
      <c r="BF79" s="3">
        <f t="shared" si="754"/>
        <v>5</v>
      </c>
      <c r="BG79" s="3">
        <f t="shared" si="754"/>
        <v>5</v>
      </c>
      <c r="BH79" s="3">
        <f t="shared" si="754"/>
        <v>5</v>
      </c>
      <c r="BI79" s="3">
        <f t="shared" si="754"/>
        <v>5</v>
      </c>
      <c r="BJ79" s="3">
        <f t="shared" si="754"/>
        <v>5</v>
      </c>
      <c r="BK79" s="3">
        <f t="shared" si="754"/>
        <v>5</v>
      </c>
      <c r="BL79" s="3">
        <f t="shared" si="754"/>
        <v>5</v>
      </c>
      <c r="BM79" s="3">
        <f t="shared" si="754"/>
        <v>5</v>
      </c>
      <c r="BN79" s="3">
        <f t="shared" si="754"/>
        <v>5</v>
      </c>
      <c r="BO79" s="3">
        <f t="shared" si="754"/>
        <v>5</v>
      </c>
      <c r="BP79" s="3">
        <f t="shared" si="754"/>
        <v>5</v>
      </c>
      <c r="BQ79" s="3">
        <f t="shared" si="754"/>
        <v>5</v>
      </c>
      <c r="BR79" s="3">
        <f t="shared" si="754"/>
        <v>5</v>
      </c>
      <c r="BS79" s="3">
        <f t="shared" si="754"/>
        <v>5</v>
      </c>
      <c r="BT79" s="3">
        <f t="shared" si="754"/>
        <v>5</v>
      </c>
      <c r="BU79" s="3">
        <f t="shared" si="754"/>
        <v>5</v>
      </c>
      <c r="BV79" s="3">
        <f t="shared" si="754"/>
        <v>5</v>
      </c>
      <c r="BW79" s="3">
        <f t="shared" si="754"/>
        <v>5</v>
      </c>
      <c r="BX79" s="3">
        <f t="shared" si="754"/>
        <v>5</v>
      </c>
      <c r="BY79" s="3">
        <f t="shared" si="754"/>
        <v>5</v>
      </c>
      <c r="BZ79" s="3">
        <f t="shared" si="754"/>
        <v>5</v>
      </c>
      <c r="CA79" s="3">
        <f t="shared" si="754"/>
        <v>5</v>
      </c>
      <c r="CB79" s="3">
        <f t="shared" si="754"/>
        <v>5</v>
      </c>
      <c r="CC79" s="3">
        <f t="shared" si="754"/>
        <v>5</v>
      </c>
      <c r="CD79" s="3">
        <f t="shared" si="754"/>
        <v>5</v>
      </c>
      <c r="CE79" s="3">
        <f t="shared" si="754"/>
        <v>5</v>
      </c>
      <c r="CF79" s="3">
        <f t="shared" si="754"/>
        <v>5</v>
      </c>
      <c r="CG79" s="3">
        <f t="shared" si="754"/>
        <v>5</v>
      </c>
      <c r="CH79" s="3">
        <f t="shared" si="754"/>
        <v>5</v>
      </c>
      <c r="CI79" s="3">
        <f>CJ79</f>
        <v>5</v>
      </c>
      <c r="CJ79" s="3">
        <f>'QTR Raw'!BD46</f>
        <v>5</v>
      </c>
      <c r="CK79" s="3">
        <f>'QTR Raw'!BE46</f>
        <v>5</v>
      </c>
      <c r="CL79" s="3">
        <f>'QTR Raw'!BF46</f>
        <v>5</v>
      </c>
      <c r="CM79" s="37">
        <f t="shared" si="737"/>
        <v>5</v>
      </c>
      <c r="CN79" s="37">
        <f t="shared" si="738"/>
        <v>5</v>
      </c>
      <c r="CO79" s="37">
        <f t="shared" si="739"/>
        <v>5</v>
      </c>
      <c r="CP79" s="37">
        <f t="shared" si="740"/>
        <v>5</v>
      </c>
      <c r="CQ79" s="37">
        <f t="shared" si="741"/>
        <v>5</v>
      </c>
      <c r="CR79" s="37">
        <f t="shared" si="742"/>
        <v>5</v>
      </c>
      <c r="CS79" s="37">
        <f t="shared" si="743"/>
        <v>5</v>
      </c>
      <c r="CT79" s="37">
        <f t="shared" si="744"/>
        <v>5</v>
      </c>
      <c r="CU79" s="37">
        <f t="shared" si="745"/>
        <v>5</v>
      </c>
      <c r="CV79" s="37">
        <f t="shared" si="746"/>
        <v>5</v>
      </c>
      <c r="CW79" s="37">
        <f t="shared" si="747"/>
        <v>5</v>
      </c>
      <c r="CX79" s="37">
        <f t="shared" si="748"/>
        <v>5</v>
      </c>
      <c r="CY79" s="37">
        <f t="shared" si="749"/>
        <v>5</v>
      </c>
      <c r="CZ79" s="37">
        <f t="shared" si="750"/>
        <v>5</v>
      </c>
      <c r="DA79" s="37">
        <f t="shared" si="751"/>
        <v>5</v>
      </c>
      <c r="DB79" s="37">
        <f t="shared" si="752"/>
        <v>5</v>
      </c>
      <c r="DE79" s="134"/>
      <c r="DF79" s="3">
        <v>5</v>
      </c>
    </row>
    <row r="80" spans="1:110" s="3" customFormat="1" x14ac:dyDescent="0.2">
      <c r="A80" s="3" t="s">
        <v>29</v>
      </c>
      <c r="B80" s="3">
        <f>B78/B79</f>
        <v>2.1080999999999999</v>
      </c>
      <c r="C80" s="3">
        <f t="shared" ref="C80:W80" si="755">C78/C79</f>
        <v>2.1080999999999999</v>
      </c>
      <c r="D80" s="3">
        <f t="shared" si="755"/>
        <v>2.1102400000000001</v>
      </c>
      <c r="E80" s="3" t="e">
        <f t="shared" ca="1" si="755"/>
        <v>#DIV/0!</v>
      </c>
      <c r="F80" s="3" t="e">
        <f t="shared" ca="1" si="755"/>
        <v>#DIV/0!</v>
      </c>
      <c r="G80" s="3" t="e">
        <f t="shared" ca="1" si="755"/>
        <v>#DIV/0!</v>
      </c>
      <c r="H80" s="3" t="e">
        <f t="shared" ca="1" si="755"/>
        <v>#DIV/0!</v>
      </c>
      <c r="I80" s="3" t="e">
        <f t="shared" ca="1" si="755"/>
        <v>#DIV/0!</v>
      </c>
      <c r="J80" s="3" t="e">
        <f t="shared" ca="1" si="755"/>
        <v>#DIV/0!</v>
      </c>
      <c r="K80" s="3" t="e">
        <f t="shared" ca="1" si="755"/>
        <v>#DIV/0!</v>
      </c>
      <c r="L80" s="3" t="e">
        <f t="shared" ca="1" si="755"/>
        <v>#DIV/0!</v>
      </c>
      <c r="M80" s="3" t="e">
        <f t="shared" ca="1" si="755"/>
        <v>#DIV/0!</v>
      </c>
      <c r="N80" s="3" t="e">
        <f t="shared" ca="1" si="755"/>
        <v>#DIV/0!</v>
      </c>
      <c r="O80" s="3" t="e">
        <f t="shared" ca="1" si="755"/>
        <v>#DIV/0!</v>
      </c>
      <c r="P80" s="3" t="e">
        <f t="shared" ca="1" si="755"/>
        <v>#DIV/0!</v>
      </c>
      <c r="Q80" s="3" t="e">
        <f t="shared" ca="1" si="755"/>
        <v>#DIV/0!</v>
      </c>
      <c r="R80" s="3" t="e">
        <f t="shared" ca="1" si="755"/>
        <v>#DIV/0!</v>
      </c>
      <c r="S80" s="3" t="e">
        <f t="shared" ca="1" si="755"/>
        <v>#DIV/0!</v>
      </c>
      <c r="T80" s="3" t="e">
        <f t="shared" ca="1" si="755"/>
        <v>#DIV/0!</v>
      </c>
      <c r="U80" s="3" t="e">
        <f t="shared" ca="1" si="755"/>
        <v>#DIV/0!</v>
      </c>
      <c r="V80" s="3" t="e">
        <f ca="1">V78/V79</f>
        <v>#DIV/0!</v>
      </c>
      <c r="W80" s="3" t="e">
        <f t="shared" ca="1" si="755"/>
        <v>#DIV/0!</v>
      </c>
      <c r="X80" s="3" t="e">
        <f t="shared" ref="X80:Y80" ca="1" si="756">X78/X79</f>
        <v>#DIV/0!</v>
      </c>
      <c r="Y80" s="3" t="e">
        <f t="shared" ca="1" si="756"/>
        <v>#DIV/0!</v>
      </c>
      <c r="Z80" s="3" t="e">
        <f t="shared" ref="Z80:AA80" ca="1" si="757">Z78/Z79</f>
        <v>#DIV/0!</v>
      </c>
      <c r="AA80" s="3" t="e">
        <f t="shared" ca="1" si="757"/>
        <v>#DIV/0!</v>
      </c>
      <c r="AB80" s="37" t="e">
        <f t="shared" ref="AA80:AD80" ca="1" si="758">AB78/AB79</f>
        <v>#DIV/0!</v>
      </c>
      <c r="AC80" s="37" t="e">
        <f t="shared" ca="1" si="758"/>
        <v>#DIV/0!</v>
      </c>
      <c r="AD80" s="37" t="e">
        <f t="shared" ca="1" si="758"/>
        <v>#DIV/0!</v>
      </c>
      <c r="AE80" s="37" t="e">
        <f t="shared" ref="AE80" ca="1" si="759">AE78/AE79</f>
        <v>#DIV/0!</v>
      </c>
      <c r="AI80" s="3">
        <f t="shared" ref="AI80" si="760">AI78/AI79</f>
        <v>33.845999999999997</v>
      </c>
      <c r="AJ80" s="3">
        <f t="shared" ref="AJ80" si="761">AJ78/AJ79</f>
        <v>33.845999999999997</v>
      </c>
      <c r="AK80" s="3">
        <f t="shared" ref="AK80:AM80" si="762">AK78/AK79</f>
        <v>33.845999999999997</v>
      </c>
      <c r="AL80" s="3">
        <f t="shared" si="762"/>
        <v>33.845999999999997</v>
      </c>
      <c r="AM80" s="3">
        <f t="shared" si="762"/>
        <v>33.845999999999997</v>
      </c>
      <c r="AN80" s="3">
        <f t="shared" ref="AN80:AO80" si="763">AN78/AN79</f>
        <v>33.845999999999997</v>
      </c>
      <c r="AO80" s="3">
        <f t="shared" si="763"/>
        <v>33.845999999999997</v>
      </c>
      <c r="AP80" s="3">
        <f t="shared" ref="AP80:CD80" si="764">AP78/AP79</f>
        <v>33.845999999999997</v>
      </c>
      <c r="AQ80" s="3">
        <f t="shared" si="764"/>
        <v>33.845999999999997</v>
      </c>
      <c r="AR80" s="3">
        <f t="shared" si="764"/>
        <v>33.845999999999997</v>
      </c>
      <c r="AS80" s="3">
        <f t="shared" si="764"/>
        <v>33.845999999999997</v>
      </c>
      <c r="AT80" s="3">
        <f t="shared" si="764"/>
        <v>33.845999999999997</v>
      </c>
      <c r="AU80" s="3">
        <f t="shared" si="764"/>
        <v>33.845999999999997</v>
      </c>
      <c r="AV80" s="3">
        <f t="shared" si="764"/>
        <v>33.845999999999997</v>
      </c>
      <c r="AW80" s="3">
        <f t="shared" si="764"/>
        <v>33.845999999999997</v>
      </c>
      <c r="AX80" s="3">
        <f t="shared" si="764"/>
        <v>33.845999999999997</v>
      </c>
      <c r="AY80" s="3">
        <f t="shared" si="764"/>
        <v>33.845999999999997</v>
      </c>
      <c r="AZ80" s="3">
        <f t="shared" si="764"/>
        <v>33.845999999999997</v>
      </c>
      <c r="BA80" s="3">
        <f t="shared" si="764"/>
        <v>33.845999999999997</v>
      </c>
      <c r="BB80" s="3">
        <f t="shared" si="764"/>
        <v>33.845999999999997</v>
      </c>
      <c r="BC80" s="3">
        <f t="shared" si="764"/>
        <v>33.845999999999997</v>
      </c>
      <c r="BD80" s="3">
        <f t="shared" si="764"/>
        <v>33.845999999999997</v>
      </c>
      <c r="BE80" s="3">
        <f t="shared" si="764"/>
        <v>33.845999999999997</v>
      </c>
      <c r="BF80" s="3">
        <f t="shared" si="764"/>
        <v>33.845999999999997</v>
      </c>
      <c r="BG80" s="3">
        <f t="shared" si="764"/>
        <v>33.845999999999997</v>
      </c>
      <c r="BH80" s="3">
        <f t="shared" si="764"/>
        <v>33.845999999999997</v>
      </c>
      <c r="BI80" s="3">
        <f t="shared" si="764"/>
        <v>33.845999999999997</v>
      </c>
      <c r="BJ80" s="3">
        <f t="shared" si="764"/>
        <v>33.845999999999997</v>
      </c>
      <c r="BK80" s="3">
        <f t="shared" si="764"/>
        <v>33.845999999999997</v>
      </c>
      <c r="BL80" s="3">
        <f t="shared" si="764"/>
        <v>33.845999999999997</v>
      </c>
      <c r="BM80" s="3">
        <f t="shared" si="764"/>
        <v>33.845999999999997</v>
      </c>
      <c r="BN80" s="3">
        <f t="shared" si="764"/>
        <v>33.845999999999997</v>
      </c>
      <c r="BO80" s="3">
        <f t="shared" si="764"/>
        <v>33.845999999999997</v>
      </c>
      <c r="BP80" s="3">
        <f t="shared" si="764"/>
        <v>33.845999999999997</v>
      </c>
      <c r="BQ80" s="3">
        <f t="shared" si="764"/>
        <v>33.845999999999997</v>
      </c>
      <c r="BR80" s="3">
        <f t="shared" si="764"/>
        <v>33.845999999999997</v>
      </c>
      <c r="BS80" s="3">
        <f t="shared" si="764"/>
        <v>33.845999999999997</v>
      </c>
      <c r="BT80" s="3">
        <f t="shared" si="764"/>
        <v>33.845999999999997</v>
      </c>
      <c r="BU80" s="3">
        <f t="shared" si="764"/>
        <v>33.845999999999997</v>
      </c>
      <c r="BV80" s="3">
        <f t="shared" si="764"/>
        <v>33.845999999999997</v>
      </c>
      <c r="BW80" s="3">
        <f t="shared" si="764"/>
        <v>33.845999999999997</v>
      </c>
      <c r="BX80" s="3">
        <f t="shared" si="764"/>
        <v>33.845999999999997</v>
      </c>
      <c r="BY80" s="3">
        <f t="shared" si="764"/>
        <v>33.845999999999997</v>
      </c>
      <c r="BZ80" s="3">
        <f t="shared" si="764"/>
        <v>33.845999999999997</v>
      </c>
      <c r="CA80" s="3">
        <f t="shared" si="764"/>
        <v>33.845999999999997</v>
      </c>
      <c r="CB80" s="3">
        <f t="shared" si="764"/>
        <v>33.845999999999997</v>
      </c>
      <c r="CC80" s="3">
        <f t="shared" si="764"/>
        <v>33.845999999999997</v>
      </c>
      <c r="CD80" s="3">
        <f t="shared" si="764"/>
        <v>33.845999999999997</v>
      </c>
      <c r="CE80" s="3">
        <f t="shared" ref="CE80:CF80" si="765">CE78/CE79</f>
        <v>33.845999999999997</v>
      </c>
      <c r="CF80" s="3">
        <f t="shared" si="765"/>
        <v>33.845999999999997</v>
      </c>
      <c r="CG80" s="3">
        <f t="shared" ref="CG80:CH80" si="766">CG78/CG79</f>
        <v>33.845999999999997</v>
      </c>
      <c r="CH80" s="3">
        <f t="shared" si="766"/>
        <v>33.845999999999997</v>
      </c>
      <c r="CI80" s="3">
        <f t="shared" ref="CI80:CJ80" si="767">CI78/CI79</f>
        <v>33.845999999999997</v>
      </c>
      <c r="CJ80" s="3">
        <f t="shared" si="767"/>
        <v>33.845999999999997</v>
      </c>
      <c r="CK80" s="3">
        <f t="shared" ref="CK80:CL80" si="768">CK78/CK79</f>
        <v>33.845999999999997</v>
      </c>
      <c r="CL80" s="3">
        <f t="shared" si="768"/>
        <v>33.845999999999997</v>
      </c>
      <c r="CM80" s="37">
        <f t="shared" ref="CM80:DB80" si="769">CM78/CM79</f>
        <v>33.845999999999997</v>
      </c>
      <c r="CN80" s="37">
        <f t="shared" si="769"/>
        <v>33.845999999999997</v>
      </c>
      <c r="CO80" s="37">
        <f t="shared" si="769"/>
        <v>33.845999999999997</v>
      </c>
      <c r="CP80" s="37">
        <f t="shared" si="769"/>
        <v>33.845999999999997</v>
      </c>
      <c r="CQ80" s="37">
        <f t="shared" si="769"/>
        <v>33.845999999999997</v>
      </c>
      <c r="CR80" s="37">
        <f t="shared" si="769"/>
        <v>33.845999999999997</v>
      </c>
      <c r="CS80" s="37">
        <f t="shared" si="769"/>
        <v>33.845999999999997</v>
      </c>
      <c r="CT80" s="37">
        <f t="shared" si="769"/>
        <v>33.845999999999997</v>
      </c>
      <c r="CU80" s="37">
        <f t="shared" si="769"/>
        <v>33.845999999999997</v>
      </c>
      <c r="CV80" s="37">
        <f t="shared" si="769"/>
        <v>33.845999999999997</v>
      </c>
      <c r="CW80" s="37">
        <f t="shared" si="769"/>
        <v>33.845999999999997</v>
      </c>
      <c r="CX80" s="37">
        <f t="shared" si="769"/>
        <v>33.845999999999997</v>
      </c>
      <c r="CY80" s="37">
        <f t="shared" si="769"/>
        <v>33.845999999999997</v>
      </c>
      <c r="CZ80" s="37">
        <f t="shared" si="769"/>
        <v>33.845999999999997</v>
      </c>
      <c r="DA80" s="37">
        <f t="shared" si="769"/>
        <v>33.845999999999997</v>
      </c>
      <c r="DB80" s="37">
        <f t="shared" si="769"/>
        <v>33.845999999999997</v>
      </c>
      <c r="DE80" s="134"/>
      <c r="DF80" s="3">
        <v>33.845999999999997</v>
      </c>
    </row>
    <row r="81" spans="1:110" s="53" customFormat="1" x14ac:dyDescent="0.2">
      <c r="A81" s="53" t="s">
        <v>30</v>
      </c>
      <c r="B81" s="53">
        <f t="shared" ref="B81:AE81" si="770">(B63-B62)/B80</f>
        <v>20.305678098761938</v>
      </c>
      <c r="C81" s="53">
        <f t="shared" si="770"/>
        <v>22.196243062473311</v>
      </c>
      <c r="D81" s="53">
        <f t="shared" si="770"/>
        <v>20.987518007430417</v>
      </c>
      <c r="E81" s="53" t="e">
        <f t="shared" ca="1" si="770"/>
        <v>#DIV/0!</v>
      </c>
      <c r="F81" s="53" t="e">
        <f t="shared" ca="1" si="770"/>
        <v>#DIV/0!</v>
      </c>
      <c r="G81" s="53" t="e">
        <f t="shared" ca="1" si="770"/>
        <v>#DIV/0!</v>
      </c>
      <c r="H81" s="53" t="e">
        <f t="shared" ca="1" si="770"/>
        <v>#DIV/0!</v>
      </c>
      <c r="I81" s="53" t="e">
        <f t="shared" ca="1" si="770"/>
        <v>#DIV/0!</v>
      </c>
      <c r="J81" s="53" t="e">
        <f t="shared" ca="1" si="770"/>
        <v>#DIV/0!</v>
      </c>
      <c r="K81" s="53" t="e">
        <f t="shared" ca="1" si="770"/>
        <v>#DIV/0!</v>
      </c>
      <c r="L81" s="53" t="e">
        <f t="shared" ca="1" si="770"/>
        <v>#DIV/0!</v>
      </c>
      <c r="M81" s="53" t="e">
        <f t="shared" ca="1" si="770"/>
        <v>#DIV/0!</v>
      </c>
      <c r="N81" s="53" t="e">
        <f t="shared" ca="1" si="770"/>
        <v>#DIV/0!</v>
      </c>
      <c r="O81" s="53" t="e">
        <f t="shared" ca="1" si="770"/>
        <v>#DIV/0!</v>
      </c>
      <c r="P81" s="53" t="e">
        <f t="shared" ca="1" si="770"/>
        <v>#DIV/0!</v>
      </c>
      <c r="Q81" s="53" t="e">
        <f t="shared" ca="1" si="770"/>
        <v>#DIV/0!</v>
      </c>
      <c r="R81" s="53" t="e">
        <f t="shared" ca="1" si="770"/>
        <v>#DIV/0!</v>
      </c>
      <c r="S81" s="53" t="e">
        <f t="shared" ca="1" si="770"/>
        <v>#DIV/0!</v>
      </c>
      <c r="T81" s="53" t="e">
        <f t="shared" ca="1" si="770"/>
        <v>#DIV/0!</v>
      </c>
      <c r="U81" s="53" t="e">
        <f t="shared" ca="1" si="770"/>
        <v>#DIV/0!</v>
      </c>
      <c r="V81" s="53" t="e">
        <f t="shared" ca="1" si="770"/>
        <v>#DIV/0!</v>
      </c>
      <c r="W81" s="53" t="e">
        <f t="shared" ca="1" si="770"/>
        <v>#DIV/0!</v>
      </c>
      <c r="X81" s="53" t="e">
        <f t="shared" ca="1" si="770"/>
        <v>#DIV/0!</v>
      </c>
      <c r="Y81" s="53" t="e">
        <f t="shared" ca="1" si="770"/>
        <v>#DIV/0!</v>
      </c>
      <c r="Z81" s="53" t="e">
        <f t="shared" ca="1" si="770"/>
        <v>#DIV/0!</v>
      </c>
      <c r="AA81" s="53" t="e">
        <f t="shared" ref="AA81" ca="1" si="771">(AA63-AA62)/AA80</f>
        <v>#DIV/0!</v>
      </c>
      <c r="AB81" s="54" t="e">
        <f t="shared" ca="1" si="770"/>
        <v>#DIV/0!</v>
      </c>
      <c r="AC81" s="54" t="e">
        <f t="shared" ca="1" si="770"/>
        <v>#DIV/0!</v>
      </c>
      <c r="AD81" s="54" t="e">
        <f t="shared" ca="1" si="770"/>
        <v>#DIV/0!</v>
      </c>
      <c r="AE81" s="54" t="e">
        <f t="shared" ca="1" si="770"/>
        <v>#DIV/0!</v>
      </c>
      <c r="AI81" s="53">
        <f t="shared" ref="AI81:BN81" si="772">(AI63-AI62)/AI80</f>
        <v>3.0136500620457367</v>
      </c>
      <c r="AJ81" s="53">
        <f t="shared" si="772"/>
        <v>3.1613780062636652</v>
      </c>
      <c r="AK81" s="53">
        <f t="shared" si="772"/>
        <v>3.3091059504815936</v>
      </c>
      <c r="AL81" s="53">
        <f t="shared" si="772"/>
        <v>4.3727471488506771</v>
      </c>
      <c r="AM81" s="53">
        <f t="shared" si="772"/>
        <v>4.4022927376942631</v>
      </c>
      <c r="AN81" s="53">
        <f t="shared" si="772"/>
        <v>3.3386515393251792</v>
      </c>
      <c r="AO81" s="53">
        <f t="shared" si="772"/>
        <v>4.668203037286534</v>
      </c>
      <c r="AP81" s="53">
        <f t="shared" si="772"/>
        <v>7.2091236778349002</v>
      </c>
      <c r="AQ81" s="53">
        <f t="shared" si="772"/>
        <v>7.5636707439579283</v>
      </c>
      <c r="AR81" s="53">
        <f t="shared" si="772"/>
        <v>5.8500265910299598</v>
      </c>
      <c r="AS81" s="53">
        <f t="shared" si="772"/>
        <v>4.9341133368788048</v>
      </c>
      <c r="AT81" s="53">
        <f t="shared" si="772"/>
        <v>3.8409265496661353</v>
      </c>
      <c r="AU81" s="53">
        <f t="shared" si="772"/>
        <v>19.204632748330678</v>
      </c>
      <c r="AV81" s="53">
        <f t="shared" si="772"/>
        <v>15.038704721385098</v>
      </c>
      <c r="AW81" s="53">
        <f t="shared" si="772"/>
        <v>14.300065000295458</v>
      </c>
      <c r="AX81" s="53">
        <f t="shared" si="772"/>
        <v>8.3909472315783269</v>
      </c>
      <c r="AY81" s="53">
        <f t="shared" si="772"/>
        <v>8.6273119423270117</v>
      </c>
      <c r="AZ81" s="53">
        <f t="shared" si="772"/>
        <v>6.1159368906222307</v>
      </c>
      <c r="BA81" s="53">
        <f t="shared" si="772"/>
        <v>6.7659398451811148</v>
      </c>
      <c r="BB81" s="53">
        <f t="shared" si="772"/>
        <v>6.0863913017786455</v>
      </c>
      <c r="BC81" s="53">
        <f t="shared" si="772"/>
        <v>5.5545707025941029</v>
      </c>
      <c r="BD81" s="53">
        <f t="shared" si="772"/>
        <v>6.0273001240914734</v>
      </c>
      <c r="BE81" s="53">
        <f t="shared" si="772"/>
        <v>1.713644152927968</v>
      </c>
      <c r="BF81" s="53">
        <f t="shared" si="772"/>
        <v>6.7363942563375296</v>
      </c>
      <c r="BG81" s="53">
        <f t="shared" si="772"/>
        <v>4.8159309815044615</v>
      </c>
      <c r="BH81" s="53">
        <f t="shared" si="772"/>
        <v>5.288660403001832</v>
      </c>
      <c r="BI81" s="53">
        <f t="shared" si="772"/>
        <v>7.2682148555220714</v>
      </c>
      <c r="BJ81" s="53">
        <f t="shared" si="772"/>
        <v>6.0568457129350595</v>
      </c>
      <c r="BK81" s="53">
        <f t="shared" si="772"/>
        <v>6.3818471902145015</v>
      </c>
      <c r="BL81" s="53">
        <f t="shared" si="772"/>
        <v>7.2091236778349002</v>
      </c>
      <c r="BM81" s="53">
        <f t="shared" si="772"/>
        <v>7.4159427997399998</v>
      </c>
      <c r="BN81" s="53">
        <f t="shared" si="772"/>
        <v>9.2773148968858958</v>
      </c>
      <c r="BO81" s="53">
        <f t="shared" ref="BO81:CT81" si="773">(BO63-BO62)/BO80</f>
        <v>9.4841340187909946</v>
      </c>
      <c r="BP81" s="53">
        <f t="shared" si="773"/>
        <v>9.1591325415115534</v>
      </c>
      <c r="BQ81" s="53">
        <f t="shared" si="773"/>
        <v>8.7750398865449402</v>
      </c>
      <c r="BR81" s="53">
        <f t="shared" si="773"/>
        <v>9.5727707853217527</v>
      </c>
      <c r="BS81" s="53">
        <f t="shared" si="773"/>
        <v>9.7500443183832672</v>
      </c>
      <c r="BT81" s="53">
        <f t="shared" si="773"/>
        <v>9.3364060745730679</v>
      </c>
      <c r="BU81" s="53">
        <f t="shared" si="773"/>
        <v>7.3568516220528286</v>
      </c>
      <c r="BV81" s="53">
        <f t="shared" si="773"/>
        <v>10.843231105595935</v>
      </c>
      <c r="BW81" s="53">
        <f t="shared" si="773"/>
        <v>10.459138450629322</v>
      </c>
      <c r="BX81" s="53">
        <f t="shared" si="773"/>
        <v>9.2182237191987237</v>
      </c>
      <c r="BY81" s="53">
        <f t="shared" si="773"/>
        <v>8.6273119423270117</v>
      </c>
      <c r="BZ81" s="53">
        <f t="shared" si="773"/>
        <v>8.4795839981090833</v>
      </c>
      <c r="CA81" s="53">
        <f t="shared" si="773"/>
        <v>11.168232582875378</v>
      </c>
      <c r="CB81" s="53">
        <f t="shared" si="773"/>
        <v>11.404597293624063</v>
      </c>
      <c r="CC81" s="53">
        <f t="shared" si="773"/>
        <v>10.488684039472908</v>
      </c>
      <c r="CD81" s="53">
        <f t="shared" si="773"/>
        <v>13.265969390769959</v>
      </c>
      <c r="CE81" s="53">
        <f t="shared" si="773"/>
        <v>13.502334101518645</v>
      </c>
      <c r="CF81" s="53">
        <f t="shared" si="773"/>
        <v>13.384151746144301</v>
      </c>
      <c r="CG81" s="53">
        <f t="shared" si="773"/>
        <v>14.861431188323586</v>
      </c>
      <c r="CH81" s="53">
        <f t="shared" si="773"/>
        <v>15.422797376351712</v>
      </c>
      <c r="CI81" s="53">
        <f t="shared" si="773"/>
        <v>16.19098268628494</v>
      </c>
      <c r="CJ81" s="53">
        <f t="shared" si="773"/>
        <v>17.845535661525737</v>
      </c>
      <c r="CK81" s="53">
        <f t="shared" ref="CK81:CL81" si="774">(CK63-CK62)/CK80</f>
        <v>19.056904804112747</v>
      </c>
      <c r="CL81" s="53">
        <f t="shared" si="774"/>
        <v>13.443242923831473</v>
      </c>
      <c r="CM81" s="54">
        <f t="shared" si="773"/>
        <v>17.036555871539633</v>
      </c>
      <c r="CN81" s="54">
        <f t="shared" si="773"/>
        <v>18.532496498490993</v>
      </c>
      <c r="CO81" s="54">
        <f t="shared" si="773"/>
        <v>18.779208752256135</v>
      </c>
      <c r="CP81" s="54">
        <f t="shared" si="773"/>
        <v>26.719758429542207</v>
      </c>
      <c r="CQ81" s="54">
        <f t="shared" si="773"/>
        <v>23.033048970932359</v>
      </c>
      <c r="CR81" s="54">
        <f t="shared" si="773"/>
        <v>24.840529598753562</v>
      </c>
      <c r="CS81" s="54">
        <f t="shared" si="773"/>
        <v>25.154500609424467</v>
      </c>
      <c r="CT81" s="54">
        <f t="shared" si="773"/>
        <v>35.081212962227042</v>
      </c>
      <c r="CU81" s="54">
        <f t="shared" ref="CU81:DB81" si="775">(CU63-CU62)/CU80</f>
        <v>27.436729817852196</v>
      </c>
      <c r="CV81" s="54">
        <f t="shared" si="775"/>
        <v>28.520820965539116</v>
      </c>
      <c r="CW81" s="54">
        <f t="shared" si="775"/>
        <v>28.492055506361968</v>
      </c>
      <c r="CX81" s="54">
        <f t="shared" si="775"/>
        <v>39.168620364577606</v>
      </c>
      <c r="CY81" s="54">
        <f t="shared" si="775"/>
        <v>29.22570453661897</v>
      </c>
      <c r="CZ81" s="54">
        <f t="shared" si="775"/>
        <v>30.143270949551379</v>
      </c>
      <c r="DA81" s="54">
        <f t="shared" si="775"/>
        <v>29.779971980964909</v>
      </c>
      <c r="DB81" s="54">
        <f t="shared" si="775"/>
        <v>40.150405406224422</v>
      </c>
      <c r="DE81" s="132"/>
      <c r="DF81" s="53">
        <v>20.864739619154438</v>
      </c>
    </row>
    <row r="82" spans="1:110" s="3" customFormat="1" x14ac:dyDescent="0.2">
      <c r="A82" s="3" t="s">
        <v>31</v>
      </c>
      <c r="B82" s="3">
        <f>'Annual Raw'!C110</f>
        <v>0.46875</v>
      </c>
      <c r="C82" s="3">
        <f>'Annual Raw'!D110</f>
        <v>0.5</v>
      </c>
      <c r="D82" s="3">
        <f>'Annual Raw'!E110</f>
        <v>0.5</v>
      </c>
      <c r="E82" s="3">
        <f>'Annual Raw'!F110</f>
        <v>0.5</v>
      </c>
      <c r="F82" s="3">
        <f>'Annual Raw'!G110</f>
        <v>0.5</v>
      </c>
      <c r="G82" s="3">
        <f>'Annual Raw'!H110</f>
        <v>0.625</v>
      </c>
      <c r="H82" s="3">
        <f>'Annual Raw'!I110</f>
        <v>0.75</v>
      </c>
      <c r="I82" s="3">
        <f>'Annual Raw'!J110</f>
        <v>0.875</v>
      </c>
      <c r="J82" s="3">
        <f>'Annual Raw'!K110</f>
        <v>1</v>
      </c>
      <c r="K82" s="3">
        <f>'Annual Raw'!L110</f>
        <v>1.5</v>
      </c>
      <c r="L82" s="3">
        <f>'Annual Raw'!M110</f>
        <v>2</v>
      </c>
      <c r="M82" s="3">
        <f>'Annual Raw'!N110</f>
        <v>2.125</v>
      </c>
      <c r="N82" s="3">
        <f>'Annual Raw'!O110</f>
        <v>5.75</v>
      </c>
      <c r="O82" s="3">
        <f>'Annual Raw'!P110</f>
        <v>5</v>
      </c>
      <c r="P82" s="3">
        <f>'Annual Raw'!Q110</f>
        <v>5.625</v>
      </c>
      <c r="Q82" s="3">
        <f>'Annual Raw'!R110</f>
        <v>17.5</v>
      </c>
      <c r="R82" s="3">
        <f>'Annual Raw'!S110</f>
        <v>7</v>
      </c>
      <c r="S82" s="3">
        <f>'Annual Raw'!T110</f>
        <v>7</v>
      </c>
      <c r="T82" s="3">
        <f>'Annual Raw'!U110</f>
        <v>8.5</v>
      </c>
      <c r="U82" s="3">
        <f>'Annual Raw'!V110</f>
        <v>16</v>
      </c>
      <c r="V82" s="3">
        <f>'Annual Raw'!W110</f>
        <v>17.5</v>
      </c>
      <c r="W82" s="3">
        <f>'Annual Raw'!X110</f>
        <v>24</v>
      </c>
      <c r="X82" s="3">
        <f>'Annual Raw'!Y110</f>
        <v>22</v>
      </c>
      <c r="Y82" s="3">
        <f>'Annual Raw'!Z110</f>
        <v>28</v>
      </c>
      <c r="Z82" s="3">
        <f>'Annual Raw'!AA110</f>
        <v>32</v>
      </c>
      <c r="AA82" s="3">
        <f>'Annual Raw'!AB110</f>
        <v>38</v>
      </c>
      <c r="AB82" s="37"/>
      <c r="AC82" s="37"/>
      <c r="AD82" s="37"/>
      <c r="AE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32</v>
      </c>
      <c r="B83" s="3">
        <f>B82/B81</f>
        <v>2.3084676006391545E-2</v>
      </c>
      <c r="C83" s="3">
        <f t="shared" ref="C83:U83" si="776">C82/C81</f>
        <v>2.2526334686131581E-2</v>
      </c>
      <c r="D83" s="3">
        <f t="shared" si="776"/>
        <v>2.3823684145165717E-2</v>
      </c>
      <c r="E83" s="3" t="e">
        <f t="shared" ca="1" si="776"/>
        <v>#DIV/0!</v>
      </c>
      <c r="F83" s="3" t="e">
        <f t="shared" ca="1" si="776"/>
        <v>#DIV/0!</v>
      </c>
      <c r="G83" s="3" t="e">
        <f t="shared" ca="1" si="776"/>
        <v>#DIV/0!</v>
      </c>
      <c r="H83" s="3" t="e">
        <f t="shared" ca="1" si="776"/>
        <v>#DIV/0!</v>
      </c>
      <c r="I83" s="3" t="e">
        <f t="shared" ca="1" si="776"/>
        <v>#DIV/0!</v>
      </c>
      <c r="J83" s="3" t="e">
        <f t="shared" ca="1" si="776"/>
        <v>#DIV/0!</v>
      </c>
      <c r="K83" s="3" t="e">
        <f t="shared" ca="1" si="776"/>
        <v>#DIV/0!</v>
      </c>
      <c r="L83" s="3" t="e">
        <f t="shared" ca="1" si="776"/>
        <v>#DIV/0!</v>
      </c>
      <c r="M83" s="3" t="e">
        <f t="shared" ca="1" si="776"/>
        <v>#DIV/0!</v>
      </c>
      <c r="N83" s="3" t="e">
        <f t="shared" ca="1" si="776"/>
        <v>#DIV/0!</v>
      </c>
      <c r="O83" s="3" t="e">
        <f t="shared" ca="1" si="776"/>
        <v>#DIV/0!</v>
      </c>
      <c r="P83" s="3" t="e">
        <f t="shared" ca="1" si="776"/>
        <v>#DIV/0!</v>
      </c>
      <c r="Q83" s="3" t="e">
        <f t="shared" ca="1" si="776"/>
        <v>#DIV/0!</v>
      </c>
      <c r="R83" s="3" t="e">
        <f t="shared" ca="1" si="776"/>
        <v>#DIV/0!</v>
      </c>
      <c r="S83" s="3" t="e">
        <f t="shared" ca="1" si="776"/>
        <v>#DIV/0!</v>
      </c>
      <c r="T83" s="3" t="e">
        <f t="shared" ca="1" si="776"/>
        <v>#DIV/0!</v>
      </c>
      <c r="U83" s="3" t="e">
        <f t="shared" ca="1" si="776"/>
        <v>#DIV/0!</v>
      </c>
      <c r="V83" s="3" t="e">
        <f ca="1">V82/V81</f>
        <v>#DIV/0!</v>
      </c>
      <c r="W83" s="3" t="e">
        <f t="shared" ref="W83" ca="1" si="777">W82/W81</f>
        <v>#DIV/0!</v>
      </c>
      <c r="X83" s="3" t="e">
        <f t="shared" ref="X83:Y83" ca="1" si="778">X82/X81</f>
        <v>#DIV/0!</v>
      </c>
      <c r="Y83" s="3" t="e">
        <f t="shared" ca="1" si="778"/>
        <v>#DIV/0!</v>
      </c>
      <c r="Z83" s="3" t="e">
        <f t="shared" ref="Z83:AA83" ca="1" si="779">Z82/Z81</f>
        <v>#DIV/0!</v>
      </c>
      <c r="AA83" s="3" t="e">
        <f t="shared" ca="1" si="779"/>
        <v>#DIV/0!</v>
      </c>
      <c r="AB83" s="37" t="e">
        <f t="shared" ref="AA83:AD83" ca="1" si="780">AB82/AB81</f>
        <v>#DIV/0!</v>
      </c>
      <c r="AC83" s="37" t="e">
        <f t="shared" ca="1" si="780"/>
        <v>#DIV/0!</v>
      </c>
      <c r="AD83" s="37" t="e">
        <f t="shared" ca="1" si="780"/>
        <v>#DIV/0!</v>
      </c>
      <c r="AE83" s="37" t="e">
        <f t="shared" ref="AE83" ca="1" si="781">AE82/AE81</f>
        <v>#DIV/0!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  <c r="DF83" s="3">
        <v>0</v>
      </c>
    </row>
    <row r="84" spans="1:110" s="3" customFormat="1" x14ac:dyDescent="0.2">
      <c r="A84" s="3" t="s">
        <v>33</v>
      </c>
      <c r="B84" s="3">
        <f>+B81</f>
        <v>20.305678098761938</v>
      </c>
      <c r="C84" s="3">
        <f t="shared" ref="C84:U84" si="782">+C81</f>
        <v>22.196243062473311</v>
      </c>
      <c r="D84" s="3">
        <f t="shared" si="782"/>
        <v>20.987518007430417</v>
      </c>
      <c r="E84" s="3" t="e">
        <f t="shared" ca="1" si="782"/>
        <v>#DIV/0!</v>
      </c>
      <c r="F84" s="3" t="e">
        <f t="shared" ca="1" si="782"/>
        <v>#DIV/0!</v>
      </c>
      <c r="G84" s="3" t="e">
        <f t="shared" ca="1" si="782"/>
        <v>#DIV/0!</v>
      </c>
      <c r="H84" s="3" t="e">
        <f t="shared" ca="1" si="782"/>
        <v>#DIV/0!</v>
      </c>
      <c r="I84" s="3" t="e">
        <f t="shared" ca="1" si="782"/>
        <v>#DIV/0!</v>
      </c>
      <c r="J84" s="3" t="e">
        <f t="shared" ca="1" si="782"/>
        <v>#DIV/0!</v>
      </c>
      <c r="K84" s="3" t="e">
        <f t="shared" ca="1" si="782"/>
        <v>#DIV/0!</v>
      </c>
      <c r="L84" s="3" t="e">
        <f t="shared" ca="1" si="782"/>
        <v>#DIV/0!</v>
      </c>
      <c r="M84" s="3" t="e">
        <f t="shared" ca="1" si="782"/>
        <v>#DIV/0!</v>
      </c>
      <c r="N84" s="3" t="e">
        <f t="shared" ca="1" si="782"/>
        <v>#DIV/0!</v>
      </c>
      <c r="O84" s="3" t="e">
        <f t="shared" ca="1" si="782"/>
        <v>#DIV/0!</v>
      </c>
      <c r="P84" s="3" t="e">
        <f t="shared" ca="1" si="782"/>
        <v>#DIV/0!</v>
      </c>
      <c r="Q84" s="3" t="e">
        <f t="shared" ca="1" si="782"/>
        <v>#DIV/0!</v>
      </c>
      <c r="R84" s="3" t="e">
        <f t="shared" ca="1" si="782"/>
        <v>#DIV/0!</v>
      </c>
      <c r="S84" s="3" t="e">
        <f t="shared" ca="1" si="782"/>
        <v>#DIV/0!</v>
      </c>
      <c r="T84" s="3" t="e">
        <f ca="1">+T81</f>
        <v>#DIV/0!</v>
      </c>
      <c r="U84" s="3" t="e">
        <f t="shared" ca="1" si="782"/>
        <v>#DIV/0!</v>
      </c>
      <c r="V84" s="3" t="e">
        <f ca="1">+V81</f>
        <v>#DIV/0!</v>
      </c>
      <c r="W84" s="3" t="e">
        <f t="shared" ref="W84" ca="1" si="783">+W81</f>
        <v>#DIV/0!</v>
      </c>
      <c r="X84" s="3" t="e">
        <f t="shared" ref="X84:Y84" ca="1" si="784">+X81</f>
        <v>#DIV/0!</v>
      </c>
      <c r="Y84" s="3" t="e">
        <f t="shared" ca="1" si="784"/>
        <v>#DIV/0!</v>
      </c>
      <c r="Z84" s="3" t="e">
        <f t="shared" ref="Z84:AA84" ca="1" si="785">+Z81</f>
        <v>#DIV/0!</v>
      </c>
      <c r="AA84" s="3" t="e">
        <f t="shared" ca="1" si="785"/>
        <v>#DIV/0!</v>
      </c>
      <c r="AB84" s="37" t="e">
        <f t="shared" ref="AA84:AD84" ca="1" si="786">+AB81</f>
        <v>#DIV/0!</v>
      </c>
      <c r="AC84" s="37" t="e">
        <f t="shared" ca="1" si="786"/>
        <v>#DIV/0!</v>
      </c>
      <c r="AD84" s="37" t="e">
        <f t="shared" ca="1" si="786"/>
        <v>#DIV/0!</v>
      </c>
      <c r="AE84" s="37" t="e">
        <f t="shared" ref="AE84" ca="1" si="787">+AE81</f>
        <v>#DIV/0!</v>
      </c>
      <c r="AL84" s="3">
        <f>SUM(AI81:AL81)</f>
        <v>13.856881167641674</v>
      </c>
      <c r="AM84" s="3">
        <f t="shared" ref="AM84" si="788">SUM(AJ81:AM81)</f>
        <v>15.245523843290201</v>
      </c>
      <c r="AN84" s="3">
        <f t="shared" ref="AN84" si="789">SUM(AK81:AN81)</f>
        <v>15.422797376351712</v>
      </c>
      <c r="AO84" s="3">
        <f t="shared" ref="AO84" si="790">SUM(AL81:AO81)</f>
        <v>16.781894463156654</v>
      </c>
      <c r="AP84" s="3">
        <f t="shared" ref="AP84" si="791">SUM(AM81:AP81)</f>
        <v>19.618270992140875</v>
      </c>
      <c r="AQ84" s="3">
        <f t="shared" ref="AQ84" si="792">SUM(AN81:AQ81)</f>
        <v>22.779648998404543</v>
      </c>
      <c r="AR84" s="3">
        <f t="shared" ref="AR84" si="793">SUM(AO81:AR81)</f>
        <v>25.291024050109321</v>
      </c>
      <c r="AS84" s="3">
        <f t="shared" ref="AS84" si="794">SUM(AP81:AS81)</f>
        <v>25.556934349701592</v>
      </c>
      <c r="AT84" s="3">
        <f t="shared" ref="AT84" si="795">SUM(AQ81:AT81)</f>
        <v>22.188737221532829</v>
      </c>
      <c r="AU84" s="3">
        <f t="shared" ref="AU84" si="796">SUM(AR81:AU81)</f>
        <v>33.829699225905578</v>
      </c>
      <c r="AV84" s="3">
        <f t="shared" ref="AV84" si="797">SUM(AS81:AV81)</f>
        <v>43.018377356260714</v>
      </c>
      <c r="AW84" s="3">
        <f t="shared" ref="AW84" si="798">SUM(AT81:AW81)</f>
        <v>52.384329019677367</v>
      </c>
      <c r="AX84" s="3">
        <f t="shared" ref="AX84" si="799">SUM(AU81:AX81)</f>
        <v>56.934349701589554</v>
      </c>
      <c r="AY84" s="3">
        <f t="shared" ref="AY84" si="800">SUM(AV81:AY81)</f>
        <v>46.357028895585898</v>
      </c>
      <c r="AZ84" s="3">
        <f t="shared" ref="AZ84" si="801">SUM(AW81:AZ81)</f>
        <v>37.434261064823026</v>
      </c>
      <c r="BA84" s="3">
        <f t="shared" ref="BA84" si="802">SUM(AX81:BA81)</f>
        <v>29.900135909708684</v>
      </c>
      <c r="BB84" s="3">
        <f t="shared" ref="BB84" si="803">SUM(AY81:BB81)</f>
        <v>27.595579979909004</v>
      </c>
      <c r="BC84" s="3">
        <f t="shared" ref="BC84" si="804">SUM(AZ81:BC81)</f>
        <v>24.522838740176095</v>
      </c>
      <c r="BD84" s="3">
        <f t="shared" ref="BD84" si="805">SUM(BA81:BD81)</f>
        <v>24.434201973645337</v>
      </c>
      <c r="BE84" s="3">
        <f t="shared" ref="BE84" si="806">SUM(BB81:BE81)</f>
        <v>19.38190628139219</v>
      </c>
      <c r="BF84" s="3">
        <f t="shared" ref="BF84" si="807">SUM(BC81:BF81)</f>
        <v>20.031909235951076</v>
      </c>
      <c r="BG84" s="3">
        <f t="shared" ref="BG84" si="808">SUM(BD81:BG81)</f>
        <v>19.293269514861432</v>
      </c>
      <c r="BH84" s="3">
        <f t="shared" ref="BH84" si="809">SUM(BE81:BH81)</f>
        <v>18.554629793771792</v>
      </c>
      <c r="BI84" s="3">
        <f t="shared" ref="BI84" si="810">SUM(BF81:BI81)</f>
        <v>24.109200496365894</v>
      </c>
      <c r="BJ84" s="3">
        <f t="shared" ref="BJ84" si="811">SUM(BG81:BJ81)</f>
        <v>23.429651952963425</v>
      </c>
      <c r="BK84" s="3">
        <f t="shared" ref="BK84" si="812">SUM(BH81:BK81)</f>
        <v>24.995568161673461</v>
      </c>
      <c r="BL84" s="3">
        <f t="shared" ref="BL84" si="813">SUM(BI81:BL81)</f>
        <v>26.916031436506533</v>
      </c>
      <c r="BM84" s="3">
        <f t="shared" ref="BM84" si="814">SUM(BJ81:BM81)</f>
        <v>27.063759380724463</v>
      </c>
      <c r="BN84" s="3">
        <f t="shared" ref="BN84" si="815">SUM(BK81:BN81)</f>
        <v>30.284228564675296</v>
      </c>
      <c r="BO84" s="3">
        <f t="shared" ref="BO84" si="816">SUM(BL81:BO81)</f>
        <v>33.386515393251791</v>
      </c>
      <c r="BP84" s="3">
        <f t="shared" ref="BP84" si="817">SUM(BM81:BP81)</f>
        <v>35.336524256928442</v>
      </c>
      <c r="BQ84" s="3">
        <f t="shared" ref="BQ84" si="818">SUM(BN81:BQ81)</f>
        <v>36.695621343733386</v>
      </c>
      <c r="BR84" s="3">
        <f t="shared" ref="BR84" si="819">SUM(BO81:BR81)</f>
        <v>36.991077232169239</v>
      </c>
      <c r="BS84" s="3">
        <f t="shared" ref="BS84" si="820">SUM(BP81:BS81)</f>
        <v>37.25698753176151</v>
      </c>
      <c r="BT84" s="3">
        <f t="shared" ref="BT84" si="821">SUM(BQ81:BT81)</f>
        <v>37.434261064823026</v>
      </c>
      <c r="BU84" s="3">
        <f t="shared" ref="BU84" si="822">SUM(BR81:BU81)</f>
        <v>36.016072800330917</v>
      </c>
      <c r="BV84" s="3">
        <f t="shared" ref="BV84" si="823">SUM(BS81:BV81)</f>
        <v>37.2865331206051</v>
      </c>
      <c r="BW84" s="3">
        <f t="shared" ref="BW84" si="824">SUM(BT81:BW81)</f>
        <v>37.995627252851151</v>
      </c>
      <c r="BX84" s="3">
        <f t="shared" ref="BX84" si="825">SUM(BU81:BX81)</f>
        <v>37.877444897476806</v>
      </c>
      <c r="BY84" s="3">
        <f t="shared" ref="BY84" si="826">SUM(BV81:BY81)</f>
        <v>39.147905217750996</v>
      </c>
      <c r="BZ84" s="3">
        <f t="shared" ref="BZ84" si="827">SUM(BW81:BZ81)</f>
        <v>36.78425811026414</v>
      </c>
      <c r="CA84" s="3">
        <f t="shared" ref="CA84" si="828">SUM(BX81:CA81)</f>
        <v>37.493352242510198</v>
      </c>
      <c r="CB84" s="3">
        <f t="shared" ref="CB84" si="829">SUM(BY81:CB81)</f>
        <v>39.679725816935537</v>
      </c>
      <c r="CC84" s="3">
        <f t="shared" ref="CC84" si="830">SUM(BZ81:CC81)</f>
        <v>41.541097914081433</v>
      </c>
      <c r="CD84" s="3">
        <f t="shared" ref="CD84" si="831">SUM(CA81:CD81)</f>
        <v>46.327483306742309</v>
      </c>
      <c r="CE84" s="3">
        <f t="shared" ref="CE84" si="832">SUM(CB81:CE81)</f>
        <v>48.661584825385575</v>
      </c>
      <c r="CF84" s="3">
        <f t="shared" ref="CF84" si="833">SUM(CC81:CF81)</f>
        <v>50.641139277905808</v>
      </c>
      <c r="CG84" s="3">
        <f t="shared" ref="CG84" si="834">SUM(CD81:CG81)</f>
        <v>55.013886426756493</v>
      </c>
      <c r="CH84" s="3">
        <f t="shared" ref="CH84:CL84" si="835">SUM(CE81:CH81)</f>
        <v>57.170714412338242</v>
      </c>
      <c r="CI84" s="3">
        <f t="shared" si="835"/>
        <v>59.85936299710454</v>
      </c>
      <c r="CJ84" s="3">
        <f t="shared" si="835"/>
        <v>64.320746912485973</v>
      </c>
      <c r="CK84" s="3">
        <f t="shared" si="835"/>
        <v>68.516220528275142</v>
      </c>
      <c r="CL84" s="3">
        <f t="shared" si="835"/>
        <v>66.536666075754894</v>
      </c>
      <c r="CM84" s="37">
        <f t="shared" ref="CM84" si="836">SUM(CJ81:CM81)</f>
        <v>67.382239261009587</v>
      </c>
      <c r="CN84" s="37">
        <f t="shared" ref="CN84" si="837">SUM(CK81:CN81)</f>
        <v>68.069200097974857</v>
      </c>
      <c r="CO84" s="37">
        <f t="shared" ref="CO84" si="838">SUM(CL81:CO81)</f>
        <v>67.791504046118234</v>
      </c>
      <c r="CP84" s="37">
        <f t="shared" ref="CP84" si="839">SUM(CM81:CP81)</f>
        <v>81.068019551828968</v>
      </c>
      <c r="CQ84" s="37">
        <f t="shared" ref="CQ84" si="840">SUM(CN81:CQ81)</f>
        <v>87.06451265122169</v>
      </c>
      <c r="CR84" s="37">
        <f t="shared" ref="CR84" si="841">SUM(CO81:CR81)</f>
        <v>93.372545751484267</v>
      </c>
      <c r="CS84" s="37">
        <f t="shared" ref="CS84" si="842">SUM(CP81:CS81)</f>
        <v>99.747837608652588</v>
      </c>
      <c r="CT84" s="37">
        <f t="shared" ref="CT84" si="843">SUM(CQ81:CT81)</f>
        <v>108.10929214133743</v>
      </c>
      <c r="CU84" s="37">
        <f t="shared" ref="CU84" si="844">SUM(CR81:CU81)</f>
        <v>112.51297298825726</v>
      </c>
      <c r="CV84" s="37">
        <f t="shared" ref="CV84" si="845">SUM(CS81:CV81)</f>
        <v>116.19326435504283</v>
      </c>
      <c r="CW84" s="37">
        <f t="shared" ref="CW84" si="846">SUM(CT81:CW81)</f>
        <v>119.53081925198032</v>
      </c>
      <c r="CX84" s="37">
        <f t="shared" ref="CX84" si="847">SUM(CU81:CX81)</f>
        <v>123.61822665433088</v>
      </c>
      <c r="CY84" s="37">
        <f t="shared" ref="CY84" si="848">SUM(CV81:CY81)</f>
        <v>125.40720137309765</v>
      </c>
      <c r="CZ84" s="37">
        <f t="shared" ref="CZ84" si="849">SUM(CW81:CZ81)</f>
        <v>127.02965135710991</v>
      </c>
      <c r="DA84" s="37">
        <f t="shared" ref="DA84" si="850">SUM(CX81:DA81)</f>
        <v>128.31756783171286</v>
      </c>
      <c r="DB84" s="37">
        <f t="shared" ref="DB84" si="851">SUM(CY81:DB81)</f>
        <v>129.29935287335968</v>
      </c>
      <c r="DE84" s="134"/>
      <c r="DF84" s="3">
        <v>73.958162771077866</v>
      </c>
    </row>
    <row r="85" spans="1:110" s="97" customFormat="1" x14ac:dyDescent="0.2">
      <c r="A85" s="97" t="s">
        <v>425</v>
      </c>
      <c r="C85" s="101">
        <f t="shared" ref="C85:AA85" si="852">+C84/B84-1</f>
        <v>9.3105236600133257E-2</v>
      </c>
      <c r="D85" s="101">
        <f t="shared" si="852"/>
        <v>-5.4456290266818086E-2</v>
      </c>
      <c r="E85" s="101" t="e">
        <f t="shared" ca="1" si="852"/>
        <v>#DIV/0!</v>
      </c>
      <c r="F85" s="101" t="e">
        <f t="shared" ca="1" si="852"/>
        <v>#DIV/0!</v>
      </c>
      <c r="G85" s="101" t="e">
        <f t="shared" ca="1" si="852"/>
        <v>#DIV/0!</v>
      </c>
      <c r="H85" s="101" t="e">
        <f t="shared" ca="1" si="852"/>
        <v>#DIV/0!</v>
      </c>
      <c r="I85" s="101" t="e">
        <f t="shared" ca="1" si="852"/>
        <v>#DIV/0!</v>
      </c>
      <c r="J85" s="101" t="e">
        <f t="shared" ca="1" si="852"/>
        <v>#DIV/0!</v>
      </c>
      <c r="K85" s="101" t="e">
        <f t="shared" ca="1" si="852"/>
        <v>#DIV/0!</v>
      </c>
      <c r="L85" s="101" t="e">
        <f t="shared" ca="1" si="852"/>
        <v>#DIV/0!</v>
      </c>
      <c r="M85" s="101" t="e">
        <f t="shared" ca="1" si="852"/>
        <v>#DIV/0!</v>
      </c>
      <c r="N85" s="101" t="e">
        <f t="shared" ca="1" si="852"/>
        <v>#DIV/0!</v>
      </c>
      <c r="O85" s="101" t="e">
        <f t="shared" ca="1" si="852"/>
        <v>#DIV/0!</v>
      </c>
      <c r="P85" s="101" t="e">
        <f t="shared" ca="1" si="852"/>
        <v>#DIV/0!</v>
      </c>
      <c r="Q85" s="101" t="e">
        <f t="shared" ca="1" si="852"/>
        <v>#DIV/0!</v>
      </c>
      <c r="R85" s="101" t="e">
        <f t="shared" ca="1" si="852"/>
        <v>#DIV/0!</v>
      </c>
      <c r="S85" s="101" t="e">
        <f t="shared" ca="1" si="852"/>
        <v>#DIV/0!</v>
      </c>
      <c r="T85" s="101" t="e">
        <f t="shared" ca="1" si="852"/>
        <v>#DIV/0!</v>
      </c>
      <c r="U85" s="101" t="e">
        <f t="shared" ca="1" si="852"/>
        <v>#DIV/0!</v>
      </c>
      <c r="V85" s="101" t="e">
        <f t="shared" ca="1" si="852"/>
        <v>#DIV/0!</v>
      </c>
      <c r="W85" s="101" t="e">
        <f t="shared" ca="1" si="852"/>
        <v>#DIV/0!</v>
      </c>
      <c r="X85" s="101" t="e">
        <f t="shared" ca="1" si="852"/>
        <v>#DIV/0!</v>
      </c>
      <c r="Y85" s="101" t="e">
        <f t="shared" ca="1" si="852"/>
        <v>#DIV/0!</v>
      </c>
      <c r="Z85" s="101" t="e">
        <f t="shared" ca="1" si="852"/>
        <v>#DIV/0!</v>
      </c>
      <c r="AA85" s="101" t="e">
        <f t="shared" ca="1" si="852"/>
        <v>#DIV/0!</v>
      </c>
      <c r="AB85" s="174" t="e">
        <f t="shared" ref="AB85" ca="1" si="853">+AB84/AA84-1</f>
        <v>#DIV/0!</v>
      </c>
      <c r="AC85" s="174" t="e">
        <f t="shared" ref="AC85" ca="1" si="854">+AC84/AB84-1</f>
        <v>#DIV/0!</v>
      </c>
      <c r="AD85" s="174" t="e">
        <f t="shared" ref="AD85" ca="1" si="855">+AD84/AC84-1</f>
        <v>#DIV/0!</v>
      </c>
      <c r="AE85" s="174" t="e">
        <f t="shared" ref="AE85" ca="1" si="856">+AE84/AD84-1</f>
        <v>#DIV/0!</v>
      </c>
      <c r="AL85" s="176"/>
      <c r="AM85" s="176"/>
      <c r="AN85" s="176"/>
      <c r="AO85" s="176"/>
      <c r="AP85" s="176">
        <f t="shared" ref="AP85:CL85" si="857">+IF(AL84&lt;0,1-AP84/AL84,AP84/AL84-1)</f>
        <v>0.41577825159914683</v>
      </c>
      <c r="AQ85" s="176">
        <f t="shared" si="857"/>
        <v>0.4941860465116279</v>
      </c>
      <c r="AR85" s="176">
        <f t="shared" si="857"/>
        <v>0.63984674329501923</v>
      </c>
      <c r="AS85" s="176">
        <f t="shared" si="857"/>
        <v>0.52288732394366177</v>
      </c>
      <c r="AT85" s="176">
        <f t="shared" si="857"/>
        <v>0.13102409638554224</v>
      </c>
      <c r="AU85" s="176">
        <f t="shared" si="857"/>
        <v>0.4850843060959793</v>
      </c>
      <c r="AV85" s="176">
        <f t="shared" si="857"/>
        <v>0.7009345794392523</v>
      </c>
      <c r="AW85" s="176">
        <f t="shared" si="857"/>
        <v>1.0497109826589597</v>
      </c>
      <c r="AX85" s="176">
        <f t="shared" si="857"/>
        <v>1.5659121171770969</v>
      </c>
      <c r="AY85" s="176">
        <f t="shared" si="857"/>
        <v>0.37030567685589522</v>
      </c>
      <c r="AZ85" s="176">
        <f t="shared" si="857"/>
        <v>-0.12980769230769229</v>
      </c>
      <c r="BA85" s="176">
        <f t="shared" si="857"/>
        <v>-0.42921601804850529</v>
      </c>
      <c r="BB85" s="176">
        <f t="shared" si="857"/>
        <v>-0.51530877010897758</v>
      </c>
      <c r="BC85" s="176">
        <f t="shared" si="857"/>
        <v>-0.47100063734862974</v>
      </c>
      <c r="BD85" s="176">
        <f t="shared" si="857"/>
        <v>-0.34727703235990537</v>
      </c>
      <c r="BE85" s="176">
        <f t="shared" si="857"/>
        <v>-0.35177865612648218</v>
      </c>
      <c r="BF85" s="176">
        <f t="shared" si="857"/>
        <v>-0.27408993576017127</v>
      </c>
      <c r="BG85" s="176">
        <f t="shared" si="857"/>
        <v>-0.2132530120481928</v>
      </c>
      <c r="BH85" s="176">
        <f t="shared" si="857"/>
        <v>-0.24062877871825872</v>
      </c>
      <c r="BI85" s="176">
        <f t="shared" si="857"/>
        <v>0.24390243902439024</v>
      </c>
      <c r="BJ85" s="176">
        <f t="shared" si="857"/>
        <v>0.1696165191740413</v>
      </c>
      <c r="BK85" s="176">
        <f t="shared" si="857"/>
        <v>0.29555895865237347</v>
      </c>
      <c r="BL85" s="176">
        <f t="shared" si="857"/>
        <v>0.4506369426751593</v>
      </c>
      <c r="BM85" s="176">
        <f t="shared" si="857"/>
        <v>0.12254901960784337</v>
      </c>
      <c r="BN85" s="176">
        <f t="shared" si="857"/>
        <v>0.29255989911727598</v>
      </c>
      <c r="BO85" s="176">
        <f t="shared" si="857"/>
        <v>0.33569739952718702</v>
      </c>
      <c r="BP85" s="176">
        <f t="shared" si="857"/>
        <v>0.31284302963776067</v>
      </c>
      <c r="BQ85" s="176">
        <f t="shared" si="857"/>
        <v>0.35589519650655022</v>
      </c>
      <c r="BR85" s="176">
        <f t="shared" si="857"/>
        <v>0.22146341463414632</v>
      </c>
      <c r="BS85" s="176">
        <f t="shared" si="857"/>
        <v>0.11592920353982294</v>
      </c>
      <c r="BT85" s="176">
        <f t="shared" si="857"/>
        <v>5.9364548494983405E-2</v>
      </c>
      <c r="BU85" s="176">
        <f t="shared" si="857"/>
        <v>-1.851851851851849E-2</v>
      </c>
      <c r="BV85" s="176">
        <f t="shared" si="857"/>
        <v>7.9872204472843933E-3</v>
      </c>
      <c r="BW85" s="176">
        <f t="shared" si="857"/>
        <v>1.9825535289452745E-2</v>
      </c>
      <c r="BX85" s="176">
        <f t="shared" si="857"/>
        <v>1.1838989739542116E-2</v>
      </c>
      <c r="BY85" s="176">
        <f t="shared" si="857"/>
        <v>8.6956521739130377E-2</v>
      </c>
      <c r="BZ85" s="176">
        <f t="shared" si="857"/>
        <v>-1.3470681458003231E-2</v>
      </c>
      <c r="CA85" s="176">
        <f t="shared" si="857"/>
        <v>-1.3219284603421366E-2</v>
      </c>
      <c r="CB85" s="176">
        <f t="shared" si="857"/>
        <v>4.7581903276131321E-2</v>
      </c>
      <c r="CC85" s="176">
        <f t="shared" si="857"/>
        <v>6.1132075471698188E-2</v>
      </c>
      <c r="CD85" s="176">
        <f t="shared" si="857"/>
        <v>0.25943775100401623</v>
      </c>
      <c r="CE85" s="176">
        <f t="shared" si="857"/>
        <v>0.2978723404255319</v>
      </c>
      <c r="CF85" s="176">
        <f t="shared" si="857"/>
        <v>0.27624720774385692</v>
      </c>
      <c r="CG85" s="176">
        <f t="shared" si="857"/>
        <v>0.32432432432432434</v>
      </c>
      <c r="CH85" s="176">
        <f t="shared" si="857"/>
        <v>0.23405612244897944</v>
      </c>
      <c r="CI85" s="176">
        <f t="shared" si="857"/>
        <v>0.23011536126290233</v>
      </c>
      <c r="CJ85" s="176">
        <f t="shared" si="857"/>
        <v>0.27012835472578778</v>
      </c>
      <c r="CK85" s="176">
        <f t="shared" si="857"/>
        <v>0.24543501611170782</v>
      </c>
      <c r="CL85" s="176">
        <f t="shared" si="857"/>
        <v>0.16382428940568472</v>
      </c>
      <c r="CM85" s="102">
        <f t="shared" ref="CM85:DB85" si="858">+IF(CI84&lt;0,1-CM84/CI84,CM84/CI84-1)</f>
        <v>0.12567584897735951</v>
      </c>
      <c r="CN85" s="102">
        <f t="shared" si="858"/>
        <v>5.8277513328459651E-2</v>
      </c>
      <c r="CO85" s="102">
        <f t="shared" si="858"/>
        <v>-1.0577297997017121E-2</v>
      </c>
      <c r="CP85" s="102">
        <f t="shared" si="858"/>
        <v>0.21839617662131583</v>
      </c>
      <c r="CQ85" s="102">
        <f t="shared" si="858"/>
        <v>0.2920988320671789</v>
      </c>
      <c r="CR85" s="102">
        <f t="shared" si="858"/>
        <v>0.37172973411012977</v>
      </c>
      <c r="CS85" s="102">
        <f t="shared" si="858"/>
        <v>0.47139142304313841</v>
      </c>
      <c r="CT85" s="102">
        <f t="shared" si="858"/>
        <v>0.33356276296129628</v>
      </c>
      <c r="CU85" s="102">
        <f t="shared" si="858"/>
        <v>0.29229429490958592</v>
      </c>
      <c r="CV85" s="102">
        <f t="shared" si="858"/>
        <v>0.2444050166983458</v>
      </c>
      <c r="CW85" s="102">
        <f t="shared" si="858"/>
        <v>0.19832992992733978</v>
      </c>
      <c r="CX85" s="102">
        <f t="shared" si="858"/>
        <v>0.14345607307018282</v>
      </c>
      <c r="CY85" s="102">
        <f t="shared" si="858"/>
        <v>0.11460214802239865</v>
      </c>
      <c r="CZ85" s="102">
        <f t="shared" si="858"/>
        <v>9.326174853780822E-2</v>
      </c>
      <c r="DA85" s="102">
        <f t="shared" si="858"/>
        <v>7.3510318382486783E-2</v>
      </c>
      <c r="DB85" s="102">
        <f t="shared" si="858"/>
        <v>4.595702731535467E-2</v>
      </c>
      <c r="DE85" s="135"/>
      <c r="DF85" s="97">
        <v>0.29363719749348904</v>
      </c>
    </row>
    <row r="86" spans="1:110" s="144" customFormat="1" x14ac:dyDescent="0.2">
      <c r="A86" s="144" t="s">
        <v>424</v>
      </c>
      <c r="AB86" s="145"/>
      <c r="AC86" s="145"/>
      <c r="AD86" s="145"/>
      <c r="AE86" s="145"/>
      <c r="CM86" s="145"/>
      <c r="CN86" s="145"/>
      <c r="CO86" s="145"/>
      <c r="CP86" s="145">
        <v>81.599999999999994</v>
      </c>
      <c r="CQ86" s="145"/>
      <c r="CR86" s="145"/>
      <c r="CS86" s="145"/>
      <c r="CT86" s="145">
        <v>103.3</v>
      </c>
      <c r="CU86" s="145"/>
      <c r="CV86" s="145"/>
      <c r="CW86" s="145"/>
      <c r="CX86" s="145">
        <v>121.7</v>
      </c>
      <c r="CY86" s="145"/>
      <c r="CZ86" s="145"/>
      <c r="DA86" s="145"/>
      <c r="DB86" s="145"/>
      <c r="DE86" s="146"/>
      <c r="DF86" s="144">
        <v>70.7</v>
      </c>
    </row>
    <row r="87" spans="1:110" s="144" customFormat="1" x14ac:dyDescent="0.2">
      <c r="A87" s="144" t="s">
        <v>436</v>
      </c>
      <c r="AB87" s="145"/>
      <c r="AC87" s="145"/>
      <c r="AD87" s="145"/>
      <c r="AE87" s="145"/>
      <c r="CM87" s="145"/>
      <c r="CN87" s="145"/>
      <c r="CO87" s="145"/>
      <c r="CP87" s="145">
        <f>CP84/CP86-1</f>
        <v>-6.5193682373900774E-3</v>
      </c>
      <c r="CQ87" s="145"/>
      <c r="CR87" s="145"/>
      <c r="CS87" s="145"/>
      <c r="CT87" s="145">
        <f>CT84/CT86-1</f>
        <v>4.6556555095231822E-2</v>
      </c>
      <c r="CU87" s="145"/>
      <c r="CV87" s="145"/>
      <c r="CW87" s="145"/>
      <c r="CX87" s="145">
        <f>CX84/CX86-1</f>
        <v>1.5761928137476344E-2</v>
      </c>
      <c r="CY87" s="145"/>
      <c r="CZ87" s="145"/>
      <c r="DA87" s="145"/>
      <c r="DB87" s="145"/>
      <c r="DE87" s="146"/>
      <c r="DF87" s="144">
        <v>-4.4054133431664977E-2</v>
      </c>
    </row>
    <row r="88" spans="1:110" s="3" customFormat="1" x14ac:dyDescent="0.2">
      <c r="A88" s="3" t="s">
        <v>34</v>
      </c>
      <c r="B88" s="3">
        <f>'Annual Raw'!C112</f>
        <v>73.88</v>
      </c>
      <c r="C88" s="3">
        <f>'Annual Raw'!D112</f>
        <v>73.87</v>
      </c>
      <c r="D88" s="3">
        <f>'Annual Raw'!E112</f>
        <v>74.06</v>
      </c>
      <c r="E88" s="3">
        <f>'Annual Raw'!F112</f>
        <v>74.069999999999993</v>
      </c>
      <c r="F88" s="3">
        <f>'Annual Raw'!G112</f>
        <v>74.069999999999993</v>
      </c>
      <c r="G88" s="3">
        <f>'Annual Raw'!H112</f>
        <v>74.09</v>
      </c>
      <c r="H88" s="3">
        <f>'Annual Raw'!I112</f>
        <v>74.09</v>
      </c>
      <c r="I88" s="3">
        <f>'Annual Raw'!J112</f>
        <v>74.09</v>
      </c>
      <c r="J88" s="3">
        <f>'Annual Raw'!K112</f>
        <v>71.510000000000005</v>
      </c>
      <c r="K88" s="3">
        <f>'Annual Raw'!L112</f>
        <v>71.5</v>
      </c>
      <c r="L88" s="3">
        <f>'Annual Raw'!M112</f>
        <v>71.510000000000005</v>
      </c>
      <c r="M88" s="3">
        <f>'Annual Raw'!N112</f>
        <v>71.510000000000005</v>
      </c>
      <c r="N88" s="3">
        <f>'Annual Raw'!O112</f>
        <v>71.510000000000005</v>
      </c>
      <c r="O88" s="3">
        <f>'Annual Raw'!P112</f>
        <v>71.510000000000005</v>
      </c>
      <c r="P88" s="3">
        <f>'Annual Raw'!Q112</f>
        <v>71.25</v>
      </c>
      <c r="Q88" s="3">
        <f>'Annual Raw'!R112</f>
        <v>71.25</v>
      </c>
      <c r="R88" s="3">
        <f>'Annual Raw'!S112</f>
        <v>71.25</v>
      </c>
      <c r="S88" s="3">
        <f>'Annual Raw'!T112</f>
        <v>71.25</v>
      </c>
      <c r="T88" s="3">
        <f>'Annual Raw'!U112</f>
        <v>71.25</v>
      </c>
      <c r="U88" s="3">
        <f>'Annual Raw'!V112</f>
        <v>71.25</v>
      </c>
      <c r="V88" s="3">
        <f>'Annual Raw'!W112</f>
        <v>71.25</v>
      </c>
      <c r="W88" s="3">
        <f>'Annual Raw'!X112</f>
        <v>71.25</v>
      </c>
      <c r="X88" s="3">
        <f>'Annual Raw'!Y112</f>
        <v>71.25</v>
      </c>
      <c r="Y88" s="3">
        <f>'Annual Raw'!Z112</f>
        <v>71.25</v>
      </c>
      <c r="Z88" s="3">
        <f>'Annual Raw'!AA112</f>
        <v>68.31</v>
      </c>
      <c r="AA88" s="3">
        <f>'Annual Raw'!AB112</f>
        <v>68.31</v>
      </c>
      <c r="AB88" s="37"/>
      <c r="AC88" s="37"/>
      <c r="AD88" s="37"/>
      <c r="AE88" s="37"/>
      <c r="AI88" s="3">
        <f>'QTR Raw'!C49</f>
        <v>71.510000000000005</v>
      </c>
      <c r="AJ88" s="3">
        <f>'QTR Raw'!D49</f>
        <v>71.510000000000005</v>
      </c>
      <c r="AK88" s="3">
        <f>'QTR Raw'!E49</f>
        <v>71.510000000000005</v>
      </c>
      <c r="AL88" s="3">
        <f>'QTR Raw'!F49</f>
        <v>71.510000000000005</v>
      </c>
      <c r="AM88" s="3">
        <f>'QTR Raw'!G49</f>
        <v>71.510000000000005</v>
      </c>
      <c r="AN88" s="3">
        <f>'QTR Raw'!H49</f>
        <v>71.510000000000005</v>
      </c>
      <c r="AO88" s="3">
        <f>'QTR Raw'!I49</f>
        <v>71.510000000000005</v>
      </c>
      <c r="AP88" s="3">
        <f>'QTR Raw'!J49</f>
        <v>71.510000000000005</v>
      </c>
      <c r="AQ88" s="3">
        <f>'QTR Raw'!K49</f>
        <v>71.510000000000005</v>
      </c>
      <c r="AR88" s="3">
        <f>'QTR Raw'!L49</f>
        <v>71.510000000000005</v>
      </c>
      <c r="AS88" s="3">
        <f>'QTR Raw'!M49</f>
        <v>71.510000000000005</v>
      </c>
      <c r="AT88" s="3">
        <f>'QTR Raw'!N49</f>
        <v>71.25</v>
      </c>
      <c r="AU88" s="3">
        <f>'QTR Raw'!O49</f>
        <v>71.25</v>
      </c>
      <c r="AV88" s="3">
        <f>'QTR Raw'!P49</f>
        <v>71.25</v>
      </c>
      <c r="AW88" s="3">
        <f>'QTR Raw'!Q49</f>
        <v>71.25</v>
      </c>
      <c r="AX88" s="3">
        <f>'QTR Raw'!R49</f>
        <v>71.25</v>
      </c>
      <c r="AY88" s="3">
        <f>'QTR Raw'!S49</f>
        <v>71.25</v>
      </c>
      <c r="AZ88" s="3">
        <f>'QTR Raw'!T49</f>
        <v>71.25</v>
      </c>
      <c r="BA88" s="3">
        <f>'QTR Raw'!U49</f>
        <v>71.25</v>
      </c>
      <c r="BB88" s="3">
        <f>'QTR Raw'!V49</f>
        <v>71.25</v>
      </c>
      <c r="BC88" s="3">
        <f>'QTR Raw'!W49</f>
        <v>71.25</v>
      </c>
      <c r="BD88" s="3">
        <f>'QTR Raw'!X49</f>
        <v>71.25</v>
      </c>
      <c r="BE88" s="3">
        <f>'QTR Raw'!Y49</f>
        <v>71.25</v>
      </c>
      <c r="BF88" s="3">
        <f>'QTR Raw'!Z49</f>
        <v>71.25</v>
      </c>
      <c r="BG88" s="3">
        <f>'QTR Raw'!AA49</f>
        <v>71.25</v>
      </c>
      <c r="BH88" s="3">
        <f>'QTR Raw'!AB49</f>
        <v>71.25</v>
      </c>
      <c r="BI88" s="3">
        <f>'QTR Raw'!AC49</f>
        <v>71.25</v>
      </c>
      <c r="BJ88" s="3">
        <f>'QTR Raw'!AD49</f>
        <v>71.25</v>
      </c>
      <c r="BK88" s="3">
        <f>'QTR Raw'!AE49</f>
        <v>71.25</v>
      </c>
      <c r="BL88" s="3">
        <f>'QTR Raw'!AF49</f>
        <v>71.25</v>
      </c>
      <c r="BM88" s="3">
        <f>'QTR Raw'!AG49</f>
        <v>71.25</v>
      </c>
      <c r="BN88" s="3">
        <f>'QTR Raw'!AH49</f>
        <v>71.25</v>
      </c>
      <c r="BO88" s="3">
        <f>'QTR Raw'!AI49</f>
        <v>71.25</v>
      </c>
      <c r="BP88" s="3">
        <f>'QTR Raw'!AJ49</f>
        <v>71.25</v>
      </c>
      <c r="BQ88" s="3">
        <f>'QTR Raw'!AK49</f>
        <v>71.25</v>
      </c>
      <c r="BR88" s="3">
        <f>'QTR Raw'!AL49</f>
        <v>71.25</v>
      </c>
      <c r="BS88" s="3">
        <f>'QTR Raw'!AM49</f>
        <v>71.25</v>
      </c>
      <c r="BT88" s="3">
        <f>'QTR Raw'!AN49</f>
        <v>71.25</v>
      </c>
      <c r="BU88" s="3">
        <f>'QTR Raw'!AO49</f>
        <v>71.25</v>
      </c>
      <c r="BV88" s="3">
        <f>'QTR Raw'!AP49</f>
        <v>71.25</v>
      </c>
      <c r="BW88" s="3">
        <f>'QTR Raw'!AQ49</f>
        <v>71.25</v>
      </c>
      <c r="BX88" s="3">
        <f>'QTR Raw'!AR49</f>
        <v>71.25</v>
      </c>
      <c r="BY88" s="3">
        <f>'QTR Raw'!AS49</f>
        <v>71.25</v>
      </c>
      <c r="BZ88" s="3">
        <f>'QTR Raw'!AT49</f>
        <v>71.25</v>
      </c>
      <c r="CA88" s="3">
        <f>'QTR Raw'!AU49</f>
        <v>71.25</v>
      </c>
      <c r="CB88" s="3">
        <f>'QTR Raw'!AV49</f>
        <v>71.25</v>
      </c>
      <c r="CC88" s="3">
        <f>'QTR Raw'!AW49</f>
        <v>71.25</v>
      </c>
      <c r="CD88" s="3">
        <f>'QTR Raw'!AX49</f>
        <v>71.25</v>
      </c>
      <c r="CE88" s="3">
        <f>'QTR Raw'!AY49</f>
        <v>71.25</v>
      </c>
      <c r="CF88" s="3">
        <f>'QTR Raw'!AZ49</f>
        <v>71.25</v>
      </c>
      <c r="CG88" s="3">
        <f>'QTR Raw'!BA49</f>
        <v>68.31</v>
      </c>
      <c r="CH88" s="3">
        <f>'QTR Raw'!BB49</f>
        <v>68.31</v>
      </c>
      <c r="CI88" s="3">
        <f>'QTR Raw'!BC49</f>
        <v>68.31</v>
      </c>
      <c r="CJ88" s="3">
        <f>'QTR Raw'!BD49</f>
        <v>68.31</v>
      </c>
      <c r="CK88" s="3">
        <f>'QTR Raw'!BE49</f>
        <v>68.31</v>
      </c>
      <c r="CL88" s="3">
        <f>'QTR Raw'!BF49</f>
        <v>68.31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3" customFormat="1" x14ac:dyDescent="0.2">
      <c r="A89" s="3" t="s">
        <v>35</v>
      </c>
      <c r="B89" s="3">
        <f>'Annual Raw'!C113</f>
        <v>0</v>
      </c>
      <c r="C89" s="3">
        <f>'Annual Raw'!D113</f>
        <v>0</v>
      </c>
      <c r="D89" s="3">
        <f>'Annual Raw'!E113</f>
        <v>0</v>
      </c>
      <c r="E89" s="3">
        <f>'Annual Raw'!F113</f>
        <v>0</v>
      </c>
      <c r="F89" s="3">
        <f>'Annual Raw'!G113</f>
        <v>0</v>
      </c>
      <c r="G89" s="3">
        <f>'Annual Raw'!H113</f>
        <v>0</v>
      </c>
      <c r="H89" s="3">
        <f>'Annual Raw'!I113</f>
        <v>0</v>
      </c>
      <c r="I89" s="3">
        <f>'Annual Raw'!J113</f>
        <v>0</v>
      </c>
      <c r="J89" s="3">
        <f>'Annual Raw'!K113</f>
        <v>0</v>
      </c>
      <c r="K89" s="3">
        <f>'Annual Raw'!L113</f>
        <v>0</v>
      </c>
      <c r="L89" s="3">
        <f>'Annual Raw'!M113</f>
        <v>0</v>
      </c>
      <c r="M89" s="3">
        <f>'Annual Raw'!N113</f>
        <v>0</v>
      </c>
      <c r="N89" s="3">
        <f>'Annual Raw'!O113</f>
        <v>0</v>
      </c>
      <c r="O89" s="3">
        <f>'Annual Raw'!P113</f>
        <v>0</v>
      </c>
      <c r="P89" s="3">
        <f>'Annual Raw'!Q113</f>
        <v>0</v>
      </c>
      <c r="Q89" s="3">
        <f>'Annual Raw'!R113</f>
        <v>0</v>
      </c>
      <c r="R89" s="3">
        <f>'Annual Raw'!S113</f>
        <v>0</v>
      </c>
      <c r="S89" s="3">
        <f>'Annual Raw'!T113</f>
        <v>0</v>
      </c>
      <c r="T89" s="3">
        <f>'Annual Raw'!U113</f>
        <v>0</v>
      </c>
      <c r="U89" s="3">
        <f>'Annual Raw'!V113</f>
        <v>36.49</v>
      </c>
      <c r="V89" s="3">
        <f>'Annual Raw'!W113</f>
        <v>0</v>
      </c>
      <c r="W89" s="3">
        <f>'Annual Raw'!X113</f>
        <v>0</v>
      </c>
      <c r="X89" s="3">
        <f>'Annual Raw'!Y113</f>
        <v>0</v>
      </c>
      <c r="Y89" s="3">
        <f>'Annual Raw'!Z113</f>
        <v>0</v>
      </c>
      <c r="Z89" s="3">
        <f>'Annual Raw'!AA113</f>
        <v>0</v>
      </c>
      <c r="AA89" s="3">
        <f>'Annual Raw'!AB113</f>
        <v>0</v>
      </c>
      <c r="AB89" s="37"/>
      <c r="AC89" s="37"/>
      <c r="AD89" s="37"/>
      <c r="AE89" s="37"/>
      <c r="AI89" s="3">
        <f>'QTR Raw'!C50</f>
        <v>0</v>
      </c>
      <c r="AJ89" s="3">
        <f>'QTR Raw'!D50</f>
        <v>0</v>
      </c>
      <c r="AK89" s="3">
        <f>'QTR Raw'!E50</f>
        <v>0</v>
      </c>
      <c r="AL89" s="3">
        <f>'QTR Raw'!F50</f>
        <v>0</v>
      </c>
      <c r="AM89" s="3">
        <f>'QTR Raw'!G50</f>
        <v>0</v>
      </c>
      <c r="AN89" s="3">
        <f>'QTR Raw'!H50</f>
        <v>0</v>
      </c>
      <c r="AO89" s="3">
        <f>'QTR Raw'!I50</f>
        <v>0</v>
      </c>
      <c r="AP89" s="3">
        <f>'QTR Raw'!J50</f>
        <v>0</v>
      </c>
      <c r="AQ89" s="3">
        <f>'QTR Raw'!K50</f>
        <v>0</v>
      </c>
      <c r="AR89" s="3">
        <f>'QTR Raw'!L50</f>
        <v>0</v>
      </c>
      <c r="AS89" s="3">
        <f>'QTR Raw'!M50</f>
        <v>0</v>
      </c>
      <c r="AT89" s="3">
        <f>'QTR Raw'!N50</f>
        <v>0</v>
      </c>
      <c r="AU89" s="3">
        <f>'QTR Raw'!O50</f>
        <v>0</v>
      </c>
      <c r="AV89" s="3">
        <f>'QTR Raw'!P50</f>
        <v>0</v>
      </c>
      <c r="AW89" s="3">
        <f>'QTR Raw'!Q50</f>
        <v>0</v>
      </c>
      <c r="AX89" s="3">
        <f>'QTR Raw'!R50</f>
        <v>0</v>
      </c>
      <c r="AY89" s="3">
        <f>'QTR Raw'!S50</f>
        <v>0</v>
      </c>
      <c r="AZ89" s="3">
        <f>'QTR Raw'!T50</f>
        <v>0</v>
      </c>
      <c r="BA89" s="3">
        <f>'QTR Raw'!U50</f>
        <v>0</v>
      </c>
      <c r="BB89" s="3">
        <f>'QTR Raw'!V50</f>
        <v>0</v>
      </c>
      <c r="BC89" s="3">
        <f>'QTR Raw'!W50</f>
        <v>0</v>
      </c>
      <c r="BD89" s="3">
        <f>'QTR Raw'!X50</f>
        <v>0</v>
      </c>
      <c r="BE89" s="3">
        <f>'QTR Raw'!Y50</f>
        <v>0</v>
      </c>
      <c r="BF89" s="3">
        <f>'QTR Raw'!Z50</f>
        <v>0</v>
      </c>
      <c r="BG89" s="3">
        <f>'QTR Raw'!AA50</f>
        <v>0</v>
      </c>
      <c r="BH89" s="3">
        <f>'QTR Raw'!AB50</f>
        <v>0</v>
      </c>
      <c r="BI89" s="3">
        <f>'QTR Raw'!AC50</f>
        <v>0</v>
      </c>
      <c r="BJ89" s="3">
        <f>'QTR Raw'!AD50</f>
        <v>0</v>
      </c>
      <c r="BK89" s="3">
        <f>'QTR Raw'!AE50</f>
        <v>0</v>
      </c>
      <c r="BL89" s="3">
        <f>'QTR Raw'!AF50</f>
        <v>36.49</v>
      </c>
      <c r="BM89" s="3">
        <f>'QTR Raw'!AG50</f>
        <v>36.49</v>
      </c>
      <c r="BN89" s="3">
        <f>'QTR Raw'!AH50</f>
        <v>36.49</v>
      </c>
      <c r="BO89" s="3">
        <f>'QTR Raw'!AI50</f>
        <v>0</v>
      </c>
      <c r="BP89" s="3">
        <f>'QTR Raw'!AJ50</f>
        <v>0</v>
      </c>
      <c r="BQ89" s="3">
        <f>'QTR Raw'!AK50</f>
        <v>0</v>
      </c>
      <c r="BR89" s="3">
        <f>'QTR Raw'!AL50</f>
        <v>0</v>
      </c>
      <c r="BS89" s="3">
        <f>'QTR Raw'!AM50</f>
        <v>0</v>
      </c>
      <c r="BT89" s="3">
        <f>'QTR Raw'!AN50</f>
        <v>0</v>
      </c>
      <c r="BU89" s="3">
        <f>'QTR Raw'!AO50</f>
        <v>0</v>
      </c>
      <c r="BV89" s="3">
        <f>'QTR Raw'!AP50</f>
        <v>0</v>
      </c>
      <c r="BW89" s="3">
        <f>'QTR Raw'!AQ50</f>
        <v>0</v>
      </c>
      <c r="BX89" s="3">
        <f>'QTR Raw'!AR50</f>
        <v>0</v>
      </c>
      <c r="BY89" s="3">
        <f>'QTR Raw'!AS50</f>
        <v>0</v>
      </c>
      <c r="BZ89" s="3">
        <f>'QTR Raw'!AT50</f>
        <v>0</v>
      </c>
      <c r="CA89" s="3">
        <f>'QTR Raw'!AU50</f>
        <v>0</v>
      </c>
      <c r="CB89" s="3">
        <f>'QTR Raw'!AV50</f>
        <v>0</v>
      </c>
      <c r="CC89" s="3">
        <f>'QTR Raw'!AW50</f>
        <v>0</v>
      </c>
      <c r="CD89" s="3">
        <f>'QTR Raw'!AX50</f>
        <v>0</v>
      </c>
      <c r="CE89" s="3">
        <f>'QTR Raw'!AY50</f>
        <v>0</v>
      </c>
      <c r="CF89" s="3">
        <f>'QTR Raw'!AZ50</f>
        <v>0</v>
      </c>
      <c r="CG89" s="3">
        <f>'QTR Raw'!BA50</f>
        <v>0</v>
      </c>
      <c r="CH89" s="3">
        <f>'QTR Raw'!BB50</f>
        <v>0</v>
      </c>
      <c r="CI89" s="3">
        <f>'QTR Raw'!BC50</f>
        <v>0</v>
      </c>
      <c r="CJ89" s="3">
        <f>'QTR Raw'!BD50</f>
        <v>0</v>
      </c>
      <c r="CK89" s="3">
        <f>'QTR Raw'!BE50</f>
        <v>0</v>
      </c>
      <c r="CL89" s="3">
        <f>'QTR Raw'!BF50</f>
        <v>0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3" customFormat="1" x14ac:dyDescent="0.2"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36</v>
      </c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457</v>
      </c>
      <c r="B92" s="13">
        <f>'Annual Raw'!C106</f>
        <v>6.3187499999999996</v>
      </c>
      <c r="C92" s="13">
        <f>'Annual Raw'!D106</f>
        <v>13.440625000000001</v>
      </c>
      <c r="D92" s="13">
        <f>'Annual Raw'!E106</f>
        <v>9.8125</v>
      </c>
      <c r="E92" s="13">
        <f>'Annual Raw'!F106</f>
        <v>20.359375</v>
      </c>
      <c r="F92" s="13">
        <f>'Annual Raw'!G106</f>
        <v>27.521875000000001</v>
      </c>
      <c r="G92" s="13">
        <f>'Annual Raw'!H106</f>
        <v>54.4</v>
      </c>
      <c r="H92" s="13">
        <f>'Annual Raw'!I106</f>
        <v>49.3</v>
      </c>
      <c r="I92" s="13">
        <f>'Annual Raw'!J106</f>
        <v>35.35</v>
      </c>
      <c r="J92" s="13">
        <f>'Annual Raw'!K106</f>
        <v>33.512500000000003</v>
      </c>
      <c r="K92" s="13">
        <f>'Annual Raw'!L106</f>
        <v>136.28749999999999</v>
      </c>
      <c r="L92" s="13">
        <f>'Annual Raw'!M106</f>
        <v>144.58750000000001</v>
      </c>
      <c r="M92" s="13">
        <f>'Annual Raw'!N106</f>
        <v>157.16249999999999</v>
      </c>
      <c r="N92" s="13">
        <f>'Annual Raw'!O106</f>
        <v>173.8125</v>
      </c>
      <c r="O92" s="13">
        <f>'Annual Raw'!P106</f>
        <v>261.82499999999999</v>
      </c>
      <c r="P92" s="13">
        <f>'Annual Raw'!Q106</f>
        <v>580.42499999999995</v>
      </c>
      <c r="Q92" s="13">
        <f>'Annual Raw'!R106</f>
        <v>669.85</v>
      </c>
      <c r="R92" s="13">
        <f>'Annual Raw'!S106</f>
        <v>774.625</v>
      </c>
      <c r="S92" s="13">
        <f>'Annual Raw'!T106</f>
        <v>623.95000000000005</v>
      </c>
      <c r="T92" s="13">
        <f>'Annual Raw'!U106</f>
        <v>976.1</v>
      </c>
      <c r="U92" s="13">
        <f>'Annual Raw'!V106</f>
        <v>985.75</v>
      </c>
      <c r="V92" s="13">
        <f>'Annual Raw'!W106</f>
        <v>1270.5999999999999</v>
      </c>
      <c r="W92" s="13">
        <f>'Annual Raw'!X106</f>
        <v>1398.15</v>
      </c>
      <c r="X92" s="13">
        <f>'Annual Raw'!Y106</f>
        <v>1537.35</v>
      </c>
      <c r="Y92" s="13">
        <f>'Annual Raw'!Z106</f>
        <v>2601.15</v>
      </c>
      <c r="Z92" s="13">
        <f>'Annual Raw'!AA106</f>
        <v>3234.6</v>
      </c>
      <c r="AA92" s="13">
        <f>'Annual Raw'!AB106</f>
        <v>4220.6499999999996</v>
      </c>
      <c r="AB92" s="37">
        <f>+CP92</f>
        <v>4220.6499999999996</v>
      </c>
      <c r="AC92" s="37">
        <f>+CT92</f>
        <v>4220.6499999999996</v>
      </c>
      <c r="AD92" s="37">
        <f>+CX92</f>
        <v>4220.6499999999996</v>
      </c>
      <c r="AE92" s="37">
        <f>+DB92</f>
        <v>4220.6499999999996</v>
      </c>
      <c r="AJ92" s="13">
        <f>'QTR Share Price'!HP21</f>
        <v>173.66249999999999</v>
      </c>
      <c r="AK92" s="13">
        <f>'QTR Share Price'!HQ21</f>
        <v>181.63749999999999</v>
      </c>
      <c r="AL92" s="13">
        <f>'QTR Share Price'!HR21</f>
        <v>173.8125</v>
      </c>
      <c r="AM92" s="13">
        <f>'QTR Share Price'!HS21</f>
        <v>205.45</v>
      </c>
      <c r="AN92" s="13">
        <f>'QTR Share Price'!HT21</f>
        <v>218.42500000000001</v>
      </c>
      <c r="AO92" s="13">
        <f>'QTR Share Price'!HU21</f>
        <v>237.02500000000001</v>
      </c>
      <c r="AP92" s="13">
        <f>'QTR Share Price'!HV21</f>
        <v>261.82499999999999</v>
      </c>
      <c r="AQ92" s="13">
        <f>'QTR Share Price'!HW21</f>
        <v>354.82499999999999</v>
      </c>
      <c r="AR92" s="13">
        <f>'QTR Share Price'!HX21</f>
        <v>434.125</v>
      </c>
      <c r="AS92" s="13">
        <f>'QTR Share Price'!HY21</f>
        <v>565.65</v>
      </c>
      <c r="AT92" s="13">
        <f>'QTR Share Price'!HZ21</f>
        <v>580.42499999999995</v>
      </c>
      <c r="AU92" s="13">
        <f>'QTR Share Price'!IA21</f>
        <v>649.25</v>
      </c>
      <c r="AV92" s="13">
        <f>'QTR Share Price'!IB21</f>
        <v>749.92499999999995</v>
      </c>
      <c r="AW92" s="13">
        <f>'QTR Share Price'!IC21</f>
        <v>726.82500000000005</v>
      </c>
      <c r="AX92" s="13">
        <f>'QTR Share Price'!ID21</f>
        <v>669.85</v>
      </c>
      <c r="AY92" s="13">
        <f>'QTR Share Price'!IE21</f>
        <v>685.375</v>
      </c>
      <c r="AZ92" s="13">
        <f>'QTR Share Price'!IF21</f>
        <v>812.07500000000005</v>
      </c>
      <c r="BA92" s="13">
        <f>'QTR Share Price'!IG21</f>
        <v>657.75</v>
      </c>
      <c r="BB92" s="13">
        <f>'QTR Share Price'!IH21</f>
        <v>774.625</v>
      </c>
      <c r="BC92" s="13">
        <f>'QTR Share Price'!II21</f>
        <v>606.5</v>
      </c>
      <c r="BD92" s="13">
        <f>'QTR Share Price'!IJ21</f>
        <v>615.625</v>
      </c>
      <c r="BE92" s="13">
        <f>'QTR Share Price'!IK21</f>
        <v>708.32500000000005</v>
      </c>
      <c r="BF92" s="13">
        <f>'QTR Share Price'!IL21</f>
        <v>623.95000000000005</v>
      </c>
      <c r="BG92" s="13">
        <f>'QTR Share Price'!IM21</f>
        <v>701.25</v>
      </c>
      <c r="BH92" s="13">
        <f>'QTR Share Price'!IN21</f>
        <v>825.125</v>
      </c>
      <c r="BI92" s="13">
        <f>'QTR Share Price'!IO21</f>
        <v>885.625</v>
      </c>
      <c r="BJ92" s="13">
        <f>'QTR Share Price'!IP21</f>
        <v>976.1</v>
      </c>
      <c r="BK92" s="13">
        <f>'QTR Share Price'!IQ21</f>
        <v>774.4</v>
      </c>
      <c r="BL92" s="13">
        <f>'QTR Share Price'!IR21</f>
        <v>833.2</v>
      </c>
      <c r="BM92" s="13">
        <f>'QTR Share Price'!IS21</f>
        <v>923.47500000000002</v>
      </c>
      <c r="BN92" s="13">
        <f>'QTR Share Price'!IT21</f>
        <v>985.75</v>
      </c>
      <c r="BO92" s="13">
        <f>'QTR Share Price'!IU21</f>
        <v>1185.45</v>
      </c>
      <c r="BP92" s="13">
        <f>'QTR Share Price'!IV21</f>
        <v>1400.1</v>
      </c>
      <c r="BQ92" s="13">
        <f>'QTR Share Price'!IW21</f>
        <v>1400.35</v>
      </c>
      <c r="BR92" s="13">
        <f>'QTR Share Price'!IX21</f>
        <v>1270.5999999999999</v>
      </c>
      <c r="BS92" s="13">
        <f>'QTR Share Price'!IY21</f>
        <v>1451.325</v>
      </c>
      <c r="BT92" s="13">
        <f>'QTR Share Price'!IZ21</f>
        <v>1538.4</v>
      </c>
      <c r="BU92" s="13">
        <f>'QTR Share Price'!JA21</f>
        <v>1639.575</v>
      </c>
      <c r="BV92" s="13">
        <f>'QTR Share Price'!JB21</f>
        <v>1398.15</v>
      </c>
      <c r="BW92" s="13">
        <f>'QTR Share Price'!JC21</f>
        <v>1429.7</v>
      </c>
      <c r="BX92" s="13">
        <f>'QTR Share Price'!JD21</f>
        <v>1558.65</v>
      </c>
      <c r="BY92" s="13">
        <f>'QTR Share Price'!JE21</f>
        <v>1551.65</v>
      </c>
      <c r="BZ92" s="13">
        <f>'QTR Share Price'!JF21</f>
        <v>1537.35</v>
      </c>
      <c r="CA92" s="13">
        <f>'QTR Share Price'!JG21</f>
        <v>1905.2</v>
      </c>
      <c r="CB92" s="13">
        <f>'QTR Share Price'!JH21</f>
        <v>1928.35</v>
      </c>
      <c r="CC92" s="13">
        <f>'QTR Share Price'!JI21</f>
        <v>2305</v>
      </c>
      <c r="CD92" s="13">
        <f>'QTR Share Price'!JJ21</f>
        <v>2601.15</v>
      </c>
      <c r="CE92" s="13">
        <f>'QTR Share Price'!JK21</f>
        <v>2789.9</v>
      </c>
      <c r="CF92" s="13">
        <f>'QTR Share Price'!JL21</f>
        <v>3399.75</v>
      </c>
      <c r="CG92" s="13">
        <f>'QTR Share Price'!JM21</f>
        <v>3359.95</v>
      </c>
      <c r="CH92" s="13">
        <f>'QTR Share Price'!JN21</f>
        <v>3234.6</v>
      </c>
      <c r="CI92" s="13">
        <f>'QTR Share Price'!JO21</f>
        <v>3409.7</v>
      </c>
      <c r="CJ92" s="13">
        <f>'QTR Share Price'!JP21</f>
        <v>3600.65</v>
      </c>
      <c r="CK92" s="13">
        <f>'QTR Share Price'!JQ21</f>
        <v>3841.7</v>
      </c>
      <c r="CL92" s="13">
        <f>'QTR Share Price'!JR21</f>
        <v>4220.6499999999996</v>
      </c>
      <c r="CM92" s="37">
        <f t="shared" ref="CM92" si="859">+CL92</f>
        <v>4220.6499999999996</v>
      </c>
      <c r="CN92" s="37">
        <f t="shared" ref="CN92" si="860">+CM92</f>
        <v>4220.6499999999996</v>
      </c>
      <c r="CO92" s="37">
        <f t="shared" ref="CO92" si="861">+CN92</f>
        <v>4220.6499999999996</v>
      </c>
      <c r="CP92" s="37">
        <f t="shared" ref="CP92" si="862">+CO92</f>
        <v>4220.6499999999996</v>
      </c>
      <c r="CQ92" s="37">
        <f t="shared" ref="CQ92" si="863">+CP92</f>
        <v>4220.6499999999996</v>
      </c>
      <c r="CR92" s="37">
        <f t="shared" ref="CR92" si="864">+CQ92</f>
        <v>4220.6499999999996</v>
      </c>
      <c r="CS92" s="37">
        <f t="shared" ref="CS92" si="865">+CR92</f>
        <v>4220.6499999999996</v>
      </c>
      <c r="CT92" s="37">
        <f t="shared" ref="CT92" si="866">+CS92</f>
        <v>4220.6499999999996</v>
      </c>
      <c r="CU92" s="37">
        <f t="shared" ref="CU92" si="867">+CT92</f>
        <v>4220.6499999999996</v>
      </c>
      <c r="CV92" s="37">
        <f t="shared" ref="CV92" si="868">+CU92</f>
        <v>4220.6499999999996</v>
      </c>
      <c r="CW92" s="37">
        <f t="shared" ref="CW92" si="869">+CV92</f>
        <v>4220.6499999999996</v>
      </c>
      <c r="CX92" s="37">
        <f t="shared" ref="CX92" si="870">+CW92</f>
        <v>4220.6499999999996</v>
      </c>
      <c r="CY92" s="37">
        <f t="shared" ref="CY92" si="871">+CX92</f>
        <v>4220.6499999999996</v>
      </c>
      <c r="CZ92" s="37">
        <f t="shared" ref="CZ92" si="872">+CY92</f>
        <v>4220.6499999999996</v>
      </c>
      <c r="DA92" s="37">
        <f t="shared" ref="DA92" si="873">+CZ92</f>
        <v>4220.6499999999996</v>
      </c>
      <c r="DB92" s="37">
        <f t="shared" ref="DB92" si="874">+DA92</f>
        <v>4220.6499999999996</v>
      </c>
      <c r="DE92" s="134"/>
      <c r="DF92" s="13">
        <v>4220.6499999999996</v>
      </c>
    </row>
    <row r="93" spans="1:110" s="13" customFormat="1" x14ac:dyDescent="0.2">
      <c r="A93" s="13" t="s">
        <v>458</v>
      </c>
      <c r="B93" s="13">
        <f>'Annual Raw'!C107</f>
        <v>25.125</v>
      </c>
      <c r="C93" s="13">
        <f>'Annual Raw'!D107</f>
        <v>16.375</v>
      </c>
      <c r="D93" s="13">
        <f>'Annual Raw'!E107</f>
        <v>16.5625</v>
      </c>
      <c r="E93" s="13">
        <f>'Annual Raw'!F107</f>
        <v>27.15</v>
      </c>
      <c r="F93" s="13">
        <f>'Annual Raw'!G107</f>
        <v>37.375</v>
      </c>
      <c r="G93" s="13">
        <f>'Annual Raw'!H107</f>
        <v>67.375</v>
      </c>
      <c r="H93" s="13">
        <f>'Annual Raw'!I107</f>
        <v>84.2</v>
      </c>
      <c r="I93" s="13">
        <f>'Annual Raw'!J107</f>
        <v>68.037499999999994</v>
      </c>
      <c r="J93" s="13">
        <f>'Annual Raw'!K107</f>
        <v>52.424999999999997</v>
      </c>
      <c r="K93" s="13">
        <f>'Annual Raw'!L107</f>
        <v>137.21250000000001</v>
      </c>
      <c r="L93" s="13">
        <f>'Annual Raw'!M107</f>
        <v>160</v>
      </c>
      <c r="M93" s="13">
        <f>'Annual Raw'!N107</f>
        <v>171.73750000000001</v>
      </c>
      <c r="N93" s="13">
        <f>'Annual Raw'!O107</f>
        <v>191.65</v>
      </c>
      <c r="O93" s="13">
        <f>'Annual Raw'!P107</f>
        <v>289</v>
      </c>
      <c r="P93" s="13">
        <f>'Annual Raw'!Q107</f>
        <v>615.85</v>
      </c>
      <c r="Q93" s="13">
        <f>'Annual Raw'!R107</f>
        <v>860</v>
      </c>
      <c r="R93" s="13">
        <f>'Annual Raw'!S107</f>
        <v>883.9</v>
      </c>
      <c r="S93" s="13">
        <f>'Annual Raw'!T107</f>
        <v>775</v>
      </c>
      <c r="T93" s="13">
        <f>'Annual Raw'!U107</f>
        <v>982</v>
      </c>
      <c r="U93" s="13">
        <f>'Annual Raw'!V107</f>
        <v>1142.9749999999999</v>
      </c>
      <c r="V93" s="13">
        <f>'Annual Raw'!W107</f>
        <v>1520</v>
      </c>
      <c r="W93" s="13">
        <f>'Annual Raw'!X107</f>
        <v>1652.2249999999999</v>
      </c>
      <c r="X93" s="13">
        <f>'Annual Raw'!Y107</f>
        <v>1722.7</v>
      </c>
      <c r="Y93" s="13">
        <f>'Annual Raw'!Z107</f>
        <v>2745.55</v>
      </c>
      <c r="Z93" s="13">
        <f>'Annual Raw'!AA107</f>
        <v>3589.95</v>
      </c>
      <c r="AA93" s="13">
        <f>'Annual Raw'!AB107</f>
        <v>4479.7</v>
      </c>
      <c r="AB93" s="37">
        <f>+MAX(CM93:CP93)</f>
        <v>5674.7613686280274</v>
      </c>
      <c r="AC93" s="37">
        <f>+MAX(CQ93:CT93)</f>
        <v>7567.6504498936201</v>
      </c>
      <c r="AD93" s="37">
        <f>+MAX(CU93:CX93)</f>
        <v>8653.2758658031617</v>
      </c>
      <c r="AE93" s="37">
        <f>+MAX(CY93:DB93)</f>
        <v>9050.9547011351769</v>
      </c>
      <c r="AJ93" s="13">
        <f>'QTR Share Price'!HP19</f>
        <v>181.75</v>
      </c>
      <c r="AK93" s="13">
        <f>'QTR Share Price'!HQ19</f>
        <v>181.97499999999999</v>
      </c>
      <c r="AL93" s="13">
        <f>'QTR Share Price'!HR19</f>
        <v>191.65</v>
      </c>
      <c r="AM93" s="13">
        <f>'QTR Share Price'!HS19</f>
        <v>217.95</v>
      </c>
      <c r="AN93" s="13">
        <f>'QTR Share Price'!HT19</f>
        <v>232.4</v>
      </c>
      <c r="AO93" s="13">
        <f>'QTR Share Price'!HU19</f>
        <v>260.5</v>
      </c>
      <c r="AP93" s="13">
        <f>'QTR Share Price'!HV19</f>
        <v>289</v>
      </c>
      <c r="AQ93" s="13">
        <f>'QTR Share Price'!HW19</f>
        <v>361.22500000000002</v>
      </c>
      <c r="AR93" s="13">
        <f>'QTR Share Price'!HX19</f>
        <v>469.97500000000002</v>
      </c>
      <c r="AS93" s="13">
        <f>'QTR Share Price'!HY19</f>
        <v>594</v>
      </c>
      <c r="AT93" s="13">
        <f>'QTR Share Price'!HZ19</f>
        <v>615.85</v>
      </c>
      <c r="AU93" s="13">
        <f>'QTR Share Price'!IA19</f>
        <v>685</v>
      </c>
      <c r="AV93" s="13">
        <f>'QTR Share Price'!IB19</f>
        <v>860</v>
      </c>
      <c r="AW93" s="13">
        <f>'QTR Share Price'!IC19</f>
        <v>818</v>
      </c>
      <c r="AX93" s="13">
        <f>'QTR Share Price'!ID19</f>
        <v>754.875</v>
      </c>
      <c r="AY93" s="13">
        <f>'QTR Share Price'!IE19</f>
        <v>742.5</v>
      </c>
      <c r="AZ93" s="13">
        <f>'QTR Share Price'!IF19</f>
        <v>883.9</v>
      </c>
      <c r="BA93" s="13">
        <f>'QTR Share Price'!IG19</f>
        <v>849.75</v>
      </c>
      <c r="BB93" s="13">
        <f>'QTR Share Price'!IH19</f>
        <v>786.05</v>
      </c>
      <c r="BC93" s="13">
        <f>'QTR Share Price'!II19</f>
        <v>775</v>
      </c>
      <c r="BD93" s="13">
        <f>'QTR Share Price'!IJ19</f>
        <v>683.45</v>
      </c>
      <c r="BE93" s="13">
        <f>'QTR Share Price'!IK19</f>
        <v>717.375</v>
      </c>
      <c r="BF93" s="13">
        <f>'QTR Share Price'!IL19</f>
        <v>736.375</v>
      </c>
      <c r="BG93" s="13">
        <f>'QTR Share Price'!IM19</f>
        <v>763.47500000000002</v>
      </c>
      <c r="BH93" s="13">
        <f>'QTR Share Price'!IN19</f>
        <v>935.97500000000002</v>
      </c>
      <c r="BI93" s="13">
        <f>'QTR Share Price'!IO19</f>
        <v>916.45</v>
      </c>
      <c r="BJ93" s="13">
        <f>'QTR Share Price'!IP19</f>
        <v>982</v>
      </c>
      <c r="BK93" s="13">
        <f>'QTR Share Price'!IQ19</f>
        <v>976</v>
      </c>
      <c r="BL93" s="13">
        <f>'QTR Share Price'!IR19</f>
        <v>885.65</v>
      </c>
      <c r="BM93" s="13">
        <f>'QTR Share Price'!IS19</f>
        <v>969.97500000000002</v>
      </c>
      <c r="BN93" s="13">
        <f>'QTR Share Price'!IT19</f>
        <v>1142.9749999999999</v>
      </c>
      <c r="BO93" s="13">
        <f>'QTR Share Price'!IU19</f>
        <v>1339.7249999999999</v>
      </c>
      <c r="BP93" s="13">
        <f>'QTR Share Price'!IV19</f>
        <v>1520</v>
      </c>
      <c r="BQ93" s="13">
        <f>'QTR Share Price'!IW19</f>
        <v>1469.65</v>
      </c>
      <c r="BR93" s="13">
        <f>'QTR Share Price'!IX19</f>
        <v>1451.425</v>
      </c>
      <c r="BS93" s="13">
        <f>'QTR Share Price'!IY19</f>
        <v>1503.5</v>
      </c>
      <c r="BT93" s="13">
        <f>'QTR Share Price'!IZ19</f>
        <v>1624</v>
      </c>
      <c r="BU93" s="13">
        <f>'QTR Share Price'!JA19</f>
        <v>1652.2249999999999</v>
      </c>
      <c r="BV93" s="13">
        <f>'QTR Share Price'!JB19</f>
        <v>1649.95</v>
      </c>
      <c r="BW93" s="13">
        <f>'QTR Share Price'!JC19</f>
        <v>1476.95</v>
      </c>
      <c r="BX93" s="13">
        <f>'QTR Share Price'!JD19</f>
        <v>1605</v>
      </c>
      <c r="BY93" s="13">
        <f>'QTR Share Price'!JE19</f>
        <v>1722.7</v>
      </c>
      <c r="BZ93" s="13">
        <f>'QTR Share Price'!JF19</f>
        <v>1632</v>
      </c>
      <c r="CA93" s="13">
        <f>'QTR Share Price'!JG19</f>
        <v>1981.5</v>
      </c>
      <c r="CB93" s="13">
        <f>'QTR Share Price'!JH19</f>
        <v>2099.9499999999998</v>
      </c>
      <c r="CC93" s="13">
        <f>'QTR Share Price'!JI19</f>
        <v>2309.9</v>
      </c>
      <c r="CD93" s="13">
        <f>'QTR Share Price'!JJ19</f>
        <v>2745.55</v>
      </c>
      <c r="CE93" s="13">
        <f>'QTR Share Price'!JK19</f>
        <v>2977.1</v>
      </c>
      <c r="CF93" s="13">
        <f>'QTR Share Price'!JL19</f>
        <v>3574</v>
      </c>
      <c r="CG93" s="13">
        <f>'QTR Share Price'!JM19</f>
        <v>3589.95</v>
      </c>
      <c r="CH93" s="13">
        <f>'QTR Share Price'!JN19</f>
        <v>3460</v>
      </c>
      <c r="CI93" s="13">
        <f>'QTR Share Price'!JO19</f>
        <v>3474.6</v>
      </c>
      <c r="CJ93" s="13">
        <f>'QTR Share Price'!JP19</f>
        <v>3790</v>
      </c>
      <c r="CK93" s="13">
        <f>'QTR Share Price'!JQ19</f>
        <v>3880.55</v>
      </c>
      <c r="CL93" s="13">
        <f>'QTR Share Price'!JR19</f>
        <v>4479.7</v>
      </c>
      <c r="CM93" s="37">
        <f t="shared" ref="CM93:DB93" si="875">+CM84*CM101</f>
        <v>4716.7567482706709</v>
      </c>
      <c r="CN93" s="37">
        <f t="shared" si="875"/>
        <v>4764.8440068582404</v>
      </c>
      <c r="CO93" s="37">
        <f t="shared" si="875"/>
        <v>4745.4052832282759</v>
      </c>
      <c r="CP93" s="37">
        <f t="shared" si="875"/>
        <v>5674.7613686280274</v>
      </c>
      <c r="CQ93" s="37">
        <f t="shared" si="875"/>
        <v>6094.5158855855179</v>
      </c>
      <c r="CR93" s="37">
        <f t="shared" si="875"/>
        <v>6536.0782026038987</v>
      </c>
      <c r="CS93" s="37">
        <f t="shared" si="875"/>
        <v>6982.3486326056809</v>
      </c>
      <c r="CT93" s="37">
        <f t="shared" si="875"/>
        <v>7567.6504498936201</v>
      </c>
      <c r="CU93" s="37">
        <f t="shared" si="875"/>
        <v>7875.9081091780081</v>
      </c>
      <c r="CV93" s="37">
        <f t="shared" si="875"/>
        <v>8133.5285048529977</v>
      </c>
      <c r="CW93" s="37">
        <f t="shared" si="875"/>
        <v>8367.157347638622</v>
      </c>
      <c r="CX93" s="37">
        <f t="shared" si="875"/>
        <v>8653.2758658031617</v>
      </c>
      <c r="CY93" s="37">
        <f t="shared" si="875"/>
        <v>8778.5040961168361</v>
      </c>
      <c r="CZ93" s="37">
        <f t="shared" si="875"/>
        <v>8892.0755949976938</v>
      </c>
      <c r="DA93" s="37">
        <f t="shared" si="875"/>
        <v>8982.229748219901</v>
      </c>
      <c r="DB93" s="37">
        <f t="shared" si="875"/>
        <v>9050.9547011351769</v>
      </c>
      <c r="DE93" s="134"/>
      <c r="DF93" s="13">
        <v>4479.7</v>
      </c>
    </row>
    <row r="94" spans="1:110" s="13" customFormat="1" x14ac:dyDescent="0.2">
      <c r="A94" s="13" t="s">
        <v>459</v>
      </c>
      <c r="B94" s="13">
        <f>'Annual Raw'!C108</f>
        <v>5.9375</v>
      </c>
      <c r="C94" s="13">
        <f>'Annual Raw'!D108</f>
        <v>5.5</v>
      </c>
      <c r="D94" s="13">
        <f>'Annual Raw'!E108</f>
        <v>9.8125</v>
      </c>
      <c r="E94" s="13">
        <f>'Annual Raw'!F108</f>
        <v>9.8343749999999996</v>
      </c>
      <c r="F94" s="13">
        <f>'Annual Raw'!G108</f>
        <v>18.125</v>
      </c>
      <c r="G94" s="13">
        <f>'Annual Raw'!H108</f>
        <v>26.331250000000001</v>
      </c>
      <c r="H94" s="13">
        <f>'Annual Raw'!I108</f>
        <v>39.5</v>
      </c>
      <c r="I94" s="13">
        <f>'Annual Raw'!J108</f>
        <v>30.5</v>
      </c>
      <c r="J94" s="13">
        <f>'Annual Raw'!K108</f>
        <v>28.037500000000001</v>
      </c>
      <c r="K94" s="13">
        <f>'Annual Raw'!L108</f>
        <v>33.049999999999997</v>
      </c>
      <c r="L94" s="13">
        <f>'Annual Raw'!M108</f>
        <v>122.5</v>
      </c>
      <c r="M94" s="13">
        <f>'Annual Raw'!N108</f>
        <v>124.75</v>
      </c>
      <c r="N94" s="13">
        <f>'Annual Raw'!O108</f>
        <v>145.19999999999999</v>
      </c>
      <c r="O94" s="13">
        <f>'Annual Raw'!P108</f>
        <v>167.125</v>
      </c>
      <c r="P94" s="13">
        <f>'Annual Raw'!Q108</f>
        <v>261.5</v>
      </c>
      <c r="Q94" s="13">
        <f>'Annual Raw'!R108</f>
        <v>566.72500000000002</v>
      </c>
      <c r="R94" s="13">
        <f>'Annual Raw'!S108</f>
        <v>592.79999999999995</v>
      </c>
      <c r="S94" s="13">
        <f>'Annual Raw'!T108</f>
        <v>571.75</v>
      </c>
      <c r="T94" s="13">
        <f>'Annual Raw'!U108</f>
        <v>622.5</v>
      </c>
      <c r="U94" s="13">
        <f>'Annual Raw'!V108</f>
        <v>726.5</v>
      </c>
      <c r="V94" s="13">
        <f>'Annual Raw'!W108</f>
        <v>966.65</v>
      </c>
      <c r="W94" s="13">
        <f>'Annual Raw'!X108</f>
        <v>1238.825</v>
      </c>
      <c r="X94" s="13">
        <f>'Annual Raw'!Y108</f>
        <v>1242.5</v>
      </c>
      <c r="Y94" s="13">
        <f>'Annual Raw'!Z108</f>
        <v>1524.05</v>
      </c>
      <c r="Z94" s="13">
        <f>'Annual Raw'!AA108</f>
        <v>2508.65</v>
      </c>
      <c r="AA94" s="13">
        <f>'Annual Raw'!AB108</f>
        <v>3101</v>
      </c>
      <c r="AB94" s="37">
        <f>+MIN(CM94:CP94)</f>
        <v>3840.7876378775463</v>
      </c>
      <c r="AC94" s="37">
        <f>+MIN(CQ94:CT94)</f>
        <v>4962.6772211196367</v>
      </c>
      <c r="AD94" s="37">
        <f>+MIN(CU94:CX94)</f>
        <v>6413.2394603306639</v>
      </c>
      <c r="AE94" s="37">
        <f>+MIN(CY94:DB94)</f>
        <v>7148.2104782665656</v>
      </c>
      <c r="AJ94" s="13">
        <f>+'QTR Share Price'!HP20</f>
        <v>150.38749999999999</v>
      </c>
      <c r="AK94" s="13">
        <f>+'QTR Share Price'!HQ20</f>
        <v>157.5</v>
      </c>
      <c r="AL94" s="13">
        <f>+'QTR Share Price'!HR20</f>
        <v>164</v>
      </c>
      <c r="AM94" s="13">
        <f>+'QTR Share Price'!HS20</f>
        <v>167.125</v>
      </c>
      <c r="AN94" s="13">
        <f>+'QTR Share Price'!HT20</f>
        <v>192.97499999999999</v>
      </c>
      <c r="AO94" s="13">
        <f>+'QTR Share Price'!HU20</f>
        <v>202</v>
      </c>
      <c r="AP94" s="13">
        <f>+'QTR Share Price'!HV20</f>
        <v>230.7</v>
      </c>
      <c r="AQ94" s="13">
        <f>+'QTR Share Price'!HW20</f>
        <v>261.5</v>
      </c>
      <c r="AR94" s="13">
        <f>+'QTR Share Price'!HX20</f>
        <v>327.75</v>
      </c>
      <c r="AS94" s="13">
        <f>+'QTR Share Price'!HY20</f>
        <v>405.125</v>
      </c>
      <c r="AT94" s="13">
        <f>+'QTR Share Price'!HZ20</f>
        <v>516.5</v>
      </c>
      <c r="AU94" s="13">
        <f>+'QTR Share Price'!IA20</f>
        <v>566.72500000000002</v>
      </c>
      <c r="AV94" s="13">
        <f>+'QTR Share Price'!IB20</f>
        <v>644</v>
      </c>
      <c r="AW94" s="13">
        <f>+'QTR Share Price'!IC20</f>
        <v>687.75</v>
      </c>
      <c r="AX94" s="13">
        <f>+'QTR Share Price'!ID20</f>
        <v>595</v>
      </c>
      <c r="AY94" s="13">
        <f>+'QTR Share Price'!IE20</f>
        <v>625.42499999999995</v>
      </c>
      <c r="AZ94" s="13">
        <f>+'QTR Share Price'!IF20</f>
        <v>681.05</v>
      </c>
      <c r="BA94" s="13">
        <f>+'QTR Share Price'!IG20</f>
        <v>592.79999999999995</v>
      </c>
      <c r="BB94" s="13">
        <f>+'QTR Share Price'!IH20</f>
        <v>604</v>
      </c>
      <c r="BC94" s="13">
        <f>+'QTR Share Price'!II20</f>
        <v>571.75</v>
      </c>
      <c r="BD94" s="13">
        <f>+'QTR Share Price'!IJ20</f>
        <v>574.52499999999998</v>
      </c>
      <c r="BE94" s="13">
        <f>+'QTR Share Price'!IK20</f>
        <v>603</v>
      </c>
      <c r="BF94" s="13">
        <f>+'QTR Share Price'!IL20</f>
        <v>611.875</v>
      </c>
      <c r="BG94" s="13">
        <f>+'QTR Share Price'!IM20</f>
        <v>622.5</v>
      </c>
      <c r="BH94" s="13">
        <f>+'QTR Share Price'!IN20</f>
        <v>697.05</v>
      </c>
      <c r="BI94" s="13">
        <f>+'QTR Share Price'!IO20</f>
        <v>757.95</v>
      </c>
      <c r="BJ94" s="13">
        <f>+'QTR Share Price'!IP20</f>
        <v>861.05</v>
      </c>
      <c r="BK94" s="13">
        <f>+'QTR Share Price'!IQ20</f>
        <v>732.375</v>
      </c>
      <c r="BL94" s="13">
        <f>+'QTR Share Price'!IR20</f>
        <v>726.5</v>
      </c>
      <c r="BM94" s="13">
        <f>+'QTR Share Price'!IS20</f>
        <v>777.32500000000005</v>
      </c>
      <c r="BN94" s="13">
        <f>+'QTR Share Price'!IT20</f>
        <v>809.5</v>
      </c>
      <c r="BO94" s="13">
        <f>+'QTR Share Price'!IU20</f>
        <v>966.65</v>
      </c>
      <c r="BP94" s="13">
        <f>+'QTR Share Price'!IV20</f>
        <v>1116</v>
      </c>
      <c r="BQ94" s="13">
        <f>+'QTR Share Price'!IW20</f>
        <v>1210.6500000000001</v>
      </c>
      <c r="BR94" s="13">
        <f>+'QTR Share Price'!IX20</f>
        <v>1155.6500000000001</v>
      </c>
      <c r="BS94" s="13">
        <f>+'QTR Share Price'!IY20</f>
        <v>1238.825</v>
      </c>
      <c r="BT94" s="13">
        <f>+'QTR Share Price'!IZ20</f>
        <v>1427.925</v>
      </c>
      <c r="BU94" s="13">
        <f>+'QTR Share Price'!JA20</f>
        <v>1367.25</v>
      </c>
      <c r="BV94" s="13">
        <f>+'QTR Share Price'!JB20</f>
        <v>1270</v>
      </c>
      <c r="BW94" s="13">
        <f>+'QTR Share Price'!JC20</f>
        <v>1242.5</v>
      </c>
      <c r="BX94" s="13">
        <f>+'QTR Share Price'!JD20</f>
        <v>1421</v>
      </c>
      <c r="BY94" s="13">
        <f>+'QTR Share Price'!JE20</f>
        <v>1531.25</v>
      </c>
      <c r="BZ94" s="13">
        <f>+'QTR Share Price'!JF20</f>
        <v>1446.15</v>
      </c>
      <c r="CA94" s="13">
        <f>+'QTR Share Price'!JG20</f>
        <v>1524.05</v>
      </c>
      <c r="CB94" s="13">
        <f>+'QTR Share Price'!JH20</f>
        <v>1771.35</v>
      </c>
      <c r="CC94" s="13">
        <f>+'QTR Share Price'!JI20</f>
        <v>1822.8</v>
      </c>
      <c r="CD94" s="13">
        <f>+'QTR Share Price'!JJ20</f>
        <v>2270.15</v>
      </c>
      <c r="CE94" s="13">
        <f>+'QTR Share Price'!JK20</f>
        <v>2508.65</v>
      </c>
      <c r="CF94" s="13">
        <f>+'QTR Share Price'!JL20</f>
        <v>2760.3</v>
      </c>
      <c r="CG94" s="13">
        <f>+'QTR Share Price'!JM20</f>
        <v>3060.8</v>
      </c>
      <c r="CH94" s="13">
        <f>+'QTR Share Price'!JN20</f>
        <v>2891.45</v>
      </c>
      <c r="CI94" s="13">
        <f>+'QTR Share Price'!JO20</f>
        <v>3101</v>
      </c>
      <c r="CJ94" s="13">
        <f>+'QTR Share Price'!JP20</f>
        <v>3289.55</v>
      </c>
      <c r="CK94" s="13">
        <f>+'QTR Share Price'!JQ20</f>
        <v>3480</v>
      </c>
      <c r="CL94" s="13">
        <f>+'QTR Share Price'!JR20</f>
        <v>3724.1</v>
      </c>
      <c r="CM94" s="37">
        <f t="shared" ref="CM94:DB94" si="876">+CM102*CM84</f>
        <v>3840.7876378775463</v>
      </c>
      <c r="CN94" s="37">
        <f t="shared" si="876"/>
        <v>3879.944405584567</v>
      </c>
      <c r="CO94" s="37">
        <f t="shared" si="876"/>
        <v>3864.1157306287396</v>
      </c>
      <c r="CP94" s="37">
        <f t="shared" si="876"/>
        <v>4620.8771144542516</v>
      </c>
      <c r="CQ94" s="37">
        <f t="shared" si="876"/>
        <v>4962.6772211196367</v>
      </c>
      <c r="CR94" s="37">
        <f t="shared" si="876"/>
        <v>5322.2351078346037</v>
      </c>
      <c r="CS94" s="37">
        <f t="shared" si="876"/>
        <v>5685.6267436931976</v>
      </c>
      <c r="CT94" s="37">
        <f t="shared" si="876"/>
        <v>6162.229652056234</v>
      </c>
      <c r="CU94" s="37">
        <f t="shared" si="876"/>
        <v>6413.2394603306639</v>
      </c>
      <c r="CV94" s="37">
        <f t="shared" si="876"/>
        <v>6623.0160682374408</v>
      </c>
      <c r="CW94" s="37">
        <f t="shared" si="876"/>
        <v>6813.2566973628782</v>
      </c>
      <c r="CX94" s="37">
        <f t="shared" si="876"/>
        <v>7046.2389192968603</v>
      </c>
      <c r="CY94" s="37">
        <f t="shared" si="876"/>
        <v>7148.2104782665656</v>
      </c>
      <c r="CZ94" s="37">
        <f t="shared" si="876"/>
        <v>7240.6901273552648</v>
      </c>
      <c r="DA94" s="37">
        <f t="shared" si="876"/>
        <v>7314.1013664076336</v>
      </c>
      <c r="DB94" s="37">
        <f t="shared" si="876"/>
        <v>7370.0631137815017</v>
      </c>
      <c r="DE94" s="134"/>
      <c r="DF94" s="13">
        <v>3724.1</v>
      </c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51" customFormat="1" x14ac:dyDescent="0.2">
      <c r="A96" s="51" t="s">
        <v>346</v>
      </c>
      <c r="AB96" s="48">
        <f t="shared" ref="AB96:AD96" si="877">+AB93/AB92-1</f>
        <v>0.34452308735100701</v>
      </c>
      <c r="AC96" s="48">
        <f t="shared" si="877"/>
        <v>0.79300592323306152</v>
      </c>
      <c r="AD96" s="48">
        <f t="shared" si="877"/>
        <v>1.0502235119716543</v>
      </c>
      <c r="AE96" s="48">
        <f t="shared" ref="AE96" si="878">+AE93/AE92-1</f>
        <v>1.1444456899139182</v>
      </c>
      <c r="CM96" s="48">
        <f t="shared" ref="CM96:DB96" si="879">+CM93/CM92-1</f>
        <v>0.11754273589865805</v>
      </c>
      <c r="CN96" s="48">
        <f t="shared" si="879"/>
        <v>0.12893606597520302</v>
      </c>
      <c r="CO96" s="48">
        <f t="shared" si="879"/>
        <v>0.12433044275840843</v>
      </c>
      <c r="CP96" s="48">
        <f t="shared" si="879"/>
        <v>0.34452308735100701</v>
      </c>
      <c r="CQ96" s="48">
        <f t="shared" si="879"/>
        <v>0.44397566383981579</v>
      </c>
      <c r="CR96" s="48">
        <f t="shared" si="879"/>
        <v>0.5485951696075011</v>
      </c>
      <c r="CS96" s="48">
        <f t="shared" si="879"/>
        <v>0.65433017014101647</v>
      </c>
      <c r="CT96" s="48">
        <f t="shared" si="879"/>
        <v>0.79300592323306152</v>
      </c>
      <c r="CU96" s="48">
        <f t="shared" si="879"/>
        <v>0.86604151236847615</v>
      </c>
      <c r="CV96" s="48">
        <f t="shared" si="879"/>
        <v>0.92707959789439975</v>
      </c>
      <c r="CW96" s="48">
        <f t="shared" si="879"/>
        <v>0.98243335686176847</v>
      </c>
      <c r="CX96" s="48">
        <f t="shared" si="879"/>
        <v>1.0502235119716543</v>
      </c>
      <c r="CY96" s="48">
        <f t="shared" si="879"/>
        <v>1.079893877984869</v>
      </c>
      <c r="CZ96" s="48">
        <f t="shared" si="879"/>
        <v>1.1068024107655678</v>
      </c>
      <c r="DA96" s="48">
        <f t="shared" si="879"/>
        <v>1.128162664096739</v>
      </c>
      <c r="DB96" s="48">
        <f t="shared" si="879"/>
        <v>1.1444456899139182</v>
      </c>
      <c r="DE96" s="129"/>
      <c r="DF96" s="51">
        <v>6.1376802151327459E-2</v>
      </c>
    </row>
    <row r="97" spans="1:110" s="51" customFormat="1" x14ac:dyDescent="0.2">
      <c r="A97" s="51" t="s">
        <v>347</v>
      </c>
      <c r="AB97" s="48">
        <f t="shared" ref="AB97:AD97" si="880">+AB94/AB92-1</f>
        <v>-9.0000915053949804E-2</v>
      </c>
      <c r="AC97" s="48">
        <f t="shared" si="880"/>
        <v>0.17580875484099301</v>
      </c>
      <c r="AD97" s="48">
        <f t="shared" si="880"/>
        <v>0.51949094578575927</v>
      </c>
      <c r="AE97" s="48">
        <f t="shared" ref="AE97" si="881">+AE94/AE92-1</f>
        <v>0.69362787207339305</v>
      </c>
      <c r="CM97" s="48">
        <f t="shared" ref="CM97:DB97" si="882">+CM94/CM92-1</f>
        <v>-9.0000915053949804E-2</v>
      </c>
      <c r="CN97" s="48">
        <f t="shared" si="882"/>
        <v>-8.0723489134477577E-2</v>
      </c>
      <c r="CO97" s="48">
        <f t="shared" si="882"/>
        <v>-8.4473782325295899E-2</v>
      </c>
      <c r="CP97" s="48">
        <f t="shared" si="882"/>
        <v>9.4825942557248855E-2</v>
      </c>
      <c r="CQ97" s="48">
        <f t="shared" si="882"/>
        <v>0.17580875484099301</v>
      </c>
      <c r="CR97" s="48">
        <f t="shared" si="882"/>
        <v>0.26099892382325085</v>
      </c>
      <c r="CS97" s="48">
        <f t="shared" si="882"/>
        <v>0.34709742425768497</v>
      </c>
      <c r="CT97" s="48">
        <f t="shared" si="882"/>
        <v>0.46001910891835007</v>
      </c>
      <c r="CU97" s="48">
        <f t="shared" si="882"/>
        <v>0.51949094578575927</v>
      </c>
      <c r="CV97" s="48">
        <f t="shared" si="882"/>
        <v>0.56919338685686838</v>
      </c>
      <c r="CW97" s="48">
        <f t="shared" si="882"/>
        <v>0.61426716201601139</v>
      </c>
      <c r="CX97" s="48">
        <f t="shared" si="882"/>
        <v>0.66946771689120421</v>
      </c>
      <c r="CY97" s="48">
        <f t="shared" si="882"/>
        <v>0.69362787207339305</v>
      </c>
      <c r="CZ97" s="48">
        <f t="shared" si="882"/>
        <v>0.71553910590910541</v>
      </c>
      <c r="DA97" s="48">
        <f t="shared" si="882"/>
        <v>0.73293245505020188</v>
      </c>
      <c r="DB97" s="48">
        <f t="shared" si="882"/>
        <v>0.74619149035847609</v>
      </c>
      <c r="DE97" s="129"/>
      <c r="DF97" s="51">
        <v>-0.26527904469690677</v>
      </c>
    </row>
    <row r="98" spans="1:110" s="14" customFormat="1" x14ac:dyDescent="0.2">
      <c r="AB98" s="16"/>
      <c r="AC98" s="16"/>
      <c r="AD98" s="16"/>
      <c r="AE98" s="16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40</v>
      </c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460</v>
      </c>
      <c r="B100" s="13">
        <f t="shared" ref="B100:D100" si="883">+B92/B84</f>
        <v>0.31118143256615804</v>
      </c>
      <c r="C100" s="13">
        <f t="shared" si="883"/>
        <v>0.60553603428157454</v>
      </c>
      <c r="D100" s="13">
        <f t="shared" si="883"/>
        <v>0.46753980134887718</v>
      </c>
      <c r="E100" s="13" t="e">
        <f t="shared" ref="E100:AE100" ca="1" si="884">+E92/E84</f>
        <v>#DIV/0!</v>
      </c>
      <c r="F100" s="13" t="e">
        <f t="shared" ca="1" si="884"/>
        <v>#DIV/0!</v>
      </c>
      <c r="G100" s="13" t="e">
        <f t="shared" ca="1" si="884"/>
        <v>#DIV/0!</v>
      </c>
      <c r="H100" s="13" t="e">
        <f t="shared" ca="1" si="884"/>
        <v>#DIV/0!</v>
      </c>
      <c r="I100" s="13" t="e">
        <f t="shared" ca="1" si="884"/>
        <v>#DIV/0!</v>
      </c>
      <c r="J100" s="13" t="e">
        <f t="shared" ca="1" si="884"/>
        <v>#DIV/0!</v>
      </c>
      <c r="K100" s="13" t="e">
        <f t="shared" ca="1" si="884"/>
        <v>#DIV/0!</v>
      </c>
      <c r="L100" s="13" t="e">
        <f t="shared" ca="1" si="884"/>
        <v>#DIV/0!</v>
      </c>
      <c r="M100" s="13" t="e">
        <f t="shared" ca="1" si="884"/>
        <v>#DIV/0!</v>
      </c>
      <c r="N100" s="13" t="e">
        <f t="shared" ca="1" si="884"/>
        <v>#DIV/0!</v>
      </c>
      <c r="O100" s="13" t="e">
        <f t="shared" ca="1" si="884"/>
        <v>#DIV/0!</v>
      </c>
      <c r="P100" s="13" t="e">
        <f t="shared" ca="1" si="884"/>
        <v>#DIV/0!</v>
      </c>
      <c r="Q100" s="13" t="e">
        <f t="shared" ca="1" si="884"/>
        <v>#DIV/0!</v>
      </c>
      <c r="R100" s="13" t="e">
        <f t="shared" ca="1" si="884"/>
        <v>#DIV/0!</v>
      </c>
      <c r="S100" s="13" t="e">
        <f t="shared" ca="1" si="884"/>
        <v>#DIV/0!</v>
      </c>
      <c r="T100" s="13" t="e">
        <f t="shared" ca="1" si="884"/>
        <v>#DIV/0!</v>
      </c>
      <c r="U100" s="13" t="e">
        <f t="shared" ca="1" si="884"/>
        <v>#DIV/0!</v>
      </c>
      <c r="V100" s="13" t="e">
        <f t="shared" ca="1" si="884"/>
        <v>#DIV/0!</v>
      </c>
      <c r="W100" s="13" t="e">
        <f t="shared" ca="1" si="884"/>
        <v>#DIV/0!</v>
      </c>
      <c r="X100" s="13" t="e">
        <f t="shared" ca="1" si="884"/>
        <v>#DIV/0!</v>
      </c>
      <c r="Y100" s="13" t="e">
        <f t="shared" ca="1" si="884"/>
        <v>#DIV/0!</v>
      </c>
      <c r="Z100" s="13" t="e">
        <f t="shared" ref="Z100:AA100" ca="1" si="885">+Z92/Z84</f>
        <v>#DIV/0!</v>
      </c>
      <c r="AA100" s="13" t="e">
        <f t="shared" ca="1" si="885"/>
        <v>#DIV/0!</v>
      </c>
      <c r="AB100" s="37" t="e">
        <f t="shared" ca="1" si="884"/>
        <v>#DIV/0!</v>
      </c>
      <c r="AC100" s="37" t="e">
        <f t="shared" ca="1" si="884"/>
        <v>#DIV/0!</v>
      </c>
      <c r="AD100" s="37" t="e">
        <f t="shared" ca="1" si="884"/>
        <v>#DIV/0!</v>
      </c>
      <c r="AE100" s="37" t="e">
        <f t="shared" ca="1" si="884"/>
        <v>#DIV/0!</v>
      </c>
      <c r="AL100" s="13">
        <f t="shared" ref="AL100:BQ100" si="886">+AL92/AL84</f>
        <v>12.543406982942427</v>
      </c>
      <c r="AM100" s="13">
        <f t="shared" si="886"/>
        <v>13.476086627906973</v>
      </c>
      <c r="AN100" s="13">
        <f t="shared" si="886"/>
        <v>14.162476149425288</v>
      </c>
      <c r="AO100" s="13">
        <f t="shared" si="886"/>
        <v>14.123852376760562</v>
      </c>
      <c r="AP100" s="13">
        <f t="shared" si="886"/>
        <v>13.345977334337348</v>
      </c>
      <c r="AQ100" s="13">
        <f t="shared" si="886"/>
        <v>15.576403307392992</v>
      </c>
      <c r="AR100" s="13">
        <f t="shared" si="886"/>
        <v>17.16518078271028</v>
      </c>
      <c r="AS100" s="13">
        <f t="shared" si="886"/>
        <v>22.132936300578031</v>
      </c>
      <c r="AT100" s="13">
        <f t="shared" si="886"/>
        <v>26.158541344873495</v>
      </c>
      <c r="AU100" s="13">
        <f t="shared" si="886"/>
        <v>19.191716593886458</v>
      </c>
      <c r="AV100" s="13">
        <f t="shared" si="886"/>
        <v>17.432665899725272</v>
      </c>
      <c r="AW100" s="13">
        <f t="shared" si="886"/>
        <v>13.874855583756345</v>
      </c>
      <c r="AX100" s="13">
        <f t="shared" si="886"/>
        <v>11.765305189413596</v>
      </c>
      <c r="AY100" s="13">
        <f t="shared" si="886"/>
        <v>14.784705066921603</v>
      </c>
      <c r="AZ100" s="13">
        <f t="shared" si="886"/>
        <v>21.69336262825572</v>
      </c>
      <c r="BA100" s="13">
        <f t="shared" si="886"/>
        <v>21.998227766798415</v>
      </c>
      <c r="BB100" s="13">
        <f t="shared" si="886"/>
        <v>28.070618576017125</v>
      </c>
      <c r="BC100" s="13">
        <f t="shared" si="886"/>
        <v>24.732046987951804</v>
      </c>
      <c r="BD100" s="13">
        <f t="shared" si="886"/>
        <v>25.195216142684398</v>
      </c>
      <c r="BE100" s="13">
        <f t="shared" si="886"/>
        <v>36.545682850609751</v>
      </c>
      <c r="BF100" s="13">
        <f t="shared" si="886"/>
        <v>31.147804867256635</v>
      </c>
      <c r="BG100" s="13">
        <f t="shared" si="886"/>
        <v>36.34687212863706</v>
      </c>
      <c r="BH100" s="13">
        <f t="shared" si="886"/>
        <v>44.470033041401273</v>
      </c>
      <c r="BI100" s="13">
        <f t="shared" si="886"/>
        <v>36.73390165441176</v>
      </c>
      <c r="BJ100" s="13">
        <f t="shared" si="886"/>
        <v>41.660883480453968</v>
      </c>
      <c r="BK100" s="13">
        <f t="shared" si="886"/>
        <v>30.981492198581559</v>
      </c>
      <c r="BL100" s="13">
        <f t="shared" si="886"/>
        <v>30.955529308452249</v>
      </c>
      <c r="BM100" s="13">
        <f t="shared" si="886"/>
        <v>34.122199617903924</v>
      </c>
      <c r="BN100" s="13">
        <f t="shared" si="886"/>
        <v>32.549945853658535</v>
      </c>
      <c r="BO100" s="13">
        <f t="shared" si="886"/>
        <v>35.506850176991151</v>
      </c>
      <c r="BP100" s="13">
        <f t="shared" si="886"/>
        <v>39.621893478260866</v>
      </c>
      <c r="BQ100" s="13">
        <f t="shared" si="886"/>
        <v>38.161228743961345</v>
      </c>
      <c r="BR100" s="13">
        <f t="shared" ref="BR100:DB100" si="887">+BR92/BR84</f>
        <v>34.348823961661338</v>
      </c>
      <c r="BS100" s="13">
        <f t="shared" si="887"/>
        <v>38.954437708168122</v>
      </c>
      <c r="BT100" s="13">
        <f t="shared" si="887"/>
        <v>41.096042936069452</v>
      </c>
      <c r="BU100" s="13">
        <f t="shared" si="887"/>
        <v>45.523425307629196</v>
      </c>
      <c r="BV100" s="13">
        <f t="shared" si="887"/>
        <v>37.49745237717908</v>
      </c>
      <c r="BW100" s="13">
        <f t="shared" si="887"/>
        <v>37.628014152410579</v>
      </c>
      <c r="BX100" s="13">
        <f t="shared" si="887"/>
        <v>41.149818954758196</v>
      </c>
      <c r="BY100" s="13">
        <f t="shared" si="887"/>
        <v>39.635581811320748</v>
      </c>
      <c r="BZ100" s="13">
        <f t="shared" si="887"/>
        <v>41.793693253012044</v>
      </c>
      <c r="CA100" s="13">
        <f t="shared" si="887"/>
        <v>50.814341371158385</v>
      </c>
      <c r="CB100" s="13">
        <f t="shared" si="887"/>
        <v>48.597866046165294</v>
      </c>
      <c r="CC100" s="13">
        <f t="shared" si="887"/>
        <v>55.487219061166421</v>
      </c>
      <c r="CD100" s="13">
        <f t="shared" si="887"/>
        <v>56.147017155612239</v>
      </c>
      <c r="CE100" s="13">
        <f t="shared" si="887"/>
        <v>57.332699089253182</v>
      </c>
      <c r="CF100" s="13">
        <f t="shared" si="887"/>
        <v>67.134153150525094</v>
      </c>
      <c r="CG100" s="13">
        <f t="shared" si="887"/>
        <v>61.074579860365191</v>
      </c>
      <c r="CH100" s="13">
        <f t="shared" si="887"/>
        <v>56.57791813953488</v>
      </c>
      <c r="CI100" s="13">
        <f t="shared" ref="CI100:CJ100" si="888">+CI92/CI84</f>
        <v>56.961849062191497</v>
      </c>
      <c r="CJ100" s="13">
        <f t="shared" si="888"/>
        <v>55.979604915020666</v>
      </c>
      <c r="CK100" s="13">
        <f t="shared" ref="CK100:CL100" si="889">+CK92/CK84</f>
        <v>56.06993454075031</v>
      </c>
      <c r="CL100" s="13">
        <f t="shared" si="889"/>
        <v>63.433445781527524</v>
      </c>
      <c r="CM100" s="37">
        <f t="shared" si="887"/>
        <v>62.637425622663429</v>
      </c>
      <c r="CN100" s="37">
        <f t="shared" si="887"/>
        <v>62.00528276996117</v>
      </c>
      <c r="CO100" s="37">
        <f t="shared" si="887"/>
        <v>62.259276577323199</v>
      </c>
      <c r="CP100" s="37">
        <f t="shared" si="887"/>
        <v>52.06307028755802</v>
      </c>
      <c r="CQ100" s="37">
        <f t="shared" si="887"/>
        <v>48.477271295456745</v>
      </c>
      <c r="CR100" s="37">
        <f t="shared" si="887"/>
        <v>45.202259036970801</v>
      </c>
      <c r="CS100" s="37">
        <f t="shared" si="887"/>
        <v>42.313197971861406</v>
      </c>
      <c r="CT100" s="37">
        <f t="shared" si="887"/>
        <v>39.040584915514046</v>
      </c>
      <c r="CU100" s="37">
        <f t="shared" si="887"/>
        <v>37.512563110749014</v>
      </c>
      <c r="CV100" s="37">
        <f t="shared" si="887"/>
        <v>36.324394735165406</v>
      </c>
      <c r="CW100" s="37">
        <f t="shared" si="887"/>
        <v>35.310140317055293</v>
      </c>
      <c r="CX100" s="37">
        <f t="shared" si="887"/>
        <v>34.142618885822138</v>
      </c>
      <c r="CY100" s="37">
        <f t="shared" si="887"/>
        <v>33.655563267401114</v>
      </c>
      <c r="CZ100" s="37">
        <f t="shared" si="887"/>
        <v>33.225707186543168</v>
      </c>
      <c r="DA100" s="37">
        <f t="shared" si="887"/>
        <v>32.892222564063381</v>
      </c>
      <c r="DB100" s="37">
        <f t="shared" si="887"/>
        <v>32.642468088249849</v>
      </c>
      <c r="DE100" s="134"/>
      <c r="DF100" s="13">
        <v>57.068075272017573</v>
      </c>
    </row>
    <row r="101" spans="1:110" s="13" customFormat="1" x14ac:dyDescent="0.2">
      <c r="A101" s="13" t="s">
        <v>461</v>
      </c>
      <c r="B101" s="13">
        <f t="shared" ref="B101:D101" si="890">+B93/B84</f>
        <v>1.2373386339425869</v>
      </c>
      <c r="C101" s="13">
        <f t="shared" si="890"/>
        <v>0.73773746097080928</v>
      </c>
      <c r="D101" s="13">
        <f t="shared" si="890"/>
        <v>0.78915953730861432</v>
      </c>
      <c r="E101" s="13" t="e">
        <f t="shared" ref="E101:AE101" ca="1" si="891">+E93/E84</f>
        <v>#DIV/0!</v>
      </c>
      <c r="F101" s="13" t="e">
        <f t="shared" ca="1" si="891"/>
        <v>#DIV/0!</v>
      </c>
      <c r="G101" s="13" t="e">
        <f t="shared" ca="1" si="891"/>
        <v>#DIV/0!</v>
      </c>
      <c r="H101" s="13" t="e">
        <f t="shared" ca="1" si="891"/>
        <v>#DIV/0!</v>
      </c>
      <c r="I101" s="13" t="e">
        <f t="shared" ca="1" si="891"/>
        <v>#DIV/0!</v>
      </c>
      <c r="J101" s="13" t="e">
        <f t="shared" ca="1" si="891"/>
        <v>#DIV/0!</v>
      </c>
      <c r="K101" s="13" t="e">
        <f t="shared" ca="1" si="891"/>
        <v>#DIV/0!</v>
      </c>
      <c r="L101" s="13" t="e">
        <f t="shared" ca="1" si="891"/>
        <v>#DIV/0!</v>
      </c>
      <c r="M101" s="13" t="e">
        <f t="shared" ca="1" si="891"/>
        <v>#DIV/0!</v>
      </c>
      <c r="N101" s="13" t="e">
        <f t="shared" ca="1" si="891"/>
        <v>#DIV/0!</v>
      </c>
      <c r="O101" s="13" t="e">
        <f t="shared" ca="1" si="891"/>
        <v>#DIV/0!</v>
      </c>
      <c r="P101" s="13" t="e">
        <f t="shared" ca="1" si="891"/>
        <v>#DIV/0!</v>
      </c>
      <c r="Q101" s="13" t="e">
        <f t="shared" ca="1" si="891"/>
        <v>#DIV/0!</v>
      </c>
      <c r="R101" s="13" t="e">
        <f t="shared" ca="1" si="891"/>
        <v>#DIV/0!</v>
      </c>
      <c r="S101" s="13" t="e">
        <f t="shared" ca="1" si="891"/>
        <v>#DIV/0!</v>
      </c>
      <c r="T101" s="13" t="e">
        <f t="shared" ca="1" si="891"/>
        <v>#DIV/0!</v>
      </c>
      <c r="U101" s="13" t="e">
        <f t="shared" ca="1" si="891"/>
        <v>#DIV/0!</v>
      </c>
      <c r="V101" s="13" t="e">
        <f t="shared" ca="1" si="891"/>
        <v>#DIV/0!</v>
      </c>
      <c r="W101" s="13" t="e">
        <f t="shared" ca="1" si="891"/>
        <v>#DIV/0!</v>
      </c>
      <c r="X101" s="13" t="e">
        <f t="shared" ca="1" si="891"/>
        <v>#DIV/0!</v>
      </c>
      <c r="Y101" s="13" t="e">
        <f t="shared" ca="1" si="891"/>
        <v>#DIV/0!</v>
      </c>
      <c r="Z101" s="13" t="e">
        <f t="shared" ref="Z101:AA101" ca="1" si="892">+Z93/Z84</f>
        <v>#DIV/0!</v>
      </c>
      <c r="AA101" s="13" t="e">
        <f t="shared" ca="1" si="892"/>
        <v>#DIV/0!</v>
      </c>
      <c r="AB101" s="60" t="e">
        <f t="shared" ca="1" si="891"/>
        <v>#DIV/0!</v>
      </c>
      <c r="AC101" s="60" t="e">
        <f t="shared" ca="1" si="891"/>
        <v>#DIV/0!</v>
      </c>
      <c r="AD101" s="60" t="e">
        <f t="shared" ca="1" si="891"/>
        <v>#DIV/0!</v>
      </c>
      <c r="AE101" s="60" t="e">
        <f t="shared" ca="1" si="891"/>
        <v>#DIV/0!</v>
      </c>
      <c r="AL101" s="13">
        <f t="shared" ref="AL101:BQ101" si="893">+AL93/AL84</f>
        <v>13.830673560767588</v>
      </c>
      <c r="AM101" s="13">
        <f t="shared" si="893"/>
        <v>14.295999418604646</v>
      </c>
      <c r="AN101" s="13">
        <f t="shared" si="893"/>
        <v>15.068602298850575</v>
      </c>
      <c r="AO101" s="13">
        <f t="shared" si="893"/>
        <v>15.522681338028166</v>
      </c>
      <c r="AP101" s="13">
        <f t="shared" si="893"/>
        <v>14.731165662650602</v>
      </c>
      <c r="AQ101" s="13">
        <f t="shared" si="893"/>
        <v>15.857355836575874</v>
      </c>
      <c r="AR101" s="13">
        <f t="shared" si="893"/>
        <v>18.58267973130841</v>
      </c>
      <c r="AS101" s="13">
        <f t="shared" si="893"/>
        <v>23.242224277456646</v>
      </c>
      <c r="AT101" s="13">
        <f t="shared" si="893"/>
        <v>27.755072037283618</v>
      </c>
      <c r="AU101" s="13">
        <f t="shared" si="893"/>
        <v>20.248480349344973</v>
      </c>
      <c r="AV101" s="13">
        <f t="shared" si="893"/>
        <v>19.991456043956042</v>
      </c>
      <c r="AW101" s="13">
        <f t="shared" si="893"/>
        <v>15.615357021996614</v>
      </c>
      <c r="AX101" s="13">
        <f t="shared" si="893"/>
        <v>13.258691878567722</v>
      </c>
      <c r="AY101" s="13">
        <f t="shared" si="893"/>
        <v>16.016988527724664</v>
      </c>
      <c r="AZ101" s="13">
        <f t="shared" si="893"/>
        <v>23.612059510655087</v>
      </c>
      <c r="BA101" s="13">
        <f t="shared" si="893"/>
        <v>28.419603260869561</v>
      </c>
      <c r="BB101" s="13">
        <f t="shared" si="893"/>
        <v>28.484634154175581</v>
      </c>
      <c r="BC101" s="13">
        <f t="shared" si="893"/>
        <v>31.603192771084334</v>
      </c>
      <c r="BD101" s="13">
        <f t="shared" si="893"/>
        <v>27.971038331318017</v>
      </c>
      <c r="BE101" s="13">
        <f t="shared" si="893"/>
        <v>37.012613185975603</v>
      </c>
      <c r="BF101" s="13">
        <f t="shared" si="893"/>
        <v>36.760100663716806</v>
      </c>
      <c r="BG101" s="13">
        <f t="shared" si="893"/>
        <v>39.572090122511483</v>
      </c>
      <c r="BH101" s="13">
        <f t="shared" si="893"/>
        <v>50.444283200636939</v>
      </c>
      <c r="BI101" s="13">
        <f t="shared" si="893"/>
        <v>38.012459191176468</v>
      </c>
      <c r="BJ101" s="13">
        <f t="shared" si="893"/>
        <v>41.912701134930636</v>
      </c>
      <c r="BK101" s="13">
        <f t="shared" si="893"/>
        <v>39.046921985815608</v>
      </c>
      <c r="BL101" s="13">
        <f t="shared" si="893"/>
        <v>32.904182107574087</v>
      </c>
      <c r="BM101" s="13">
        <f t="shared" si="893"/>
        <v>35.840364465065498</v>
      </c>
      <c r="BN101" s="13">
        <f t="shared" si="893"/>
        <v>37.741592048780483</v>
      </c>
      <c r="BO101" s="13">
        <f t="shared" si="893"/>
        <v>40.127727743362826</v>
      </c>
      <c r="BP101" s="13">
        <f t="shared" si="893"/>
        <v>43.014983277591973</v>
      </c>
      <c r="BQ101" s="13">
        <f t="shared" si="893"/>
        <v>40.049737439613523</v>
      </c>
      <c r="BR101" s="13">
        <f t="shared" ref="BR101:CH101" si="894">+BR93/BR84</f>
        <v>39.237164976038336</v>
      </c>
      <c r="BS101" s="13">
        <f t="shared" si="894"/>
        <v>40.354846153846154</v>
      </c>
      <c r="BT101" s="13">
        <f t="shared" si="894"/>
        <v>43.382718232044191</v>
      </c>
      <c r="BU101" s="13">
        <f t="shared" si="894"/>
        <v>45.874657383100889</v>
      </c>
      <c r="BV101" s="13">
        <f t="shared" si="894"/>
        <v>44.250560776545157</v>
      </c>
      <c r="BW101" s="13">
        <f t="shared" si="894"/>
        <v>38.871578304821149</v>
      </c>
      <c r="BX101" s="13">
        <f t="shared" si="894"/>
        <v>42.373502340093602</v>
      </c>
      <c r="BY101" s="13">
        <f t="shared" si="894"/>
        <v>44.004908830188675</v>
      </c>
      <c r="BZ101" s="13">
        <f t="shared" si="894"/>
        <v>44.366804819277107</v>
      </c>
      <c r="CA101" s="13">
        <f t="shared" si="894"/>
        <v>52.849368794326232</v>
      </c>
      <c r="CB101" s="13">
        <f t="shared" si="894"/>
        <v>52.922492702903931</v>
      </c>
      <c r="CC101" s="13">
        <f t="shared" si="894"/>
        <v>55.605174537695582</v>
      </c>
      <c r="CD101" s="13">
        <f t="shared" si="894"/>
        <v>59.263957461734691</v>
      </c>
      <c r="CE101" s="13">
        <f t="shared" si="894"/>
        <v>61.179676138433507</v>
      </c>
      <c r="CF101" s="13">
        <f t="shared" si="894"/>
        <v>70.575031505250877</v>
      </c>
      <c r="CG101" s="13">
        <f t="shared" si="894"/>
        <v>65.255342481203002</v>
      </c>
      <c r="CH101" s="13">
        <f t="shared" si="894"/>
        <v>60.520496124031006</v>
      </c>
      <c r="CI101" s="13">
        <f t="shared" ref="CI101:CJ101" si="895">+CI93/CI84</f>
        <v>58.04605705824283</v>
      </c>
      <c r="CJ101" s="13">
        <f t="shared" si="895"/>
        <v>58.923445107946712</v>
      </c>
      <c r="CK101" s="13">
        <f t="shared" ref="CK101:CL101" si="896">+CK93/CK84</f>
        <v>56.636953557567907</v>
      </c>
      <c r="CL101" s="13">
        <f t="shared" si="896"/>
        <v>67.326787833037287</v>
      </c>
      <c r="CM101" s="60">
        <v>70</v>
      </c>
      <c r="CN101" s="60">
        <f t="shared" ref="CN101:CN102" si="897">+CM101</f>
        <v>70</v>
      </c>
      <c r="CO101" s="60">
        <f t="shared" ref="CO101:CO102" si="898">+CN101</f>
        <v>70</v>
      </c>
      <c r="CP101" s="60">
        <f t="shared" ref="CP101:CP102" si="899">+CO101</f>
        <v>70</v>
      </c>
      <c r="CQ101" s="60">
        <f t="shared" ref="CQ101:CQ102" si="900">+CP101</f>
        <v>70</v>
      </c>
      <c r="CR101" s="60">
        <f t="shared" ref="CR101:CR102" si="901">+CQ101</f>
        <v>70</v>
      </c>
      <c r="CS101" s="60">
        <f t="shared" ref="CS101:CS102" si="902">+CR101</f>
        <v>70</v>
      </c>
      <c r="CT101" s="60">
        <f t="shared" ref="CT101:CT102" si="903">+CS101</f>
        <v>70</v>
      </c>
      <c r="CU101" s="60">
        <f t="shared" ref="CU101:CU102" si="904">+CT101</f>
        <v>70</v>
      </c>
      <c r="CV101" s="60">
        <f t="shared" ref="CV101:CV102" si="905">+CU101</f>
        <v>70</v>
      </c>
      <c r="CW101" s="60">
        <f t="shared" ref="CW101:CW102" si="906">+CV101</f>
        <v>70</v>
      </c>
      <c r="CX101" s="60">
        <f t="shared" ref="CX101:CX102" si="907">+CW101</f>
        <v>70</v>
      </c>
      <c r="CY101" s="60">
        <f t="shared" ref="CY101:CY102" si="908">+CX101</f>
        <v>70</v>
      </c>
      <c r="CZ101" s="60">
        <f t="shared" ref="CZ101:CZ102" si="909">+CY101</f>
        <v>70</v>
      </c>
      <c r="DA101" s="60">
        <f t="shared" ref="DA101:DA102" si="910">+CZ101</f>
        <v>70</v>
      </c>
      <c r="DB101" s="60">
        <f t="shared" ref="DB101:DB102" si="911">+DA101</f>
        <v>70</v>
      </c>
      <c r="DE101" s="136"/>
      <c r="DF101" s="13">
        <v>60.57073123714526</v>
      </c>
    </row>
    <row r="102" spans="1:110" s="13" customFormat="1" x14ac:dyDescent="0.2">
      <c r="A102" s="13" t="s">
        <v>462</v>
      </c>
      <c r="B102" s="13">
        <f t="shared" ref="B102:D102" si="912">+B94/B84</f>
        <v>0.29240589608095957</v>
      </c>
      <c r="C102" s="13">
        <f t="shared" si="912"/>
        <v>0.24778968154744738</v>
      </c>
      <c r="D102" s="13">
        <f t="shared" si="912"/>
        <v>0.46753980134887718</v>
      </c>
      <c r="E102" s="13" t="e">
        <f t="shared" ref="E102:AE102" ca="1" si="913">+E94/E84</f>
        <v>#DIV/0!</v>
      </c>
      <c r="F102" s="13" t="e">
        <f t="shared" ca="1" si="913"/>
        <v>#DIV/0!</v>
      </c>
      <c r="G102" s="13" t="e">
        <f t="shared" ca="1" si="913"/>
        <v>#DIV/0!</v>
      </c>
      <c r="H102" s="13" t="e">
        <f t="shared" ca="1" si="913"/>
        <v>#DIV/0!</v>
      </c>
      <c r="I102" s="13" t="e">
        <f t="shared" ca="1" si="913"/>
        <v>#DIV/0!</v>
      </c>
      <c r="J102" s="13" t="e">
        <f t="shared" ca="1" si="913"/>
        <v>#DIV/0!</v>
      </c>
      <c r="K102" s="13" t="e">
        <f t="shared" ca="1" si="913"/>
        <v>#DIV/0!</v>
      </c>
      <c r="L102" s="13" t="e">
        <f t="shared" ca="1" si="913"/>
        <v>#DIV/0!</v>
      </c>
      <c r="M102" s="13" t="e">
        <f t="shared" ca="1" si="913"/>
        <v>#DIV/0!</v>
      </c>
      <c r="N102" s="13" t="e">
        <f t="shared" ca="1" si="913"/>
        <v>#DIV/0!</v>
      </c>
      <c r="O102" s="13" t="e">
        <f t="shared" ca="1" si="913"/>
        <v>#DIV/0!</v>
      </c>
      <c r="P102" s="13" t="e">
        <f t="shared" ca="1" si="913"/>
        <v>#DIV/0!</v>
      </c>
      <c r="Q102" s="13" t="e">
        <f t="shared" ca="1" si="913"/>
        <v>#DIV/0!</v>
      </c>
      <c r="R102" s="13" t="e">
        <f t="shared" ca="1" si="913"/>
        <v>#DIV/0!</v>
      </c>
      <c r="S102" s="13" t="e">
        <f t="shared" ca="1" si="913"/>
        <v>#DIV/0!</v>
      </c>
      <c r="T102" s="13" t="e">
        <f t="shared" ca="1" si="913"/>
        <v>#DIV/0!</v>
      </c>
      <c r="U102" s="13" t="e">
        <f t="shared" ca="1" si="913"/>
        <v>#DIV/0!</v>
      </c>
      <c r="V102" s="13" t="e">
        <f t="shared" ca="1" si="913"/>
        <v>#DIV/0!</v>
      </c>
      <c r="W102" s="13" t="e">
        <f t="shared" ca="1" si="913"/>
        <v>#DIV/0!</v>
      </c>
      <c r="X102" s="13" t="e">
        <f t="shared" ca="1" si="913"/>
        <v>#DIV/0!</v>
      </c>
      <c r="Y102" s="13" t="e">
        <f t="shared" ca="1" si="913"/>
        <v>#DIV/0!</v>
      </c>
      <c r="Z102" s="13" t="e">
        <f t="shared" ref="Z102:AA102" ca="1" si="914">+Z94/Z84</f>
        <v>#DIV/0!</v>
      </c>
      <c r="AA102" s="13" t="e">
        <f t="shared" ca="1" si="914"/>
        <v>#DIV/0!</v>
      </c>
      <c r="AB102" s="60" t="e">
        <f t="shared" ca="1" si="913"/>
        <v>#DIV/0!</v>
      </c>
      <c r="AC102" s="60" t="e">
        <f t="shared" ca="1" si="913"/>
        <v>#DIV/0!</v>
      </c>
      <c r="AD102" s="60" t="e">
        <f t="shared" ca="1" si="913"/>
        <v>#DIV/0!</v>
      </c>
      <c r="AE102" s="60" t="e">
        <f t="shared" ca="1" si="913"/>
        <v>#DIV/0!</v>
      </c>
      <c r="AL102" s="13">
        <f t="shared" ref="AL102:BQ102" si="915">+AL94/AL84</f>
        <v>11.835275053304901</v>
      </c>
      <c r="AM102" s="13">
        <f t="shared" si="915"/>
        <v>10.962234011627904</v>
      </c>
      <c r="AN102" s="13">
        <f t="shared" si="915"/>
        <v>12.512321551724137</v>
      </c>
      <c r="AO102" s="13">
        <f t="shared" si="915"/>
        <v>12.036781690140844</v>
      </c>
      <c r="AP102" s="13">
        <f t="shared" si="915"/>
        <v>11.759446084337348</v>
      </c>
      <c r="AQ102" s="13">
        <f t="shared" si="915"/>
        <v>11.479544747081709</v>
      </c>
      <c r="AR102" s="13">
        <f t="shared" si="915"/>
        <v>12.959143107476635</v>
      </c>
      <c r="AS102" s="13">
        <f t="shared" si="915"/>
        <v>15.851862138728322</v>
      </c>
      <c r="AT102" s="13">
        <f t="shared" si="915"/>
        <v>23.277575233022631</v>
      </c>
      <c r="AU102" s="13">
        <f t="shared" si="915"/>
        <v>16.752292008733622</v>
      </c>
      <c r="AV102" s="13">
        <f t="shared" si="915"/>
        <v>14.970346153846153</v>
      </c>
      <c r="AW102" s="13">
        <f t="shared" si="915"/>
        <v>13.128926395939086</v>
      </c>
      <c r="AX102" s="13">
        <f t="shared" si="915"/>
        <v>10.450633108458744</v>
      </c>
      <c r="AY102" s="13">
        <f t="shared" si="915"/>
        <v>13.491481548757166</v>
      </c>
      <c r="AZ102" s="13">
        <f t="shared" si="915"/>
        <v>18.193226756116808</v>
      </c>
      <c r="BA102" s="13">
        <f t="shared" si="915"/>
        <v>19.825996837944661</v>
      </c>
      <c r="BB102" s="13">
        <f t="shared" si="915"/>
        <v>21.887563169164878</v>
      </c>
      <c r="BC102" s="13">
        <f t="shared" si="915"/>
        <v>23.315000602409636</v>
      </c>
      <c r="BD102" s="13">
        <f t="shared" si="915"/>
        <v>23.513147702539296</v>
      </c>
      <c r="BE102" s="13">
        <f t="shared" si="915"/>
        <v>31.111490853658534</v>
      </c>
      <c r="BF102" s="13">
        <f t="shared" si="915"/>
        <v>30.545016592920348</v>
      </c>
      <c r="BG102" s="13">
        <f t="shared" si="915"/>
        <v>32.265137825421128</v>
      </c>
      <c r="BH102" s="13">
        <f t="shared" si="915"/>
        <v>37.567443152866232</v>
      </c>
      <c r="BI102" s="13">
        <f t="shared" si="915"/>
        <v>31.438205514705881</v>
      </c>
      <c r="BJ102" s="13">
        <f t="shared" si="915"/>
        <v>36.750439218158881</v>
      </c>
      <c r="BK102" s="13">
        <f t="shared" si="915"/>
        <v>29.300194148936171</v>
      </c>
      <c r="BL102" s="13">
        <f t="shared" si="915"/>
        <v>26.991349066959383</v>
      </c>
      <c r="BM102" s="13">
        <f t="shared" si="915"/>
        <v>28.721989028384275</v>
      </c>
      <c r="BN102" s="13">
        <f t="shared" si="915"/>
        <v>26.730084878048778</v>
      </c>
      <c r="BO102" s="13">
        <f t="shared" si="915"/>
        <v>28.953306106194685</v>
      </c>
      <c r="BP102" s="13">
        <f t="shared" si="915"/>
        <v>31.582053511705684</v>
      </c>
      <c r="BQ102" s="13">
        <f t="shared" si="915"/>
        <v>32.991674637681157</v>
      </c>
      <c r="BR102" s="13">
        <f t="shared" ref="BR102:CH102" si="916">+BR94/BR84</f>
        <v>31.241317811501599</v>
      </c>
      <c r="BS102" s="13">
        <f t="shared" si="916"/>
        <v>33.250809635210153</v>
      </c>
      <c r="BT102" s="13">
        <f t="shared" si="916"/>
        <v>38.14486941594317</v>
      </c>
      <c r="BU102" s="13">
        <f t="shared" si="916"/>
        <v>37.962217801476612</v>
      </c>
      <c r="BV102" s="13">
        <f t="shared" si="916"/>
        <v>34.060554675118851</v>
      </c>
      <c r="BW102" s="13">
        <f t="shared" si="916"/>
        <v>32.701131415241058</v>
      </c>
      <c r="BX102" s="13">
        <f t="shared" si="916"/>
        <v>37.51573010920437</v>
      </c>
      <c r="BY102" s="13">
        <f t="shared" si="916"/>
        <v>39.114481132075468</v>
      </c>
      <c r="BZ102" s="13">
        <f t="shared" si="916"/>
        <v>39.314371807228916</v>
      </c>
      <c r="CA102" s="13">
        <f t="shared" si="916"/>
        <v>40.64853924349881</v>
      </c>
      <c r="CB102" s="13">
        <f t="shared" si="916"/>
        <v>44.641185480268049</v>
      </c>
      <c r="CC102" s="13">
        <f t="shared" si="916"/>
        <v>43.879437268847788</v>
      </c>
      <c r="CD102" s="13">
        <f t="shared" si="916"/>
        <v>49.002230165816322</v>
      </c>
      <c r="CE102" s="13">
        <f t="shared" si="916"/>
        <v>51.552985974499087</v>
      </c>
      <c r="CF102" s="13">
        <f t="shared" si="916"/>
        <v>54.507067561260214</v>
      </c>
      <c r="CG102" s="13">
        <f t="shared" si="916"/>
        <v>55.636861868958107</v>
      </c>
      <c r="CH102" s="13">
        <f t="shared" si="916"/>
        <v>50.575719224806193</v>
      </c>
      <c r="CI102" s="13">
        <f t="shared" ref="CI102:CJ102" si="917">+CI94/CI84</f>
        <v>51.804761105626845</v>
      </c>
      <c r="CJ102" s="13">
        <f t="shared" si="917"/>
        <v>51.142907349563615</v>
      </c>
      <c r="CK102" s="13">
        <f t="shared" ref="CK102:CL102" si="918">+CK94/CK84</f>
        <v>50.790892626131942</v>
      </c>
      <c r="CL102" s="13">
        <f t="shared" si="918"/>
        <v>55.970643250444041</v>
      </c>
      <c r="CM102" s="60">
        <v>57</v>
      </c>
      <c r="CN102" s="60">
        <f t="shared" si="897"/>
        <v>57</v>
      </c>
      <c r="CO102" s="60">
        <f t="shared" si="898"/>
        <v>57</v>
      </c>
      <c r="CP102" s="60">
        <f t="shared" si="899"/>
        <v>57</v>
      </c>
      <c r="CQ102" s="60">
        <f t="shared" si="900"/>
        <v>57</v>
      </c>
      <c r="CR102" s="60">
        <f t="shared" si="901"/>
        <v>57</v>
      </c>
      <c r="CS102" s="60">
        <f t="shared" si="902"/>
        <v>57</v>
      </c>
      <c r="CT102" s="60">
        <f t="shared" si="903"/>
        <v>57</v>
      </c>
      <c r="CU102" s="60">
        <f t="shared" si="904"/>
        <v>57</v>
      </c>
      <c r="CV102" s="60">
        <f t="shared" si="905"/>
        <v>57</v>
      </c>
      <c r="CW102" s="60">
        <f t="shared" si="906"/>
        <v>57</v>
      </c>
      <c r="CX102" s="60">
        <f t="shared" si="907"/>
        <v>57</v>
      </c>
      <c r="CY102" s="60">
        <f t="shared" si="908"/>
        <v>57</v>
      </c>
      <c r="CZ102" s="60">
        <f t="shared" si="909"/>
        <v>57</v>
      </c>
      <c r="DA102" s="60">
        <f t="shared" si="910"/>
        <v>57</v>
      </c>
      <c r="DB102" s="60">
        <f t="shared" si="911"/>
        <v>57</v>
      </c>
      <c r="DE102" s="136"/>
      <c r="DF102" s="13">
        <v>50.354144295433329</v>
      </c>
    </row>
    <row r="103" spans="1:110" s="13" customFormat="1" x14ac:dyDescent="0.2">
      <c r="AB103" s="60"/>
      <c r="AC103" s="60"/>
      <c r="AD103" s="60"/>
      <c r="AE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E103" s="136"/>
    </row>
    <row r="104" spans="1:110" s="13" customFormat="1" x14ac:dyDescent="0.2">
      <c r="A104" s="13" t="s">
        <v>463</v>
      </c>
      <c r="B104" s="13">
        <f t="shared" ref="B104:AD104" si="919">+B93/C84</f>
        <v>1.131948317978112</v>
      </c>
      <c r="C104" s="13">
        <f t="shared" si="919"/>
        <v>0.78022565575417724</v>
      </c>
      <c r="D104" s="13" t="e">
        <f t="shared" ca="1" si="919"/>
        <v>#DIV/0!</v>
      </c>
      <c r="E104" s="13" t="e">
        <f t="shared" ca="1" si="919"/>
        <v>#DIV/0!</v>
      </c>
      <c r="F104" s="13" t="e">
        <f t="shared" ca="1" si="919"/>
        <v>#DIV/0!</v>
      </c>
      <c r="G104" s="13" t="e">
        <f t="shared" ca="1" si="919"/>
        <v>#DIV/0!</v>
      </c>
      <c r="H104" s="13" t="e">
        <f t="shared" ca="1" si="919"/>
        <v>#DIV/0!</v>
      </c>
      <c r="I104" s="13" t="e">
        <f t="shared" ca="1" si="919"/>
        <v>#DIV/0!</v>
      </c>
      <c r="J104" s="13" t="e">
        <f t="shared" ca="1" si="919"/>
        <v>#DIV/0!</v>
      </c>
      <c r="K104" s="13" t="e">
        <f t="shared" ca="1" si="919"/>
        <v>#DIV/0!</v>
      </c>
      <c r="L104" s="13" t="e">
        <f t="shared" ca="1" si="919"/>
        <v>#DIV/0!</v>
      </c>
      <c r="M104" s="13" t="e">
        <f t="shared" ca="1" si="919"/>
        <v>#DIV/0!</v>
      </c>
      <c r="N104" s="13" t="e">
        <f t="shared" ca="1" si="919"/>
        <v>#DIV/0!</v>
      </c>
      <c r="O104" s="13" t="e">
        <f t="shared" ca="1" si="919"/>
        <v>#DIV/0!</v>
      </c>
      <c r="P104" s="13" t="e">
        <f t="shared" ca="1" si="919"/>
        <v>#DIV/0!</v>
      </c>
      <c r="Q104" s="13" t="e">
        <f t="shared" ca="1" si="919"/>
        <v>#DIV/0!</v>
      </c>
      <c r="R104" s="13" t="e">
        <f t="shared" ca="1" si="919"/>
        <v>#DIV/0!</v>
      </c>
      <c r="S104" s="13" t="e">
        <f t="shared" ca="1" si="919"/>
        <v>#DIV/0!</v>
      </c>
      <c r="T104" s="13" t="e">
        <f t="shared" ca="1" si="919"/>
        <v>#DIV/0!</v>
      </c>
      <c r="U104" s="13" t="e">
        <f t="shared" ca="1" si="919"/>
        <v>#DIV/0!</v>
      </c>
      <c r="V104" s="13" t="e">
        <f t="shared" ca="1" si="919"/>
        <v>#DIV/0!</v>
      </c>
      <c r="W104" s="13" t="e">
        <f t="shared" ca="1" si="919"/>
        <v>#DIV/0!</v>
      </c>
      <c r="X104" s="13" t="e">
        <f t="shared" ca="1" si="919"/>
        <v>#DIV/0!</v>
      </c>
      <c r="Y104" s="13" t="e">
        <f t="shared" ca="1" si="919"/>
        <v>#DIV/0!</v>
      </c>
      <c r="Z104" s="13" t="e">
        <f t="shared" ref="Z104:AA104" ca="1" si="920">+Z93/AA84</f>
        <v>#DIV/0!</v>
      </c>
      <c r="AA104" s="13" t="e">
        <f t="shared" ca="1" si="920"/>
        <v>#DIV/0!</v>
      </c>
      <c r="AB104" s="37" t="e">
        <f t="shared" ca="1" si="919"/>
        <v>#DIV/0!</v>
      </c>
      <c r="AC104" s="37" t="e">
        <f t="shared" ca="1" si="919"/>
        <v>#DIV/0!</v>
      </c>
      <c r="AD104" s="37" t="e">
        <f t="shared" ca="1" si="919"/>
        <v>#DIV/0!</v>
      </c>
      <c r="AE104" s="37"/>
      <c r="AL104" s="13">
        <f t="shared" ref="AL104:BQ104" si="921">+AL93/AP84</f>
        <v>9.7689546686746986</v>
      </c>
      <c r="AM104" s="13">
        <f t="shared" si="921"/>
        <v>9.5677505836575847</v>
      </c>
      <c r="AN104" s="13">
        <f t="shared" si="921"/>
        <v>9.1890308411214949</v>
      </c>
      <c r="AO104" s="13">
        <f t="shared" si="921"/>
        <v>10.192928323699421</v>
      </c>
      <c r="AP104" s="13">
        <f t="shared" si="921"/>
        <v>13.0246258322237</v>
      </c>
      <c r="AQ104" s="13">
        <f t="shared" si="921"/>
        <v>10.677747903930129</v>
      </c>
      <c r="AR104" s="13">
        <f t="shared" si="921"/>
        <v>10.924982039835164</v>
      </c>
      <c r="AS104" s="13">
        <f t="shared" si="921"/>
        <v>11.339269035532993</v>
      </c>
      <c r="AT104" s="13">
        <f t="shared" si="921"/>
        <v>10.816844369486248</v>
      </c>
      <c r="AU104" s="13">
        <f t="shared" si="921"/>
        <v>14.776615678776288</v>
      </c>
      <c r="AV104" s="13">
        <f t="shared" si="921"/>
        <v>22.973606945540645</v>
      </c>
      <c r="AW104" s="13">
        <f t="shared" si="921"/>
        <v>27.35773517786561</v>
      </c>
      <c r="AX104" s="13">
        <f t="shared" si="921"/>
        <v>27.354924250535326</v>
      </c>
      <c r="AY104" s="13">
        <f t="shared" si="921"/>
        <v>30.277897590361441</v>
      </c>
      <c r="AZ104" s="13">
        <f t="shared" si="921"/>
        <v>36.174703022974604</v>
      </c>
      <c r="BA104" s="13">
        <f t="shared" si="921"/>
        <v>43.842436737804874</v>
      </c>
      <c r="BB104" s="13">
        <f t="shared" si="921"/>
        <v>39.239894247787603</v>
      </c>
      <c r="BC104" s="13">
        <f t="shared" si="921"/>
        <v>40.169448698315463</v>
      </c>
      <c r="BD104" s="13">
        <f t="shared" si="921"/>
        <v>36.834472452229299</v>
      </c>
      <c r="BE104" s="13">
        <f t="shared" si="921"/>
        <v>29.755238051470588</v>
      </c>
      <c r="BF104" s="13">
        <f t="shared" si="921"/>
        <v>31.429190731399743</v>
      </c>
      <c r="BG104" s="13">
        <f t="shared" si="921"/>
        <v>30.544414716312058</v>
      </c>
      <c r="BH104" s="13">
        <f t="shared" si="921"/>
        <v>34.773885675082326</v>
      </c>
      <c r="BI104" s="13">
        <f t="shared" si="921"/>
        <v>33.862627401746721</v>
      </c>
      <c r="BJ104" s="13">
        <f t="shared" si="921"/>
        <v>32.426119024390239</v>
      </c>
      <c r="BK104" s="13">
        <f t="shared" si="921"/>
        <v>29.233359292035395</v>
      </c>
      <c r="BL104" s="13">
        <f t="shared" si="921"/>
        <v>25.063302591973244</v>
      </c>
      <c r="BM104" s="13">
        <f t="shared" si="921"/>
        <v>26.4329902173913</v>
      </c>
      <c r="BN104" s="13">
        <f t="shared" si="921"/>
        <v>30.898667611821082</v>
      </c>
      <c r="BO104" s="13">
        <f t="shared" si="921"/>
        <v>35.959026447264073</v>
      </c>
      <c r="BP104" s="13">
        <f t="shared" si="921"/>
        <v>40.604514601420675</v>
      </c>
      <c r="BQ104" s="13">
        <f t="shared" si="921"/>
        <v>40.805392863002453</v>
      </c>
      <c r="BR104" s="13">
        <f t="shared" ref="BR104:CL104" si="922">+BR93/BV84</f>
        <v>38.926252416798725</v>
      </c>
      <c r="BS104" s="13">
        <f t="shared" si="922"/>
        <v>39.570342923794712</v>
      </c>
      <c r="BT104" s="13">
        <f t="shared" si="922"/>
        <v>42.875120124804994</v>
      </c>
      <c r="BU104" s="13">
        <f t="shared" si="922"/>
        <v>42.204684792452824</v>
      </c>
      <c r="BV104" s="13">
        <f t="shared" si="922"/>
        <v>44.854785301204814</v>
      </c>
      <c r="BW104" s="13">
        <f t="shared" si="922"/>
        <v>39.392316548463356</v>
      </c>
      <c r="BX104" s="13">
        <f t="shared" si="922"/>
        <v>40.448868205510045</v>
      </c>
      <c r="BY104" s="13">
        <f t="shared" si="922"/>
        <v>41.469775391180647</v>
      </c>
      <c r="BZ104" s="13">
        <f t="shared" si="922"/>
        <v>35.2274693877551</v>
      </c>
      <c r="CA104" s="13">
        <f t="shared" si="922"/>
        <v>40.72000546448087</v>
      </c>
      <c r="CB104" s="13">
        <f t="shared" si="922"/>
        <v>41.467274037339557</v>
      </c>
      <c r="CC104" s="13">
        <f t="shared" si="922"/>
        <v>41.987580773361969</v>
      </c>
      <c r="CD104" s="13">
        <f t="shared" si="922"/>
        <v>48.023713333333333</v>
      </c>
      <c r="CE104" s="13">
        <f t="shared" si="922"/>
        <v>49.734909476801569</v>
      </c>
      <c r="CF104" s="13">
        <f t="shared" si="922"/>
        <v>55.565275149288006</v>
      </c>
      <c r="CG104" s="13">
        <f t="shared" si="922"/>
        <v>52.395622121604127</v>
      </c>
      <c r="CH104" s="13">
        <f t="shared" si="922"/>
        <v>52.001403197158076</v>
      </c>
      <c r="CI104" s="13">
        <f t="shared" si="922"/>
        <v>51.565516938980103</v>
      </c>
      <c r="CJ104" s="13">
        <f t="shared" si="922"/>
        <v>55.678632840475487</v>
      </c>
      <c r="CK104" s="13">
        <f t="shared" si="922"/>
        <v>57.242423731446948</v>
      </c>
      <c r="CL104" s="13">
        <f t="shared" si="922"/>
        <v>55.258535051988126</v>
      </c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  <c r="DF104" s="13">
        <v>52.077794305796708</v>
      </c>
    </row>
    <row r="105" spans="1:110" s="98" customFormat="1" x14ac:dyDescent="0.2">
      <c r="A105" s="98" t="s">
        <v>426</v>
      </c>
      <c r="AB105" s="99"/>
      <c r="AC105" s="99"/>
      <c r="AD105" s="99"/>
      <c r="AE105" s="99"/>
      <c r="AL105" s="175"/>
      <c r="AM105" s="175"/>
      <c r="AN105" s="175"/>
      <c r="AO105" s="175">
        <f t="shared" ref="AO105:CI105" si="923">+CORREL(AL84:AO84,AL101:AO101)</f>
        <v>0.93311434842507468</v>
      </c>
      <c r="AP105" s="175">
        <f t="shared" si="923"/>
        <v>6.9931187493210936E-2</v>
      </c>
      <c r="AQ105" s="175">
        <f t="shared" si="923"/>
        <v>0.42927838888244296</v>
      </c>
      <c r="AR105" s="175">
        <f t="shared" si="923"/>
        <v>0.77953507666350341</v>
      </c>
      <c r="AS105" s="175">
        <f t="shared" si="923"/>
        <v>0.83269139382688595</v>
      </c>
      <c r="AT105" s="175">
        <f t="shared" si="923"/>
        <v>-0.20446314022880677</v>
      </c>
      <c r="AU105" s="175">
        <f t="shared" si="923"/>
        <v>-0.58334401005326586</v>
      </c>
      <c r="AV105" s="175">
        <f t="shared" si="923"/>
        <v>-0.86344862198875183</v>
      </c>
      <c r="AW105" s="175">
        <f t="shared" si="923"/>
        <v>-0.95492643534843136</v>
      </c>
      <c r="AX105" s="175">
        <f t="shared" si="923"/>
        <v>-0.93788215191034963</v>
      </c>
      <c r="AY105" s="175">
        <f t="shared" si="923"/>
        <v>-0.91553006101776135</v>
      </c>
      <c r="AZ105" s="175">
        <f t="shared" si="923"/>
        <v>-0.94990287044928989</v>
      </c>
      <c r="BA105" s="175">
        <f t="shared" si="923"/>
        <v>-0.97660137446932749</v>
      </c>
      <c r="BB105" s="175">
        <f t="shared" si="923"/>
        <v>-0.98842545372628632</v>
      </c>
      <c r="BC105" s="175">
        <f t="shared" si="923"/>
        <v>-0.98253975379779379</v>
      </c>
      <c r="BD105" s="175">
        <f t="shared" si="923"/>
        <v>-0.42428990096501856</v>
      </c>
      <c r="BE105" s="175">
        <f t="shared" si="923"/>
        <v>-0.89182504347502589</v>
      </c>
      <c r="BF105" s="175">
        <f t="shared" si="923"/>
        <v>-0.93350114050210942</v>
      </c>
      <c r="BG105" s="175">
        <f t="shared" si="923"/>
        <v>-0.98136458837405616</v>
      </c>
      <c r="BH105" s="175">
        <f t="shared" si="923"/>
        <v>-0.89256716585651297</v>
      </c>
      <c r="BI105" s="175">
        <f t="shared" si="923"/>
        <v>-0.54485598144057157</v>
      </c>
      <c r="BJ105" s="175">
        <f t="shared" si="923"/>
        <v>-0.63361042800050038</v>
      </c>
      <c r="BK105" s="175">
        <f t="shared" si="923"/>
        <v>-0.97483108597100177</v>
      </c>
      <c r="BL105" s="175">
        <f t="shared" si="923"/>
        <v>-0.93535272684362492</v>
      </c>
      <c r="BM105" s="175">
        <f t="shared" si="923"/>
        <v>-0.93873349712343335</v>
      </c>
      <c r="BN105" s="175">
        <f t="shared" si="923"/>
        <v>-3.5377612608514783E-2</v>
      </c>
      <c r="BO105" s="175">
        <f t="shared" si="923"/>
        <v>0.92494945232656334</v>
      </c>
      <c r="BP105" s="175">
        <f t="shared" si="923"/>
        <v>0.98067514561396296</v>
      </c>
      <c r="BQ105" s="175">
        <f t="shared" si="923"/>
        <v>0.69617407678400578</v>
      </c>
      <c r="BR105" s="175">
        <f t="shared" si="923"/>
        <v>-0.25610279956984172</v>
      </c>
      <c r="BS105" s="175">
        <f t="shared" si="923"/>
        <v>-0.90422195284930051</v>
      </c>
      <c r="BT105" s="175">
        <f t="shared" si="923"/>
        <v>0.72202939873638006</v>
      </c>
      <c r="BU105" s="175">
        <f t="shared" si="923"/>
        <v>-0.62197990290204952</v>
      </c>
      <c r="BV105" s="175">
        <f t="shared" si="923"/>
        <v>-0.65028346236458134</v>
      </c>
      <c r="BW105" s="175">
        <f t="shared" si="923"/>
        <v>-0.86219264734165191</v>
      </c>
      <c r="BX105" s="175">
        <f t="shared" si="923"/>
        <v>-0.84858356915407906</v>
      </c>
      <c r="BY105" s="175">
        <f t="shared" si="923"/>
        <v>9.4672075456073007E-2</v>
      </c>
      <c r="BZ105" s="175">
        <f t="shared" si="923"/>
        <v>-7.2760910300888493E-2</v>
      </c>
      <c r="CA105" s="175">
        <f t="shared" si="923"/>
        <v>-0.24267668876900142</v>
      </c>
      <c r="CB105" s="175">
        <f t="shared" si="923"/>
        <v>0.24588209125444976</v>
      </c>
      <c r="CC105" s="175">
        <f t="shared" si="923"/>
        <v>0.79319665515819848</v>
      </c>
      <c r="CD105" s="175">
        <f t="shared" si="923"/>
        <v>0.97265536188855484</v>
      </c>
      <c r="CE105" s="175">
        <f t="shared" si="923"/>
        <v>0.99307469469707976</v>
      </c>
      <c r="CF105" s="175">
        <f t="shared" si="923"/>
        <v>0.88398642697565533</v>
      </c>
      <c r="CG105" s="175">
        <f t="shared" si="923"/>
        <v>0.57172402676930911</v>
      </c>
      <c r="CH105" s="175">
        <f t="shared" si="923"/>
        <v>-0.27767020548838595</v>
      </c>
      <c r="CI105" s="175">
        <f t="shared" si="923"/>
        <v>-0.9912440748132274</v>
      </c>
      <c r="CJ105" s="175">
        <f>+CORREL(CG84:CJ84,CG101:CJ101)</f>
        <v>-0.76448136515825771</v>
      </c>
      <c r="CK105" s="175">
        <f>+CORREL(CH84:CK84,CH101:CK101)</f>
        <v>-0.82060577919998612</v>
      </c>
      <c r="CL105" s="175">
        <f>+CORREL(CI84:CL84,CI101:CL101)</f>
        <v>0.19316406176208914</v>
      </c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E105" s="137"/>
      <c r="DF105" s="98">
        <v>0.46293518382095167</v>
      </c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505</v>
      </c>
      <c r="E107" s="162" t="e">
        <f t="shared" ref="E107:AE107" ca="1" si="924">+E$135/E$80</f>
        <v>#DIV/0!</v>
      </c>
      <c r="F107" s="162" t="e">
        <f t="shared" ca="1" si="924"/>
        <v>#DIV/0!</v>
      </c>
      <c r="G107" s="162" t="e">
        <f t="shared" ca="1" si="924"/>
        <v>#DIV/0!</v>
      </c>
      <c r="H107" s="162" t="e">
        <f t="shared" ca="1" si="924"/>
        <v>#DIV/0!</v>
      </c>
      <c r="I107" s="162" t="e">
        <f t="shared" ca="1" si="924"/>
        <v>#DIV/0!</v>
      </c>
      <c r="J107" s="162" t="e">
        <f t="shared" ca="1" si="924"/>
        <v>#DIV/0!</v>
      </c>
      <c r="K107" s="162" t="e">
        <f t="shared" ca="1" si="924"/>
        <v>#DIV/0!</v>
      </c>
      <c r="L107" s="162" t="e">
        <f t="shared" ca="1" si="924"/>
        <v>#DIV/0!</v>
      </c>
      <c r="M107" s="162" t="e">
        <f t="shared" ca="1" si="924"/>
        <v>#DIV/0!</v>
      </c>
      <c r="N107" s="162" t="e">
        <f t="shared" ca="1" si="924"/>
        <v>#DIV/0!</v>
      </c>
      <c r="O107" s="162" t="e">
        <f t="shared" ca="1" si="924"/>
        <v>#DIV/0!</v>
      </c>
      <c r="P107" s="162" t="e">
        <f t="shared" ca="1" si="924"/>
        <v>#DIV/0!</v>
      </c>
      <c r="Q107" s="162" t="e">
        <f t="shared" ca="1" si="924"/>
        <v>#DIV/0!</v>
      </c>
      <c r="R107" s="162" t="e">
        <f t="shared" ca="1" si="924"/>
        <v>#DIV/0!</v>
      </c>
      <c r="S107" s="162" t="e">
        <f t="shared" ca="1" si="924"/>
        <v>#DIV/0!</v>
      </c>
      <c r="T107" s="162" t="e">
        <f t="shared" ca="1" si="924"/>
        <v>#DIV/0!</v>
      </c>
      <c r="U107" s="162" t="e">
        <f t="shared" ca="1" si="924"/>
        <v>#DIV/0!</v>
      </c>
      <c r="V107" s="162" t="e">
        <f t="shared" ca="1" si="924"/>
        <v>#DIV/0!</v>
      </c>
      <c r="W107" s="162" t="e">
        <f t="shared" ca="1" si="924"/>
        <v>#DIV/0!</v>
      </c>
      <c r="X107" s="162" t="e">
        <f t="shared" ca="1" si="924"/>
        <v>#DIV/0!</v>
      </c>
      <c r="Y107" s="162" t="e">
        <f t="shared" ca="1" si="924"/>
        <v>#DIV/0!</v>
      </c>
      <c r="Z107" s="162" t="e">
        <f t="shared" ca="1" si="924"/>
        <v>#DIV/0!</v>
      </c>
      <c r="AA107" s="162" t="e">
        <f t="shared" ca="1" si="924"/>
        <v>#DIV/0!</v>
      </c>
      <c r="AB107" s="21" t="e">
        <f t="shared" ca="1" si="924"/>
        <v>#DIV/0!</v>
      </c>
      <c r="AC107" s="21" t="e">
        <f t="shared" ca="1" si="924"/>
        <v>#DIV/0!</v>
      </c>
      <c r="AD107" s="21" t="e">
        <f t="shared" ca="1" si="924"/>
        <v>#DIV/0!</v>
      </c>
      <c r="AE107" s="21" t="e">
        <f t="shared" ca="1" si="924"/>
        <v>#DIV/0!</v>
      </c>
      <c r="AL107" s="162">
        <f t="shared" ref="AL107:BQ107" si="925">+AL$135/AL$80</f>
        <v>42.013827335578803</v>
      </c>
      <c r="AM107" s="162">
        <f t="shared" si="925"/>
        <v>46.416120073273063</v>
      </c>
      <c r="AN107" s="162">
        <f t="shared" si="925"/>
        <v>44.347928854222069</v>
      </c>
      <c r="AO107" s="162">
        <f t="shared" si="925"/>
        <v>49.0161318915086</v>
      </c>
      <c r="AP107" s="162">
        <f t="shared" si="925"/>
        <v>56.225255569343503</v>
      </c>
      <c r="AQ107" s="162">
        <f t="shared" si="925"/>
        <v>63.788926313301431</v>
      </c>
      <c r="AR107" s="162">
        <f t="shared" si="925"/>
        <v>70.229864681203097</v>
      </c>
      <c r="AS107" s="162">
        <f t="shared" si="925"/>
        <v>75.163978018081906</v>
      </c>
      <c r="AT107" s="162">
        <f t="shared" si="925"/>
        <v>73.59806180937187</v>
      </c>
      <c r="AU107" s="162">
        <f t="shared" si="925"/>
        <v>92.802694557702551</v>
      </c>
      <c r="AV107" s="162">
        <f t="shared" si="925"/>
        <v>99.982272646693858</v>
      </c>
      <c r="AW107" s="162">
        <f t="shared" si="925"/>
        <v>108.5504934113337</v>
      </c>
      <c r="AX107" s="162">
        <f t="shared" si="925"/>
        <v>103.23228741948829</v>
      </c>
      <c r="AY107" s="162">
        <f t="shared" si="925"/>
        <v>111.8595993618153</v>
      </c>
      <c r="AZ107" s="162">
        <f t="shared" si="925"/>
        <v>118.8619039177451</v>
      </c>
      <c r="BA107" s="162">
        <f t="shared" si="925"/>
        <v>125.6278437629262</v>
      </c>
      <c r="BB107" s="162">
        <f t="shared" si="925"/>
        <v>128.55285705844119</v>
      </c>
      <c r="BC107" s="162">
        <f t="shared" si="925"/>
        <v>134.1074277610353</v>
      </c>
      <c r="BD107" s="162">
        <f t="shared" si="925"/>
        <v>134.22561011640963</v>
      </c>
      <c r="BE107" s="162">
        <f t="shared" si="925"/>
        <v>135.9392542693376</v>
      </c>
      <c r="BF107" s="162">
        <f t="shared" si="925"/>
        <v>136.55971163505291</v>
      </c>
      <c r="BG107" s="162">
        <f t="shared" si="925"/>
        <v>141.37564261655737</v>
      </c>
      <c r="BH107" s="162">
        <f t="shared" si="925"/>
        <v>139.89836317437809</v>
      </c>
      <c r="BI107" s="162">
        <f t="shared" si="925"/>
        <v>147.16657802990014</v>
      </c>
      <c r="BJ107" s="162">
        <f t="shared" si="925"/>
        <v>139.57336169709865</v>
      </c>
      <c r="BK107" s="162">
        <f t="shared" si="925"/>
        <v>145.95520888731315</v>
      </c>
      <c r="BL107" s="162">
        <f t="shared" si="925"/>
        <v>149.88477220351004</v>
      </c>
      <c r="BM107" s="162">
        <f t="shared" si="925"/>
        <v>157.30071500325002</v>
      </c>
      <c r="BN107" s="162">
        <f t="shared" si="925"/>
        <v>142.52792058145721</v>
      </c>
      <c r="BO107" s="162">
        <f t="shared" si="925"/>
        <v>152.01205460024821</v>
      </c>
      <c r="BP107" s="162">
        <f t="shared" si="925"/>
        <v>163.41665189387226</v>
      </c>
      <c r="BQ107" s="162">
        <f t="shared" si="925"/>
        <v>172.19169178041719</v>
      </c>
      <c r="BR107" s="162">
        <f t="shared" ref="BR107:DB107" si="926">+BR$135/BR$80</f>
        <v>172.48714766885305</v>
      </c>
      <c r="BS107" s="162">
        <f t="shared" si="926"/>
        <v>182.23719198723632</v>
      </c>
      <c r="BT107" s="162">
        <f t="shared" si="926"/>
        <v>183.7440170182592</v>
      </c>
      <c r="BU107" s="162">
        <f t="shared" si="926"/>
        <v>191.10086864031203</v>
      </c>
      <c r="BV107" s="162">
        <f t="shared" si="926"/>
        <v>175.88489038586542</v>
      </c>
      <c r="BW107" s="162">
        <f t="shared" si="926"/>
        <v>186.34402883649474</v>
      </c>
      <c r="BX107" s="162">
        <f t="shared" si="926"/>
        <v>179.96218164628024</v>
      </c>
      <c r="BY107" s="162">
        <f t="shared" si="926"/>
        <v>188.58949358860724</v>
      </c>
      <c r="BZ107" s="162">
        <f t="shared" si="926"/>
        <v>183.12355965254389</v>
      </c>
      <c r="CA107" s="162">
        <f t="shared" si="926"/>
        <v>194.29179223541928</v>
      </c>
      <c r="CB107" s="162">
        <f t="shared" si="926"/>
        <v>198.16226437392899</v>
      </c>
      <c r="CC107" s="162">
        <f t="shared" si="926"/>
        <v>211.25096023163744</v>
      </c>
      <c r="CD107" s="162">
        <f t="shared" si="926"/>
        <v>202.56455711162326</v>
      </c>
      <c r="CE107" s="162">
        <f t="shared" si="926"/>
        <v>216.0668912131419</v>
      </c>
      <c r="CF107" s="162">
        <f t="shared" si="926"/>
        <v>221.71009868226676</v>
      </c>
      <c r="CG107" s="162">
        <f t="shared" si="926"/>
        <v>236.57152987059035</v>
      </c>
      <c r="CH107" s="162">
        <f t="shared" si="926"/>
        <v>224.2714057791172</v>
      </c>
      <c r="CI107" s="162">
        <f t="shared" si="926"/>
        <v>240.46238846540214</v>
      </c>
      <c r="CJ107" s="162">
        <f t="shared" si="926"/>
        <v>249.63068013945519</v>
      </c>
      <c r="CK107" s="162">
        <f t="shared" si="926"/>
        <v>268.3921290551321</v>
      </c>
      <c r="CL107" s="162">
        <f t="shared" si="926"/>
        <v>247.85794480884007</v>
      </c>
      <c r="CM107" s="21">
        <f t="shared" si="926"/>
        <v>264.89450068037968</v>
      </c>
      <c r="CN107" s="21">
        <f t="shared" si="926"/>
        <v>283.42699717887069</v>
      </c>
      <c r="CO107" s="21">
        <f t="shared" si="926"/>
        <v>302.20620593112682</v>
      </c>
      <c r="CP107" s="21">
        <f t="shared" si="926"/>
        <v>328.92596436066901</v>
      </c>
      <c r="CQ107" s="21">
        <f t="shared" si="926"/>
        <v>351.9590133316014</v>
      </c>
      <c r="CR107" s="21">
        <f t="shared" si="926"/>
        <v>376.79954293035496</v>
      </c>
      <c r="CS107" s="21">
        <f t="shared" si="926"/>
        <v>401.95404353977943</v>
      </c>
      <c r="CT107" s="21">
        <f t="shared" si="926"/>
        <v>437.03525650200652</v>
      </c>
      <c r="CU107" s="21">
        <f t="shared" si="926"/>
        <v>464.47198631985867</v>
      </c>
      <c r="CV107" s="21">
        <f t="shared" si="926"/>
        <v>492.99280728539787</v>
      </c>
      <c r="CW107" s="21">
        <f t="shared" si="926"/>
        <v>521.48486279175984</v>
      </c>
      <c r="CX107" s="21">
        <f t="shared" si="926"/>
        <v>560.65348315633742</v>
      </c>
      <c r="CY107" s="21">
        <f t="shared" si="926"/>
        <v>589.87918769295641</v>
      </c>
      <c r="CZ107" s="21">
        <f t="shared" si="926"/>
        <v>620.02245864250779</v>
      </c>
      <c r="DA107" s="21">
        <f t="shared" si="926"/>
        <v>649.80243062347279</v>
      </c>
      <c r="DB107" s="21">
        <f t="shared" si="926"/>
        <v>689.95283602969721</v>
      </c>
      <c r="DE107" s="22"/>
      <c r="DF107" s="162">
        <v>289.25686867428652</v>
      </c>
    </row>
    <row r="108" spans="1:110" s="162" customFormat="1" x14ac:dyDescent="0.2">
      <c r="A108" s="49" t="s">
        <v>501</v>
      </c>
      <c r="AB108" s="21"/>
      <c r="AC108" s="21"/>
      <c r="AD108" s="21"/>
      <c r="AE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E108" s="22"/>
    </row>
    <row r="109" spans="1:110" s="162" customFormat="1" x14ac:dyDescent="0.2">
      <c r="A109" s="49" t="s">
        <v>502</v>
      </c>
      <c r="E109" s="162" t="e">
        <f t="shared" ref="E109:AE111" ca="1" si="927">+E92/E$107</f>
        <v>#DIV/0!</v>
      </c>
      <c r="F109" s="162" t="e">
        <f t="shared" ca="1" si="927"/>
        <v>#DIV/0!</v>
      </c>
      <c r="G109" s="162" t="e">
        <f t="shared" ca="1" si="927"/>
        <v>#DIV/0!</v>
      </c>
      <c r="H109" s="162" t="e">
        <f t="shared" ca="1" si="927"/>
        <v>#DIV/0!</v>
      </c>
      <c r="I109" s="162" t="e">
        <f t="shared" ca="1" si="927"/>
        <v>#DIV/0!</v>
      </c>
      <c r="J109" s="162" t="e">
        <f t="shared" ca="1" si="927"/>
        <v>#DIV/0!</v>
      </c>
      <c r="K109" s="162" t="e">
        <f t="shared" ca="1" si="927"/>
        <v>#DIV/0!</v>
      </c>
      <c r="L109" s="162" t="e">
        <f t="shared" ca="1" si="927"/>
        <v>#DIV/0!</v>
      </c>
      <c r="M109" s="162" t="e">
        <f t="shared" ca="1" si="927"/>
        <v>#DIV/0!</v>
      </c>
      <c r="N109" s="162" t="e">
        <f t="shared" ca="1" si="927"/>
        <v>#DIV/0!</v>
      </c>
      <c r="O109" s="162" t="e">
        <f t="shared" ca="1" si="927"/>
        <v>#DIV/0!</v>
      </c>
      <c r="P109" s="162" t="e">
        <f t="shared" ca="1" si="927"/>
        <v>#DIV/0!</v>
      </c>
      <c r="Q109" s="162" t="e">
        <f t="shared" ca="1" si="927"/>
        <v>#DIV/0!</v>
      </c>
      <c r="R109" s="162" t="e">
        <f t="shared" ca="1" si="927"/>
        <v>#DIV/0!</v>
      </c>
      <c r="S109" s="162" t="e">
        <f t="shared" ca="1" si="927"/>
        <v>#DIV/0!</v>
      </c>
      <c r="T109" s="162" t="e">
        <f t="shared" ca="1" si="927"/>
        <v>#DIV/0!</v>
      </c>
      <c r="U109" s="162" t="e">
        <f t="shared" ca="1" si="927"/>
        <v>#DIV/0!</v>
      </c>
      <c r="V109" s="162" t="e">
        <f t="shared" ca="1" si="927"/>
        <v>#DIV/0!</v>
      </c>
      <c r="W109" s="162" t="e">
        <f t="shared" ca="1" si="927"/>
        <v>#DIV/0!</v>
      </c>
      <c r="X109" s="162" t="e">
        <f t="shared" ca="1" si="927"/>
        <v>#DIV/0!</v>
      </c>
      <c r="Y109" s="162" t="e">
        <f t="shared" ca="1" si="927"/>
        <v>#DIV/0!</v>
      </c>
      <c r="Z109" s="162" t="e">
        <f t="shared" ca="1" si="927"/>
        <v>#DIV/0!</v>
      </c>
      <c r="AA109" s="162" t="e">
        <f t="shared" ref="AA109" ca="1" si="928">+AA92/AA$107</f>
        <v>#DIV/0!</v>
      </c>
      <c r="AB109" s="21" t="e">
        <f t="shared" ca="1" si="927"/>
        <v>#DIV/0!</v>
      </c>
      <c r="AC109" s="21" t="e">
        <f t="shared" ca="1" si="927"/>
        <v>#DIV/0!</v>
      </c>
      <c r="AD109" s="21" t="e">
        <f t="shared" ca="1" si="927"/>
        <v>#DIV/0!</v>
      </c>
      <c r="AE109" s="21" t="e">
        <f t="shared" ca="1" si="927"/>
        <v>#DIV/0!</v>
      </c>
      <c r="AL109" s="162">
        <f t="shared" ref="AL109:CI111" si="929">+AL92/AL$107</f>
        <v>4.1370308544303791</v>
      </c>
      <c r="AM109" s="162">
        <f t="shared" si="929"/>
        <v>4.4262639719923609</v>
      </c>
      <c r="AN109" s="162">
        <f t="shared" si="929"/>
        <v>4.9252581945369753</v>
      </c>
      <c r="AO109" s="162">
        <f t="shared" si="929"/>
        <v>4.8356528933092227</v>
      </c>
      <c r="AP109" s="162">
        <f t="shared" si="929"/>
        <v>4.6567151602732517</v>
      </c>
      <c r="AQ109" s="162">
        <f t="shared" si="929"/>
        <v>5.562485849930523</v>
      </c>
      <c r="AR109" s="162">
        <f t="shared" si="929"/>
        <v>6.1814870635254522</v>
      </c>
      <c r="AS109" s="162">
        <f t="shared" si="929"/>
        <v>7.525546344339622</v>
      </c>
      <c r="AT109" s="162">
        <f t="shared" si="929"/>
        <v>7.886416920915293</v>
      </c>
      <c r="AU109" s="162">
        <f t="shared" si="929"/>
        <v>6.9960253104106958</v>
      </c>
      <c r="AV109" s="162">
        <f t="shared" si="929"/>
        <v>7.5005796542553176</v>
      </c>
      <c r="AW109" s="162">
        <f t="shared" si="929"/>
        <v>6.6957318862275441</v>
      </c>
      <c r="AX109" s="162">
        <f t="shared" si="929"/>
        <v>6.4887644819690893</v>
      </c>
      <c r="AY109" s="162">
        <f t="shared" si="929"/>
        <v>6.127100435816164</v>
      </c>
      <c r="AZ109" s="162">
        <f t="shared" si="929"/>
        <v>6.8320881058911258</v>
      </c>
      <c r="BA109" s="162">
        <f t="shared" si="929"/>
        <v>5.2357023753527745</v>
      </c>
      <c r="BB109" s="162">
        <f t="shared" si="929"/>
        <v>6.0257314985060901</v>
      </c>
      <c r="BC109" s="162">
        <f t="shared" si="929"/>
        <v>4.5224937210839382</v>
      </c>
      <c r="BD109" s="162">
        <f t="shared" si="929"/>
        <v>4.5864943319392468</v>
      </c>
      <c r="BE109" s="162">
        <f t="shared" si="929"/>
        <v>5.2105994240382527</v>
      </c>
      <c r="BF109" s="162">
        <f t="shared" si="929"/>
        <v>4.5690635439203806</v>
      </c>
      <c r="BG109" s="162">
        <f t="shared" si="929"/>
        <v>4.9601896551724129</v>
      </c>
      <c r="BH109" s="162">
        <f t="shared" si="929"/>
        <v>5.8980318373812031</v>
      </c>
      <c r="BI109" s="162">
        <f t="shared" si="929"/>
        <v>6.0178405440674565</v>
      </c>
      <c r="BJ109" s="162">
        <f t="shared" si="929"/>
        <v>6.9934548264182883</v>
      </c>
      <c r="BK109" s="162">
        <f t="shared" si="929"/>
        <v>5.3057373279352218</v>
      </c>
      <c r="BL109" s="162">
        <f t="shared" si="929"/>
        <v>5.5589369603784737</v>
      </c>
      <c r="BM109" s="162">
        <f t="shared" si="929"/>
        <v>5.8707616172051091</v>
      </c>
      <c r="BN109" s="162">
        <f t="shared" si="929"/>
        <v>6.9161887437810936</v>
      </c>
      <c r="BO109" s="162">
        <f t="shared" si="929"/>
        <v>7.7983946938775501</v>
      </c>
      <c r="BP109" s="162">
        <f t="shared" si="929"/>
        <v>8.5676703308624109</v>
      </c>
      <c r="BQ109" s="162">
        <f t="shared" si="929"/>
        <v>8.132506194234729</v>
      </c>
      <c r="BR109" s="162">
        <f t="shared" si="929"/>
        <v>7.3663459403905431</v>
      </c>
      <c r="BS109" s="162">
        <f t="shared" si="929"/>
        <v>7.9639341682879374</v>
      </c>
      <c r="BT109" s="162">
        <f t="shared" si="929"/>
        <v>8.3725175108538341</v>
      </c>
      <c r="BU109" s="162">
        <f t="shared" si="929"/>
        <v>8.5796313311688301</v>
      </c>
      <c r="BV109" s="162">
        <f t="shared" si="929"/>
        <v>7.9492331429531324</v>
      </c>
      <c r="BW109" s="162">
        <f t="shared" si="929"/>
        <v>7.6723681940700796</v>
      </c>
      <c r="BX109" s="162">
        <f t="shared" si="929"/>
        <v>8.6609863569200449</v>
      </c>
      <c r="BY109" s="162">
        <f t="shared" si="929"/>
        <v>8.2276587654707818</v>
      </c>
      <c r="BZ109" s="162">
        <f t="shared" si="929"/>
        <v>8.3951513552758943</v>
      </c>
      <c r="CA109" s="162">
        <f t="shared" si="929"/>
        <v>9.8058697080291957</v>
      </c>
      <c r="CB109" s="162">
        <f t="shared" si="929"/>
        <v>9.731166557328164</v>
      </c>
      <c r="CC109" s="162">
        <f t="shared" si="929"/>
        <v>10.911193006993006</v>
      </c>
      <c r="CD109" s="162">
        <f t="shared" si="929"/>
        <v>12.841091438156358</v>
      </c>
      <c r="CE109" s="162">
        <f t="shared" si="929"/>
        <v>12.912205032134555</v>
      </c>
      <c r="CF109" s="162">
        <f t="shared" si="929"/>
        <v>15.334213552771853</v>
      </c>
      <c r="CG109" s="162">
        <f t="shared" si="929"/>
        <v>14.20268111652304</v>
      </c>
      <c r="CH109" s="162">
        <f t="shared" si="929"/>
        <v>14.422703548689247</v>
      </c>
      <c r="CI109" s="162">
        <f t="shared" si="929"/>
        <v>14.179764335538026</v>
      </c>
      <c r="CJ109" s="162">
        <f>+CJ92/CJ$107</f>
        <v>14.423908142975499</v>
      </c>
      <c r="CK109" s="162">
        <f>+CK92/CK$107</f>
        <v>14.313758058124172</v>
      </c>
      <c r="CL109" s="162">
        <f>+CL92/CL$107</f>
        <v>17.028503981404217</v>
      </c>
      <c r="CM109" s="21">
        <f t="shared" ref="CM109:DB109" si="930">+CM92/CM$107</f>
        <v>15.933324358034197</v>
      </c>
      <c r="CN109" s="21">
        <f t="shared" si="930"/>
        <v>14.891488961922525</v>
      </c>
      <c r="CO109" s="21">
        <f t="shared" si="930"/>
        <v>13.966126165396785</v>
      </c>
      <c r="CP109" s="21">
        <f t="shared" si="930"/>
        <v>12.831610931668608</v>
      </c>
      <c r="CQ109" s="21">
        <f t="shared" si="930"/>
        <v>11.99187928176022</v>
      </c>
      <c r="CR109" s="21">
        <f t="shared" si="930"/>
        <v>11.201314012156633</v>
      </c>
      <c r="CS109" s="21">
        <f t="shared" si="930"/>
        <v>10.50032974623454</v>
      </c>
      <c r="CT109" s="21">
        <f t="shared" si="930"/>
        <v>9.657458837032344</v>
      </c>
      <c r="CU109" s="21">
        <f t="shared" si="930"/>
        <v>9.0869850589728536</v>
      </c>
      <c r="CV109" s="21">
        <f t="shared" si="930"/>
        <v>8.5612810930051317</v>
      </c>
      <c r="CW109" s="21">
        <f t="shared" si="930"/>
        <v>8.0935235155337502</v>
      </c>
      <c r="CX109" s="21">
        <f t="shared" si="930"/>
        <v>7.5280902140102777</v>
      </c>
      <c r="CY109" s="21">
        <f t="shared" si="930"/>
        <v>7.1551091953373511</v>
      </c>
      <c r="CZ109" s="21">
        <f t="shared" si="930"/>
        <v>6.8072534166597665</v>
      </c>
      <c r="DA109" s="21">
        <f t="shared" si="930"/>
        <v>6.4952819520086562</v>
      </c>
      <c r="DB109" s="21">
        <f t="shared" si="930"/>
        <v>6.1173021974770645</v>
      </c>
      <c r="DE109" s="22"/>
      <c r="DF109" s="162">
        <v>14.591356185745759</v>
      </c>
    </row>
    <row r="110" spans="1:110" s="162" customFormat="1" x14ac:dyDescent="0.2">
      <c r="A110" s="49" t="s">
        <v>503</v>
      </c>
      <c r="E110" s="162" t="e">
        <f t="shared" ca="1" si="927"/>
        <v>#DIV/0!</v>
      </c>
      <c r="F110" s="162" t="e">
        <f t="shared" ca="1" si="927"/>
        <v>#DIV/0!</v>
      </c>
      <c r="G110" s="162" t="e">
        <f t="shared" ca="1" si="927"/>
        <v>#DIV/0!</v>
      </c>
      <c r="H110" s="162" t="e">
        <f t="shared" ca="1" si="927"/>
        <v>#DIV/0!</v>
      </c>
      <c r="I110" s="162" t="e">
        <f t="shared" ca="1" si="927"/>
        <v>#DIV/0!</v>
      </c>
      <c r="J110" s="162" t="e">
        <f t="shared" ca="1" si="927"/>
        <v>#DIV/0!</v>
      </c>
      <c r="K110" s="162" t="e">
        <f t="shared" ca="1" si="927"/>
        <v>#DIV/0!</v>
      </c>
      <c r="L110" s="162" t="e">
        <f t="shared" ca="1" si="927"/>
        <v>#DIV/0!</v>
      </c>
      <c r="M110" s="162" t="e">
        <f t="shared" ca="1" si="927"/>
        <v>#DIV/0!</v>
      </c>
      <c r="N110" s="162" t="e">
        <f t="shared" ca="1" si="927"/>
        <v>#DIV/0!</v>
      </c>
      <c r="O110" s="162" t="e">
        <f t="shared" ca="1" si="927"/>
        <v>#DIV/0!</v>
      </c>
      <c r="P110" s="162" t="e">
        <f t="shared" ca="1" si="927"/>
        <v>#DIV/0!</v>
      </c>
      <c r="Q110" s="162" t="e">
        <f t="shared" ca="1" si="927"/>
        <v>#DIV/0!</v>
      </c>
      <c r="R110" s="162" t="e">
        <f t="shared" ca="1" si="927"/>
        <v>#DIV/0!</v>
      </c>
      <c r="S110" s="162" t="e">
        <f t="shared" ca="1" si="927"/>
        <v>#DIV/0!</v>
      </c>
      <c r="T110" s="162" t="e">
        <f t="shared" ca="1" si="927"/>
        <v>#DIV/0!</v>
      </c>
      <c r="U110" s="162" t="e">
        <f t="shared" ca="1" si="927"/>
        <v>#DIV/0!</v>
      </c>
      <c r="V110" s="162" t="e">
        <f t="shared" ca="1" si="927"/>
        <v>#DIV/0!</v>
      </c>
      <c r="W110" s="162" t="e">
        <f t="shared" ca="1" si="927"/>
        <v>#DIV/0!</v>
      </c>
      <c r="X110" s="162" t="e">
        <f t="shared" ca="1" si="927"/>
        <v>#DIV/0!</v>
      </c>
      <c r="Y110" s="162" t="e">
        <f t="shared" ca="1" si="927"/>
        <v>#DIV/0!</v>
      </c>
      <c r="Z110" s="162" t="e">
        <f t="shared" ca="1" si="927"/>
        <v>#DIV/0!</v>
      </c>
      <c r="AA110" s="162" t="e">
        <f t="shared" ref="AA110" ca="1" si="931">+AA93/AA$107</f>
        <v>#DIV/0!</v>
      </c>
      <c r="AB110" s="21" t="e">
        <f t="shared" ca="1" si="927"/>
        <v>#DIV/0!</v>
      </c>
      <c r="AC110" s="21" t="e">
        <f t="shared" ca="1" si="927"/>
        <v>#DIV/0!</v>
      </c>
      <c r="AD110" s="21" t="e">
        <f t="shared" ca="1" si="927"/>
        <v>#DIV/0!</v>
      </c>
      <c r="AE110" s="21" t="e">
        <f t="shared" ca="1" si="927"/>
        <v>#DIV/0!</v>
      </c>
      <c r="AL110" s="162">
        <f t="shared" si="929"/>
        <v>4.5615934599156116</v>
      </c>
      <c r="AM110" s="162">
        <f t="shared" si="929"/>
        <v>4.6955669637173765</v>
      </c>
      <c r="AN110" s="162">
        <f t="shared" si="929"/>
        <v>5.24038001332445</v>
      </c>
      <c r="AO110" s="162">
        <f t="shared" si="929"/>
        <v>5.3145768535262201</v>
      </c>
      <c r="AP110" s="162">
        <f t="shared" si="929"/>
        <v>5.1400388859695214</v>
      </c>
      <c r="AQ110" s="162">
        <f t="shared" si="929"/>
        <v>5.6628167438628996</v>
      </c>
      <c r="AR110" s="162">
        <f t="shared" si="929"/>
        <v>6.6919536600757263</v>
      </c>
      <c r="AS110" s="162">
        <f t="shared" si="929"/>
        <v>7.9027216981132069</v>
      </c>
      <c r="AT110" s="162">
        <f t="shared" si="929"/>
        <v>8.367747531112002</v>
      </c>
      <c r="AU110" s="162">
        <f t="shared" si="929"/>
        <v>7.3812511938872953</v>
      </c>
      <c r="AV110" s="162">
        <f t="shared" si="929"/>
        <v>8.6015248226950352</v>
      </c>
      <c r="AW110" s="162">
        <f t="shared" si="929"/>
        <v>7.5356635819270537</v>
      </c>
      <c r="AX110" s="162">
        <f t="shared" si="929"/>
        <v>7.3123924585002849</v>
      </c>
      <c r="AY110" s="162">
        <f t="shared" si="929"/>
        <v>6.6377852614896975</v>
      </c>
      <c r="AZ110" s="162">
        <f t="shared" si="929"/>
        <v>7.4363607755406402</v>
      </c>
      <c r="BA110" s="162">
        <f t="shared" si="929"/>
        <v>6.7640259877704603</v>
      </c>
      <c r="BB110" s="162">
        <f t="shared" si="929"/>
        <v>6.1146054470236715</v>
      </c>
      <c r="BC110" s="162">
        <f t="shared" si="929"/>
        <v>5.7789491077329798</v>
      </c>
      <c r="BD110" s="162">
        <f t="shared" si="929"/>
        <v>5.0918002861545233</v>
      </c>
      <c r="BE110" s="162">
        <f t="shared" si="929"/>
        <v>5.2771732775483589</v>
      </c>
      <c r="BF110" s="162">
        <f t="shared" si="929"/>
        <v>5.3923297814798783</v>
      </c>
      <c r="BG110" s="162">
        <f t="shared" si="929"/>
        <v>5.4003291222570526</v>
      </c>
      <c r="BH110" s="162">
        <f t="shared" si="929"/>
        <v>6.6903927877507909</v>
      </c>
      <c r="BI110" s="162">
        <f t="shared" si="929"/>
        <v>6.2272970688616747</v>
      </c>
      <c r="BJ110" s="162">
        <f t="shared" si="929"/>
        <v>7.0357265029635894</v>
      </c>
      <c r="BK110" s="162">
        <f t="shared" si="929"/>
        <v>6.686982995951416</v>
      </c>
      <c r="BL110" s="162">
        <f t="shared" si="929"/>
        <v>5.9088724423418082</v>
      </c>
      <c r="BM110" s="162">
        <f t="shared" si="929"/>
        <v>6.1663737509391439</v>
      </c>
      <c r="BN110" s="162">
        <f t="shared" si="929"/>
        <v>8.0193059390547248</v>
      </c>
      <c r="BO110" s="162">
        <f t="shared" si="929"/>
        <v>8.8132813119533502</v>
      </c>
      <c r="BP110" s="162">
        <f t="shared" si="929"/>
        <v>9.3013776893870901</v>
      </c>
      <c r="BQ110" s="162">
        <f t="shared" si="929"/>
        <v>8.5349646362388469</v>
      </c>
      <c r="BR110" s="162">
        <f t="shared" si="929"/>
        <v>8.4146849177800611</v>
      </c>
      <c r="BS110" s="162">
        <f t="shared" si="929"/>
        <v>8.2502368677042792</v>
      </c>
      <c r="BT110" s="162">
        <f t="shared" si="929"/>
        <v>8.8383830197780977</v>
      </c>
      <c r="BU110" s="162">
        <f t="shared" si="929"/>
        <v>8.6458267393320956</v>
      </c>
      <c r="BV110" s="162">
        <f t="shared" si="929"/>
        <v>9.3808512850663526</v>
      </c>
      <c r="BW110" s="162">
        <f t="shared" si="929"/>
        <v>7.9259314571111457</v>
      </c>
      <c r="BX110" s="162">
        <f t="shared" si="929"/>
        <v>8.9185404695452295</v>
      </c>
      <c r="BY110" s="162">
        <f t="shared" si="929"/>
        <v>9.1346552091493027</v>
      </c>
      <c r="BZ110" s="162">
        <f t="shared" si="929"/>
        <v>8.9120154888673753</v>
      </c>
      <c r="CA110" s="162">
        <f t="shared" si="929"/>
        <v>10.198578010948903</v>
      </c>
      <c r="CB110" s="162">
        <f t="shared" si="929"/>
        <v>10.597123557477261</v>
      </c>
      <c r="CC110" s="162">
        <f t="shared" si="929"/>
        <v>10.934388167832168</v>
      </c>
      <c r="CD110" s="162">
        <f t="shared" si="929"/>
        <v>13.553950598016336</v>
      </c>
      <c r="CE110" s="162">
        <f t="shared" si="929"/>
        <v>13.778603391221111</v>
      </c>
      <c r="CF110" s="162">
        <f t="shared" si="929"/>
        <v>16.120149786780381</v>
      </c>
      <c r="CG110" s="162">
        <f t="shared" si="929"/>
        <v>15.174902922442859</v>
      </c>
      <c r="CH110" s="162">
        <f t="shared" si="929"/>
        <v>15.427735818482903</v>
      </c>
      <c r="CI110" s="162">
        <f t="shared" si="929"/>
        <v>14.449661014241848</v>
      </c>
      <c r="CJ110" s="162">
        <f t="shared" ref="CJ110:CK111" si="932">+CJ93/CJ$107</f>
        <v>15.182428689785773</v>
      </c>
      <c r="CK110" s="162">
        <f t="shared" si="932"/>
        <v>14.458508949801848</v>
      </c>
      <c r="CL110" s="162">
        <f t="shared" ref="CL110" si="933">+CL93/CL$107</f>
        <v>18.073659101203955</v>
      </c>
      <c r="CM110" s="94">
        <f t="shared" ref="CM110:DB110" si="934">+CL110</f>
        <v>18.073659101203955</v>
      </c>
      <c r="CN110" s="94">
        <f t="shared" si="934"/>
        <v>18.073659101203955</v>
      </c>
      <c r="CO110" s="94">
        <f t="shared" si="934"/>
        <v>18.073659101203955</v>
      </c>
      <c r="CP110" s="94">
        <f t="shared" si="934"/>
        <v>18.073659101203955</v>
      </c>
      <c r="CQ110" s="94">
        <f t="shared" si="934"/>
        <v>18.073659101203955</v>
      </c>
      <c r="CR110" s="94">
        <f t="shared" si="934"/>
        <v>18.073659101203955</v>
      </c>
      <c r="CS110" s="94">
        <f t="shared" si="934"/>
        <v>18.073659101203955</v>
      </c>
      <c r="CT110" s="94">
        <f t="shared" si="934"/>
        <v>18.073659101203955</v>
      </c>
      <c r="CU110" s="94">
        <f t="shared" si="934"/>
        <v>18.073659101203955</v>
      </c>
      <c r="CV110" s="94">
        <f t="shared" si="934"/>
        <v>18.073659101203955</v>
      </c>
      <c r="CW110" s="94">
        <f t="shared" si="934"/>
        <v>18.073659101203955</v>
      </c>
      <c r="CX110" s="94">
        <f t="shared" si="934"/>
        <v>18.073659101203955</v>
      </c>
      <c r="CY110" s="94">
        <f t="shared" si="934"/>
        <v>18.073659101203955</v>
      </c>
      <c r="CZ110" s="94">
        <f t="shared" si="934"/>
        <v>18.073659101203955</v>
      </c>
      <c r="DA110" s="94">
        <f t="shared" si="934"/>
        <v>18.073659101203955</v>
      </c>
      <c r="DB110" s="94">
        <f t="shared" si="934"/>
        <v>18.073659101203955</v>
      </c>
      <c r="DC110" s="94"/>
      <c r="DE110" s="22"/>
      <c r="DF110" s="162">
        <v>15.486926967477826</v>
      </c>
    </row>
    <row r="111" spans="1:110" s="162" customFormat="1" x14ac:dyDescent="0.2">
      <c r="A111" s="49" t="s">
        <v>504</v>
      </c>
      <c r="E111" s="162" t="e">
        <f t="shared" ca="1" si="927"/>
        <v>#DIV/0!</v>
      </c>
      <c r="F111" s="162" t="e">
        <f t="shared" ca="1" si="927"/>
        <v>#DIV/0!</v>
      </c>
      <c r="G111" s="162" t="e">
        <f t="shared" ca="1" si="927"/>
        <v>#DIV/0!</v>
      </c>
      <c r="H111" s="162" t="e">
        <f t="shared" ca="1" si="927"/>
        <v>#DIV/0!</v>
      </c>
      <c r="I111" s="162" t="e">
        <f t="shared" ca="1" si="927"/>
        <v>#DIV/0!</v>
      </c>
      <c r="J111" s="162" t="e">
        <f t="shared" ca="1" si="927"/>
        <v>#DIV/0!</v>
      </c>
      <c r="K111" s="162" t="e">
        <f t="shared" ca="1" si="927"/>
        <v>#DIV/0!</v>
      </c>
      <c r="L111" s="162" t="e">
        <f t="shared" ca="1" si="927"/>
        <v>#DIV/0!</v>
      </c>
      <c r="M111" s="162" t="e">
        <f t="shared" ca="1" si="927"/>
        <v>#DIV/0!</v>
      </c>
      <c r="N111" s="162" t="e">
        <f t="shared" ca="1" si="927"/>
        <v>#DIV/0!</v>
      </c>
      <c r="O111" s="162" t="e">
        <f t="shared" ca="1" si="927"/>
        <v>#DIV/0!</v>
      </c>
      <c r="P111" s="162" t="e">
        <f t="shared" ca="1" si="927"/>
        <v>#DIV/0!</v>
      </c>
      <c r="Q111" s="162" t="e">
        <f t="shared" ca="1" si="927"/>
        <v>#DIV/0!</v>
      </c>
      <c r="R111" s="162" t="e">
        <f t="shared" ca="1" si="927"/>
        <v>#DIV/0!</v>
      </c>
      <c r="S111" s="162" t="e">
        <f t="shared" ca="1" si="927"/>
        <v>#DIV/0!</v>
      </c>
      <c r="T111" s="162" t="e">
        <f t="shared" ca="1" si="927"/>
        <v>#DIV/0!</v>
      </c>
      <c r="U111" s="162" t="e">
        <f t="shared" ca="1" si="927"/>
        <v>#DIV/0!</v>
      </c>
      <c r="V111" s="162" t="e">
        <f t="shared" ca="1" si="927"/>
        <v>#DIV/0!</v>
      </c>
      <c r="W111" s="162" t="e">
        <f t="shared" ca="1" si="927"/>
        <v>#DIV/0!</v>
      </c>
      <c r="X111" s="162" t="e">
        <f t="shared" ca="1" si="927"/>
        <v>#DIV/0!</v>
      </c>
      <c r="Y111" s="162" t="e">
        <f t="shared" ca="1" si="927"/>
        <v>#DIV/0!</v>
      </c>
      <c r="Z111" s="162" t="e">
        <f t="shared" ca="1" si="927"/>
        <v>#DIV/0!</v>
      </c>
      <c r="AA111" s="162" t="e">
        <f t="shared" ref="AA111" ca="1" si="935">+AA94/AA$107</f>
        <v>#DIV/0!</v>
      </c>
      <c r="AB111" s="21" t="e">
        <f t="shared" ca="1" si="927"/>
        <v>#DIV/0!</v>
      </c>
      <c r="AC111" s="21" t="e">
        <f t="shared" ca="1" si="927"/>
        <v>#DIV/0!</v>
      </c>
      <c r="AD111" s="21" t="e">
        <f t="shared" ca="1" si="927"/>
        <v>#DIV/0!</v>
      </c>
      <c r="AE111" s="21" t="e">
        <f t="shared" ca="1" si="927"/>
        <v>#DIV/0!</v>
      </c>
      <c r="AL111" s="162">
        <f t="shared" si="929"/>
        <v>3.9034767932489447</v>
      </c>
      <c r="AM111" s="162">
        <f t="shared" si="929"/>
        <v>3.6005809993634625</v>
      </c>
      <c r="AN111" s="162">
        <f t="shared" si="929"/>
        <v>4.351386975349766</v>
      </c>
      <c r="AO111" s="162">
        <f t="shared" si="929"/>
        <v>4.1210922242314645</v>
      </c>
      <c r="AP111" s="162">
        <f t="shared" si="929"/>
        <v>4.1031383079348389</v>
      </c>
      <c r="AQ111" s="162">
        <f t="shared" si="929"/>
        <v>4.0994576192681791</v>
      </c>
      <c r="AR111" s="162">
        <f t="shared" si="929"/>
        <v>4.6668180479596133</v>
      </c>
      <c r="AS111" s="162">
        <f t="shared" si="929"/>
        <v>5.3898823702830185</v>
      </c>
      <c r="AT111" s="162">
        <f t="shared" si="929"/>
        <v>7.0178478522681642</v>
      </c>
      <c r="AU111" s="162">
        <f t="shared" si="929"/>
        <v>6.1067731136580701</v>
      </c>
      <c r="AV111" s="162">
        <f t="shared" si="929"/>
        <v>6.4411418439716304</v>
      </c>
      <c r="AW111" s="162">
        <f t="shared" si="929"/>
        <v>6.3357611594991825</v>
      </c>
      <c r="AX111" s="162">
        <f t="shared" si="929"/>
        <v>5.7637006296508293</v>
      </c>
      <c r="AY111" s="162">
        <f t="shared" si="929"/>
        <v>5.5911607369255139</v>
      </c>
      <c r="AZ111" s="162">
        <f t="shared" si="929"/>
        <v>5.7297584638329591</v>
      </c>
      <c r="BA111" s="162">
        <f t="shared" si="929"/>
        <v>4.7186991533396041</v>
      </c>
      <c r="BB111" s="162">
        <f t="shared" si="929"/>
        <v>4.6984564467938403</v>
      </c>
      <c r="BC111" s="162">
        <f t="shared" si="929"/>
        <v>4.2633730998017176</v>
      </c>
      <c r="BD111" s="162">
        <f t="shared" si="929"/>
        <v>4.2802934514637903</v>
      </c>
      <c r="BE111" s="162">
        <f t="shared" si="929"/>
        <v>4.4358048250380353</v>
      </c>
      <c r="BF111" s="162">
        <f t="shared" si="929"/>
        <v>4.4806406858502807</v>
      </c>
      <c r="BG111" s="162">
        <f t="shared" si="929"/>
        <v>4.4031630094043877</v>
      </c>
      <c r="BH111" s="162">
        <f t="shared" si="929"/>
        <v>4.9825457866948248</v>
      </c>
      <c r="BI111" s="162">
        <f t="shared" si="929"/>
        <v>5.150286227665128</v>
      </c>
      <c r="BJ111" s="162">
        <f t="shared" si="929"/>
        <v>6.1691571337849265</v>
      </c>
      <c r="BK111" s="162">
        <f t="shared" si="929"/>
        <v>5.0178065283400803</v>
      </c>
      <c r="BL111" s="162">
        <f t="shared" si="929"/>
        <v>4.8470567711413359</v>
      </c>
      <c r="BM111" s="162">
        <f t="shared" si="929"/>
        <v>4.9416495022539442</v>
      </c>
      <c r="BN111" s="162">
        <f t="shared" si="929"/>
        <v>5.6795889303482578</v>
      </c>
      <c r="BO111" s="162">
        <f t="shared" si="929"/>
        <v>6.3590351603498529</v>
      </c>
      <c r="BP111" s="162">
        <f t="shared" si="929"/>
        <v>6.8291694087868375</v>
      </c>
      <c r="BQ111" s="162">
        <f t="shared" si="929"/>
        <v>7.0308270247083051</v>
      </c>
      <c r="BR111" s="162">
        <f t="shared" si="929"/>
        <v>6.699919475847893</v>
      </c>
      <c r="BS111" s="162">
        <f t="shared" si="929"/>
        <v>6.7978714250972763</v>
      </c>
      <c r="BT111" s="162">
        <f t="shared" si="929"/>
        <v>7.7712734442836453</v>
      </c>
      <c r="BU111" s="162">
        <f t="shared" si="929"/>
        <v>7.1545985621521329</v>
      </c>
      <c r="BV111" s="162">
        <f t="shared" si="929"/>
        <v>7.2206316143121105</v>
      </c>
      <c r="BW111" s="162">
        <f t="shared" si="929"/>
        <v>6.6677746947835725</v>
      </c>
      <c r="BX111" s="162">
        <f t="shared" si="929"/>
        <v>7.8961034312920688</v>
      </c>
      <c r="BY111" s="162">
        <f t="shared" si="929"/>
        <v>8.1194873100422988</v>
      </c>
      <c r="BZ111" s="162">
        <f t="shared" si="929"/>
        <v>7.8971269603097776</v>
      </c>
      <c r="CA111" s="162">
        <f t="shared" si="929"/>
        <v>7.8441296076642324</v>
      </c>
      <c r="CB111" s="162">
        <f t="shared" si="929"/>
        <v>8.938886551364245</v>
      </c>
      <c r="CC111" s="162">
        <f t="shared" si="929"/>
        <v>8.628599832167831</v>
      </c>
      <c r="CD111" s="162">
        <f t="shared" si="929"/>
        <v>11.207044471995331</v>
      </c>
      <c r="CE111" s="162">
        <f t="shared" si="929"/>
        <v>11.610524805141528</v>
      </c>
      <c r="CF111" s="162">
        <f t="shared" si="929"/>
        <v>12.450041817697228</v>
      </c>
      <c r="CG111" s="162">
        <f t="shared" si="929"/>
        <v>12.938158711127763</v>
      </c>
      <c r="CH111" s="162">
        <f t="shared" si="929"/>
        <v>12.892637783916875</v>
      </c>
      <c r="CI111" s="162">
        <f t="shared" si="929"/>
        <v>12.895987683521549</v>
      </c>
      <c r="CJ111" s="162">
        <f t="shared" si="932"/>
        <v>13.177667096697833</v>
      </c>
      <c r="CK111" s="162">
        <f t="shared" si="932"/>
        <v>12.966103038309113</v>
      </c>
      <c r="CL111" s="162">
        <f t="shared" ref="CL111" si="936">+CL94/CL$107</f>
        <v>15.025138705447608</v>
      </c>
      <c r="CM111" s="94">
        <f t="shared" ref="CM111:DB111" si="937">+CL111</f>
        <v>15.025138705447608</v>
      </c>
      <c r="CN111" s="94">
        <f t="shared" si="937"/>
        <v>15.025138705447608</v>
      </c>
      <c r="CO111" s="94">
        <f t="shared" si="937"/>
        <v>15.025138705447608</v>
      </c>
      <c r="CP111" s="94">
        <f t="shared" si="937"/>
        <v>15.025138705447608</v>
      </c>
      <c r="CQ111" s="94">
        <f t="shared" si="937"/>
        <v>15.025138705447608</v>
      </c>
      <c r="CR111" s="94">
        <f t="shared" si="937"/>
        <v>15.025138705447608</v>
      </c>
      <c r="CS111" s="94">
        <f t="shared" si="937"/>
        <v>15.025138705447608</v>
      </c>
      <c r="CT111" s="94">
        <f t="shared" si="937"/>
        <v>15.025138705447608</v>
      </c>
      <c r="CU111" s="94">
        <f t="shared" si="937"/>
        <v>15.025138705447608</v>
      </c>
      <c r="CV111" s="94">
        <f t="shared" si="937"/>
        <v>15.025138705447608</v>
      </c>
      <c r="CW111" s="94">
        <f t="shared" si="937"/>
        <v>15.025138705447608</v>
      </c>
      <c r="CX111" s="94">
        <f t="shared" si="937"/>
        <v>15.025138705447608</v>
      </c>
      <c r="CY111" s="94">
        <f t="shared" si="937"/>
        <v>15.025138705447608</v>
      </c>
      <c r="CZ111" s="94">
        <f t="shared" si="937"/>
        <v>15.025138705447608</v>
      </c>
      <c r="DA111" s="94">
        <f t="shared" si="937"/>
        <v>15.025138705447608</v>
      </c>
      <c r="DB111" s="94">
        <f t="shared" si="937"/>
        <v>15.025138705447608</v>
      </c>
      <c r="DC111" s="94"/>
      <c r="DE111" s="22"/>
      <c r="DF111" s="162">
        <v>12.874715878202597</v>
      </c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9"/>
    </row>
    <row r="113" spans="1:110" s="177" customFormat="1" x14ac:dyDescent="0.2">
      <c r="A113" s="177" t="s">
        <v>510</v>
      </c>
      <c r="E113" s="177">
        <f t="shared" ref="E113:Y113" si="938">+E25</f>
        <v>459.33320000000003</v>
      </c>
      <c r="F113" s="177">
        <f t="shared" si="938"/>
        <v>547.7527</v>
      </c>
      <c r="G113" s="177">
        <f t="shared" si="938"/>
        <v>967.16239999999993</v>
      </c>
      <c r="H113" s="177">
        <f t="shared" si="938"/>
        <v>1298.7854</v>
      </c>
      <c r="I113" s="177">
        <f t="shared" si="938"/>
        <v>1354.8482999999999</v>
      </c>
      <c r="J113" s="177">
        <f t="shared" si="938"/>
        <v>1630.6576</v>
      </c>
      <c r="K113" s="177">
        <f t="shared" si="938"/>
        <v>1916.0378000000001</v>
      </c>
      <c r="L113" s="177">
        <f t="shared" si="938"/>
        <v>2197.7926000000002</v>
      </c>
      <c r="M113" s="177">
        <f t="shared" si="938"/>
        <v>2695.9199999999996</v>
      </c>
      <c r="N113" s="177">
        <f t="shared" si="938"/>
        <v>3211.14</v>
      </c>
      <c r="O113" s="177">
        <f t="shared" si="938"/>
        <v>4184.72</v>
      </c>
      <c r="P113" s="177">
        <f t="shared" si="938"/>
        <v>4653.45</v>
      </c>
      <c r="Q113" s="177">
        <f t="shared" si="938"/>
        <v>6666.85</v>
      </c>
      <c r="R113" s="177">
        <f t="shared" si="938"/>
        <v>5815.6900000000005</v>
      </c>
      <c r="S113" s="177">
        <f t="shared" si="938"/>
        <v>5949.83</v>
      </c>
      <c r="T113" s="177">
        <f t="shared" si="938"/>
        <v>7672.8</v>
      </c>
      <c r="U113" s="177">
        <f t="shared" si="938"/>
        <v>7939.3099999999995</v>
      </c>
      <c r="V113" s="177">
        <f t="shared" si="938"/>
        <v>8004.5700000000006</v>
      </c>
      <c r="W113" s="177">
        <f t="shared" si="938"/>
        <v>8508.0399999999991</v>
      </c>
      <c r="X113" s="177">
        <f t="shared" si="938"/>
        <v>9620.15</v>
      </c>
      <c r="Y113" s="177">
        <f t="shared" si="938"/>
        <v>10727.84</v>
      </c>
      <c r="Z113" s="177">
        <f>+Z25</f>
        <v>11516.09</v>
      </c>
      <c r="AA113" s="177">
        <f>+AA25</f>
        <v>13979.73</v>
      </c>
      <c r="AB113" s="178">
        <f t="shared" ref="AA113:AE113" si="939">+AB25</f>
        <v>16587.809330389995</v>
      </c>
      <c r="AC113" s="178">
        <f t="shared" si="939"/>
        <v>19424.581157582754</v>
      </c>
      <c r="AD113" s="178">
        <f t="shared" si="939"/>
        <v>20259.198423461894</v>
      </c>
      <c r="AE113" s="178">
        <f t="shared" si="939"/>
        <v>20755.620753874988</v>
      </c>
      <c r="AL113" s="177">
        <f t="shared" ref="AL113:BQ113" si="940">+SUM(AI23:AL23)</f>
        <v>3215</v>
      </c>
      <c r="AM113" s="177">
        <f t="shared" si="940"/>
        <v>3420</v>
      </c>
      <c r="AN113" s="177">
        <f t="shared" si="940"/>
        <v>3613</v>
      </c>
      <c r="AO113" s="177">
        <f t="shared" si="940"/>
        <v>3831</v>
      </c>
      <c r="AP113" s="177">
        <f t="shared" si="940"/>
        <v>4184</v>
      </c>
      <c r="AQ113" s="177">
        <f t="shared" si="940"/>
        <v>4326</v>
      </c>
      <c r="AR113" s="177">
        <f t="shared" si="940"/>
        <v>4571</v>
      </c>
      <c r="AS113" s="177">
        <f t="shared" si="940"/>
        <v>4724</v>
      </c>
      <c r="AT113" s="177">
        <f t="shared" si="940"/>
        <v>4653</v>
      </c>
      <c r="AU113" s="177">
        <f t="shared" si="940"/>
        <v>5486</v>
      </c>
      <c r="AV113" s="177">
        <f t="shared" si="940"/>
        <v>5962</v>
      </c>
      <c r="AW113" s="177">
        <f t="shared" si="940"/>
        <v>6336</v>
      </c>
      <c r="AX113" s="177">
        <f t="shared" si="940"/>
        <v>6685</v>
      </c>
      <c r="AY113" s="177">
        <f t="shared" si="940"/>
        <v>6289</v>
      </c>
      <c r="AZ113" s="177">
        <f t="shared" si="940"/>
        <v>6025</v>
      </c>
      <c r="BA113" s="177">
        <f t="shared" si="940"/>
        <v>5926</v>
      </c>
      <c r="BB113" s="177">
        <f t="shared" si="940"/>
        <v>5857</v>
      </c>
      <c r="BC113" s="177">
        <f t="shared" si="940"/>
        <v>5668</v>
      </c>
      <c r="BD113" s="177">
        <f t="shared" si="940"/>
        <v>5656</v>
      </c>
      <c r="BE113" s="177">
        <f t="shared" si="940"/>
        <v>5676</v>
      </c>
      <c r="BF113" s="177">
        <f t="shared" si="940"/>
        <v>5950</v>
      </c>
      <c r="BG113" s="177">
        <f t="shared" si="940"/>
        <v>6460</v>
      </c>
      <c r="BH113" s="177">
        <f t="shared" si="940"/>
        <v>6937</v>
      </c>
      <c r="BI113" s="177">
        <f t="shared" si="940"/>
        <v>7525</v>
      </c>
      <c r="BJ113" s="177">
        <f t="shared" si="940"/>
        <v>7673</v>
      </c>
      <c r="BK113" s="177">
        <f t="shared" si="940"/>
        <v>7823</v>
      </c>
      <c r="BL113" s="177">
        <f t="shared" si="940"/>
        <v>7934</v>
      </c>
      <c r="BM113" s="177">
        <f t="shared" si="940"/>
        <v>7849</v>
      </c>
      <c r="BN113" s="177">
        <f t="shared" si="940"/>
        <v>7939</v>
      </c>
      <c r="BO113" s="177">
        <f t="shared" si="940"/>
        <v>7973</v>
      </c>
      <c r="BP113" s="177">
        <f t="shared" si="940"/>
        <v>7985</v>
      </c>
      <c r="BQ113" s="177">
        <f t="shared" si="940"/>
        <v>8014</v>
      </c>
      <c r="BR113" s="177">
        <f t="shared" ref="BR113:CW113" si="941">+SUM(BO23:BR23)</f>
        <v>8005</v>
      </c>
      <c r="BS113" s="177">
        <f t="shared" si="941"/>
        <v>8083</v>
      </c>
      <c r="BT113" s="177">
        <f t="shared" si="941"/>
        <v>8203</v>
      </c>
      <c r="BU113" s="177">
        <f t="shared" si="941"/>
        <v>8316</v>
      </c>
      <c r="BV113" s="177">
        <f t="shared" si="941"/>
        <v>8510</v>
      </c>
      <c r="BW113" s="177">
        <f t="shared" si="941"/>
        <v>8723</v>
      </c>
      <c r="BX113" s="177">
        <f t="shared" si="941"/>
        <v>8877</v>
      </c>
      <c r="BY113" s="177">
        <f t="shared" si="941"/>
        <v>9260</v>
      </c>
      <c r="BZ113" s="177">
        <f t="shared" si="941"/>
        <v>9620</v>
      </c>
      <c r="CA113" s="177">
        <f t="shared" si="941"/>
        <v>9864</v>
      </c>
      <c r="CB113" s="177">
        <f t="shared" si="941"/>
        <v>10233</v>
      </c>
      <c r="CC113" s="177">
        <f t="shared" si="941"/>
        <v>10474</v>
      </c>
      <c r="CD113" s="177">
        <f t="shared" si="941"/>
        <v>10728</v>
      </c>
      <c r="CE113" s="177">
        <f t="shared" si="941"/>
        <v>10996</v>
      </c>
      <c r="CF113" s="177">
        <f t="shared" si="941"/>
        <v>11225</v>
      </c>
      <c r="CG113" s="177">
        <f t="shared" si="941"/>
        <v>11302</v>
      </c>
      <c r="CH113" s="177">
        <f t="shared" si="941"/>
        <v>11516</v>
      </c>
      <c r="CI113" s="177">
        <f t="shared" si="941"/>
        <v>11835</v>
      </c>
      <c r="CJ113" s="177">
        <f t="shared" si="941"/>
        <v>12248</v>
      </c>
      <c r="CK113" s="177">
        <f t="shared" si="941"/>
        <v>12742</v>
      </c>
      <c r="CL113" s="177">
        <f t="shared" si="941"/>
        <v>13980</v>
      </c>
      <c r="CM113" s="178">
        <f t="shared" si="941"/>
        <v>14560.700142261467</v>
      </c>
      <c r="CN113" s="178">
        <f t="shared" si="941"/>
        <v>15180.886404218789</v>
      </c>
      <c r="CO113" s="178">
        <f t="shared" si="941"/>
        <v>15806.246237429483</v>
      </c>
      <c r="CP113" s="178">
        <f t="shared" si="941"/>
        <v>16587.809330389995</v>
      </c>
      <c r="CQ113" s="178">
        <f t="shared" si="941"/>
        <v>17238.636907758108</v>
      </c>
      <c r="CR113" s="178">
        <f t="shared" si="941"/>
        <v>17915.383407911122</v>
      </c>
      <c r="CS113" s="178">
        <f t="shared" si="941"/>
        <v>18585.946538532746</v>
      </c>
      <c r="CT113" s="178">
        <f t="shared" si="941"/>
        <v>19424.581157582754</v>
      </c>
      <c r="CU113" s="178">
        <f t="shared" si="941"/>
        <v>19756.224319564233</v>
      </c>
      <c r="CV113" s="178">
        <f t="shared" si="941"/>
        <v>19967.265935669755</v>
      </c>
      <c r="CW113" s="178">
        <f t="shared" si="941"/>
        <v>20113.906931861369</v>
      </c>
      <c r="CX113" s="178">
        <f t="shared" ref="CX113:DB113" si="942">+SUM(CU23:CX23)</f>
        <v>20259.198423461894</v>
      </c>
      <c r="CY113" s="178">
        <f t="shared" si="942"/>
        <v>20368.881586822448</v>
      </c>
      <c r="CZ113" s="178">
        <f t="shared" si="942"/>
        <v>20486.714133073241</v>
      </c>
      <c r="DA113" s="178">
        <f t="shared" si="942"/>
        <v>20605.338564514437</v>
      </c>
      <c r="DB113" s="178">
        <f t="shared" si="942"/>
        <v>20755.620753874988</v>
      </c>
      <c r="DE113" s="179"/>
      <c r="DF113" s="177">
        <v>13219.883276100332</v>
      </c>
    </row>
    <row r="114" spans="1:110" s="163" customFormat="1" x14ac:dyDescent="0.2">
      <c r="A114" s="163" t="s">
        <v>511</v>
      </c>
      <c r="E114" s="163" t="e">
        <f t="shared" ref="E114:AE114" ca="1" si="943">+E113/E80</f>
        <v>#DIV/0!</v>
      </c>
      <c r="F114" s="163" t="e">
        <f t="shared" ca="1" si="943"/>
        <v>#DIV/0!</v>
      </c>
      <c r="G114" s="163" t="e">
        <f t="shared" ca="1" si="943"/>
        <v>#DIV/0!</v>
      </c>
      <c r="H114" s="163" t="e">
        <f t="shared" ca="1" si="943"/>
        <v>#DIV/0!</v>
      </c>
      <c r="I114" s="163" t="e">
        <f t="shared" ca="1" si="943"/>
        <v>#DIV/0!</v>
      </c>
      <c r="J114" s="163" t="e">
        <f t="shared" ca="1" si="943"/>
        <v>#DIV/0!</v>
      </c>
      <c r="K114" s="163" t="e">
        <f t="shared" ca="1" si="943"/>
        <v>#DIV/0!</v>
      </c>
      <c r="L114" s="163" t="e">
        <f t="shared" ca="1" si="943"/>
        <v>#DIV/0!</v>
      </c>
      <c r="M114" s="163" t="e">
        <f t="shared" ca="1" si="943"/>
        <v>#DIV/0!</v>
      </c>
      <c r="N114" s="163" t="e">
        <f t="shared" ca="1" si="943"/>
        <v>#DIV/0!</v>
      </c>
      <c r="O114" s="163" t="e">
        <f t="shared" ca="1" si="943"/>
        <v>#DIV/0!</v>
      </c>
      <c r="P114" s="163" t="e">
        <f t="shared" ca="1" si="943"/>
        <v>#DIV/0!</v>
      </c>
      <c r="Q114" s="163" t="e">
        <f t="shared" ca="1" si="943"/>
        <v>#DIV/0!</v>
      </c>
      <c r="R114" s="163" t="e">
        <f t="shared" ca="1" si="943"/>
        <v>#DIV/0!</v>
      </c>
      <c r="S114" s="163" t="e">
        <f t="shared" ca="1" si="943"/>
        <v>#DIV/0!</v>
      </c>
      <c r="T114" s="163" t="e">
        <f t="shared" ca="1" si="943"/>
        <v>#DIV/0!</v>
      </c>
      <c r="U114" s="163" t="e">
        <f t="shared" ca="1" si="943"/>
        <v>#DIV/0!</v>
      </c>
      <c r="V114" s="163" t="e">
        <f t="shared" ca="1" si="943"/>
        <v>#DIV/0!</v>
      </c>
      <c r="W114" s="163" t="e">
        <f t="shared" ca="1" si="943"/>
        <v>#DIV/0!</v>
      </c>
      <c r="X114" s="163" t="e">
        <f t="shared" ca="1" si="943"/>
        <v>#DIV/0!</v>
      </c>
      <c r="Y114" s="163" t="e">
        <f t="shared" ca="1" si="943"/>
        <v>#DIV/0!</v>
      </c>
      <c r="Z114" s="163" t="e">
        <f t="shared" ref="Z114:AA114" ca="1" si="944">+Z113/Z80</f>
        <v>#DIV/0!</v>
      </c>
      <c r="AA114" s="163" t="e">
        <f t="shared" ca="1" si="944"/>
        <v>#DIV/0!</v>
      </c>
      <c r="AB114" s="94" t="e">
        <f t="shared" ca="1" si="943"/>
        <v>#DIV/0!</v>
      </c>
      <c r="AC114" s="94" t="e">
        <f t="shared" ca="1" si="943"/>
        <v>#DIV/0!</v>
      </c>
      <c r="AD114" s="94" t="e">
        <f t="shared" ca="1" si="943"/>
        <v>#DIV/0!</v>
      </c>
      <c r="AE114" s="94" t="e">
        <f t="shared" ca="1" si="943"/>
        <v>#DIV/0!</v>
      </c>
      <c r="AL114" s="163">
        <f t="shared" ref="AL114:BQ114" si="945">+AL113/AL80</f>
        <v>94.989068132127883</v>
      </c>
      <c r="AM114" s="163">
        <f t="shared" si="945"/>
        <v>101.04591384506294</v>
      </c>
      <c r="AN114" s="163">
        <f t="shared" si="945"/>
        <v>106.74821249187498</v>
      </c>
      <c r="AO114" s="163">
        <f t="shared" si="945"/>
        <v>113.18915085977665</v>
      </c>
      <c r="AP114" s="163">
        <f t="shared" si="945"/>
        <v>123.61874372156238</v>
      </c>
      <c r="AQ114" s="163">
        <f t="shared" si="945"/>
        <v>127.81421733735155</v>
      </c>
      <c r="AR114" s="163">
        <f t="shared" si="945"/>
        <v>135.05288660403002</v>
      </c>
      <c r="AS114" s="163">
        <f t="shared" si="945"/>
        <v>139.57336169709865</v>
      </c>
      <c r="AT114" s="163">
        <f t="shared" si="945"/>
        <v>137.47562488920406</v>
      </c>
      <c r="AU114" s="163">
        <f t="shared" si="945"/>
        <v>162.08710039591091</v>
      </c>
      <c r="AV114" s="163">
        <f t="shared" si="945"/>
        <v>176.15080068545768</v>
      </c>
      <c r="AW114" s="163">
        <f t="shared" si="945"/>
        <v>187.20085091295871</v>
      </c>
      <c r="AX114" s="163">
        <f t="shared" si="945"/>
        <v>197.51226141937011</v>
      </c>
      <c r="AY114" s="163">
        <f t="shared" si="945"/>
        <v>185.81220823731019</v>
      </c>
      <c r="AZ114" s="163">
        <f t="shared" si="945"/>
        <v>178.01217278260359</v>
      </c>
      <c r="BA114" s="163">
        <f t="shared" si="945"/>
        <v>175.0871594870886</v>
      </c>
      <c r="BB114" s="163">
        <f t="shared" si="945"/>
        <v>173.04851385688119</v>
      </c>
      <c r="BC114" s="163">
        <f t="shared" si="945"/>
        <v>167.46439756544351</v>
      </c>
      <c r="BD114" s="163">
        <f t="shared" si="945"/>
        <v>167.10985049932046</v>
      </c>
      <c r="BE114" s="163">
        <f t="shared" si="945"/>
        <v>167.70076227619219</v>
      </c>
      <c r="BF114" s="163">
        <f t="shared" si="945"/>
        <v>175.79625361933466</v>
      </c>
      <c r="BG114" s="163">
        <f t="shared" si="945"/>
        <v>190.86450392956334</v>
      </c>
      <c r="BH114" s="163">
        <f t="shared" si="945"/>
        <v>204.95774980795369</v>
      </c>
      <c r="BI114" s="163">
        <f t="shared" si="945"/>
        <v>222.33055604798207</v>
      </c>
      <c r="BJ114" s="163">
        <f t="shared" si="945"/>
        <v>226.70330319683274</v>
      </c>
      <c r="BK114" s="163">
        <f t="shared" si="945"/>
        <v>231.13514152337058</v>
      </c>
      <c r="BL114" s="163">
        <f t="shared" si="945"/>
        <v>234.41470188500858</v>
      </c>
      <c r="BM114" s="163">
        <f t="shared" si="945"/>
        <v>231.90332683330382</v>
      </c>
      <c r="BN114" s="163">
        <f t="shared" si="945"/>
        <v>234.56242982922652</v>
      </c>
      <c r="BO114" s="163">
        <f t="shared" si="945"/>
        <v>235.56697984990842</v>
      </c>
      <c r="BP114" s="163">
        <f t="shared" si="945"/>
        <v>235.92152691603147</v>
      </c>
      <c r="BQ114" s="163">
        <f t="shared" si="945"/>
        <v>236.77834899249544</v>
      </c>
      <c r="BR114" s="163">
        <f t="shared" ref="BR114:CW114" si="946">+BR113/BR80</f>
        <v>236.51243869290317</v>
      </c>
      <c r="BS114" s="163">
        <f t="shared" si="946"/>
        <v>238.81699462270285</v>
      </c>
      <c r="BT114" s="163">
        <f t="shared" si="946"/>
        <v>242.36246528393315</v>
      </c>
      <c r="BU114" s="163">
        <f t="shared" si="946"/>
        <v>245.7011168232583</v>
      </c>
      <c r="BV114" s="163">
        <f t="shared" si="946"/>
        <v>251.43296105891392</v>
      </c>
      <c r="BW114" s="163">
        <f t="shared" si="946"/>
        <v>257.72617148259769</v>
      </c>
      <c r="BX114" s="163">
        <f t="shared" si="946"/>
        <v>262.27619216450989</v>
      </c>
      <c r="BY114" s="163">
        <f t="shared" si="946"/>
        <v>273.59215269160319</v>
      </c>
      <c r="BZ114" s="163">
        <f t="shared" si="946"/>
        <v>284.22856467529402</v>
      </c>
      <c r="CA114" s="163">
        <f t="shared" si="946"/>
        <v>291.43768835312892</v>
      </c>
      <c r="CB114" s="163">
        <f t="shared" si="946"/>
        <v>302.34001063641199</v>
      </c>
      <c r="CC114" s="163">
        <f t="shared" si="946"/>
        <v>309.46049754771616</v>
      </c>
      <c r="CD114" s="163">
        <f t="shared" si="946"/>
        <v>316.96507711398692</v>
      </c>
      <c r="CE114" s="163">
        <f t="shared" si="946"/>
        <v>324.88329492406785</v>
      </c>
      <c r="CF114" s="163">
        <f t="shared" si="946"/>
        <v>331.64923476924901</v>
      </c>
      <c r="CG114" s="163">
        <f t="shared" si="946"/>
        <v>333.92424511020511</v>
      </c>
      <c r="CH114" s="163">
        <f t="shared" si="946"/>
        <v>340.2470011227324</v>
      </c>
      <c r="CI114" s="163">
        <f t="shared" si="946"/>
        <v>349.67204396383624</v>
      </c>
      <c r="CJ114" s="163">
        <f t="shared" si="946"/>
        <v>361.87437215623709</v>
      </c>
      <c r="CK114" s="163">
        <f t="shared" ref="CK114:CL114" si="947">+CK113/CK80</f>
        <v>376.46989304496844</v>
      </c>
      <c r="CL114" s="163">
        <f t="shared" si="947"/>
        <v>413.04733203332745</v>
      </c>
      <c r="CM114" s="50">
        <f t="shared" si="946"/>
        <v>430.20445967799645</v>
      </c>
      <c r="CN114" s="50">
        <f t="shared" si="946"/>
        <v>448.52822798022783</v>
      </c>
      <c r="CO114" s="50">
        <f t="shared" si="946"/>
        <v>467.00485249156429</v>
      </c>
      <c r="CP114" s="50">
        <f t="shared" si="946"/>
        <v>490.09659429149667</v>
      </c>
      <c r="CQ114" s="50">
        <f t="shared" si="946"/>
        <v>509.32567830048185</v>
      </c>
      <c r="CR114" s="50">
        <f t="shared" si="946"/>
        <v>529.32055214533841</v>
      </c>
      <c r="CS114" s="50">
        <f t="shared" si="946"/>
        <v>549.13273469635249</v>
      </c>
      <c r="CT114" s="50">
        <f t="shared" si="946"/>
        <v>573.91068834080113</v>
      </c>
      <c r="CU114" s="50">
        <f t="shared" si="946"/>
        <v>583.70928084749266</v>
      </c>
      <c r="CV114" s="50">
        <f t="shared" si="946"/>
        <v>589.94462966583217</v>
      </c>
      <c r="CW114" s="50">
        <f t="shared" si="946"/>
        <v>594.27722424692342</v>
      </c>
      <c r="CX114" s="50">
        <f t="shared" ref="CX114:DB114" si="948">+CX113/CX80</f>
        <v>598.56994692022386</v>
      </c>
      <c r="CY114" s="50">
        <f t="shared" si="948"/>
        <v>601.81060056793865</v>
      </c>
      <c r="CZ114" s="50">
        <f t="shared" si="948"/>
        <v>605.29203253185733</v>
      </c>
      <c r="DA114" s="50">
        <f t="shared" si="948"/>
        <v>608.79686121002305</v>
      </c>
      <c r="DB114" s="50">
        <f t="shared" si="948"/>
        <v>613.2370369873837</v>
      </c>
      <c r="DE114" s="164"/>
      <c r="DF114" s="163">
        <v>390.58923583585454</v>
      </c>
    </row>
    <row r="115" spans="1:110" s="163" customFormat="1" x14ac:dyDescent="0.2"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506</v>
      </c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507</v>
      </c>
      <c r="E117" s="163" t="e">
        <f t="shared" ref="E117:AE119" ca="1" si="949">+E92/E$114</f>
        <v>#DIV/0!</v>
      </c>
      <c r="F117" s="163" t="e">
        <f t="shared" ca="1" si="949"/>
        <v>#DIV/0!</v>
      </c>
      <c r="G117" s="163" t="e">
        <f t="shared" ca="1" si="949"/>
        <v>#DIV/0!</v>
      </c>
      <c r="H117" s="163" t="e">
        <f t="shared" ca="1" si="949"/>
        <v>#DIV/0!</v>
      </c>
      <c r="I117" s="163" t="e">
        <f t="shared" ca="1" si="949"/>
        <v>#DIV/0!</v>
      </c>
      <c r="J117" s="163" t="e">
        <f t="shared" ca="1" si="949"/>
        <v>#DIV/0!</v>
      </c>
      <c r="K117" s="163" t="e">
        <f t="shared" ca="1" si="949"/>
        <v>#DIV/0!</v>
      </c>
      <c r="L117" s="163" t="e">
        <f t="shared" ca="1" si="949"/>
        <v>#DIV/0!</v>
      </c>
      <c r="M117" s="163" t="e">
        <f t="shared" ca="1" si="949"/>
        <v>#DIV/0!</v>
      </c>
      <c r="N117" s="163" t="e">
        <f t="shared" ca="1" si="949"/>
        <v>#DIV/0!</v>
      </c>
      <c r="O117" s="163" t="e">
        <f t="shared" ca="1" si="949"/>
        <v>#DIV/0!</v>
      </c>
      <c r="P117" s="163" t="e">
        <f t="shared" ca="1" si="949"/>
        <v>#DIV/0!</v>
      </c>
      <c r="Q117" s="163" t="e">
        <f t="shared" ca="1" si="949"/>
        <v>#DIV/0!</v>
      </c>
      <c r="R117" s="163" t="e">
        <f t="shared" ca="1" si="949"/>
        <v>#DIV/0!</v>
      </c>
      <c r="S117" s="163" t="e">
        <f t="shared" ca="1" si="949"/>
        <v>#DIV/0!</v>
      </c>
      <c r="T117" s="163" t="e">
        <f t="shared" ca="1" si="949"/>
        <v>#DIV/0!</v>
      </c>
      <c r="U117" s="163" t="e">
        <f t="shared" ca="1" si="949"/>
        <v>#DIV/0!</v>
      </c>
      <c r="V117" s="163" t="e">
        <f t="shared" ca="1" si="949"/>
        <v>#DIV/0!</v>
      </c>
      <c r="W117" s="163" t="e">
        <f t="shared" ca="1" si="949"/>
        <v>#DIV/0!</v>
      </c>
      <c r="X117" s="163" t="e">
        <f t="shared" ca="1" si="949"/>
        <v>#DIV/0!</v>
      </c>
      <c r="Y117" s="163" t="e">
        <f t="shared" ca="1" si="949"/>
        <v>#DIV/0!</v>
      </c>
      <c r="Z117" s="163" t="e">
        <f ca="1">+Z92/Z$114</f>
        <v>#DIV/0!</v>
      </c>
      <c r="AA117" s="163" t="e">
        <f ca="1">+AA92/AA$114</f>
        <v>#DIV/0!</v>
      </c>
      <c r="AB117" s="50" t="e">
        <f t="shared" ref="AA117:AE117" ca="1" si="950">+AB92/AB$114</f>
        <v>#DIV/0!</v>
      </c>
      <c r="AC117" s="50" t="e">
        <f t="shared" ca="1" si="950"/>
        <v>#DIV/0!</v>
      </c>
      <c r="AD117" s="50" t="e">
        <f t="shared" ca="1" si="950"/>
        <v>#DIV/0!</v>
      </c>
      <c r="AE117" s="50" t="e">
        <f t="shared" ca="1" si="950"/>
        <v>#DIV/0!</v>
      </c>
      <c r="AL117" s="163">
        <f t="shared" ref="AL117:BQ117" si="951">+AL92/AL114</f>
        <v>1.829815824261275</v>
      </c>
      <c r="AM117" s="163">
        <f t="shared" si="951"/>
        <v>2.0332341228070172</v>
      </c>
      <c r="AN117" s="163">
        <f t="shared" si="951"/>
        <v>2.0461700941046219</v>
      </c>
      <c r="AO117" s="163">
        <f t="shared" si="951"/>
        <v>2.0940611198120593</v>
      </c>
      <c r="AP117" s="163">
        <f t="shared" si="951"/>
        <v>2.1180040511472273</v>
      </c>
      <c r="AQ117" s="163">
        <f t="shared" si="951"/>
        <v>2.7760996185852975</v>
      </c>
      <c r="AR117" s="163">
        <f t="shared" si="951"/>
        <v>3.2144814591993001</v>
      </c>
      <c r="AS117" s="163">
        <f t="shared" si="951"/>
        <v>4.0527074301439452</v>
      </c>
      <c r="AT117" s="163">
        <f t="shared" si="951"/>
        <v>4.2220211798839449</v>
      </c>
      <c r="AU117" s="163">
        <f t="shared" si="951"/>
        <v>4.0055624316441847</v>
      </c>
      <c r="AV117" s="163">
        <f t="shared" si="951"/>
        <v>4.257289760147601</v>
      </c>
      <c r="AW117" s="163">
        <f t="shared" si="951"/>
        <v>3.8825945312499996</v>
      </c>
      <c r="AX117" s="163">
        <f t="shared" si="951"/>
        <v>3.3914350186985787</v>
      </c>
      <c r="AY117" s="163">
        <f t="shared" si="951"/>
        <v>3.6885358960089039</v>
      </c>
      <c r="AZ117" s="163">
        <f t="shared" si="951"/>
        <v>4.5619071286307049</v>
      </c>
      <c r="BA117" s="163">
        <f t="shared" si="951"/>
        <v>3.7567003881201479</v>
      </c>
      <c r="BB117" s="163">
        <f t="shared" si="951"/>
        <v>4.4763458681919071</v>
      </c>
      <c r="BC117" s="163">
        <f t="shared" si="951"/>
        <v>3.6216653140437538</v>
      </c>
      <c r="BD117" s="163">
        <f t="shared" si="951"/>
        <v>3.6839539869165487</v>
      </c>
      <c r="BE117" s="163">
        <f t="shared" si="951"/>
        <v>4.2237434725158556</v>
      </c>
      <c r="BF117" s="163">
        <f t="shared" si="951"/>
        <v>3.5492792773109239</v>
      </c>
      <c r="BG117" s="163">
        <f t="shared" si="951"/>
        <v>3.6740723684210521</v>
      </c>
      <c r="BH117" s="163">
        <f t="shared" si="951"/>
        <v>4.025829717457114</v>
      </c>
      <c r="BI117" s="163">
        <f t="shared" si="951"/>
        <v>3.9833705980066441</v>
      </c>
      <c r="BJ117" s="163">
        <f t="shared" si="951"/>
        <v>4.3056276032842433</v>
      </c>
      <c r="BK117" s="163">
        <f t="shared" si="951"/>
        <v>3.3504208615620601</v>
      </c>
      <c r="BL117" s="163">
        <f t="shared" si="951"/>
        <v>3.554384572724981</v>
      </c>
      <c r="BM117" s="163">
        <f t="shared" si="951"/>
        <v>3.9821550324882145</v>
      </c>
      <c r="BN117" s="163">
        <f t="shared" si="951"/>
        <v>4.2025059201410757</v>
      </c>
      <c r="BO117" s="163">
        <f t="shared" si="951"/>
        <v>5.0323266900790165</v>
      </c>
      <c r="BP117" s="163">
        <f t="shared" si="951"/>
        <v>5.9346004508453341</v>
      </c>
      <c r="BQ117" s="163">
        <f t="shared" si="951"/>
        <v>5.9141809458447705</v>
      </c>
      <c r="BR117" s="163">
        <f t="shared" ref="BR117:DB117" si="952">+BR92/BR114</f>
        <v>5.3722333041848831</v>
      </c>
      <c r="BS117" s="163">
        <f t="shared" si="952"/>
        <v>6.07714288630459</v>
      </c>
      <c r="BT117" s="163">
        <f t="shared" si="952"/>
        <v>6.3475175423625494</v>
      </c>
      <c r="BU117" s="163">
        <f t="shared" si="952"/>
        <v>6.6730465909090908</v>
      </c>
      <c r="BV117" s="163">
        <f t="shared" si="952"/>
        <v>5.5607267802585199</v>
      </c>
      <c r="BW117" s="163">
        <f t="shared" si="952"/>
        <v>5.5473605640261372</v>
      </c>
      <c r="BX117" s="163">
        <f t="shared" si="952"/>
        <v>5.9427811084825946</v>
      </c>
      <c r="BY117" s="163">
        <f t="shared" si="952"/>
        <v>5.671398045356371</v>
      </c>
      <c r="BZ117" s="163">
        <f t="shared" si="952"/>
        <v>5.408851153846153</v>
      </c>
      <c r="CA117" s="163">
        <f t="shared" si="952"/>
        <v>6.5372464720194641</v>
      </c>
      <c r="CB117" s="163">
        <f t="shared" si="952"/>
        <v>6.3780840515977717</v>
      </c>
      <c r="CC117" s="163">
        <f t="shared" si="952"/>
        <v>7.4484466297498564</v>
      </c>
      <c r="CD117" s="163">
        <f t="shared" si="952"/>
        <v>8.2064245805369112</v>
      </c>
      <c r="CE117" s="163">
        <f t="shared" si="952"/>
        <v>8.5873913604947258</v>
      </c>
      <c r="CF117" s="163">
        <f t="shared" si="952"/>
        <v>10.251041291759464</v>
      </c>
      <c r="CG117" s="163">
        <f t="shared" si="952"/>
        <v>10.062012714563792</v>
      </c>
      <c r="CH117" s="163">
        <f t="shared" si="952"/>
        <v>9.5066230982980198</v>
      </c>
      <c r="CI117" s="163">
        <f t="shared" si="952"/>
        <v>9.7511369835234465</v>
      </c>
      <c r="CJ117" s="163">
        <f t="shared" si="952"/>
        <v>9.9499999918354014</v>
      </c>
      <c r="CK117" s="163">
        <f t="shared" ref="CK117:CL117" si="953">+CK92/CK114</f>
        <v>10.204534468686232</v>
      </c>
      <c r="CL117" s="163">
        <f t="shared" si="953"/>
        <v>10.218320450643775</v>
      </c>
      <c r="CM117" s="50">
        <f t="shared" si="952"/>
        <v>9.8108002022087639</v>
      </c>
      <c r="CN117" s="50">
        <f t="shared" si="952"/>
        <v>9.4099986058983465</v>
      </c>
      <c r="CO117" s="50">
        <f t="shared" si="952"/>
        <v>9.0377005238424992</v>
      </c>
      <c r="CP117" s="50">
        <f t="shared" si="952"/>
        <v>8.6118737595015133</v>
      </c>
      <c r="CQ117" s="50">
        <f t="shared" si="952"/>
        <v>8.2867410378433437</v>
      </c>
      <c r="CR117" s="50">
        <f t="shared" si="952"/>
        <v>7.9737126829738383</v>
      </c>
      <c r="CS117" s="50">
        <f t="shared" si="952"/>
        <v>7.6860287746893166</v>
      </c>
      <c r="CT117" s="50">
        <f t="shared" si="952"/>
        <v>7.3541930578119539</v>
      </c>
      <c r="CU117" s="50">
        <f t="shared" si="952"/>
        <v>7.2307399222297795</v>
      </c>
      <c r="CV117" s="50">
        <f t="shared" si="952"/>
        <v>7.1543154861681542</v>
      </c>
      <c r="CW117" s="50">
        <f t="shared" si="952"/>
        <v>7.1021567507461985</v>
      </c>
      <c r="CX117" s="50">
        <f t="shared" si="952"/>
        <v>7.0512227045747737</v>
      </c>
      <c r="CY117" s="50">
        <f t="shared" si="952"/>
        <v>7.0132530002244931</v>
      </c>
      <c r="CZ117" s="50">
        <f t="shared" si="952"/>
        <v>6.9729151767380335</v>
      </c>
      <c r="DA117" s="50">
        <f t="shared" si="952"/>
        <v>6.9327722741723496</v>
      </c>
      <c r="DB117" s="50">
        <f t="shared" si="952"/>
        <v>6.8825751633243772</v>
      </c>
      <c r="DE117" s="106"/>
      <c r="DF117" s="163">
        <v>10.805853343520536</v>
      </c>
    </row>
    <row r="118" spans="1:110" s="163" customFormat="1" x14ac:dyDescent="0.2">
      <c r="A118" s="163" t="s">
        <v>508</v>
      </c>
      <c r="E118" s="163" t="e">
        <f t="shared" ca="1" si="949"/>
        <v>#DIV/0!</v>
      </c>
      <c r="F118" s="163" t="e">
        <f t="shared" ca="1" si="949"/>
        <v>#DIV/0!</v>
      </c>
      <c r="G118" s="163" t="e">
        <f t="shared" ca="1" si="949"/>
        <v>#DIV/0!</v>
      </c>
      <c r="H118" s="163" t="e">
        <f t="shared" ca="1" si="949"/>
        <v>#DIV/0!</v>
      </c>
      <c r="I118" s="163" t="e">
        <f t="shared" ca="1" si="949"/>
        <v>#DIV/0!</v>
      </c>
      <c r="J118" s="163" t="e">
        <f t="shared" ca="1" si="949"/>
        <v>#DIV/0!</v>
      </c>
      <c r="K118" s="163" t="e">
        <f t="shared" ca="1" si="949"/>
        <v>#DIV/0!</v>
      </c>
      <c r="L118" s="163" t="e">
        <f t="shared" ca="1" si="949"/>
        <v>#DIV/0!</v>
      </c>
      <c r="M118" s="163" t="e">
        <f t="shared" ca="1" si="949"/>
        <v>#DIV/0!</v>
      </c>
      <c r="N118" s="163" t="e">
        <f t="shared" ca="1" si="949"/>
        <v>#DIV/0!</v>
      </c>
      <c r="O118" s="163" t="e">
        <f t="shared" ca="1" si="949"/>
        <v>#DIV/0!</v>
      </c>
      <c r="P118" s="163" t="e">
        <f t="shared" ca="1" si="949"/>
        <v>#DIV/0!</v>
      </c>
      <c r="Q118" s="163" t="e">
        <f t="shared" ca="1" si="949"/>
        <v>#DIV/0!</v>
      </c>
      <c r="R118" s="163" t="e">
        <f t="shared" ca="1" si="949"/>
        <v>#DIV/0!</v>
      </c>
      <c r="S118" s="163" t="e">
        <f t="shared" ca="1" si="949"/>
        <v>#DIV/0!</v>
      </c>
      <c r="T118" s="163" t="e">
        <f t="shared" ca="1" si="949"/>
        <v>#DIV/0!</v>
      </c>
      <c r="U118" s="163" t="e">
        <f t="shared" ca="1" si="949"/>
        <v>#DIV/0!</v>
      </c>
      <c r="V118" s="163" t="e">
        <f t="shared" ca="1" si="949"/>
        <v>#DIV/0!</v>
      </c>
      <c r="W118" s="163" t="e">
        <f t="shared" ca="1" si="949"/>
        <v>#DIV/0!</v>
      </c>
      <c r="X118" s="163" t="e">
        <f t="shared" ca="1" si="949"/>
        <v>#DIV/0!</v>
      </c>
      <c r="Y118" s="163" t="e">
        <f t="shared" ca="1" si="949"/>
        <v>#DIV/0!</v>
      </c>
      <c r="Z118" s="163" t="e">
        <f t="shared" ref="Z118:AA119" ca="1" si="954">+Z93/Z$114</f>
        <v>#DIV/0!</v>
      </c>
      <c r="AA118" s="163" t="e">
        <f t="shared" ca="1" si="954"/>
        <v>#DIV/0!</v>
      </c>
      <c r="AB118" s="94" t="e">
        <f t="shared" ca="1" si="949"/>
        <v>#DIV/0!</v>
      </c>
      <c r="AC118" s="94" t="e">
        <f t="shared" ca="1" si="949"/>
        <v>#DIV/0!</v>
      </c>
      <c r="AD118" s="94" t="e">
        <f t="shared" ca="1" si="949"/>
        <v>#DIV/0!</v>
      </c>
      <c r="AE118" s="94" t="e">
        <f t="shared" ca="1" si="949"/>
        <v>#DIV/0!</v>
      </c>
      <c r="AL118" s="163">
        <f t="shared" ref="AL118:BQ118" si="955">+AL93/AL114</f>
        <v>2.0176005909797823</v>
      </c>
      <c r="AM118" s="163">
        <f t="shared" si="955"/>
        <v>2.1569402631578942</v>
      </c>
      <c r="AN118" s="163">
        <f t="shared" si="955"/>
        <v>2.1770856352061996</v>
      </c>
      <c r="AO118" s="163">
        <f t="shared" si="955"/>
        <v>2.3014573218480812</v>
      </c>
      <c r="AP118" s="163">
        <f t="shared" si="955"/>
        <v>2.3378331739961755</v>
      </c>
      <c r="AQ118" s="163">
        <f t="shared" si="955"/>
        <v>2.8261722954230235</v>
      </c>
      <c r="AR118" s="163">
        <f t="shared" si="955"/>
        <v>3.4799330234084445</v>
      </c>
      <c r="AS118" s="163">
        <f t="shared" si="955"/>
        <v>4.2558264182895842</v>
      </c>
      <c r="AT118" s="163">
        <f t="shared" si="955"/>
        <v>4.4797032237266281</v>
      </c>
      <c r="AU118" s="163">
        <f t="shared" si="955"/>
        <v>4.2261228581844694</v>
      </c>
      <c r="AV118" s="163">
        <f t="shared" si="955"/>
        <v>4.8821804763502179</v>
      </c>
      <c r="AW118" s="163">
        <f t="shared" si="955"/>
        <v>4.3696382575757573</v>
      </c>
      <c r="AX118" s="163">
        <f t="shared" si="955"/>
        <v>3.8219146222887059</v>
      </c>
      <c r="AY118" s="163">
        <f t="shared" si="955"/>
        <v>3.9959699475274286</v>
      </c>
      <c r="AZ118" s="163">
        <f t="shared" si="955"/>
        <v>4.9653907717842314</v>
      </c>
      <c r="BA118" s="163">
        <f t="shared" si="955"/>
        <v>4.8532970806614912</v>
      </c>
      <c r="BB118" s="163">
        <f t="shared" si="955"/>
        <v>4.5423678162882011</v>
      </c>
      <c r="BC118" s="163">
        <f t="shared" si="955"/>
        <v>4.6278493295695124</v>
      </c>
      <c r="BD118" s="163">
        <f t="shared" si="955"/>
        <v>4.0898247347949086</v>
      </c>
      <c r="BE118" s="163">
        <f t="shared" si="955"/>
        <v>4.2777086416490482</v>
      </c>
      <c r="BF118" s="163">
        <f t="shared" si="955"/>
        <v>4.1887980252100832</v>
      </c>
      <c r="BG118" s="163">
        <f t="shared" si="955"/>
        <v>4.0000889860681115</v>
      </c>
      <c r="BH118" s="163">
        <f t="shared" si="955"/>
        <v>4.5666728917399446</v>
      </c>
      <c r="BI118" s="163">
        <f t="shared" si="955"/>
        <v>4.1220155083056476</v>
      </c>
      <c r="BJ118" s="163">
        <f t="shared" si="955"/>
        <v>4.3316528085494586</v>
      </c>
      <c r="BK118" s="163">
        <f t="shared" si="955"/>
        <v>4.2226378627125136</v>
      </c>
      <c r="BL118" s="163">
        <f t="shared" si="955"/>
        <v>3.7781333375346606</v>
      </c>
      <c r="BM118" s="163">
        <f t="shared" si="955"/>
        <v>4.1826696203338001</v>
      </c>
      <c r="BN118" s="163">
        <f t="shared" si="955"/>
        <v>4.8727965549817354</v>
      </c>
      <c r="BO118" s="163">
        <f t="shared" si="955"/>
        <v>5.687235965132321</v>
      </c>
      <c r="BP118" s="163">
        <f t="shared" si="955"/>
        <v>6.4428202880400747</v>
      </c>
      <c r="BQ118" s="163">
        <f t="shared" si="955"/>
        <v>6.206859732967307</v>
      </c>
      <c r="BR118" s="163">
        <f t="shared" ref="BR118:CJ118" si="956">+BR93/BR114</f>
        <v>6.1367808307307925</v>
      </c>
      <c r="BS118" s="163">
        <f t="shared" si="956"/>
        <v>6.2956156130149692</v>
      </c>
      <c r="BT118" s="163">
        <f t="shared" si="956"/>
        <v>6.7007075460197481</v>
      </c>
      <c r="BU118" s="163">
        <f t="shared" si="956"/>
        <v>6.724531908369408</v>
      </c>
      <c r="BV118" s="163">
        <f t="shared" si="956"/>
        <v>6.5621865687426553</v>
      </c>
      <c r="BW118" s="163">
        <f t="shared" si="956"/>
        <v>5.7306946807291066</v>
      </c>
      <c r="BX118" s="163">
        <f t="shared" si="956"/>
        <v>6.1195032105441012</v>
      </c>
      <c r="BY118" s="163">
        <f t="shared" si="956"/>
        <v>6.2965987257019433</v>
      </c>
      <c r="BZ118" s="163">
        <f t="shared" si="956"/>
        <v>5.7418577962577952</v>
      </c>
      <c r="CA118" s="163">
        <f t="shared" si="956"/>
        <v>6.7990520072992693</v>
      </c>
      <c r="CB118" s="163">
        <f t="shared" si="956"/>
        <v>6.945656962767516</v>
      </c>
      <c r="CC118" s="163">
        <f t="shared" si="956"/>
        <v>7.4642806377697148</v>
      </c>
      <c r="CD118" s="163">
        <f t="shared" si="956"/>
        <v>8.6619952740492163</v>
      </c>
      <c r="CE118" s="163">
        <f t="shared" si="956"/>
        <v>9.1635982720989446</v>
      </c>
      <c r="CF118" s="163">
        <f t="shared" si="956"/>
        <v>10.776445790645878</v>
      </c>
      <c r="CG118" s="163">
        <f t="shared" si="956"/>
        <v>10.750791691735973</v>
      </c>
      <c r="CH118" s="163">
        <f t="shared" si="956"/>
        <v>10.16908301493574</v>
      </c>
      <c r="CI118" s="163">
        <f t="shared" si="956"/>
        <v>9.9367394676806065</v>
      </c>
      <c r="CJ118" s="163">
        <f t="shared" si="956"/>
        <v>10.473247877204441</v>
      </c>
      <c r="CK118" s="163">
        <f t="shared" ref="CK118:CL118" si="957">+CK93/CK114</f>
        <v>10.307729971746978</v>
      </c>
      <c r="CL118" s="163">
        <f t="shared" si="957"/>
        <v>10.845488283261801</v>
      </c>
      <c r="CM118" s="94">
        <f t="shared" ref="CM118:DB118" si="958">+CL118</f>
        <v>10.845488283261801</v>
      </c>
      <c r="CN118" s="94">
        <f t="shared" si="958"/>
        <v>10.845488283261801</v>
      </c>
      <c r="CO118" s="94">
        <f t="shared" si="958"/>
        <v>10.845488283261801</v>
      </c>
      <c r="CP118" s="94">
        <f t="shared" si="958"/>
        <v>10.845488283261801</v>
      </c>
      <c r="CQ118" s="94">
        <f t="shared" si="958"/>
        <v>10.845488283261801</v>
      </c>
      <c r="CR118" s="94">
        <f t="shared" si="958"/>
        <v>10.845488283261801</v>
      </c>
      <c r="CS118" s="94">
        <f t="shared" si="958"/>
        <v>10.845488283261801</v>
      </c>
      <c r="CT118" s="94">
        <f t="shared" si="958"/>
        <v>10.845488283261801</v>
      </c>
      <c r="CU118" s="94">
        <f t="shared" si="958"/>
        <v>10.845488283261801</v>
      </c>
      <c r="CV118" s="94">
        <f t="shared" si="958"/>
        <v>10.845488283261801</v>
      </c>
      <c r="CW118" s="94">
        <f t="shared" si="958"/>
        <v>10.845488283261801</v>
      </c>
      <c r="CX118" s="94">
        <f t="shared" si="958"/>
        <v>10.845488283261801</v>
      </c>
      <c r="CY118" s="94">
        <f t="shared" si="958"/>
        <v>10.845488283261801</v>
      </c>
      <c r="CZ118" s="94">
        <f t="shared" si="958"/>
        <v>10.845488283261801</v>
      </c>
      <c r="DA118" s="94">
        <f t="shared" si="958"/>
        <v>10.845488283261801</v>
      </c>
      <c r="DB118" s="94">
        <f t="shared" si="958"/>
        <v>10.845488283261801</v>
      </c>
      <c r="DE118" s="164"/>
      <c r="DF118" s="163">
        <v>11.469082066262056</v>
      </c>
    </row>
    <row r="119" spans="1:110" s="163" customFormat="1" x14ac:dyDescent="0.2">
      <c r="A119" s="163" t="s">
        <v>509</v>
      </c>
      <c r="E119" s="163" t="e">
        <f t="shared" ca="1" si="949"/>
        <v>#DIV/0!</v>
      </c>
      <c r="F119" s="163" t="e">
        <f t="shared" ca="1" si="949"/>
        <v>#DIV/0!</v>
      </c>
      <c r="G119" s="163" t="e">
        <f t="shared" ca="1" si="949"/>
        <v>#DIV/0!</v>
      </c>
      <c r="H119" s="163" t="e">
        <f t="shared" ca="1" si="949"/>
        <v>#DIV/0!</v>
      </c>
      <c r="I119" s="163" t="e">
        <f t="shared" ca="1" si="949"/>
        <v>#DIV/0!</v>
      </c>
      <c r="J119" s="163" t="e">
        <f t="shared" ca="1" si="949"/>
        <v>#DIV/0!</v>
      </c>
      <c r="K119" s="163" t="e">
        <f t="shared" ca="1" si="949"/>
        <v>#DIV/0!</v>
      </c>
      <c r="L119" s="163" t="e">
        <f t="shared" ca="1" si="949"/>
        <v>#DIV/0!</v>
      </c>
      <c r="M119" s="163" t="e">
        <f t="shared" ca="1" si="949"/>
        <v>#DIV/0!</v>
      </c>
      <c r="N119" s="163" t="e">
        <f t="shared" ca="1" si="949"/>
        <v>#DIV/0!</v>
      </c>
      <c r="O119" s="163" t="e">
        <f t="shared" ca="1" si="949"/>
        <v>#DIV/0!</v>
      </c>
      <c r="P119" s="163" t="e">
        <f t="shared" ca="1" si="949"/>
        <v>#DIV/0!</v>
      </c>
      <c r="Q119" s="163" t="e">
        <f t="shared" ca="1" si="949"/>
        <v>#DIV/0!</v>
      </c>
      <c r="R119" s="163" t="e">
        <f t="shared" ca="1" si="949"/>
        <v>#DIV/0!</v>
      </c>
      <c r="S119" s="163" t="e">
        <f t="shared" ca="1" si="949"/>
        <v>#DIV/0!</v>
      </c>
      <c r="T119" s="163" t="e">
        <f t="shared" ca="1" si="949"/>
        <v>#DIV/0!</v>
      </c>
      <c r="U119" s="163" t="e">
        <f t="shared" ca="1" si="949"/>
        <v>#DIV/0!</v>
      </c>
      <c r="V119" s="163" t="e">
        <f t="shared" ca="1" si="949"/>
        <v>#DIV/0!</v>
      </c>
      <c r="W119" s="163" t="e">
        <f t="shared" ca="1" si="949"/>
        <v>#DIV/0!</v>
      </c>
      <c r="X119" s="163" t="e">
        <f t="shared" ca="1" si="949"/>
        <v>#DIV/0!</v>
      </c>
      <c r="Y119" s="163" t="e">
        <f t="shared" ca="1" si="949"/>
        <v>#DIV/0!</v>
      </c>
      <c r="Z119" s="163" t="e">
        <f t="shared" ca="1" si="954"/>
        <v>#DIV/0!</v>
      </c>
      <c r="AA119" s="163" t="e">
        <f t="shared" ca="1" si="954"/>
        <v>#DIV/0!</v>
      </c>
      <c r="AB119" s="94" t="e">
        <f t="shared" ca="1" si="949"/>
        <v>#DIV/0!</v>
      </c>
      <c r="AC119" s="94" t="e">
        <f t="shared" ca="1" si="949"/>
        <v>#DIV/0!</v>
      </c>
      <c r="AD119" s="94" t="e">
        <f t="shared" ca="1" si="949"/>
        <v>#DIV/0!</v>
      </c>
      <c r="AE119" s="94" t="e">
        <f t="shared" ca="1" si="949"/>
        <v>#DIV/0!</v>
      </c>
      <c r="AL119" s="163">
        <f t="shared" ref="AL119:BQ119" si="959">+AL94/AL114</f>
        <v>1.726514463452566</v>
      </c>
      <c r="AM119" s="163">
        <f t="shared" si="959"/>
        <v>1.6539510964912278</v>
      </c>
      <c r="AN119" s="163">
        <f t="shared" si="959"/>
        <v>1.8077586078051477</v>
      </c>
      <c r="AO119" s="163">
        <f t="shared" si="959"/>
        <v>1.7846233359436177</v>
      </c>
      <c r="AP119" s="163">
        <f t="shared" si="959"/>
        <v>1.8662218451242827</v>
      </c>
      <c r="AQ119" s="163">
        <f t="shared" si="959"/>
        <v>2.0459382801664354</v>
      </c>
      <c r="AR119" s="163">
        <f t="shared" si="959"/>
        <v>2.426827061912054</v>
      </c>
      <c r="AS119" s="163">
        <f t="shared" si="959"/>
        <v>2.9025954170194743</v>
      </c>
      <c r="AT119" s="163">
        <f t="shared" si="959"/>
        <v>3.7570296582849769</v>
      </c>
      <c r="AU119" s="163">
        <f t="shared" si="959"/>
        <v>3.4964225938753186</v>
      </c>
      <c r="AV119" s="163">
        <f t="shared" si="959"/>
        <v>3.6559584032203953</v>
      </c>
      <c r="AW119" s="163">
        <f t="shared" si="959"/>
        <v>3.6738615056818178</v>
      </c>
      <c r="AX119" s="163">
        <f t="shared" si="959"/>
        <v>3.0124712041884814</v>
      </c>
      <c r="AY119" s="163">
        <f t="shared" si="959"/>
        <v>3.3658983224678005</v>
      </c>
      <c r="AZ119" s="163">
        <f t="shared" si="959"/>
        <v>3.825861958506223</v>
      </c>
      <c r="BA119" s="163">
        <f t="shared" si="959"/>
        <v>3.3857422882213966</v>
      </c>
      <c r="BB119" s="163">
        <f t="shared" si="959"/>
        <v>3.4903506914802795</v>
      </c>
      <c r="BC119" s="163">
        <f t="shared" si="959"/>
        <v>3.4141585215243468</v>
      </c>
      <c r="BD119" s="163">
        <f t="shared" si="959"/>
        <v>3.438007982673267</v>
      </c>
      <c r="BE119" s="163">
        <f t="shared" si="959"/>
        <v>3.595690274841437</v>
      </c>
      <c r="BF119" s="163">
        <f t="shared" si="959"/>
        <v>3.4805918067226886</v>
      </c>
      <c r="BG119" s="163">
        <f t="shared" si="959"/>
        <v>3.2614760061919501</v>
      </c>
      <c r="BH119" s="163">
        <f t="shared" si="959"/>
        <v>3.400944832059968</v>
      </c>
      <c r="BI119" s="163">
        <f t="shared" si="959"/>
        <v>3.4091130498338869</v>
      </c>
      <c r="BJ119" s="163">
        <f t="shared" si="959"/>
        <v>3.7981361006125369</v>
      </c>
      <c r="BK119" s="163">
        <f t="shared" si="959"/>
        <v>3.1686008244918829</v>
      </c>
      <c r="BL119" s="163">
        <f t="shared" si="959"/>
        <v>3.099208343836652</v>
      </c>
      <c r="BM119" s="163">
        <f t="shared" si="959"/>
        <v>3.3519355268187025</v>
      </c>
      <c r="BN119" s="163">
        <f t="shared" si="959"/>
        <v>3.451106814460259</v>
      </c>
      <c r="BO119" s="163">
        <f t="shared" si="959"/>
        <v>4.1035038128684302</v>
      </c>
      <c r="BP119" s="163">
        <f t="shared" si="959"/>
        <v>4.7303864746399489</v>
      </c>
      <c r="BQ119" s="163">
        <f t="shared" si="959"/>
        <v>5.1130097204891438</v>
      </c>
      <c r="BR119" s="163">
        <f t="shared" ref="BR119:CJ119" si="960">+BR94/BR114</f>
        <v>4.8862123547782632</v>
      </c>
      <c r="BS119" s="163">
        <f t="shared" si="960"/>
        <v>5.1873402140294447</v>
      </c>
      <c r="BT119" s="163">
        <f t="shared" si="960"/>
        <v>5.8916920090210887</v>
      </c>
      <c r="BU119" s="163">
        <f t="shared" si="960"/>
        <v>5.5646877705627702</v>
      </c>
      <c r="BV119" s="163">
        <f t="shared" si="960"/>
        <v>5.0510481786133958</v>
      </c>
      <c r="BW119" s="163">
        <f t="shared" si="960"/>
        <v>4.8210082540410397</v>
      </c>
      <c r="BX119" s="163">
        <f t="shared" si="960"/>
        <v>5.4179526867184844</v>
      </c>
      <c r="BY119" s="163">
        <f t="shared" si="960"/>
        <v>5.59683450323974</v>
      </c>
      <c r="BZ119" s="163">
        <f t="shared" si="960"/>
        <v>5.0879826299376294</v>
      </c>
      <c r="CA119" s="163">
        <f t="shared" si="960"/>
        <v>5.2294197384428216</v>
      </c>
      <c r="CB119" s="163">
        <f t="shared" si="960"/>
        <v>5.8588011433597185</v>
      </c>
      <c r="CC119" s="163">
        <f t="shared" si="960"/>
        <v>5.8902509833874346</v>
      </c>
      <c r="CD119" s="163">
        <f t="shared" si="960"/>
        <v>7.1621454977628627</v>
      </c>
      <c r="CE119" s="163">
        <f t="shared" si="960"/>
        <v>7.7216958803201159</v>
      </c>
      <c r="CF119" s="163">
        <f t="shared" si="960"/>
        <v>8.3229500044543414</v>
      </c>
      <c r="CG119" s="163">
        <f t="shared" si="960"/>
        <v>9.166150840559192</v>
      </c>
      <c r="CH119" s="163">
        <f t="shared" si="960"/>
        <v>8.4980910646057648</v>
      </c>
      <c r="CI119" s="163">
        <f t="shared" si="960"/>
        <v>8.8683097591888451</v>
      </c>
      <c r="CJ119" s="163">
        <f t="shared" si="960"/>
        <v>9.0903093811234488</v>
      </c>
      <c r="CK119" s="163">
        <f t="shared" ref="CK119:CL119" si="961">+CK94/CK114</f>
        <v>9.2437670695338241</v>
      </c>
      <c r="CL119" s="163">
        <f t="shared" si="961"/>
        <v>9.0161579828326168</v>
      </c>
      <c r="CM119" s="94">
        <f t="shared" ref="CM119:DB119" si="962">+CL119</f>
        <v>9.0161579828326168</v>
      </c>
      <c r="CN119" s="94">
        <f t="shared" si="962"/>
        <v>9.0161579828326168</v>
      </c>
      <c r="CO119" s="94">
        <f t="shared" si="962"/>
        <v>9.0161579828326168</v>
      </c>
      <c r="CP119" s="94">
        <f t="shared" si="962"/>
        <v>9.0161579828326168</v>
      </c>
      <c r="CQ119" s="94">
        <f t="shared" si="962"/>
        <v>9.0161579828326168</v>
      </c>
      <c r="CR119" s="94">
        <f t="shared" si="962"/>
        <v>9.0161579828326168</v>
      </c>
      <c r="CS119" s="94">
        <f t="shared" si="962"/>
        <v>9.0161579828326168</v>
      </c>
      <c r="CT119" s="94">
        <f t="shared" si="962"/>
        <v>9.0161579828326168</v>
      </c>
      <c r="CU119" s="94">
        <f t="shared" si="962"/>
        <v>9.0161579828326168</v>
      </c>
      <c r="CV119" s="94">
        <f t="shared" si="962"/>
        <v>9.0161579828326168</v>
      </c>
      <c r="CW119" s="94">
        <f t="shared" si="962"/>
        <v>9.0161579828326168</v>
      </c>
      <c r="CX119" s="94">
        <f t="shared" si="962"/>
        <v>9.0161579828326168</v>
      </c>
      <c r="CY119" s="94">
        <f t="shared" si="962"/>
        <v>9.0161579828326168</v>
      </c>
      <c r="CZ119" s="94">
        <f t="shared" si="962"/>
        <v>9.0161579828326168</v>
      </c>
      <c r="DA119" s="94">
        <f t="shared" si="962"/>
        <v>9.0161579828326168</v>
      </c>
      <c r="DB119" s="94">
        <f t="shared" si="962"/>
        <v>9.0161579828326168</v>
      </c>
      <c r="DE119" s="164"/>
      <c r="DF119" s="163">
        <v>9.5345689494757515</v>
      </c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162" customFormat="1" x14ac:dyDescent="0.2">
      <c r="A122" s="49" t="s">
        <v>340</v>
      </c>
      <c r="B122" s="162">
        <f t="shared" ref="B122:AE122" si="963">+B93*B80</f>
        <v>52.966012499999998</v>
      </c>
      <c r="C122" s="162">
        <f t="shared" si="963"/>
        <v>34.520137499999997</v>
      </c>
      <c r="D122" s="162">
        <f t="shared" si="963"/>
        <v>34.950850000000003</v>
      </c>
      <c r="E122" s="162" t="e">
        <f t="shared" ca="1" si="963"/>
        <v>#DIV/0!</v>
      </c>
      <c r="F122" s="162" t="e">
        <f t="shared" ca="1" si="963"/>
        <v>#DIV/0!</v>
      </c>
      <c r="G122" s="162" t="e">
        <f t="shared" ca="1" si="963"/>
        <v>#DIV/0!</v>
      </c>
      <c r="H122" s="162" t="e">
        <f t="shared" ca="1" si="963"/>
        <v>#DIV/0!</v>
      </c>
      <c r="I122" s="162" t="e">
        <f t="shared" ca="1" si="963"/>
        <v>#DIV/0!</v>
      </c>
      <c r="J122" s="162" t="e">
        <f t="shared" ca="1" si="963"/>
        <v>#DIV/0!</v>
      </c>
      <c r="K122" s="162" t="e">
        <f t="shared" ca="1" si="963"/>
        <v>#DIV/0!</v>
      </c>
      <c r="L122" s="162" t="e">
        <f t="shared" ca="1" si="963"/>
        <v>#DIV/0!</v>
      </c>
      <c r="M122" s="162" t="e">
        <f t="shared" ca="1" si="963"/>
        <v>#DIV/0!</v>
      </c>
      <c r="N122" s="162" t="e">
        <f t="shared" ca="1" si="963"/>
        <v>#DIV/0!</v>
      </c>
      <c r="O122" s="162" t="e">
        <f t="shared" ca="1" si="963"/>
        <v>#DIV/0!</v>
      </c>
      <c r="P122" s="162" t="e">
        <f t="shared" ca="1" si="963"/>
        <v>#DIV/0!</v>
      </c>
      <c r="Q122" s="162" t="e">
        <f t="shared" ca="1" si="963"/>
        <v>#DIV/0!</v>
      </c>
      <c r="R122" s="162" t="e">
        <f t="shared" ca="1" si="963"/>
        <v>#DIV/0!</v>
      </c>
      <c r="S122" s="162" t="e">
        <f t="shared" ca="1" si="963"/>
        <v>#DIV/0!</v>
      </c>
      <c r="T122" s="162" t="e">
        <f t="shared" ca="1" si="963"/>
        <v>#DIV/0!</v>
      </c>
      <c r="U122" s="162" t="e">
        <f t="shared" ca="1" si="963"/>
        <v>#DIV/0!</v>
      </c>
      <c r="V122" s="162" t="e">
        <f t="shared" ca="1" si="963"/>
        <v>#DIV/0!</v>
      </c>
      <c r="W122" s="162" t="e">
        <f t="shared" ca="1" si="963"/>
        <v>#DIV/0!</v>
      </c>
      <c r="X122" s="162" t="e">
        <f t="shared" ca="1" si="963"/>
        <v>#DIV/0!</v>
      </c>
      <c r="Y122" s="162" t="e">
        <f t="shared" ca="1" si="963"/>
        <v>#DIV/0!</v>
      </c>
      <c r="Z122" s="162" t="e">
        <f t="shared" ca="1" si="963"/>
        <v>#DIV/0!</v>
      </c>
      <c r="AA122" s="162" t="e">
        <f t="shared" ref="AA122" ca="1" si="964">+AA93*AA80</f>
        <v>#DIV/0!</v>
      </c>
      <c r="AB122" s="21" t="e">
        <f t="shared" ca="1" si="963"/>
        <v>#DIV/0!</v>
      </c>
      <c r="AC122" s="21" t="e">
        <f t="shared" ca="1" si="963"/>
        <v>#DIV/0!</v>
      </c>
      <c r="AD122" s="21" t="e">
        <f t="shared" ca="1" si="963"/>
        <v>#DIV/0!</v>
      </c>
      <c r="AE122" s="21" t="e">
        <f t="shared" ca="1" si="963"/>
        <v>#DIV/0!</v>
      </c>
      <c r="AL122" s="162">
        <f t="shared" ref="AL122:BQ122" si="965">+AL93*AL80</f>
        <v>6486.5858999999991</v>
      </c>
      <c r="AM122" s="162">
        <f t="shared" si="965"/>
        <v>7376.7356999999993</v>
      </c>
      <c r="AN122" s="162">
        <f t="shared" si="965"/>
        <v>7865.8103999999994</v>
      </c>
      <c r="AO122" s="162">
        <f t="shared" si="965"/>
        <v>8816.8829999999998</v>
      </c>
      <c r="AP122" s="162">
        <f t="shared" si="965"/>
        <v>9781.4939999999988</v>
      </c>
      <c r="AQ122" s="162">
        <f t="shared" si="965"/>
        <v>12226.021349999999</v>
      </c>
      <c r="AR122" s="162">
        <f t="shared" si="965"/>
        <v>15906.77385</v>
      </c>
      <c r="AS122" s="162">
        <f t="shared" si="965"/>
        <v>20104.523999999998</v>
      </c>
      <c r="AT122" s="162">
        <f t="shared" si="965"/>
        <v>20844.059099999999</v>
      </c>
      <c r="AU122" s="162">
        <f t="shared" si="965"/>
        <v>23184.51</v>
      </c>
      <c r="AV122" s="162">
        <f t="shared" si="965"/>
        <v>29107.559999999998</v>
      </c>
      <c r="AW122" s="162">
        <f t="shared" si="965"/>
        <v>27686.027999999998</v>
      </c>
      <c r="AX122" s="162">
        <f t="shared" si="965"/>
        <v>25549.499249999997</v>
      </c>
      <c r="AY122" s="162">
        <f t="shared" si="965"/>
        <v>25130.654999999999</v>
      </c>
      <c r="AZ122" s="162">
        <f t="shared" si="965"/>
        <v>29916.479399999997</v>
      </c>
      <c r="BA122" s="162">
        <f t="shared" si="965"/>
        <v>28760.638499999997</v>
      </c>
      <c r="BB122" s="162">
        <f t="shared" si="965"/>
        <v>26604.648299999997</v>
      </c>
      <c r="BC122" s="162">
        <f t="shared" si="965"/>
        <v>26230.649999999998</v>
      </c>
      <c r="BD122" s="162">
        <f t="shared" si="965"/>
        <v>23132.048699999999</v>
      </c>
      <c r="BE122" s="162">
        <f t="shared" si="965"/>
        <v>24280.274249999999</v>
      </c>
      <c r="BF122" s="162">
        <f t="shared" si="965"/>
        <v>24923.348249999999</v>
      </c>
      <c r="BG122" s="162">
        <f t="shared" si="965"/>
        <v>25840.574849999997</v>
      </c>
      <c r="BH122" s="162">
        <f t="shared" si="965"/>
        <v>31679.009849999999</v>
      </c>
      <c r="BI122" s="162">
        <f t="shared" si="965"/>
        <v>31018.166699999998</v>
      </c>
      <c r="BJ122" s="162">
        <f t="shared" si="965"/>
        <v>33236.771999999997</v>
      </c>
      <c r="BK122" s="162">
        <f t="shared" si="965"/>
        <v>33033.695999999996</v>
      </c>
      <c r="BL122" s="162">
        <f t="shared" si="965"/>
        <v>29975.709899999994</v>
      </c>
      <c r="BM122" s="162">
        <f t="shared" si="965"/>
        <v>32829.773849999998</v>
      </c>
      <c r="BN122" s="162">
        <f t="shared" si="965"/>
        <v>38685.131849999991</v>
      </c>
      <c r="BO122" s="162">
        <f t="shared" si="965"/>
        <v>45344.33234999999</v>
      </c>
      <c r="BP122" s="162">
        <f t="shared" si="965"/>
        <v>51445.919999999998</v>
      </c>
      <c r="BQ122" s="162">
        <f t="shared" si="965"/>
        <v>49741.7739</v>
      </c>
      <c r="BR122" s="162">
        <f t="shared" ref="BR122:CJ122" si="966">+BR93*BR80</f>
        <v>49124.93054999999</v>
      </c>
      <c r="BS122" s="162">
        <f t="shared" si="966"/>
        <v>50887.460999999996</v>
      </c>
      <c r="BT122" s="162">
        <f t="shared" si="966"/>
        <v>54965.903999999995</v>
      </c>
      <c r="BU122" s="162">
        <f t="shared" si="966"/>
        <v>55921.20734999999</v>
      </c>
      <c r="BV122" s="162">
        <f t="shared" si="966"/>
        <v>55844.207699999999</v>
      </c>
      <c r="BW122" s="162">
        <f t="shared" si="966"/>
        <v>49988.849699999999</v>
      </c>
      <c r="BX122" s="162">
        <f t="shared" si="966"/>
        <v>54322.829999999994</v>
      </c>
      <c r="BY122" s="162">
        <f t="shared" si="966"/>
        <v>58306.504199999996</v>
      </c>
      <c r="BZ122" s="162">
        <f t="shared" si="966"/>
        <v>55236.671999999991</v>
      </c>
      <c r="CA122" s="162">
        <f t="shared" si="966"/>
        <v>67065.848999999987</v>
      </c>
      <c r="CB122" s="162">
        <f t="shared" si="966"/>
        <v>71074.907699999982</v>
      </c>
      <c r="CC122" s="162">
        <f t="shared" si="966"/>
        <v>78180.87539999999</v>
      </c>
      <c r="CD122" s="162">
        <f t="shared" si="966"/>
        <v>92925.885299999994</v>
      </c>
      <c r="CE122" s="162">
        <f t="shared" si="966"/>
        <v>100762.92659999999</v>
      </c>
      <c r="CF122" s="162">
        <f t="shared" si="966"/>
        <v>120965.60399999999</v>
      </c>
      <c r="CG122" s="162">
        <f t="shared" si="966"/>
        <v>121505.44769999998</v>
      </c>
      <c r="CH122" s="162">
        <f t="shared" si="966"/>
        <v>117107.15999999999</v>
      </c>
      <c r="CI122" s="162">
        <f t="shared" si="966"/>
        <v>117601.31159999999</v>
      </c>
      <c r="CJ122" s="162">
        <f t="shared" si="966"/>
        <v>128276.33999999998</v>
      </c>
      <c r="CK122" s="162">
        <f t="shared" ref="CK122:CL122" si="967">+CK93*CK80</f>
        <v>131341.09529999999</v>
      </c>
      <c r="CL122" s="162">
        <f t="shared" si="967"/>
        <v>151619.92619999999</v>
      </c>
      <c r="CM122" s="21">
        <f t="shared" ref="CM122:DB122" si="968">+CM93*CM80</f>
        <v>159643.34890196912</v>
      </c>
      <c r="CN122" s="21">
        <f t="shared" si="968"/>
        <v>161270.91025612399</v>
      </c>
      <c r="CO122" s="21">
        <f t="shared" si="968"/>
        <v>160612.98721614422</v>
      </c>
      <c r="CP122" s="21">
        <f t="shared" si="968"/>
        <v>192067.97328258419</v>
      </c>
      <c r="CQ122" s="21">
        <f t="shared" si="968"/>
        <v>206274.98466352743</v>
      </c>
      <c r="CR122" s="21">
        <f t="shared" si="968"/>
        <v>221220.10284533154</v>
      </c>
      <c r="CS122" s="21">
        <f t="shared" si="968"/>
        <v>236324.57181917186</v>
      </c>
      <c r="CT122" s="21">
        <f t="shared" si="968"/>
        <v>256134.69712709944</v>
      </c>
      <c r="CU122" s="21">
        <f t="shared" si="968"/>
        <v>266567.98586323881</v>
      </c>
      <c r="CV122" s="21">
        <f t="shared" si="968"/>
        <v>275287.40577525453</v>
      </c>
      <c r="CW122" s="21">
        <f t="shared" si="968"/>
        <v>283194.80758817674</v>
      </c>
      <c r="CX122" s="21">
        <f t="shared" si="968"/>
        <v>292878.77495397377</v>
      </c>
      <c r="CY122" s="21">
        <f t="shared" si="968"/>
        <v>297117.2496371704</v>
      </c>
      <c r="CZ122" s="21">
        <f t="shared" si="968"/>
        <v>300961.19058829191</v>
      </c>
      <c r="DA122" s="21">
        <f t="shared" si="968"/>
        <v>304012.54805825074</v>
      </c>
      <c r="DB122" s="21">
        <f t="shared" si="968"/>
        <v>306338.61281462118</v>
      </c>
      <c r="DE122" s="22"/>
      <c r="DF122" s="162">
        <v>151619.92619999999</v>
      </c>
    </row>
    <row r="123" spans="1:110" s="162" customFormat="1" x14ac:dyDescent="0.2">
      <c r="A123" s="49" t="s">
        <v>341</v>
      </c>
      <c r="B123" s="162">
        <f t="shared" ref="B123:AE123" si="969">+B94*B80</f>
        <v>12.51684375</v>
      </c>
      <c r="C123" s="162">
        <f t="shared" si="969"/>
        <v>11.59455</v>
      </c>
      <c r="D123" s="162">
        <f t="shared" si="969"/>
        <v>20.70673</v>
      </c>
      <c r="E123" s="162" t="e">
        <f t="shared" ca="1" si="969"/>
        <v>#DIV/0!</v>
      </c>
      <c r="F123" s="162" t="e">
        <f t="shared" ca="1" si="969"/>
        <v>#DIV/0!</v>
      </c>
      <c r="G123" s="162" t="e">
        <f t="shared" ca="1" si="969"/>
        <v>#DIV/0!</v>
      </c>
      <c r="H123" s="162" t="e">
        <f t="shared" ca="1" si="969"/>
        <v>#DIV/0!</v>
      </c>
      <c r="I123" s="162" t="e">
        <f t="shared" ca="1" si="969"/>
        <v>#DIV/0!</v>
      </c>
      <c r="J123" s="162" t="e">
        <f t="shared" ca="1" si="969"/>
        <v>#DIV/0!</v>
      </c>
      <c r="K123" s="162" t="e">
        <f t="shared" ca="1" si="969"/>
        <v>#DIV/0!</v>
      </c>
      <c r="L123" s="162" t="e">
        <f t="shared" ca="1" si="969"/>
        <v>#DIV/0!</v>
      </c>
      <c r="M123" s="162" t="e">
        <f t="shared" ca="1" si="969"/>
        <v>#DIV/0!</v>
      </c>
      <c r="N123" s="162" t="e">
        <f t="shared" ca="1" si="969"/>
        <v>#DIV/0!</v>
      </c>
      <c r="O123" s="162" t="e">
        <f t="shared" ca="1" si="969"/>
        <v>#DIV/0!</v>
      </c>
      <c r="P123" s="162" t="e">
        <f t="shared" ca="1" si="969"/>
        <v>#DIV/0!</v>
      </c>
      <c r="Q123" s="162" t="e">
        <f t="shared" ca="1" si="969"/>
        <v>#DIV/0!</v>
      </c>
      <c r="R123" s="162" t="e">
        <f t="shared" ca="1" si="969"/>
        <v>#DIV/0!</v>
      </c>
      <c r="S123" s="162" t="e">
        <f t="shared" ca="1" si="969"/>
        <v>#DIV/0!</v>
      </c>
      <c r="T123" s="162" t="e">
        <f t="shared" ca="1" si="969"/>
        <v>#DIV/0!</v>
      </c>
      <c r="U123" s="162" t="e">
        <f t="shared" ca="1" si="969"/>
        <v>#DIV/0!</v>
      </c>
      <c r="V123" s="162" t="e">
        <f t="shared" ca="1" si="969"/>
        <v>#DIV/0!</v>
      </c>
      <c r="W123" s="162" t="e">
        <f t="shared" ca="1" si="969"/>
        <v>#DIV/0!</v>
      </c>
      <c r="X123" s="162" t="e">
        <f t="shared" ca="1" si="969"/>
        <v>#DIV/0!</v>
      </c>
      <c r="Y123" s="162" t="e">
        <f t="shared" ca="1" si="969"/>
        <v>#DIV/0!</v>
      </c>
      <c r="Z123" s="162" t="e">
        <f t="shared" ca="1" si="969"/>
        <v>#DIV/0!</v>
      </c>
      <c r="AA123" s="162" t="e">
        <f t="shared" ref="AA123" ca="1" si="970">+AA94*AA80</f>
        <v>#DIV/0!</v>
      </c>
      <c r="AB123" s="21" t="e">
        <f t="shared" ca="1" si="969"/>
        <v>#DIV/0!</v>
      </c>
      <c r="AC123" s="21" t="e">
        <f t="shared" ca="1" si="969"/>
        <v>#DIV/0!</v>
      </c>
      <c r="AD123" s="21" t="e">
        <f t="shared" ca="1" si="969"/>
        <v>#DIV/0!</v>
      </c>
      <c r="AE123" s="21" t="e">
        <f t="shared" ca="1" si="969"/>
        <v>#DIV/0!</v>
      </c>
      <c r="AL123" s="162">
        <f t="shared" ref="AL123:BQ123" si="971">+AL94*AL80</f>
        <v>5550.7439999999997</v>
      </c>
      <c r="AM123" s="162">
        <f t="shared" si="971"/>
        <v>5656.5127499999999</v>
      </c>
      <c r="AN123" s="162">
        <f t="shared" si="971"/>
        <v>6531.431849999999</v>
      </c>
      <c r="AO123" s="162">
        <f t="shared" si="971"/>
        <v>6836.8919999999989</v>
      </c>
      <c r="AP123" s="162">
        <f t="shared" si="971"/>
        <v>7808.2721999999985</v>
      </c>
      <c r="AQ123" s="162">
        <f t="shared" si="971"/>
        <v>8850.7289999999994</v>
      </c>
      <c r="AR123" s="162">
        <f t="shared" si="971"/>
        <v>11093.026499999998</v>
      </c>
      <c r="AS123" s="162">
        <f t="shared" si="971"/>
        <v>13711.860749999998</v>
      </c>
      <c r="AT123" s="162">
        <f t="shared" si="971"/>
        <v>17481.458999999999</v>
      </c>
      <c r="AU123" s="162">
        <f t="shared" si="971"/>
        <v>19181.374349999998</v>
      </c>
      <c r="AV123" s="162">
        <f t="shared" si="971"/>
        <v>21796.823999999997</v>
      </c>
      <c r="AW123" s="162">
        <f t="shared" si="971"/>
        <v>23277.586499999998</v>
      </c>
      <c r="AX123" s="162">
        <f t="shared" si="971"/>
        <v>20138.37</v>
      </c>
      <c r="AY123" s="162">
        <f t="shared" si="971"/>
        <v>21168.134549999995</v>
      </c>
      <c r="AZ123" s="162">
        <f t="shared" si="971"/>
        <v>23050.818299999995</v>
      </c>
      <c r="BA123" s="162">
        <f t="shared" si="971"/>
        <v>20063.908799999997</v>
      </c>
      <c r="BB123" s="162">
        <f t="shared" si="971"/>
        <v>20442.983999999997</v>
      </c>
      <c r="BC123" s="162">
        <f t="shared" si="971"/>
        <v>19351.450499999999</v>
      </c>
      <c r="BD123" s="162">
        <f t="shared" si="971"/>
        <v>19445.373149999996</v>
      </c>
      <c r="BE123" s="162">
        <f t="shared" si="971"/>
        <v>20409.137999999999</v>
      </c>
      <c r="BF123" s="162">
        <f t="shared" si="971"/>
        <v>20709.521249999998</v>
      </c>
      <c r="BG123" s="162">
        <f t="shared" si="971"/>
        <v>21069.134999999998</v>
      </c>
      <c r="BH123" s="162">
        <f t="shared" si="971"/>
        <v>23592.354299999995</v>
      </c>
      <c r="BI123" s="162">
        <f t="shared" si="971"/>
        <v>25653.575699999998</v>
      </c>
      <c r="BJ123" s="162">
        <f t="shared" si="971"/>
        <v>29143.098299999994</v>
      </c>
      <c r="BK123" s="162">
        <f t="shared" si="971"/>
        <v>24787.964249999997</v>
      </c>
      <c r="BL123" s="162">
        <f t="shared" si="971"/>
        <v>24589.118999999999</v>
      </c>
      <c r="BM123" s="162">
        <f t="shared" si="971"/>
        <v>26309.341949999998</v>
      </c>
      <c r="BN123" s="162">
        <f t="shared" si="971"/>
        <v>27398.336999999996</v>
      </c>
      <c r="BO123" s="162">
        <f t="shared" si="971"/>
        <v>32717.235899999996</v>
      </c>
      <c r="BP123" s="162">
        <f t="shared" si="971"/>
        <v>37772.135999999999</v>
      </c>
      <c r="BQ123" s="162">
        <f t="shared" si="971"/>
        <v>40975.659899999999</v>
      </c>
      <c r="BR123" s="162">
        <f t="shared" ref="BR123:CJ123" si="972">+BR94*BR80</f>
        <v>39114.1299</v>
      </c>
      <c r="BS123" s="162">
        <f t="shared" si="972"/>
        <v>41929.270949999998</v>
      </c>
      <c r="BT123" s="162">
        <f t="shared" si="972"/>
        <v>48329.549549999996</v>
      </c>
      <c r="BU123" s="162">
        <f t="shared" si="972"/>
        <v>46275.943499999994</v>
      </c>
      <c r="BV123" s="162">
        <f t="shared" si="972"/>
        <v>42984.42</v>
      </c>
      <c r="BW123" s="162">
        <f t="shared" si="972"/>
        <v>42053.654999999999</v>
      </c>
      <c r="BX123" s="162">
        <f t="shared" si="972"/>
        <v>48095.165999999997</v>
      </c>
      <c r="BY123" s="162">
        <f t="shared" si="972"/>
        <v>51826.687499999993</v>
      </c>
      <c r="BZ123" s="162">
        <f t="shared" si="972"/>
        <v>48946.392899999999</v>
      </c>
      <c r="CA123" s="162">
        <f t="shared" si="972"/>
        <v>51582.996299999992</v>
      </c>
      <c r="CB123" s="162">
        <f t="shared" si="972"/>
        <v>59953.112099999991</v>
      </c>
      <c r="CC123" s="162">
        <f t="shared" si="972"/>
        <v>61694.488799999992</v>
      </c>
      <c r="CD123" s="162">
        <f t="shared" si="972"/>
        <v>76835.496899999998</v>
      </c>
      <c r="CE123" s="162">
        <f t="shared" si="972"/>
        <v>84907.767899999992</v>
      </c>
      <c r="CF123" s="162">
        <f t="shared" si="972"/>
        <v>93425.113799999992</v>
      </c>
      <c r="CG123" s="162">
        <f t="shared" si="972"/>
        <v>103595.83679999999</v>
      </c>
      <c r="CH123" s="162">
        <f t="shared" si="972"/>
        <v>97864.016699999978</v>
      </c>
      <c r="CI123" s="162">
        <f t="shared" si="972"/>
        <v>104956.446</v>
      </c>
      <c r="CJ123" s="162">
        <f t="shared" si="972"/>
        <v>111338.1093</v>
      </c>
      <c r="CK123" s="162">
        <f t="shared" ref="CK123:CL123" si="973">+CK94*CK80</f>
        <v>117784.07999999999</v>
      </c>
      <c r="CL123" s="162">
        <f t="shared" si="973"/>
        <v>126045.88859999999</v>
      </c>
      <c r="CM123" s="21">
        <f t="shared" ref="CM123:DB123" si="974">+CM94*CM80</f>
        <v>129995.29839160341</v>
      </c>
      <c r="CN123" s="21">
        <f t="shared" si="974"/>
        <v>131320.59835141525</v>
      </c>
      <c r="CO123" s="21">
        <f t="shared" si="974"/>
        <v>130784.86101886031</v>
      </c>
      <c r="CP123" s="21">
        <f t="shared" si="974"/>
        <v>156398.20681581859</v>
      </c>
      <c r="CQ123" s="21">
        <f t="shared" si="974"/>
        <v>167966.77322601521</v>
      </c>
      <c r="CR123" s="21">
        <f t="shared" si="974"/>
        <v>180136.36945976998</v>
      </c>
      <c r="CS123" s="21">
        <f t="shared" si="974"/>
        <v>192435.72276703996</v>
      </c>
      <c r="CT123" s="21">
        <f t="shared" si="974"/>
        <v>208566.82480349528</v>
      </c>
      <c r="CU123" s="21">
        <f t="shared" si="974"/>
        <v>217062.50277435163</v>
      </c>
      <c r="CV123" s="21">
        <f t="shared" si="974"/>
        <v>224162.60184556441</v>
      </c>
      <c r="CW123" s="21">
        <f t="shared" si="974"/>
        <v>230601.48617894395</v>
      </c>
      <c r="CX123" s="21">
        <f t="shared" si="974"/>
        <v>238487.00246252152</v>
      </c>
      <c r="CY123" s="21">
        <f t="shared" si="974"/>
        <v>241938.33184741015</v>
      </c>
      <c r="CZ123" s="21">
        <f t="shared" si="974"/>
        <v>245068.39805046626</v>
      </c>
      <c r="DA123" s="21">
        <f t="shared" si="974"/>
        <v>247553.07484743273</v>
      </c>
      <c r="DB123" s="21">
        <f t="shared" si="974"/>
        <v>249447.15614904868</v>
      </c>
      <c r="DE123" s="22"/>
      <c r="DF123" s="162">
        <v>126045.88859999999</v>
      </c>
    </row>
    <row r="124" spans="1:110" s="162" customFormat="1" x14ac:dyDescent="0.2">
      <c r="A124" s="49" t="s">
        <v>80</v>
      </c>
      <c r="B124" s="162">
        <f>+B183</f>
        <v>77.025000000000006</v>
      </c>
      <c r="C124" s="162">
        <f t="shared" ref="C124:W124" si="975">+C183</f>
        <v>-29.707700000000006</v>
      </c>
      <c r="D124" s="162">
        <f t="shared" si="975"/>
        <v>-44.201500000000003</v>
      </c>
      <c r="E124" s="162">
        <f t="shared" si="975"/>
        <v>-35.231899999999996</v>
      </c>
      <c r="F124" s="162">
        <f t="shared" si="975"/>
        <v>54.748400000000032</v>
      </c>
      <c r="G124" s="162">
        <f t="shared" si="975"/>
        <v>180.41989999999998</v>
      </c>
      <c r="H124" s="162">
        <f t="shared" si="975"/>
        <v>278.15520000000004</v>
      </c>
      <c r="I124" s="162">
        <f t="shared" si="975"/>
        <v>205.94810000000001</v>
      </c>
      <c r="J124" s="162">
        <f t="shared" si="975"/>
        <v>132.16970000000003</v>
      </c>
      <c r="K124" s="162">
        <f t="shared" si="975"/>
        <v>11.940800000000024</v>
      </c>
      <c r="L124" s="162">
        <f t="shared" si="975"/>
        <v>-32.736000000000104</v>
      </c>
      <c r="M124" s="162">
        <f t="shared" si="975"/>
        <v>-182.06999999999994</v>
      </c>
      <c r="N124" s="162">
        <f t="shared" si="975"/>
        <v>5.5599999999999454</v>
      </c>
      <c r="O124" s="162">
        <f t="shared" si="975"/>
        <v>176.71000000000004</v>
      </c>
      <c r="P124" s="162">
        <f t="shared" si="975"/>
        <v>1875.3999999999999</v>
      </c>
      <c r="Q124" s="162">
        <f t="shared" si="975"/>
        <v>925.06</v>
      </c>
      <c r="R124" s="162">
        <f t="shared" si="975"/>
        <v>812.86000000000058</v>
      </c>
      <c r="S124" s="162">
        <f t="shared" si="975"/>
        <v>5102.82</v>
      </c>
      <c r="T124" s="162">
        <f t="shared" si="975"/>
        <v>4870.7099999999991</v>
      </c>
      <c r="U124" s="162">
        <f t="shared" si="975"/>
        <v>5173.3600000000006</v>
      </c>
      <c r="V124" s="162">
        <f t="shared" si="975"/>
        <v>4082.91</v>
      </c>
      <c r="W124" s="162">
        <f t="shared" si="975"/>
        <v>3430.71</v>
      </c>
      <c r="X124" s="162">
        <f t="shared" ref="X124:Y124" si="976">+X183</f>
        <v>4569.7499999999991</v>
      </c>
      <c r="Y124" s="162">
        <f t="shared" si="976"/>
        <v>2957.34</v>
      </c>
      <c r="Z124" s="162">
        <f t="shared" ref="Z124:AA124" si="977">+Z183</f>
        <v>2334.42</v>
      </c>
      <c r="AA124" s="162">
        <f t="shared" si="977"/>
        <v>12767.3</v>
      </c>
      <c r="AB124" s="21">
        <f t="shared" ref="AA124:AD124" si="978">+AB183</f>
        <v>10957.785620967814</v>
      </c>
      <c r="AC124" s="21">
        <f t="shared" si="978"/>
        <v>8227.1701329990174</v>
      </c>
      <c r="AD124" s="21">
        <f t="shared" si="978"/>
        <v>4597.5091885803995</v>
      </c>
      <c r="AE124" s="21">
        <f t="shared" ref="AE124" si="979">+AE183</f>
        <v>747.86940363961367</v>
      </c>
      <c r="AL124" s="162">
        <f t="shared" ref="AL124:AM124" si="980">+AL183</f>
        <v>-107</v>
      </c>
      <c r="AM124" s="162">
        <f t="shared" si="980"/>
        <v>-193.49999999999977</v>
      </c>
      <c r="AN124" s="162">
        <f t="shared" ref="AN124:AO124" si="981">+AN183</f>
        <v>-26</v>
      </c>
      <c r="AO124" s="162">
        <f t="shared" si="981"/>
        <v>-163.11934156378629</v>
      </c>
      <c r="AP124" s="162">
        <f t="shared" ref="AP124:CD124" si="982">+AP183</f>
        <v>0</v>
      </c>
      <c r="AQ124" s="162">
        <f t="shared" si="982"/>
        <v>-317.25387755102042</v>
      </c>
      <c r="AR124" s="162">
        <f t="shared" si="982"/>
        <v>1480</v>
      </c>
      <c r="AS124" s="162">
        <f t="shared" si="982"/>
        <v>1293.8751027115859</v>
      </c>
      <c r="AT124" s="162">
        <f t="shared" si="982"/>
        <v>1639</v>
      </c>
      <c r="AU124" s="162">
        <f t="shared" si="982"/>
        <v>1557.2937608318894</v>
      </c>
      <c r="AV124" s="162">
        <f t="shared" si="982"/>
        <v>637</v>
      </c>
      <c r="AW124" s="162">
        <f t="shared" si="982"/>
        <v>288.22327229769598</v>
      </c>
      <c r="AX124" s="162">
        <f t="shared" si="982"/>
        <v>426</v>
      </c>
      <c r="AY124" s="162">
        <f t="shared" si="982"/>
        <v>151.24550898203552</v>
      </c>
      <c r="AZ124" s="162">
        <f t="shared" si="982"/>
        <v>218</v>
      </c>
      <c r="BA124" s="162">
        <f t="shared" si="982"/>
        <v>-6.0916724982512278</v>
      </c>
      <c r="BB124" s="162">
        <f t="shared" si="982"/>
        <v>543</v>
      </c>
      <c r="BC124" s="162">
        <f t="shared" si="982"/>
        <v>316.79079497907969</v>
      </c>
      <c r="BD124" s="162">
        <f t="shared" si="982"/>
        <v>402</v>
      </c>
      <c r="BE124" s="162">
        <f t="shared" si="982"/>
        <v>370.32745236414894</v>
      </c>
      <c r="BF124" s="162">
        <f t="shared" si="982"/>
        <v>4378</v>
      </c>
      <c r="BG124" s="162">
        <f t="shared" si="982"/>
        <v>4327.5339578454332</v>
      </c>
      <c r="BH124" s="162">
        <f t="shared" si="982"/>
        <v>4019</v>
      </c>
      <c r="BI124" s="162">
        <f t="shared" si="982"/>
        <v>3886.1494192185837</v>
      </c>
      <c r="BJ124" s="162">
        <f t="shared" si="982"/>
        <v>3680</v>
      </c>
      <c r="BK124" s="162">
        <f t="shared" si="982"/>
        <v>3577.8566810344819</v>
      </c>
      <c r="BL124" s="162">
        <f t="shared" si="982"/>
        <v>3274</v>
      </c>
      <c r="BM124" s="162">
        <f t="shared" si="982"/>
        <v>2993.5311720698246</v>
      </c>
      <c r="BN124" s="162">
        <f t="shared" si="982"/>
        <v>3700</v>
      </c>
      <c r="BO124" s="162">
        <f t="shared" si="982"/>
        <v>3477.864337101747</v>
      </c>
      <c r="BP124" s="162">
        <f t="shared" si="982"/>
        <v>2920</v>
      </c>
      <c r="BQ124" s="162">
        <f t="shared" si="982"/>
        <v>2603.4977689638081</v>
      </c>
      <c r="BR124" s="162">
        <f t="shared" si="982"/>
        <v>4082</v>
      </c>
      <c r="BS124" s="162">
        <f t="shared" si="982"/>
        <v>3969.340733092411</v>
      </c>
      <c r="BT124" s="162">
        <f t="shared" si="982"/>
        <v>3689</v>
      </c>
      <c r="BU124" s="162">
        <f t="shared" si="982"/>
        <v>3407.5802526906882</v>
      </c>
      <c r="BV124" s="162">
        <f t="shared" si="982"/>
        <v>3431</v>
      </c>
      <c r="BW124" s="162">
        <f t="shared" si="982"/>
        <v>3322.3946503988736</v>
      </c>
      <c r="BX124" s="162">
        <f t="shared" si="982"/>
        <v>3207</v>
      </c>
      <c r="BY124" s="162">
        <f t="shared" si="982"/>
        <v>3142.4116106503711</v>
      </c>
      <c r="BZ124" s="162">
        <f t="shared" si="982"/>
        <v>4570</v>
      </c>
      <c r="CA124" s="162">
        <f t="shared" si="982"/>
        <v>4292.1605780810924</v>
      </c>
      <c r="CB124" s="162">
        <f t="shared" si="982"/>
        <v>3626</v>
      </c>
      <c r="CC124" s="162">
        <f t="shared" si="982"/>
        <v>3245.4992481203008</v>
      </c>
      <c r="CD124" s="162">
        <f t="shared" si="982"/>
        <v>2958</v>
      </c>
      <c r="CE124" s="162">
        <f t="shared" ref="CE124:CF124" si="983">+CE183</f>
        <v>2585.47213114754</v>
      </c>
      <c r="CF124" s="162">
        <f t="shared" si="983"/>
        <v>1813</v>
      </c>
      <c r="CG124" s="162">
        <f t="shared" ref="CG124:CH124" si="984">+CG183</f>
        <v>1258.3281412253373</v>
      </c>
      <c r="CH124" s="162">
        <f t="shared" si="984"/>
        <v>2334.42</v>
      </c>
      <c r="CI124" s="162">
        <f t="shared" ref="CI124:CJ124" si="985">+CI183</f>
        <v>1710.5786110172357</v>
      </c>
      <c r="CJ124" s="162">
        <f t="shared" si="985"/>
        <v>1796</v>
      </c>
      <c r="CK124" s="162">
        <f t="shared" ref="CK124:CL124" si="986">+CK183</f>
        <v>1055.6956390066612</v>
      </c>
      <c r="CL124" s="162">
        <f t="shared" si="986"/>
        <v>12767</v>
      </c>
      <c r="CM124" s="21">
        <f t="shared" ref="CM124:DB124" si="987">+CM183</f>
        <v>12114.831104639788</v>
      </c>
      <c r="CN124" s="21">
        <f t="shared" si="987"/>
        <v>11706.587140928223</v>
      </c>
      <c r="CO124" s="21">
        <f t="shared" si="987"/>
        <v>11210.19093683509</v>
      </c>
      <c r="CP124" s="21">
        <f t="shared" si="987"/>
        <v>10957.785620967814</v>
      </c>
      <c r="CQ124" s="21">
        <f t="shared" si="987"/>
        <v>10029.39319804146</v>
      </c>
      <c r="CR124" s="21">
        <f t="shared" si="987"/>
        <v>9411.7853507022082</v>
      </c>
      <c r="CS124" s="21">
        <f t="shared" si="987"/>
        <v>8688.0540000710298</v>
      </c>
      <c r="CT124" s="21">
        <f t="shared" si="987"/>
        <v>8227.1701329990174</v>
      </c>
      <c r="CU124" s="21">
        <f t="shared" si="987"/>
        <v>6891.4404921683254</v>
      </c>
      <c r="CV124" s="21">
        <f t="shared" si="987"/>
        <v>6081.6822134298636</v>
      </c>
      <c r="CW124" s="21">
        <f t="shared" si="987"/>
        <v>5205.2492044270184</v>
      </c>
      <c r="CX124" s="21">
        <f t="shared" si="987"/>
        <v>4597.5091885803995</v>
      </c>
      <c r="CY124" s="21">
        <f t="shared" si="987"/>
        <v>3175.9449472283904</v>
      </c>
      <c r="CZ124" s="21">
        <f t="shared" si="987"/>
        <v>2307.693541717761</v>
      </c>
      <c r="DA124" s="21">
        <f t="shared" si="987"/>
        <v>1380.5828244107252</v>
      </c>
      <c r="DB124" s="21">
        <f t="shared" si="987"/>
        <v>747.86940363961367</v>
      </c>
      <c r="DE124" s="22"/>
      <c r="DF124" s="162">
        <v>539.67150281663999</v>
      </c>
    </row>
    <row r="125" spans="1:110" s="162" customFormat="1" x14ac:dyDescent="0.2">
      <c r="A125" s="49" t="s">
        <v>342</v>
      </c>
      <c r="B125" s="162">
        <f>+B122+B124</f>
        <v>129.99101250000001</v>
      </c>
      <c r="C125" s="162">
        <f t="shared" ref="C125:W125" si="988">+C122+C124</f>
        <v>4.8124374999999908</v>
      </c>
      <c r="D125" s="162">
        <f t="shared" si="988"/>
        <v>-9.2506500000000003</v>
      </c>
      <c r="E125" s="162" t="e">
        <f t="shared" ca="1" si="988"/>
        <v>#DIV/0!</v>
      </c>
      <c r="F125" s="162" t="e">
        <f t="shared" ca="1" si="988"/>
        <v>#DIV/0!</v>
      </c>
      <c r="G125" s="162" t="e">
        <f t="shared" ca="1" si="988"/>
        <v>#DIV/0!</v>
      </c>
      <c r="H125" s="162" t="e">
        <f t="shared" ca="1" si="988"/>
        <v>#DIV/0!</v>
      </c>
      <c r="I125" s="162" t="e">
        <f t="shared" ca="1" si="988"/>
        <v>#DIV/0!</v>
      </c>
      <c r="J125" s="162" t="e">
        <f t="shared" ca="1" si="988"/>
        <v>#DIV/0!</v>
      </c>
      <c r="K125" s="162" t="e">
        <f t="shared" ca="1" si="988"/>
        <v>#DIV/0!</v>
      </c>
      <c r="L125" s="162" t="e">
        <f t="shared" ca="1" si="988"/>
        <v>#DIV/0!</v>
      </c>
      <c r="M125" s="162" t="e">
        <f t="shared" ca="1" si="988"/>
        <v>#DIV/0!</v>
      </c>
      <c r="N125" s="162" t="e">
        <f t="shared" ca="1" si="988"/>
        <v>#DIV/0!</v>
      </c>
      <c r="O125" s="162" t="e">
        <f t="shared" ca="1" si="988"/>
        <v>#DIV/0!</v>
      </c>
      <c r="P125" s="162" t="e">
        <f t="shared" ca="1" si="988"/>
        <v>#DIV/0!</v>
      </c>
      <c r="Q125" s="162" t="e">
        <f t="shared" ca="1" si="988"/>
        <v>#DIV/0!</v>
      </c>
      <c r="R125" s="162" t="e">
        <f t="shared" ca="1" si="988"/>
        <v>#DIV/0!</v>
      </c>
      <c r="S125" s="162" t="e">
        <f t="shared" ca="1" si="988"/>
        <v>#DIV/0!</v>
      </c>
      <c r="T125" s="162" t="e">
        <f t="shared" ca="1" si="988"/>
        <v>#DIV/0!</v>
      </c>
      <c r="U125" s="162" t="e">
        <f t="shared" ca="1" si="988"/>
        <v>#DIV/0!</v>
      </c>
      <c r="V125" s="162" t="e">
        <f t="shared" ca="1" si="988"/>
        <v>#DIV/0!</v>
      </c>
      <c r="W125" s="162" t="e">
        <f t="shared" ca="1" si="988"/>
        <v>#DIV/0!</v>
      </c>
      <c r="X125" s="162" t="e">
        <f t="shared" ref="X125:Y125" ca="1" si="989">+X122+X124</f>
        <v>#DIV/0!</v>
      </c>
      <c r="Y125" s="162" t="e">
        <f t="shared" ca="1" si="989"/>
        <v>#DIV/0!</v>
      </c>
      <c r="Z125" s="162" t="e">
        <f t="shared" ref="Z125:AA125" ca="1" si="990">+Z122+Z124</f>
        <v>#DIV/0!</v>
      </c>
      <c r="AA125" s="162" t="e">
        <f t="shared" ca="1" si="990"/>
        <v>#DIV/0!</v>
      </c>
      <c r="AB125" s="21" t="e">
        <f t="shared" ref="AA125:AD125" ca="1" si="991">+AB122+AB124</f>
        <v>#DIV/0!</v>
      </c>
      <c r="AC125" s="21" t="e">
        <f t="shared" ca="1" si="991"/>
        <v>#DIV/0!</v>
      </c>
      <c r="AD125" s="21" t="e">
        <f t="shared" ca="1" si="991"/>
        <v>#DIV/0!</v>
      </c>
      <c r="AE125" s="21" t="e">
        <f t="shared" ref="AE125" ca="1" si="992">+AE122+AE124</f>
        <v>#DIV/0!</v>
      </c>
      <c r="AL125" s="162">
        <f t="shared" ref="AL125" si="993">+AL122+AL124</f>
        <v>6379.5858999999991</v>
      </c>
      <c r="AM125" s="162">
        <f t="shared" ref="AM125:AO125" si="994">+AM122+AM124</f>
        <v>7183.2356999999993</v>
      </c>
      <c r="AN125" s="162">
        <f t="shared" si="994"/>
        <v>7839.8103999999994</v>
      </c>
      <c r="AO125" s="162">
        <f t="shared" si="994"/>
        <v>8653.7636584362135</v>
      </c>
      <c r="AP125" s="162">
        <f t="shared" ref="AP125:CD125" si="995">+AP122+AP124</f>
        <v>9781.4939999999988</v>
      </c>
      <c r="AQ125" s="162">
        <f t="shared" si="995"/>
        <v>11908.767472448979</v>
      </c>
      <c r="AR125" s="162">
        <f t="shared" si="995"/>
        <v>17386.773849999998</v>
      </c>
      <c r="AS125" s="162">
        <f t="shared" si="995"/>
        <v>21398.399102711584</v>
      </c>
      <c r="AT125" s="162">
        <f t="shared" si="995"/>
        <v>22483.059099999999</v>
      </c>
      <c r="AU125" s="162">
        <f t="shared" si="995"/>
        <v>24741.803760831888</v>
      </c>
      <c r="AV125" s="162">
        <f t="shared" si="995"/>
        <v>29744.559999999998</v>
      </c>
      <c r="AW125" s="162">
        <f t="shared" si="995"/>
        <v>27974.251272297694</v>
      </c>
      <c r="AX125" s="162">
        <f t="shared" si="995"/>
        <v>25975.499249999997</v>
      </c>
      <c r="AY125" s="162">
        <f t="shared" si="995"/>
        <v>25281.900508982035</v>
      </c>
      <c r="AZ125" s="162">
        <f t="shared" si="995"/>
        <v>30134.479399999997</v>
      </c>
      <c r="BA125" s="162">
        <f t="shared" si="995"/>
        <v>28754.546827501745</v>
      </c>
      <c r="BB125" s="162">
        <f t="shared" si="995"/>
        <v>27147.648299999997</v>
      </c>
      <c r="BC125" s="162">
        <f t="shared" si="995"/>
        <v>26547.440794979077</v>
      </c>
      <c r="BD125" s="162">
        <f t="shared" si="995"/>
        <v>23534.048699999999</v>
      </c>
      <c r="BE125" s="162">
        <f t="shared" si="995"/>
        <v>24650.601702364147</v>
      </c>
      <c r="BF125" s="162">
        <f t="shared" si="995"/>
        <v>29301.348249999999</v>
      </c>
      <c r="BG125" s="162">
        <f t="shared" si="995"/>
        <v>30168.10880784543</v>
      </c>
      <c r="BH125" s="162">
        <f t="shared" si="995"/>
        <v>35698.009850000002</v>
      </c>
      <c r="BI125" s="162">
        <f t="shared" si="995"/>
        <v>34904.31611921858</v>
      </c>
      <c r="BJ125" s="162">
        <f t="shared" si="995"/>
        <v>36916.771999999997</v>
      </c>
      <c r="BK125" s="162">
        <f t="shared" si="995"/>
        <v>36611.552681034475</v>
      </c>
      <c r="BL125" s="162">
        <f t="shared" si="995"/>
        <v>33249.709899999994</v>
      </c>
      <c r="BM125" s="162">
        <f t="shared" si="995"/>
        <v>35823.305022069821</v>
      </c>
      <c r="BN125" s="162">
        <f t="shared" si="995"/>
        <v>42385.131849999991</v>
      </c>
      <c r="BO125" s="162">
        <f t="shared" si="995"/>
        <v>48822.196687101736</v>
      </c>
      <c r="BP125" s="162">
        <f t="shared" si="995"/>
        <v>54365.919999999998</v>
      </c>
      <c r="BQ125" s="162">
        <f t="shared" si="995"/>
        <v>52345.271668963811</v>
      </c>
      <c r="BR125" s="162">
        <f t="shared" si="995"/>
        <v>53206.93054999999</v>
      </c>
      <c r="BS125" s="162">
        <f t="shared" si="995"/>
        <v>54856.801733092405</v>
      </c>
      <c r="BT125" s="162">
        <f t="shared" si="995"/>
        <v>58654.903999999995</v>
      </c>
      <c r="BU125" s="162">
        <f t="shared" si="995"/>
        <v>59328.787602690674</v>
      </c>
      <c r="BV125" s="162">
        <f t="shared" si="995"/>
        <v>59275.207699999999</v>
      </c>
      <c r="BW125" s="162">
        <f t="shared" si="995"/>
        <v>53311.244350398876</v>
      </c>
      <c r="BX125" s="162">
        <f t="shared" si="995"/>
        <v>57529.829999999994</v>
      </c>
      <c r="BY125" s="162">
        <f t="shared" si="995"/>
        <v>61448.915810650367</v>
      </c>
      <c r="BZ125" s="162">
        <f t="shared" si="995"/>
        <v>59806.671999999991</v>
      </c>
      <c r="CA125" s="162">
        <f t="shared" si="995"/>
        <v>71358.009578081081</v>
      </c>
      <c r="CB125" s="162">
        <f t="shared" si="995"/>
        <v>74700.907699999982</v>
      </c>
      <c r="CC125" s="162">
        <f t="shared" si="995"/>
        <v>81426.374648120283</v>
      </c>
      <c r="CD125" s="162">
        <f t="shared" si="995"/>
        <v>95883.885299999994</v>
      </c>
      <c r="CE125" s="162">
        <f t="shared" ref="CE125:CF125" si="996">+CE122+CE124</f>
        <v>103348.39873114754</v>
      </c>
      <c r="CF125" s="162">
        <f t="shared" si="996"/>
        <v>122778.60399999999</v>
      </c>
      <c r="CG125" s="162">
        <f t="shared" ref="CG125:CH125" si="997">+CG122+CG124</f>
        <v>122763.77584122532</v>
      </c>
      <c r="CH125" s="162">
        <f t="shared" si="997"/>
        <v>119441.57999999999</v>
      </c>
      <c r="CI125" s="162">
        <f t="shared" ref="CI125:CJ125" si="998">+CI122+CI124</f>
        <v>119311.89021101722</v>
      </c>
      <c r="CJ125" s="162">
        <f t="shared" si="998"/>
        <v>130072.33999999998</v>
      </c>
      <c r="CK125" s="162">
        <f t="shared" ref="CK125:CL125" si="999">+CK122+CK124</f>
        <v>132396.79093900663</v>
      </c>
      <c r="CL125" s="162">
        <f t="shared" si="999"/>
        <v>164386.92619999999</v>
      </c>
      <c r="CM125" s="21">
        <f t="shared" ref="CM125:DB125" si="1000">+CM122+CM124</f>
        <v>171758.18000660892</v>
      </c>
      <c r="CN125" s="21">
        <f t="shared" si="1000"/>
        <v>172977.49739705221</v>
      </c>
      <c r="CO125" s="21">
        <f t="shared" si="1000"/>
        <v>171823.17815297929</v>
      </c>
      <c r="CP125" s="21">
        <f t="shared" si="1000"/>
        <v>203025.75890355202</v>
      </c>
      <c r="CQ125" s="21">
        <f t="shared" si="1000"/>
        <v>216304.37786156888</v>
      </c>
      <c r="CR125" s="21">
        <f t="shared" si="1000"/>
        <v>230631.88819603375</v>
      </c>
      <c r="CS125" s="21">
        <f t="shared" si="1000"/>
        <v>245012.62581924288</v>
      </c>
      <c r="CT125" s="21">
        <f t="shared" si="1000"/>
        <v>264361.86726009846</v>
      </c>
      <c r="CU125" s="21">
        <f t="shared" si="1000"/>
        <v>273459.42635540711</v>
      </c>
      <c r="CV125" s="21">
        <f t="shared" si="1000"/>
        <v>281369.08798868442</v>
      </c>
      <c r="CW125" s="21">
        <f t="shared" si="1000"/>
        <v>288400.05679260375</v>
      </c>
      <c r="CX125" s="21">
        <f t="shared" si="1000"/>
        <v>297476.28414255416</v>
      </c>
      <c r="CY125" s="21">
        <f t="shared" si="1000"/>
        <v>300293.19458439882</v>
      </c>
      <c r="CZ125" s="21">
        <f t="shared" si="1000"/>
        <v>303268.88413000968</v>
      </c>
      <c r="DA125" s="21">
        <f t="shared" si="1000"/>
        <v>305393.13088266144</v>
      </c>
      <c r="DB125" s="21">
        <f t="shared" si="1000"/>
        <v>307086.48221826082</v>
      </c>
      <c r="DE125" s="22"/>
      <c r="DF125" s="162">
        <v>152159.59770281662</v>
      </c>
    </row>
    <row r="126" spans="1:110" s="162" customFormat="1" x14ac:dyDescent="0.2">
      <c r="A126" s="49" t="s">
        <v>345</v>
      </c>
      <c r="B126" s="162">
        <f>+B123+B124</f>
        <v>89.541843749999998</v>
      </c>
      <c r="C126" s="162">
        <f t="shared" ref="C126:W126" si="1001">+C123+C124</f>
        <v>-18.113150000000005</v>
      </c>
      <c r="D126" s="162">
        <f t="shared" si="1001"/>
        <v>-23.494770000000003</v>
      </c>
      <c r="E126" s="162" t="e">
        <f t="shared" ca="1" si="1001"/>
        <v>#DIV/0!</v>
      </c>
      <c r="F126" s="162" t="e">
        <f t="shared" ca="1" si="1001"/>
        <v>#DIV/0!</v>
      </c>
      <c r="G126" s="162" t="e">
        <f t="shared" ca="1" si="1001"/>
        <v>#DIV/0!</v>
      </c>
      <c r="H126" s="162" t="e">
        <f t="shared" ca="1" si="1001"/>
        <v>#DIV/0!</v>
      </c>
      <c r="I126" s="162" t="e">
        <f t="shared" ca="1" si="1001"/>
        <v>#DIV/0!</v>
      </c>
      <c r="J126" s="162" t="e">
        <f t="shared" ca="1" si="1001"/>
        <v>#DIV/0!</v>
      </c>
      <c r="K126" s="162" t="e">
        <f t="shared" ca="1" si="1001"/>
        <v>#DIV/0!</v>
      </c>
      <c r="L126" s="162" t="e">
        <f t="shared" ca="1" si="1001"/>
        <v>#DIV/0!</v>
      </c>
      <c r="M126" s="162" t="e">
        <f t="shared" ca="1" si="1001"/>
        <v>#DIV/0!</v>
      </c>
      <c r="N126" s="162" t="e">
        <f t="shared" ca="1" si="1001"/>
        <v>#DIV/0!</v>
      </c>
      <c r="O126" s="162" t="e">
        <f t="shared" ca="1" si="1001"/>
        <v>#DIV/0!</v>
      </c>
      <c r="P126" s="162" t="e">
        <f t="shared" ca="1" si="1001"/>
        <v>#DIV/0!</v>
      </c>
      <c r="Q126" s="162" t="e">
        <f t="shared" ca="1" si="1001"/>
        <v>#DIV/0!</v>
      </c>
      <c r="R126" s="162" t="e">
        <f t="shared" ca="1" si="1001"/>
        <v>#DIV/0!</v>
      </c>
      <c r="S126" s="162" t="e">
        <f t="shared" ca="1" si="1001"/>
        <v>#DIV/0!</v>
      </c>
      <c r="T126" s="162" t="e">
        <f t="shared" ca="1" si="1001"/>
        <v>#DIV/0!</v>
      </c>
      <c r="U126" s="162" t="e">
        <f t="shared" ca="1" si="1001"/>
        <v>#DIV/0!</v>
      </c>
      <c r="V126" s="162" t="e">
        <f t="shared" ca="1" si="1001"/>
        <v>#DIV/0!</v>
      </c>
      <c r="W126" s="162" t="e">
        <f t="shared" ca="1" si="1001"/>
        <v>#DIV/0!</v>
      </c>
      <c r="X126" s="162" t="e">
        <f t="shared" ref="X126:Y126" ca="1" si="1002">+X123+X124</f>
        <v>#DIV/0!</v>
      </c>
      <c r="Y126" s="162" t="e">
        <f t="shared" ca="1" si="1002"/>
        <v>#DIV/0!</v>
      </c>
      <c r="Z126" s="162" t="e">
        <f t="shared" ref="Z126:AA126" ca="1" si="1003">+Z123+Z124</f>
        <v>#DIV/0!</v>
      </c>
      <c r="AA126" s="162" t="e">
        <f t="shared" ca="1" si="1003"/>
        <v>#DIV/0!</v>
      </c>
      <c r="AB126" s="21" t="e">
        <f t="shared" ref="AA126:AD126" ca="1" si="1004">+AB123+AB124</f>
        <v>#DIV/0!</v>
      </c>
      <c r="AC126" s="21" t="e">
        <f t="shared" ca="1" si="1004"/>
        <v>#DIV/0!</v>
      </c>
      <c r="AD126" s="21" t="e">
        <f t="shared" ca="1" si="1004"/>
        <v>#DIV/0!</v>
      </c>
      <c r="AE126" s="21" t="e">
        <f t="shared" ref="AE126" ca="1" si="1005">+AE123+AE124</f>
        <v>#DIV/0!</v>
      </c>
      <c r="AL126" s="162">
        <f t="shared" ref="AL126:AM126" si="1006">+AL123+AL124</f>
        <v>5443.7439999999997</v>
      </c>
      <c r="AM126" s="162">
        <f t="shared" si="1006"/>
        <v>5463.0127499999999</v>
      </c>
      <c r="AN126" s="162">
        <f t="shared" ref="AN126:AO126" si="1007">+AN123+AN124</f>
        <v>6505.431849999999</v>
      </c>
      <c r="AO126" s="162">
        <f t="shared" si="1007"/>
        <v>6673.7726584362126</v>
      </c>
      <c r="AP126" s="162">
        <f t="shared" ref="AP126:CD126" si="1008">+AP123+AP124</f>
        <v>7808.2721999999985</v>
      </c>
      <c r="AQ126" s="162">
        <f t="shared" si="1008"/>
        <v>8533.4751224489792</v>
      </c>
      <c r="AR126" s="162">
        <f t="shared" si="1008"/>
        <v>12573.026499999998</v>
      </c>
      <c r="AS126" s="162">
        <f t="shared" si="1008"/>
        <v>15005.735852711583</v>
      </c>
      <c r="AT126" s="162">
        <f t="shared" si="1008"/>
        <v>19120.458999999999</v>
      </c>
      <c r="AU126" s="162">
        <f t="shared" si="1008"/>
        <v>20738.668110831888</v>
      </c>
      <c r="AV126" s="162">
        <f t="shared" si="1008"/>
        <v>22433.823999999997</v>
      </c>
      <c r="AW126" s="162">
        <f t="shared" si="1008"/>
        <v>23565.809772297693</v>
      </c>
      <c r="AX126" s="162">
        <f t="shared" si="1008"/>
        <v>20564.37</v>
      </c>
      <c r="AY126" s="162">
        <f t="shared" si="1008"/>
        <v>21319.380058982031</v>
      </c>
      <c r="AZ126" s="162">
        <f t="shared" si="1008"/>
        <v>23268.818299999995</v>
      </c>
      <c r="BA126" s="162">
        <f t="shared" si="1008"/>
        <v>20057.817127501745</v>
      </c>
      <c r="BB126" s="162">
        <f t="shared" si="1008"/>
        <v>20985.983999999997</v>
      </c>
      <c r="BC126" s="162">
        <f t="shared" si="1008"/>
        <v>19668.241294979078</v>
      </c>
      <c r="BD126" s="162">
        <f t="shared" si="1008"/>
        <v>19847.373149999996</v>
      </c>
      <c r="BE126" s="162">
        <f t="shared" si="1008"/>
        <v>20779.465452364147</v>
      </c>
      <c r="BF126" s="162">
        <f t="shared" si="1008"/>
        <v>25087.521249999998</v>
      </c>
      <c r="BG126" s="162">
        <f t="shared" si="1008"/>
        <v>25396.668957845432</v>
      </c>
      <c r="BH126" s="162">
        <f t="shared" si="1008"/>
        <v>27611.354299999995</v>
      </c>
      <c r="BI126" s="162">
        <f t="shared" si="1008"/>
        <v>29539.725119218579</v>
      </c>
      <c r="BJ126" s="162">
        <f t="shared" si="1008"/>
        <v>32823.098299999998</v>
      </c>
      <c r="BK126" s="162">
        <f t="shared" si="1008"/>
        <v>28365.820931034479</v>
      </c>
      <c r="BL126" s="162">
        <f t="shared" si="1008"/>
        <v>27863.118999999999</v>
      </c>
      <c r="BM126" s="162">
        <f t="shared" si="1008"/>
        <v>29302.873122069825</v>
      </c>
      <c r="BN126" s="162">
        <f t="shared" si="1008"/>
        <v>31098.336999999996</v>
      </c>
      <c r="BO126" s="162">
        <f t="shared" si="1008"/>
        <v>36195.100237101746</v>
      </c>
      <c r="BP126" s="162">
        <f t="shared" si="1008"/>
        <v>40692.135999999999</v>
      </c>
      <c r="BQ126" s="162">
        <f t="shared" si="1008"/>
        <v>43579.15766896381</v>
      </c>
      <c r="BR126" s="162">
        <f t="shared" si="1008"/>
        <v>43196.1299</v>
      </c>
      <c r="BS126" s="162">
        <f t="shared" si="1008"/>
        <v>45898.611683092407</v>
      </c>
      <c r="BT126" s="162">
        <f t="shared" si="1008"/>
        <v>52018.549549999996</v>
      </c>
      <c r="BU126" s="162">
        <f t="shared" si="1008"/>
        <v>49683.523752690686</v>
      </c>
      <c r="BV126" s="162">
        <f t="shared" si="1008"/>
        <v>46415.42</v>
      </c>
      <c r="BW126" s="162">
        <f t="shared" si="1008"/>
        <v>45376.049650398869</v>
      </c>
      <c r="BX126" s="162">
        <f t="shared" si="1008"/>
        <v>51302.165999999997</v>
      </c>
      <c r="BY126" s="162">
        <f t="shared" si="1008"/>
        <v>54969.099110650364</v>
      </c>
      <c r="BZ126" s="162">
        <f t="shared" si="1008"/>
        <v>53516.392899999999</v>
      </c>
      <c r="CA126" s="162">
        <f t="shared" si="1008"/>
        <v>55875.156878081085</v>
      </c>
      <c r="CB126" s="162">
        <f t="shared" si="1008"/>
        <v>63579.112099999991</v>
      </c>
      <c r="CC126" s="162">
        <f t="shared" si="1008"/>
        <v>64939.988048120293</v>
      </c>
      <c r="CD126" s="162">
        <f t="shared" si="1008"/>
        <v>79793.496899999998</v>
      </c>
      <c r="CE126" s="162">
        <f t="shared" ref="CE126:CF126" si="1009">+CE123+CE124</f>
        <v>87493.240031147536</v>
      </c>
      <c r="CF126" s="162">
        <f t="shared" si="1009"/>
        <v>95238.113799999992</v>
      </c>
      <c r="CG126" s="162">
        <f t="shared" ref="CG126:CH126" si="1010">+CG123+CG124</f>
        <v>104854.16494122533</v>
      </c>
      <c r="CH126" s="162">
        <f t="shared" si="1010"/>
        <v>100198.43669999998</v>
      </c>
      <c r="CI126" s="162">
        <f t="shared" ref="CI126:CJ126" si="1011">+CI123+CI124</f>
        <v>106667.02461101723</v>
      </c>
      <c r="CJ126" s="162">
        <f t="shared" si="1011"/>
        <v>113134.1093</v>
      </c>
      <c r="CK126" s="162">
        <f t="shared" ref="CK126:CL126" si="1012">+CK123+CK124</f>
        <v>118839.77563900665</v>
      </c>
      <c r="CL126" s="162">
        <f t="shared" si="1012"/>
        <v>138812.88860000001</v>
      </c>
      <c r="CM126" s="21">
        <f t="shared" ref="CM126:DB126" si="1013">+CM123+CM124</f>
        <v>142110.1294962432</v>
      </c>
      <c r="CN126" s="21">
        <f t="shared" si="1013"/>
        <v>143027.18549234347</v>
      </c>
      <c r="CO126" s="21">
        <f t="shared" si="1013"/>
        <v>141995.05195569538</v>
      </c>
      <c r="CP126" s="21">
        <f t="shared" si="1013"/>
        <v>167355.99243678642</v>
      </c>
      <c r="CQ126" s="21">
        <f t="shared" si="1013"/>
        <v>177996.16642405666</v>
      </c>
      <c r="CR126" s="21">
        <f t="shared" si="1013"/>
        <v>189548.15481047219</v>
      </c>
      <c r="CS126" s="21">
        <f t="shared" si="1013"/>
        <v>201123.77676711098</v>
      </c>
      <c r="CT126" s="21">
        <f t="shared" si="1013"/>
        <v>216793.9949364943</v>
      </c>
      <c r="CU126" s="21">
        <f t="shared" si="1013"/>
        <v>223953.94326651996</v>
      </c>
      <c r="CV126" s="21">
        <f t="shared" si="1013"/>
        <v>230244.28405899426</v>
      </c>
      <c r="CW126" s="21">
        <f t="shared" si="1013"/>
        <v>235806.73538337095</v>
      </c>
      <c r="CX126" s="21">
        <f t="shared" si="1013"/>
        <v>243084.51165110193</v>
      </c>
      <c r="CY126" s="21">
        <f t="shared" si="1013"/>
        <v>245114.27679463854</v>
      </c>
      <c r="CZ126" s="21">
        <f t="shared" si="1013"/>
        <v>247376.09159218404</v>
      </c>
      <c r="DA126" s="21">
        <f t="shared" si="1013"/>
        <v>248933.65767184345</v>
      </c>
      <c r="DB126" s="21">
        <f t="shared" si="1013"/>
        <v>250195.02555268828</v>
      </c>
      <c r="DE126" s="22"/>
      <c r="DF126" s="162">
        <v>126585.56010281663</v>
      </c>
    </row>
    <row r="127" spans="1:110" s="162" customFormat="1" x14ac:dyDescent="0.2">
      <c r="A127" s="49" t="s">
        <v>13</v>
      </c>
      <c r="B127" s="162">
        <f t="shared" ref="B127:AE127" si="1014">+B43</f>
        <v>72.389700000000033</v>
      </c>
      <c r="C127" s="162">
        <f t="shared" si="1014"/>
        <v>77.114199999999983</v>
      </c>
      <c r="D127" s="162">
        <f t="shared" si="1014"/>
        <v>73.304499999999962</v>
      </c>
      <c r="E127" s="162">
        <f t="shared" si="1014"/>
        <v>91.886100000000056</v>
      </c>
      <c r="F127" s="162">
        <f t="shared" si="1014"/>
        <v>74.103199999999958</v>
      </c>
      <c r="G127" s="162">
        <f t="shared" si="1014"/>
        <v>108.03369999999984</v>
      </c>
      <c r="H127" s="162">
        <f t="shared" si="1014"/>
        <v>155.73890000000029</v>
      </c>
      <c r="I127" s="162">
        <f t="shared" si="1014"/>
        <v>202.83229999999992</v>
      </c>
      <c r="J127" s="162">
        <f t="shared" si="1014"/>
        <v>258.72629999999981</v>
      </c>
      <c r="K127" s="162">
        <f t="shared" si="1014"/>
        <v>420.77540000000022</v>
      </c>
      <c r="L127" s="162">
        <f t="shared" si="1014"/>
        <v>387.78580000000056</v>
      </c>
      <c r="M127" s="162">
        <f t="shared" si="1014"/>
        <v>500.45999999999958</v>
      </c>
      <c r="N127" s="162">
        <f t="shared" si="1014"/>
        <v>692.22</v>
      </c>
      <c r="O127" s="162">
        <f t="shared" si="1014"/>
        <v>951.48000000000047</v>
      </c>
      <c r="P127" s="162">
        <f t="shared" si="1014"/>
        <v>1020.1599999999999</v>
      </c>
      <c r="Q127" s="162">
        <f t="shared" si="1014"/>
        <v>2729.8000000000011</v>
      </c>
      <c r="R127" s="162">
        <f t="shared" si="1014"/>
        <v>1377.2699999999995</v>
      </c>
      <c r="S127" s="162">
        <f t="shared" si="1014"/>
        <v>1341.0500000000002</v>
      </c>
      <c r="T127" s="162">
        <f t="shared" si="1014"/>
        <v>1976.4900000000007</v>
      </c>
      <c r="U127" s="162">
        <f t="shared" si="1014"/>
        <v>2170.3599999999997</v>
      </c>
      <c r="V127" s="162">
        <f t="shared" si="1014"/>
        <v>2480.0800000000004</v>
      </c>
      <c r="W127" s="162">
        <f t="shared" si="1014"/>
        <v>2431.2699999999991</v>
      </c>
      <c r="X127" s="162">
        <f t="shared" si="1014"/>
        <v>2823.9699999999993</v>
      </c>
      <c r="Y127" s="162">
        <f t="shared" si="1014"/>
        <v>3363.59</v>
      </c>
      <c r="Z127" s="162">
        <f t="shared" si="1014"/>
        <v>3704.3499999999985</v>
      </c>
      <c r="AA127" s="162">
        <f t="shared" ref="AA127" si="1015">+AA43</f>
        <v>4373.1699999999983</v>
      </c>
      <c r="AB127" s="21">
        <f t="shared" si="1014"/>
        <v>5621.0500369711208</v>
      </c>
      <c r="AC127" s="21">
        <f t="shared" si="1014"/>
        <v>6835.0962139992107</v>
      </c>
      <c r="AD127" s="21">
        <f t="shared" si="1014"/>
        <v>7505.9168677624848</v>
      </c>
      <c r="AE127" s="21">
        <f t="shared" si="1014"/>
        <v>7718.5358805393753</v>
      </c>
      <c r="AL127" s="162">
        <f t="shared" ref="AL127:BQ127" si="1016">+SUM(AI43:AL43)</f>
        <v>692</v>
      </c>
      <c r="AM127" s="162">
        <f t="shared" si="1016"/>
        <v>744</v>
      </c>
      <c r="AN127" s="162">
        <f t="shared" si="1016"/>
        <v>769</v>
      </c>
      <c r="AO127" s="162">
        <f t="shared" si="1016"/>
        <v>822</v>
      </c>
      <c r="AP127" s="162">
        <f t="shared" si="1016"/>
        <v>952</v>
      </c>
      <c r="AQ127" s="162">
        <f t="shared" si="1016"/>
        <v>1089</v>
      </c>
      <c r="AR127" s="162">
        <f t="shared" si="1016"/>
        <v>1183</v>
      </c>
      <c r="AS127" s="162">
        <f t="shared" si="1016"/>
        <v>1208</v>
      </c>
      <c r="AT127" s="162">
        <f t="shared" si="1016"/>
        <v>1020</v>
      </c>
      <c r="AU127" s="162">
        <f t="shared" si="1016"/>
        <v>1587</v>
      </c>
      <c r="AV127" s="162">
        <f t="shared" si="1016"/>
        <v>2031</v>
      </c>
      <c r="AW127" s="162">
        <f t="shared" si="1016"/>
        <v>2409</v>
      </c>
      <c r="AX127" s="162">
        <f t="shared" si="1016"/>
        <v>2734</v>
      </c>
      <c r="AY127" s="162">
        <f t="shared" si="1016"/>
        <v>2259</v>
      </c>
      <c r="AZ127" s="162">
        <f t="shared" si="1016"/>
        <v>1872</v>
      </c>
      <c r="BA127" s="162">
        <f t="shared" si="1016"/>
        <v>1570</v>
      </c>
      <c r="BB127" s="162">
        <f t="shared" si="1016"/>
        <v>1378</v>
      </c>
      <c r="BC127" s="162">
        <f t="shared" si="1016"/>
        <v>1238</v>
      </c>
      <c r="BD127" s="162">
        <f t="shared" si="1016"/>
        <v>1237</v>
      </c>
      <c r="BE127" s="162">
        <f t="shared" si="1016"/>
        <v>1280</v>
      </c>
      <c r="BF127" s="162">
        <f t="shared" si="1016"/>
        <v>1349</v>
      </c>
      <c r="BG127" s="162">
        <f t="shared" si="1016"/>
        <v>1529</v>
      </c>
      <c r="BH127" s="162">
        <f t="shared" si="1016"/>
        <v>1673</v>
      </c>
      <c r="BI127" s="162">
        <f t="shared" si="1016"/>
        <v>1875</v>
      </c>
      <c r="BJ127" s="162">
        <f t="shared" si="1016"/>
        <v>1984</v>
      </c>
      <c r="BK127" s="162">
        <f t="shared" si="1016"/>
        <v>2048</v>
      </c>
      <c r="BL127" s="162">
        <f t="shared" si="1016"/>
        <v>2116</v>
      </c>
      <c r="BM127" s="162">
        <f t="shared" si="1016"/>
        <v>2095</v>
      </c>
      <c r="BN127" s="162">
        <f t="shared" si="1016"/>
        <v>2170</v>
      </c>
      <c r="BO127" s="162">
        <f t="shared" si="1016"/>
        <v>2290</v>
      </c>
      <c r="BP127" s="162">
        <f t="shared" si="1016"/>
        <v>2384</v>
      </c>
      <c r="BQ127" s="162">
        <f t="shared" si="1016"/>
        <v>2451</v>
      </c>
      <c r="BR127" s="162">
        <f t="shared" ref="BR127:CW127" si="1017">+SUM(BO43:BR43)</f>
        <v>2485</v>
      </c>
      <c r="BS127" s="162">
        <f t="shared" si="1017"/>
        <v>2501</v>
      </c>
      <c r="BT127" s="162">
        <f t="shared" si="1017"/>
        <v>2526</v>
      </c>
      <c r="BU127" s="162">
        <f t="shared" si="1017"/>
        <v>2457</v>
      </c>
      <c r="BV127" s="162">
        <f t="shared" si="1017"/>
        <v>2436</v>
      </c>
      <c r="BW127" s="162">
        <f t="shared" si="1017"/>
        <v>2471</v>
      </c>
      <c r="BX127" s="162">
        <f t="shared" si="1017"/>
        <v>2490</v>
      </c>
      <c r="BY127" s="162">
        <f t="shared" si="1017"/>
        <v>2676</v>
      </c>
      <c r="BZ127" s="162">
        <f t="shared" si="1017"/>
        <v>2842</v>
      </c>
      <c r="CA127" s="162">
        <f t="shared" si="1017"/>
        <v>2921</v>
      </c>
      <c r="CB127" s="162">
        <f t="shared" si="1017"/>
        <v>3067</v>
      </c>
      <c r="CC127" s="162">
        <f t="shared" si="1017"/>
        <v>3212</v>
      </c>
      <c r="CD127" s="162">
        <f t="shared" si="1017"/>
        <v>3368</v>
      </c>
      <c r="CE127" s="162">
        <f t="shared" si="1017"/>
        <v>3481</v>
      </c>
      <c r="CF127" s="162">
        <f t="shared" si="1017"/>
        <v>3595</v>
      </c>
      <c r="CG127" s="162">
        <f t="shared" si="1017"/>
        <v>3640</v>
      </c>
      <c r="CH127" s="162">
        <f t="shared" si="1017"/>
        <v>3721</v>
      </c>
      <c r="CI127" s="162">
        <f t="shared" si="1017"/>
        <v>3849</v>
      </c>
      <c r="CJ127" s="162">
        <f t="shared" si="1017"/>
        <v>3993</v>
      </c>
      <c r="CK127" s="162">
        <f t="shared" si="1017"/>
        <v>4167</v>
      </c>
      <c r="CL127" s="162">
        <f t="shared" si="1017"/>
        <v>4559</v>
      </c>
      <c r="CM127" s="21">
        <f t="shared" si="1017"/>
        <v>4785.8879481298782</v>
      </c>
      <c r="CN127" s="21">
        <f t="shared" si="1017"/>
        <v>5026.3500730578926</v>
      </c>
      <c r="CO127" s="21">
        <f t="shared" si="1017"/>
        <v>5272.990697585511</v>
      </c>
      <c r="CP127" s="21">
        <f t="shared" si="1017"/>
        <v>5621.050036971119</v>
      </c>
      <c r="CQ127" s="21">
        <f t="shared" si="1017"/>
        <v>5892.1798260908818</v>
      </c>
      <c r="CR127" s="21">
        <f t="shared" si="1017"/>
        <v>6178.0416534323667</v>
      </c>
      <c r="CS127" s="21">
        <f t="shared" si="1017"/>
        <v>6466.8107798374867</v>
      </c>
      <c r="CT127" s="21">
        <f t="shared" si="1017"/>
        <v>6835.0962139992134</v>
      </c>
      <c r="CU127" s="21">
        <f t="shared" si="1017"/>
        <v>7029.5810324266358</v>
      </c>
      <c r="CV127" s="21">
        <f t="shared" si="1017"/>
        <v>7189.3236057323375</v>
      </c>
      <c r="CW127" s="21">
        <f t="shared" si="1017"/>
        <v>7331.8403798734207</v>
      </c>
      <c r="CX127" s="21">
        <f t="shared" ref="CX127:DB127" si="1018">+SUM(CU43:CX43)</f>
        <v>7505.9168677624848</v>
      </c>
      <c r="CY127" s="21">
        <f t="shared" si="1018"/>
        <v>7576.7166178063108</v>
      </c>
      <c r="CZ127" s="21">
        <f t="shared" si="1018"/>
        <v>7639.281438368198</v>
      </c>
      <c r="DA127" s="21">
        <f t="shared" si="1018"/>
        <v>7686.0844001978439</v>
      </c>
      <c r="DB127" s="21">
        <f t="shared" si="1018"/>
        <v>7718.5358805393771</v>
      </c>
      <c r="DE127" s="22"/>
      <c r="DF127" s="162">
        <v>4371.0408803261362</v>
      </c>
    </row>
    <row r="128" spans="1:110" s="162" customFormat="1" x14ac:dyDescent="0.2">
      <c r="A128" s="49" t="s">
        <v>343</v>
      </c>
      <c r="B128" s="162">
        <f>+B125/B127</f>
        <v>1.7957114409922952</v>
      </c>
      <c r="C128" s="162">
        <f t="shared" ref="C128:W128" si="1019">+C125/C127</f>
        <v>6.2406631982176976E-2</v>
      </c>
      <c r="D128" s="162">
        <f t="shared" si="1019"/>
        <v>-0.12619484479124754</v>
      </c>
      <c r="E128" s="162" t="e">
        <f t="shared" ca="1" si="1019"/>
        <v>#DIV/0!</v>
      </c>
      <c r="F128" s="162" t="e">
        <f t="shared" ca="1" si="1019"/>
        <v>#DIV/0!</v>
      </c>
      <c r="G128" s="162" t="e">
        <f t="shared" ca="1" si="1019"/>
        <v>#DIV/0!</v>
      </c>
      <c r="H128" s="162" t="e">
        <f t="shared" ca="1" si="1019"/>
        <v>#DIV/0!</v>
      </c>
      <c r="I128" s="162" t="e">
        <f t="shared" ca="1" si="1019"/>
        <v>#DIV/0!</v>
      </c>
      <c r="J128" s="162" t="e">
        <f t="shared" ca="1" si="1019"/>
        <v>#DIV/0!</v>
      </c>
      <c r="K128" s="162" t="e">
        <f t="shared" ca="1" si="1019"/>
        <v>#DIV/0!</v>
      </c>
      <c r="L128" s="162" t="e">
        <f t="shared" ca="1" si="1019"/>
        <v>#DIV/0!</v>
      </c>
      <c r="M128" s="162" t="e">
        <f t="shared" ca="1" si="1019"/>
        <v>#DIV/0!</v>
      </c>
      <c r="N128" s="162" t="e">
        <f t="shared" ca="1" si="1019"/>
        <v>#DIV/0!</v>
      </c>
      <c r="O128" s="162" t="e">
        <f t="shared" ca="1" si="1019"/>
        <v>#DIV/0!</v>
      </c>
      <c r="P128" s="162" t="e">
        <f t="shared" ca="1" si="1019"/>
        <v>#DIV/0!</v>
      </c>
      <c r="Q128" s="162" t="e">
        <f t="shared" ca="1" si="1019"/>
        <v>#DIV/0!</v>
      </c>
      <c r="R128" s="162" t="e">
        <f t="shared" ca="1" si="1019"/>
        <v>#DIV/0!</v>
      </c>
      <c r="S128" s="162" t="e">
        <f t="shared" ca="1" si="1019"/>
        <v>#DIV/0!</v>
      </c>
      <c r="T128" s="162" t="e">
        <f t="shared" ca="1" si="1019"/>
        <v>#DIV/0!</v>
      </c>
      <c r="U128" s="162" t="e">
        <f t="shared" ca="1" si="1019"/>
        <v>#DIV/0!</v>
      </c>
      <c r="V128" s="162" t="e">
        <f t="shared" ca="1" si="1019"/>
        <v>#DIV/0!</v>
      </c>
      <c r="W128" s="162" t="e">
        <f t="shared" ca="1" si="1019"/>
        <v>#DIV/0!</v>
      </c>
      <c r="X128" s="162" t="e">
        <f t="shared" ref="X128:Y128" ca="1" si="1020">+X125/X127</f>
        <v>#DIV/0!</v>
      </c>
      <c r="Y128" s="162" t="e">
        <f t="shared" ca="1" si="1020"/>
        <v>#DIV/0!</v>
      </c>
      <c r="Z128" s="162" t="e">
        <f t="shared" ref="Z128:AA128" ca="1" si="1021">+Z125/Z127</f>
        <v>#DIV/0!</v>
      </c>
      <c r="AA128" s="162" t="e">
        <f t="shared" ca="1" si="1021"/>
        <v>#DIV/0!</v>
      </c>
      <c r="AB128" s="21" t="e">
        <f t="shared" ref="AA128:AD128" ca="1" si="1022">+AB125/AB127</f>
        <v>#DIV/0!</v>
      </c>
      <c r="AC128" s="21" t="e">
        <f t="shared" ca="1" si="1022"/>
        <v>#DIV/0!</v>
      </c>
      <c r="AD128" s="21" t="e">
        <f t="shared" ca="1" si="1022"/>
        <v>#DIV/0!</v>
      </c>
      <c r="AE128" s="21" t="e">
        <f t="shared" ref="AE128" ca="1" si="1023">+AE125/AE127</f>
        <v>#DIV/0!</v>
      </c>
      <c r="AL128" s="162">
        <f t="shared" ref="AL128" si="1024">+AL125/AL127</f>
        <v>9.2190547687861262</v>
      </c>
      <c r="AM128" s="162">
        <f t="shared" ref="AM128:AO128" si="1025">+AM125/AM127</f>
        <v>9.6548866935483861</v>
      </c>
      <c r="AN128" s="162">
        <f t="shared" si="1025"/>
        <v>10.194811963589077</v>
      </c>
      <c r="AO128" s="162">
        <f t="shared" si="1025"/>
        <v>10.527693015129213</v>
      </c>
      <c r="AP128" s="162">
        <f t="shared" ref="AP128:CD128" si="1026">+AP125/AP127</f>
        <v>10.27467857142857</v>
      </c>
      <c r="AQ128" s="162">
        <f t="shared" si="1026"/>
        <v>10.935507320889787</v>
      </c>
      <c r="AR128" s="162">
        <f t="shared" si="1026"/>
        <v>14.697188377007606</v>
      </c>
      <c r="AS128" s="162">
        <f t="shared" si="1026"/>
        <v>17.713906541979789</v>
      </c>
      <c r="AT128" s="162">
        <f t="shared" si="1026"/>
        <v>22.042214803921567</v>
      </c>
      <c r="AU128" s="162">
        <f t="shared" si="1026"/>
        <v>15.590298526044037</v>
      </c>
      <c r="AV128" s="162">
        <f t="shared" si="1026"/>
        <v>14.645278188084687</v>
      </c>
      <c r="AW128" s="162">
        <f t="shared" si="1026"/>
        <v>11.612391561767412</v>
      </c>
      <c r="AX128" s="162">
        <f t="shared" si="1026"/>
        <v>9.5009141367959025</v>
      </c>
      <c r="AY128" s="162">
        <f t="shared" si="1026"/>
        <v>11.191633691448445</v>
      </c>
      <c r="AZ128" s="162">
        <f t="shared" si="1026"/>
        <v>16.097478311965808</v>
      </c>
      <c r="BA128" s="162">
        <f t="shared" si="1026"/>
        <v>18.314997979300475</v>
      </c>
      <c r="BB128" s="162">
        <f t="shared" si="1026"/>
        <v>19.70076074020319</v>
      </c>
      <c r="BC128" s="162">
        <f t="shared" si="1026"/>
        <v>21.443813243117187</v>
      </c>
      <c r="BD128" s="162">
        <f t="shared" si="1026"/>
        <v>19.025099999999998</v>
      </c>
      <c r="BE128" s="162">
        <f t="shared" si="1026"/>
        <v>19.25828257997199</v>
      </c>
      <c r="BF128" s="162">
        <f t="shared" si="1026"/>
        <v>21.720791882876203</v>
      </c>
      <c r="BG128" s="162">
        <f t="shared" si="1026"/>
        <v>19.730614001206952</v>
      </c>
      <c r="BH128" s="162">
        <f t="shared" si="1026"/>
        <v>21.337722564255831</v>
      </c>
      <c r="BI128" s="162">
        <f t="shared" si="1026"/>
        <v>18.615635263583243</v>
      </c>
      <c r="BJ128" s="162">
        <f t="shared" si="1026"/>
        <v>18.607243951612901</v>
      </c>
      <c r="BK128" s="162">
        <f t="shared" si="1026"/>
        <v>17.876734707536365</v>
      </c>
      <c r="BL128" s="162">
        <f t="shared" si="1026"/>
        <v>15.713473487712664</v>
      </c>
      <c r="BM128" s="162">
        <f t="shared" si="1026"/>
        <v>17.099429604806598</v>
      </c>
      <c r="BN128" s="162">
        <f t="shared" si="1026"/>
        <v>19.53231882488479</v>
      </c>
      <c r="BO128" s="162">
        <f t="shared" si="1026"/>
        <v>21.319736544585911</v>
      </c>
      <c r="BP128" s="162">
        <f t="shared" si="1026"/>
        <v>22.804496644295302</v>
      </c>
      <c r="BQ128" s="162">
        <f t="shared" si="1026"/>
        <v>21.356699987337336</v>
      </c>
      <c r="BR128" s="162">
        <f t="shared" si="1026"/>
        <v>21.411239657947682</v>
      </c>
      <c r="BS128" s="162">
        <f t="shared" si="1026"/>
        <v>21.933947114391206</v>
      </c>
      <c r="BT128" s="162">
        <f t="shared" si="1026"/>
        <v>23.220468725257323</v>
      </c>
      <c r="BU128" s="162">
        <f t="shared" si="1026"/>
        <v>24.146840701135805</v>
      </c>
      <c r="BV128" s="162">
        <f t="shared" si="1026"/>
        <v>24.333008087027913</v>
      </c>
      <c r="BW128" s="162">
        <f t="shared" si="1026"/>
        <v>21.574765014325727</v>
      </c>
      <c r="BX128" s="162">
        <f t="shared" si="1026"/>
        <v>23.104349397590358</v>
      </c>
      <c r="BY128" s="162">
        <f t="shared" si="1026"/>
        <v>22.962973023411944</v>
      </c>
      <c r="BZ128" s="162">
        <f t="shared" si="1026"/>
        <v>21.043867698803655</v>
      </c>
      <c r="CA128" s="162">
        <f t="shared" si="1026"/>
        <v>24.429308311564903</v>
      </c>
      <c r="CB128" s="162">
        <f t="shared" si="1026"/>
        <v>24.356344212585583</v>
      </c>
      <c r="CC128" s="162">
        <f t="shared" si="1026"/>
        <v>25.350677038642679</v>
      </c>
      <c r="CD128" s="162">
        <f t="shared" si="1026"/>
        <v>28.469087084323039</v>
      </c>
      <c r="CE128" s="162">
        <f t="shared" ref="CE128:CF128" si="1027">+CE125/CE127</f>
        <v>29.689284323799924</v>
      </c>
      <c r="CF128" s="162">
        <f t="shared" si="1027"/>
        <v>34.152601947148817</v>
      </c>
      <c r="CG128" s="162">
        <f t="shared" ref="CG128:CH128" si="1028">+CG125/CG127</f>
        <v>33.726312044292669</v>
      </c>
      <c r="CH128" s="162">
        <f t="shared" si="1028"/>
        <v>32.099322762698193</v>
      </c>
      <c r="CI128" s="162">
        <f t="shared" ref="CI128:CJ128" si="1029">+CI125/CI127</f>
        <v>30.998152821776362</v>
      </c>
      <c r="CJ128" s="162">
        <f t="shared" si="1029"/>
        <v>32.575091409967442</v>
      </c>
      <c r="CK128" s="162">
        <f t="shared" ref="CK128:CL128" si="1030">+CK125/CK127</f>
        <v>31.772688010320767</v>
      </c>
      <c r="CL128" s="162">
        <f t="shared" si="1030"/>
        <v>36.057671901732832</v>
      </c>
      <c r="CM128" s="21">
        <f t="shared" ref="CM128:DB128" si="1031">+CM125/CM127</f>
        <v>35.888466647808734</v>
      </c>
      <c r="CN128" s="21">
        <f t="shared" si="1031"/>
        <v>34.414136477330054</v>
      </c>
      <c r="CO128" s="21">
        <f t="shared" si="1031"/>
        <v>32.585526508070018</v>
      </c>
      <c r="CP128" s="21">
        <f t="shared" si="1031"/>
        <v>36.118831458214821</v>
      </c>
      <c r="CQ128" s="21">
        <f t="shared" si="1031"/>
        <v>36.710416899321665</v>
      </c>
      <c r="CR128" s="21">
        <f t="shared" si="1031"/>
        <v>37.330905347311862</v>
      </c>
      <c r="CS128" s="21">
        <f t="shared" si="1031"/>
        <v>37.887706036359411</v>
      </c>
      <c r="CT128" s="21">
        <f t="shared" si="1031"/>
        <v>38.677124503185361</v>
      </c>
      <c r="CU128" s="21">
        <f t="shared" si="1031"/>
        <v>38.901241068844747</v>
      </c>
      <c r="CV128" s="21">
        <f t="shared" si="1031"/>
        <v>39.137073724757293</v>
      </c>
      <c r="CW128" s="21">
        <f t="shared" si="1031"/>
        <v>39.335288529233196</v>
      </c>
      <c r="CX128" s="21">
        <f t="shared" si="1031"/>
        <v>39.632238057444923</v>
      </c>
      <c r="CY128" s="21">
        <f t="shared" si="1031"/>
        <v>39.633684316326303</v>
      </c>
      <c r="CZ128" s="21">
        <f t="shared" si="1031"/>
        <v>39.69861387837414</v>
      </c>
      <c r="DA128" s="21">
        <f t="shared" si="1031"/>
        <v>39.73325232738798</v>
      </c>
      <c r="DB128" s="21">
        <f t="shared" si="1031"/>
        <v>39.785587185325284</v>
      </c>
      <c r="DE128" s="22"/>
      <c r="DF128" s="162">
        <v>34.810838394964527</v>
      </c>
    </row>
    <row r="129" spans="1:110" s="162" customFormat="1" x14ac:dyDescent="0.2">
      <c r="A129" s="49" t="s">
        <v>344</v>
      </c>
      <c r="B129" s="162">
        <f>+B126/B127</f>
        <v>1.2369417714122306</v>
      </c>
      <c r="C129" s="162">
        <f t="shared" ref="C129:W129" si="1032">+C126/C127</f>
        <v>-0.23488734889294072</v>
      </c>
      <c r="D129" s="162">
        <f t="shared" si="1032"/>
        <v>-0.32050924568068828</v>
      </c>
      <c r="E129" s="162" t="e">
        <f t="shared" ca="1" si="1032"/>
        <v>#DIV/0!</v>
      </c>
      <c r="F129" s="162" t="e">
        <f t="shared" ca="1" si="1032"/>
        <v>#DIV/0!</v>
      </c>
      <c r="G129" s="162" t="e">
        <f t="shared" ca="1" si="1032"/>
        <v>#DIV/0!</v>
      </c>
      <c r="H129" s="162" t="e">
        <f t="shared" ca="1" si="1032"/>
        <v>#DIV/0!</v>
      </c>
      <c r="I129" s="162" t="e">
        <f t="shared" ca="1" si="1032"/>
        <v>#DIV/0!</v>
      </c>
      <c r="J129" s="162" t="e">
        <f t="shared" ca="1" si="1032"/>
        <v>#DIV/0!</v>
      </c>
      <c r="K129" s="162" t="e">
        <f t="shared" ca="1" si="1032"/>
        <v>#DIV/0!</v>
      </c>
      <c r="L129" s="162" t="e">
        <f t="shared" ca="1" si="1032"/>
        <v>#DIV/0!</v>
      </c>
      <c r="M129" s="162" t="e">
        <f t="shared" ca="1" si="1032"/>
        <v>#DIV/0!</v>
      </c>
      <c r="N129" s="162" t="e">
        <f t="shared" ca="1" si="1032"/>
        <v>#DIV/0!</v>
      </c>
      <c r="O129" s="162" t="e">
        <f t="shared" ca="1" si="1032"/>
        <v>#DIV/0!</v>
      </c>
      <c r="P129" s="162" t="e">
        <f t="shared" ca="1" si="1032"/>
        <v>#DIV/0!</v>
      </c>
      <c r="Q129" s="162" t="e">
        <f t="shared" ca="1" si="1032"/>
        <v>#DIV/0!</v>
      </c>
      <c r="R129" s="162" t="e">
        <f t="shared" ca="1" si="1032"/>
        <v>#DIV/0!</v>
      </c>
      <c r="S129" s="162" t="e">
        <f t="shared" ca="1" si="1032"/>
        <v>#DIV/0!</v>
      </c>
      <c r="T129" s="162" t="e">
        <f t="shared" ca="1" si="1032"/>
        <v>#DIV/0!</v>
      </c>
      <c r="U129" s="162" t="e">
        <f t="shared" ca="1" si="1032"/>
        <v>#DIV/0!</v>
      </c>
      <c r="V129" s="162" t="e">
        <f t="shared" ca="1" si="1032"/>
        <v>#DIV/0!</v>
      </c>
      <c r="W129" s="162" t="e">
        <f t="shared" ca="1" si="1032"/>
        <v>#DIV/0!</v>
      </c>
      <c r="X129" s="162" t="e">
        <f t="shared" ref="X129:Y129" ca="1" si="1033">+X126/X127</f>
        <v>#DIV/0!</v>
      </c>
      <c r="Y129" s="162" t="e">
        <f t="shared" ca="1" si="1033"/>
        <v>#DIV/0!</v>
      </c>
      <c r="Z129" s="162" t="e">
        <f t="shared" ref="Z129:AA129" ca="1" si="1034">+Z126/Z127</f>
        <v>#DIV/0!</v>
      </c>
      <c r="AA129" s="162" t="e">
        <f t="shared" ca="1" si="1034"/>
        <v>#DIV/0!</v>
      </c>
      <c r="AB129" s="21" t="e">
        <f t="shared" ref="AA129:AD129" ca="1" si="1035">+AB126/AB127</f>
        <v>#DIV/0!</v>
      </c>
      <c r="AC129" s="21" t="e">
        <f t="shared" ca="1" si="1035"/>
        <v>#DIV/0!</v>
      </c>
      <c r="AD129" s="21" t="e">
        <f t="shared" ca="1" si="1035"/>
        <v>#DIV/0!</v>
      </c>
      <c r="AE129" s="21" t="e">
        <f t="shared" ref="AE129" ca="1" si="1036">+AE126/AE127</f>
        <v>#DIV/0!</v>
      </c>
      <c r="AL129" s="162">
        <f t="shared" ref="AL129:AM129" si="1037">+AL126/AL127</f>
        <v>7.8666820809248552</v>
      </c>
      <c r="AM129" s="162">
        <f t="shared" si="1037"/>
        <v>7.3427590725806446</v>
      </c>
      <c r="AN129" s="162">
        <f t="shared" ref="AN129:AO129" si="1038">+AN126/AN127</f>
        <v>8.4595992847854351</v>
      </c>
      <c r="AO129" s="162">
        <f t="shared" si="1038"/>
        <v>8.1189448399467299</v>
      </c>
      <c r="AP129" s="162">
        <f t="shared" ref="AP129:CD129" si="1039">+AP126/AP127</f>
        <v>8.2019665966386537</v>
      </c>
      <c r="AQ129" s="162">
        <f t="shared" si="1039"/>
        <v>7.836065309870504</v>
      </c>
      <c r="AR129" s="162">
        <f t="shared" si="1039"/>
        <v>10.628086644125105</v>
      </c>
      <c r="AS129" s="162">
        <f t="shared" si="1039"/>
        <v>12.421966765489721</v>
      </c>
      <c r="AT129" s="162">
        <f t="shared" si="1039"/>
        <v>18.745548039215684</v>
      </c>
      <c r="AU129" s="162">
        <f t="shared" si="1039"/>
        <v>13.067843800146116</v>
      </c>
      <c r="AV129" s="162">
        <f t="shared" si="1039"/>
        <v>11.045703594288526</v>
      </c>
      <c r="AW129" s="162">
        <f t="shared" si="1039"/>
        <v>9.7824033924025287</v>
      </c>
      <c r="AX129" s="162">
        <f t="shared" si="1039"/>
        <v>7.5217154352596927</v>
      </c>
      <c r="AY129" s="162">
        <f t="shared" si="1039"/>
        <v>9.4375299065878853</v>
      </c>
      <c r="AZ129" s="162">
        <f t="shared" si="1039"/>
        <v>12.429924305555554</v>
      </c>
      <c r="BA129" s="162">
        <f t="shared" si="1039"/>
        <v>12.775679699045698</v>
      </c>
      <c r="BB129" s="162">
        <f t="shared" si="1039"/>
        <v>15.22930624092888</v>
      </c>
      <c r="BC129" s="162">
        <f t="shared" si="1039"/>
        <v>15.887109285120419</v>
      </c>
      <c r="BD129" s="162">
        <f t="shared" si="1039"/>
        <v>16.044764066289407</v>
      </c>
      <c r="BE129" s="162">
        <f t="shared" si="1039"/>
        <v>16.23395738465949</v>
      </c>
      <c r="BF129" s="162">
        <f t="shared" si="1039"/>
        <v>18.597124722016307</v>
      </c>
      <c r="BG129" s="162">
        <f t="shared" si="1039"/>
        <v>16.609986237963003</v>
      </c>
      <c r="BH129" s="162">
        <f t="shared" si="1039"/>
        <v>16.504097011356841</v>
      </c>
      <c r="BI129" s="162">
        <f t="shared" si="1039"/>
        <v>15.754520063583243</v>
      </c>
      <c r="BJ129" s="162">
        <f t="shared" si="1039"/>
        <v>16.543900352822579</v>
      </c>
      <c r="BK129" s="162">
        <f t="shared" si="1039"/>
        <v>13.850498501481679</v>
      </c>
      <c r="BL129" s="162">
        <f t="shared" si="1039"/>
        <v>13.167825614366729</v>
      </c>
      <c r="BM129" s="162">
        <f t="shared" si="1039"/>
        <v>13.987051609579868</v>
      </c>
      <c r="BN129" s="162">
        <f t="shared" si="1039"/>
        <v>14.331030875576035</v>
      </c>
      <c r="BO129" s="162">
        <f t="shared" si="1039"/>
        <v>15.805720627555347</v>
      </c>
      <c r="BP129" s="162">
        <f t="shared" si="1039"/>
        <v>17.06884899328859</v>
      </c>
      <c r="BQ129" s="162">
        <f t="shared" si="1039"/>
        <v>17.780154087704531</v>
      </c>
      <c r="BR129" s="162">
        <f t="shared" si="1039"/>
        <v>17.382748450704224</v>
      </c>
      <c r="BS129" s="162">
        <f t="shared" si="1039"/>
        <v>18.35210383170428</v>
      </c>
      <c r="BT129" s="162">
        <f t="shared" si="1039"/>
        <v>20.593250019794141</v>
      </c>
      <c r="BU129" s="162">
        <f t="shared" si="1039"/>
        <v>20.221214388559499</v>
      </c>
      <c r="BV129" s="162">
        <f t="shared" si="1039"/>
        <v>19.053949096880132</v>
      </c>
      <c r="BW129" s="162">
        <f t="shared" si="1039"/>
        <v>18.363435714447135</v>
      </c>
      <c r="BX129" s="162">
        <f t="shared" si="1039"/>
        <v>20.603279518072288</v>
      </c>
      <c r="BY129" s="162">
        <f t="shared" si="1039"/>
        <v>20.541516857492663</v>
      </c>
      <c r="BZ129" s="162">
        <f t="shared" si="1039"/>
        <v>18.830539373680505</v>
      </c>
      <c r="CA129" s="162">
        <f t="shared" si="1039"/>
        <v>19.128776747032209</v>
      </c>
      <c r="CB129" s="162">
        <f t="shared" si="1039"/>
        <v>20.730065895011411</v>
      </c>
      <c r="CC129" s="162">
        <f t="shared" si="1039"/>
        <v>20.217929031170701</v>
      </c>
      <c r="CD129" s="162">
        <f t="shared" si="1039"/>
        <v>23.691655849168647</v>
      </c>
      <c r="CE129" s="162">
        <f t="shared" ref="CE129:CF129" si="1040">+CE126/CE127</f>
        <v>25.13451307990449</v>
      </c>
      <c r="CF129" s="162">
        <f t="shared" si="1040"/>
        <v>26.49182581363004</v>
      </c>
      <c r="CG129" s="162">
        <f t="shared" ref="CG129:CH129" si="1041">+CG126/CG127</f>
        <v>28.806089269567398</v>
      </c>
      <c r="CH129" s="162">
        <f t="shared" si="1041"/>
        <v>26.927824966406874</v>
      </c>
      <c r="CI129" s="162">
        <f t="shared" ref="CI129:CJ129" si="1042">+CI126/CI127</f>
        <v>27.712918838923677</v>
      </c>
      <c r="CJ129" s="162">
        <f t="shared" si="1042"/>
        <v>28.333110267968944</v>
      </c>
      <c r="CK129" s="162">
        <f t="shared" ref="CK129:CL129" si="1043">+CK126/CK127</f>
        <v>28.519264612192622</v>
      </c>
      <c r="CL129" s="162">
        <f t="shared" si="1043"/>
        <v>30.448100153542445</v>
      </c>
      <c r="CM129" s="21">
        <f t="shared" ref="CM129:DB129" si="1044">+CM126/CM127</f>
        <v>29.693576413917881</v>
      </c>
      <c r="CN129" s="21">
        <f t="shared" si="1044"/>
        <v>28.455476322469853</v>
      </c>
      <c r="CO129" s="21">
        <f t="shared" si="1044"/>
        <v>26.92875070322323</v>
      </c>
      <c r="CP129" s="21">
        <f t="shared" si="1044"/>
        <v>29.773083558417412</v>
      </c>
      <c r="CQ129" s="21">
        <f t="shared" si="1044"/>
        <v>30.208882226553964</v>
      </c>
      <c r="CR129" s="21">
        <f t="shared" si="1044"/>
        <v>30.68094477886272</v>
      </c>
      <c r="CS129" s="21">
        <f t="shared" si="1044"/>
        <v>31.100921863089567</v>
      </c>
      <c r="CT129" s="21">
        <f t="shared" si="1044"/>
        <v>31.717767848310679</v>
      </c>
      <c r="CU129" s="21">
        <f t="shared" si="1044"/>
        <v>31.858789625362675</v>
      </c>
      <c r="CV129" s="21">
        <f t="shared" si="1044"/>
        <v>32.02586177584373</v>
      </c>
      <c r="CW129" s="21">
        <f t="shared" si="1044"/>
        <v>32.162011604982865</v>
      </c>
      <c r="CX129" s="21">
        <f t="shared" si="1044"/>
        <v>32.385718618219315</v>
      </c>
      <c r="CY129" s="21">
        <f t="shared" si="1044"/>
        <v>32.350989110320789</v>
      </c>
      <c r="CZ129" s="21">
        <f t="shared" si="1044"/>
        <v>32.382115201272811</v>
      </c>
      <c r="DA129" s="21">
        <f t="shared" si="1044"/>
        <v>32.387577953923554</v>
      </c>
      <c r="DB129" s="21">
        <f t="shared" si="1044"/>
        <v>32.414829628958657</v>
      </c>
      <c r="DE129" s="22"/>
      <c r="DF129" s="162">
        <v>28.960049463864017</v>
      </c>
    </row>
    <row r="130" spans="1:110" s="10" customFormat="1" x14ac:dyDescent="0.2">
      <c r="A130" s="149" t="s">
        <v>490</v>
      </c>
      <c r="AB130" s="20"/>
      <c r="AC130" s="20"/>
      <c r="AD130" s="20"/>
      <c r="AE130" s="20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E130" s="126"/>
    </row>
    <row r="131" spans="1:110" x14ac:dyDescent="0.2">
      <c r="A131" s="152" t="s">
        <v>491</v>
      </c>
      <c r="AA131" s="2"/>
      <c r="CL131" s="2"/>
    </row>
    <row r="132" spans="1:110" s="23" customFormat="1" outlineLevel="1" x14ac:dyDescent="0.2">
      <c r="A132" s="23" t="s">
        <v>41</v>
      </c>
      <c r="B132" s="23">
        <f>'Annual Raw'!C41</f>
        <v>21.081</v>
      </c>
      <c r="C132" s="23">
        <f>'Annual Raw'!D41</f>
        <v>21.081</v>
      </c>
      <c r="D132" s="23">
        <f>'Annual Raw'!E41</f>
        <v>21.102399999999999</v>
      </c>
      <c r="E132" s="23">
        <f>'Annual Raw'!F41</f>
        <v>21.156300000000002</v>
      </c>
      <c r="F132" s="23">
        <f>'Annual Raw'!G41</f>
        <v>21.156300000000002</v>
      </c>
      <c r="G132" s="23">
        <f>'Annual Raw'!H41</f>
        <v>42.309199999999997</v>
      </c>
      <c r="H132" s="23">
        <f>'Annual Raw'!I41</f>
        <v>42.309199999999997</v>
      </c>
      <c r="I132" s="23">
        <f>'Annual Raw'!J41</f>
        <v>42.309199999999997</v>
      </c>
      <c r="J132" s="23">
        <f>'Annual Raw'!K41</f>
        <v>42.309199999999997</v>
      </c>
      <c r="K132" s="23">
        <f>'Annual Raw'!L41</f>
        <v>42.309199999999997</v>
      </c>
      <c r="L132" s="23">
        <f>'Annual Raw'!M41</f>
        <v>42.309199999999997</v>
      </c>
      <c r="M132" s="23">
        <f>'Annual Raw'!N41</f>
        <v>42.31</v>
      </c>
      <c r="N132" s="23">
        <f>'Annual Raw'!O41</f>
        <v>42.31</v>
      </c>
      <c r="O132" s="23">
        <f>'Annual Raw'!P41</f>
        <v>84.62</v>
      </c>
      <c r="P132" s="23">
        <f>'Annual Raw'!Q41</f>
        <v>84.62</v>
      </c>
      <c r="Q132" s="23">
        <f>'Annual Raw'!R41</f>
        <v>84.62</v>
      </c>
      <c r="R132" s="23">
        <f>'Annual Raw'!S41</f>
        <v>84.62</v>
      </c>
      <c r="S132" s="23">
        <f>'Annual Raw'!T41</f>
        <v>84.62</v>
      </c>
      <c r="T132" s="23">
        <f>'Annual Raw'!U41</f>
        <v>84.62</v>
      </c>
      <c r="U132" s="23">
        <f>'Annual Raw'!V41</f>
        <v>84.62</v>
      </c>
      <c r="V132" s="23">
        <f>'Annual Raw'!W41</f>
        <v>84.62</v>
      </c>
      <c r="W132" s="23">
        <f>'Annual Raw'!X41</f>
        <v>84.62</v>
      </c>
      <c r="X132" s="23">
        <f>'Annual Raw'!Y41</f>
        <v>169.23</v>
      </c>
      <c r="Y132" s="23">
        <f>'Annual Raw'!Z41</f>
        <v>169.23</v>
      </c>
      <c r="Z132" s="23">
        <f>'Annual Raw'!AA41</f>
        <v>169.23</v>
      </c>
      <c r="AA132" s="23">
        <f>'Annual Raw'!AB41</f>
        <v>169.23</v>
      </c>
      <c r="AB132" s="24">
        <f>+CP132</f>
        <v>169</v>
      </c>
      <c r="AC132" s="24">
        <f>+CT132</f>
        <v>169</v>
      </c>
      <c r="AD132" s="24">
        <f>+CX132</f>
        <v>169</v>
      </c>
      <c r="AE132" s="24">
        <f>+DB132</f>
        <v>169</v>
      </c>
      <c r="AJ132" s="23">
        <f>+'QTR Raw'!D56</f>
        <v>42.31</v>
      </c>
      <c r="AK132" s="23">
        <f t="shared" ref="AK132:CE132" si="1045">+AJ132</f>
        <v>42.31</v>
      </c>
      <c r="AL132" s="23">
        <f>+'QTR Raw'!F56</f>
        <v>42</v>
      </c>
      <c r="AM132" s="23">
        <f t="shared" si="1045"/>
        <v>42</v>
      </c>
      <c r="AN132" s="23">
        <f>+'QTR Raw'!H56</f>
        <v>85</v>
      </c>
      <c r="AO132" s="23">
        <f t="shared" si="1045"/>
        <v>85</v>
      </c>
      <c r="AP132" s="23">
        <f>+'QTR Raw'!J56</f>
        <v>85</v>
      </c>
      <c r="AQ132" s="23">
        <f t="shared" si="1045"/>
        <v>85</v>
      </c>
      <c r="AR132" s="23">
        <f>+'QTR Raw'!L56</f>
        <v>85</v>
      </c>
      <c r="AS132" s="23">
        <f t="shared" si="1045"/>
        <v>85</v>
      </c>
      <c r="AT132" s="23">
        <f>+'QTR Raw'!N56</f>
        <v>85</v>
      </c>
      <c r="AU132" s="23">
        <f t="shared" si="1045"/>
        <v>85</v>
      </c>
      <c r="AV132" s="23">
        <f>+'QTR Raw'!P56</f>
        <v>85</v>
      </c>
      <c r="AW132" s="23">
        <f t="shared" si="1045"/>
        <v>85</v>
      </c>
      <c r="AX132" s="23">
        <f>+'QTR Raw'!R56</f>
        <v>85</v>
      </c>
      <c r="AY132" s="23">
        <f t="shared" si="1045"/>
        <v>85</v>
      </c>
      <c r="AZ132" s="23">
        <f>+'QTR Raw'!T56</f>
        <v>85</v>
      </c>
      <c r="BA132" s="23">
        <f t="shared" si="1045"/>
        <v>85</v>
      </c>
      <c r="BB132" s="23">
        <f>+'QTR Raw'!V56</f>
        <v>85</v>
      </c>
      <c r="BC132" s="23">
        <f t="shared" si="1045"/>
        <v>85</v>
      </c>
      <c r="BD132" s="23">
        <f>+'QTR Raw'!X56</f>
        <v>85</v>
      </c>
      <c r="BE132" s="23">
        <f t="shared" si="1045"/>
        <v>85</v>
      </c>
      <c r="BF132" s="23">
        <f>+'QTR Raw'!Z56</f>
        <v>85</v>
      </c>
      <c r="BG132" s="23">
        <f t="shared" si="1045"/>
        <v>85</v>
      </c>
      <c r="BH132" s="23">
        <f>+'QTR Raw'!AB56</f>
        <v>85</v>
      </c>
      <c r="BI132" s="23">
        <f t="shared" si="1045"/>
        <v>85</v>
      </c>
      <c r="BJ132" s="23">
        <f>+'QTR Raw'!AD56</f>
        <v>85</v>
      </c>
      <c r="BK132" s="23">
        <f t="shared" si="1045"/>
        <v>85</v>
      </c>
      <c r="BL132" s="23">
        <f>+'QTR Raw'!AF56</f>
        <v>85</v>
      </c>
      <c r="BM132" s="23">
        <f t="shared" si="1045"/>
        <v>85</v>
      </c>
      <c r="BN132" s="23">
        <f>+'QTR Raw'!AH56</f>
        <v>85</v>
      </c>
      <c r="BO132" s="23">
        <f t="shared" si="1045"/>
        <v>85</v>
      </c>
      <c r="BP132" s="23">
        <f>+'QTR Raw'!AJ56</f>
        <v>85</v>
      </c>
      <c r="BQ132" s="23">
        <f t="shared" si="1045"/>
        <v>85</v>
      </c>
      <c r="BR132" s="23">
        <f>+'QTR Raw'!AL56</f>
        <v>85</v>
      </c>
      <c r="BS132" s="23">
        <f t="shared" si="1045"/>
        <v>85</v>
      </c>
      <c r="BT132" s="23">
        <f>+'QTR Raw'!AN56</f>
        <v>85</v>
      </c>
      <c r="BU132" s="23">
        <f t="shared" si="1045"/>
        <v>85</v>
      </c>
      <c r="BV132" s="23">
        <f>+'QTR Raw'!AP56</f>
        <v>85</v>
      </c>
      <c r="BW132" s="23">
        <f t="shared" si="1045"/>
        <v>85</v>
      </c>
      <c r="BX132" s="23">
        <f>+'QTR Raw'!AR56</f>
        <v>169</v>
      </c>
      <c r="BY132" s="23">
        <f t="shared" si="1045"/>
        <v>169</v>
      </c>
      <c r="BZ132" s="23">
        <f>+'QTR Raw'!AT56</f>
        <v>169</v>
      </c>
      <c r="CA132" s="23">
        <f t="shared" si="1045"/>
        <v>169</v>
      </c>
      <c r="CB132" s="23">
        <f>+'QTR Raw'!AV56</f>
        <v>169</v>
      </c>
      <c r="CC132" s="23">
        <f t="shared" si="1045"/>
        <v>169</v>
      </c>
      <c r="CD132" s="23">
        <f>+'QTR Raw'!AX56</f>
        <v>169</v>
      </c>
      <c r="CE132" s="23">
        <f t="shared" si="1045"/>
        <v>169</v>
      </c>
      <c r="CF132" s="23">
        <f>+'QTR Raw'!AZ56</f>
        <v>169</v>
      </c>
      <c r="CG132" s="23">
        <f t="shared" ref="CG132:CG133" si="1046">+CF132</f>
        <v>169</v>
      </c>
      <c r="CH132" s="23">
        <f>Z132</f>
        <v>169.23</v>
      </c>
      <c r="CI132" s="23">
        <f>CH132</f>
        <v>169.23</v>
      </c>
      <c r="CJ132" s="23">
        <f>+'QTR Raw'!BD56</f>
        <v>169</v>
      </c>
      <c r="CK132" s="23">
        <f t="shared" ref="CK132:DB132" si="1047">CJ132</f>
        <v>169</v>
      </c>
      <c r="CL132" s="23">
        <f>+'QTR Raw'!BF56</f>
        <v>169</v>
      </c>
      <c r="CM132" s="24">
        <f t="shared" si="1047"/>
        <v>169</v>
      </c>
      <c r="CN132" s="24">
        <f t="shared" si="1047"/>
        <v>169</v>
      </c>
      <c r="CO132" s="24">
        <f t="shared" si="1047"/>
        <v>169</v>
      </c>
      <c r="CP132" s="24">
        <f t="shared" si="1047"/>
        <v>169</v>
      </c>
      <c r="CQ132" s="24">
        <f t="shared" si="1047"/>
        <v>169</v>
      </c>
      <c r="CR132" s="24">
        <f t="shared" si="1047"/>
        <v>169</v>
      </c>
      <c r="CS132" s="24">
        <f t="shared" si="1047"/>
        <v>169</v>
      </c>
      <c r="CT132" s="24">
        <f t="shared" si="1047"/>
        <v>169</v>
      </c>
      <c r="CU132" s="24">
        <f t="shared" si="1047"/>
        <v>169</v>
      </c>
      <c r="CV132" s="24">
        <f t="shared" si="1047"/>
        <v>169</v>
      </c>
      <c r="CW132" s="24">
        <f t="shared" si="1047"/>
        <v>169</v>
      </c>
      <c r="CX132" s="24">
        <f t="shared" si="1047"/>
        <v>169</v>
      </c>
      <c r="CY132" s="24">
        <f t="shared" si="1047"/>
        <v>169</v>
      </c>
      <c r="CZ132" s="24">
        <f t="shared" si="1047"/>
        <v>169</v>
      </c>
      <c r="DA132" s="24">
        <f t="shared" si="1047"/>
        <v>169</v>
      </c>
      <c r="DB132" s="24">
        <f t="shared" si="1047"/>
        <v>169</v>
      </c>
      <c r="DE132" s="123"/>
      <c r="DF132" s="23">
        <v>169</v>
      </c>
    </row>
    <row r="133" spans="1:110" s="23" customFormat="1" outlineLevel="1" x14ac:dyDescent="0.2">
      <c r="A133" s="23" t="s">
        <v>42</v>
      </c>
      <c r="B133" s="23">
        <f>'Annual Raw'!C42</f>
        <v>0</v>
      </c>
      <c r="C133" s="23">
        <f>'Annual Raw'!D42</f>
        <v>0</v>
      </c>
      <c r="D133" s="23">
        <f>'Annual Raw'!E42</f>
        <v>0</v>
      </c>
      <c r="E133" s="23">
        <f>'Annual Raw'!F42</f>
        <v>0</v>
      </c>
      <c r="F133" s="23">
        <f>'Annual Raw'!G42</f>
        <v>0</v>
      </c>
      <c r="G133" s="23">
        <f>'Annual Raw'!H42</f>
        <v>0</v>
      </c>
      <c r="H133" s="23">
        <f>'Annual Raw'!I42</f>
        <v>0</v>
      </c>
      <c r="I133" s="23">
        <f>'Annual Raw'!J42</f>
        <v>0</v>
      </c>
      <c r="J133" s="23">
        <f>'Annual Raw'!K42</f>
        <v>0</v>
      </c>
      <c r="K133" s="23">
        <f>'Annual Raw'!L42</f>
        <v>0</v>
      </c>
      <c r="L133" s="23">
        <f>'Annual Raw'!M42</f>
        <v>0</v>
      </c>
      <c r="M133" s="23">
        <f>'Annual Raw'!N42</f>
        <v>0</v>
      </c>
      <c r="N133" s="23">
        <f>'Annual Raw'!O42</f>
        <v>0</v>
      </c>
      <c r="O133" s="23">
        <f>'Annual Raw'!P42</f>
        <v>0</v>
      </c>
      <c r="P133" s="23">
        <f>'Annual Raw'!Q42</f>
        <v>0</v>
      </c>
      <c r="Q133" s="23">
        <f>'Annual Raw'!R42</f>
        <v>0</v>
      </c>
      <c r="R133" s="23">
        <f>'Annual Raw'!S42</f>
        <v>0</v>
      </c>
      <c r="S133" s="23">
        <f>'Annual Raw'!T42</f>
        <v>0</v>
      </c>
      <c r="T133" s="23">
        <f>'Annual Raw'!U42</f>
        <v>0</v>
      </c>
      <c r="U133" s="23">
        <f>'Annual Raw'!V42</f>
        <v>0</v>
      </c>
      <c r="V133" s="23">
        <f>'Annual Raw'!W42</f>
        <v>0</v>
      </c>
      <c r="W133" s="23">
        <f>'Annual Raw'!X42</f>
        <v>0</v>
      </c>
      <c r="X133" s="23">
        <f>'Annual Raw'!Y42</f>
        <v>0</v>
      </c>
      <c r="Y133" s="23">
        <f>'Annual Raw'!Z42</f>
        <v>0</v>
      </c>
      <c r="Z133" s="23">
        <f>'Annual Raw'!AA42</f>
        <v>0</v>
      </c>
      <c r="AA133" s="23">
        <f>'Annual Raw'!AB42</f>
        <v>0</v>
      </c>
      <c r="AB133" s="24">
        <f t="shared" ref="AB133:AB134" si="1048">+CP133</f>
        <v>0</v>
      </c>
      <c r="AC133" s="24">
        <f t="shared" ref="AC133:AC134" si="1049">+CT133</f>
        <v>0</v>
      </c>
      <c r="AD133" s="24">
        <f t="shared" ref="AD133:AD134" si="1050">+CX133</f>
        <v>0</v>
      </c>
      <c r="AE133" s="24">
        <f t="shared" ref="AE133:AE134" si="1051">+DB133</f>
        <v>0</v>
      </c>
      <c r="AJ133" s="23">
        <f>+'QTR Raw'!D57</f>
        <v>0</v>
      </c>
      <c r="AK133" s="23">
        <f t="shared" ref="AK133:CE133" si="1052">+AJ133</f>
        <v>0</v>
      </c>
      <c r="AL133" s="23">
        <f>+'QTR Raw'!F57</f>
        <v>0</v>
      </c>
      <c r="AM133" s="23">
        <f t="shared" si="1052"/>
        <v>0</v>
      </c>
      <c r="AN133" s="23">
        <f>+'QTR Raw'!H57</f>
        <v>0</v>
      </c>
      <c r="AO133" s="23">
        <f t="shared" si="1052"/>
        <v>0</v>
      </c>
      <c r="AP133" s="23">
        <f>+'QTR Raw'!J57</f>
        <v>0</v>
      </c>
      <c r="AQ133" s="23">
        <f t="shared" si="1052"/>
        <v>0</v>
      </c>
      <c r="AR133" s="23">
        <f>+'QTR Raw'!L57</f>
        <v>0</v>
      </c>
      <c r="AS133" s="23">
        <f t="shared" si="1052"/>
        <v>0</v>
      </c>
      <c r="AT133" s="23">
        <f>+'QTR Raw'!N57</f>
        <v>0</v>
      </c>
      <c r="AU133" s="23">
        <f t="shared" si="1052"/>
        <v>0</v>
      </c>
      <c r="AV133" s="23">
        <f>+'QTR Raw'!P57</f>
        <v>0</v>
      </c>
      <c r="AW133" s="23">
        <f t="shared" si="1052"/>
        <v>0</v>
      </c>
      <c r="AX133" s="23">
        <f>+'QTR Raw'!R57</f>
        <v>0</v>
      </c>
      <c r="AY133" s="23">
        <f t="shared" si="1052"/>
        <v>0</v>
      </c>
      <c r="AZ133" s="23">
        <f>+'QTR Raw'!T57</f>
        <v>0</v>
      </c>
      <c r="BA133" s="23">
        <f t="shared" si="1052"/>
        <v>0</v>
      </c>
      <c r="BB133" s="23">
        <f>+'QTR Raw'!V57</f>
        <v>0</v>
      </c>
      <c r="BC133" s="23">
        <f t="shared" si="1052"/>
        <v>0</v>
      </c>
      <c r="BD133" s="23">
        <f>+'QTR Raw'!X57</f>
        <v>0</v>
      </c>
      <c r="BE133" s="23">
        <f t="shared" si="1052"/>
        <v>0</v>
      </c>
      <c r="BF133" s="23">
        <f>+'QTR Raw'!Z57</f>
        <v>0</v>
      </c>
      <c r="BG133" s="23">
        <f t="shared" si="1052"/>
        <v>0</v>
      </c>
      <c r="BH133" s="23">
        <f>+'QTR Raw'!AB57</f>
        <v>0</v>
      </c>
      <c r="BI133" s="23">
        <f t="shared" si="1052"/>
        <v>0</v>
      </c>
      <c r="BJ133" s="23">
        <f>+'QTR Raw'!AD57</f>
        <v>0</v>
      </c>
      <c r="BK133" s="23">
        <f t="shared" si="1052"/>
        <v>0</v>
      </c>
      <c r="BL133" s="23">
        <f>+'QTR Raw'!AF57</f>
        <v>0</v>
      </c>
      <c r="BM133" s="23">
        <f t="shared" si="1052"/>
        <v>0</v>
      </c>
      <c r="BN133" s="23">
        <f>+'QTR Raw'!AH57</f>
        <v>0</v>
      </c>
      <c r="BO133" s="23">
        <f t="shared" si="1052"/>
        <v>0</v>
      </c>
      <c r="BP133" s="23">
        <f>+'QTR Raw'!AJ57</f>
        <v>0</v>
      </c>
      <c r="BQ133" s="23">
        <f t="shared" si="1052"/>
        <v>0</v>
      </c>
      <c r="BR133" s="23">
        <f>+'QTR Raw'!AL57</f>
        <v>0</v>
      </c>
      <c r="BS133" s="23">
        <f t="shared" si="1052"/>
        <v>0</v>
      </c>
      <c r="BT133" s="23">
        <f>+'QTR Raw'!AN57</f>
        <v>0</v>
      </c>
      <c r="BU133" s="23">
        <f t="shared" si="1052"/>
        <v>0</v>
      </c>
      <c r="BV133" s="23">
        <f>+'QTR Raw'!AP57</f>
        <v>0</v>
      </c>
      <c r="BW133" s="23">
        <f t="shared" si="1052"/>
        <v>0</v>
      </c>
      <c r="BX133" s="23">
        <f>+'QTR Raw'!AR57</f>
        <v>0</v>
      </c>
      <c r="BY133" s="23">
        <f t="shared" si="1052"/>
        <v>0</v>
      </c>
      <c r="BZ133" s="23">
        <f>+'QTR Raw'!AT57</f>
        <v>0</v>
      </c>
      <c r="CA133" s="23">
        <f t="shared" si="1052"/>
        <v>0</v>
      </c>
      <c r="CB133" s="23">
        <f>+'QTR Raw'!AV57</f>
        <v>0</v>
      </c>
      <c r="CC133" s="23">
        <f t="shared" si="1052"/>
        <v>0</v>
      </c>
      <c r="CD133" s="23">
        <f>+'QTR Raw'!AX57</f>
        <v>0</v>
      </c>
      <c r="CE133" s="23">
        <f t="shared" si="1052"/>
        <v>0</v>
      </c>
      <c r="CF133" s="23">
        <f>+'QTR Raw'!AZ57</f>
        <v>0</v>
      </c>
      <c r="CG133" s="23">
        <f t="shared" si="1046"/>
        <v>0</v>
      </c>
      <c r="CH133" s="23">
        <f t="shared" ref="CH133:CH134" si="1053">Z133</f>
        <v>0</v>
      </c>
      <c r="CI133" s="23">
        <f>CH133</f>
        <v>0</v>
      </c>
      <c r="CJ133" s="23">
        <f>+'QTR Raw'!BD57</f>
        <v>0</v>
      </c>
      <c r="CK133" s="23">
        <f t="shared" ref="CK133:DB133" si="1054">CJ133</f>
        <v>0</v>
      </c>
      <c r="CL133" s="23">
        <f>+'QTR Raw'!BF57</f>
        <v>0</v>
      </c>
      <c r="CM133" s="24">
        <f t="shared" si="1054"/>
        <v>0</v>
      </c>
      <c r="CN133" s="24">
        <f t="shared" si="1054"/>
        <v>0</v>
      </c>
      <c r="CO133" s="24">
        <f t="shared" si="1054"/>
        <v>0</v>
      </c>
      <c r="CP133" s="24">
        <f t="shared" si="1054"/>
        <v>0</v>
      </c>
      <c r="CQ133" s="24">
        <f t="shared" si="1054"/>
        <v>0</v>
      </c>
      <c r="CR133" s="24">
        <f t="shared" si="1054"/>
        <v>0</v>
      </c>
      <c r="CS133" s="24">
        <f t="shared" si="1054"/>
        <v>0</v>
      </c>
      <c r="CT133" s="24">
        <f t="shared" si="1054"/>
        <v>0</v>
      </c>
      <c r="CU133" s="24">
        <f t="shared" si="1054"/>
        <v>0</v>
      </c>
      <c r="CV133" s="24">
        <f t="shared" si="1054"/>
        <v>0</v>
      </c>
      <c r="CW133" s="24">
        <f t="shared" si="1054"/>
        <v>0</v>
      </c>
      <c r="CX133" s="24">
        <f t="shared" si="1054"/>
        <v>0</v>
      </c>
      <c r="CY133" s="24">
        <f t="shared" si="1054"/>
        <v>0</v>
      </c>
      <c r="CZ133" s="24">
        <f t="shared" si="1054"/>
        <v>0</v>
      </c>
      <c r="DA133" s="24">
        <f t="shared" si="1054"/>
        <v>0</v>
      </c>
      <c r="DB133" s="24">
        <f t="shared" si="1054"/>
        <v>0</v>
      </c>
      <c r="DE133" s="123"/>
      <c r="DF133" s="23">
        <v>0</v>
      </c>
    </row>
    <row r="134" spans="1:110" s="23" customFormat="1" outlineLevel="1" x14ac:dyDescent="0.2">
      <c r="A134" s="23" t="s">
        <v>43</v>
      </c>
      <c r="B134" s="23">
        <f>'Annual Raw'!C43</f>
        <v>219.99529999999999</v>
      </c>
      <c r="C134" s="23">
        <f>'Annual Raw'!D43</f>
        <v>204.39089999999999</v>
      </c>
      <c r="D134" s="23">
        <f>'Annual Raw'!E43</f>
        <v>229.58279999999999</v>
      </c>
      <c r="E134" s="23">
        <f>'Annual Raw'!F43</f>
        <v>264.92</v>
      </c>
      <c r="F134" s="23">
        <f>'Annual Raw'!G43</f>
        <v>294.38619999999997</v>
      </c>
      <c r="G134" s="23">
        <f>'Annual Raw'!H43</f>
        <v>305.53109999999998</v>
      </c>
      <c r="H134" s="23">
        <f>'Annual Raw'!I43</f>
        <v>367.9425</v>
      </c>
      <c r="I134" s="23">
        <f>'Annual Raw'!J43</f>
        <v>467.2518</v>
      </c>
      <c r="J134" s="23">
        <f>'Annual Raw'!K43</f>
        <v>608.58249999999998</v>
      </c>
      <c r="K134" s="23">
        <f>'Annual Raw'!L43</f>
        <v>788.66930000000002</v>
      </c>
      <c r="L134" s="23">
        <f>'Annual Raw'!M43</f>
        <v>980.09559999999999</v>
      </c>
      <c r="M134" s="23">
        <f>'Annual Raw'!N43</f>
        <v>1151.52</v>
      </c>
      <c r="N134" s="23">
        <f>'Annual Raw'!O43</f>
        <v>1379.62</v>
      </c>
      <c r="O134" s="23">
        <f>'Annual Raw'!P43</f>
        <v>1817.81</v>
      </c>
      <c r="P134" s="23">
        <f>'Annual Raw'!Q43</f>
        <v>2405.94</v>
      </c>
      <c r="Q134" s="23">
        <f>'Annual Raw'!R43</f>
        <v>3409.48</v>
      </c>
      <c r="R134" s="23">
        <f>'Annual Raw'!S43</f>
        <v>4265.51</v>
      </c>
      <c r="S134" s="23">
        <f>'Annual Raw'!T43</f>
        <v>4537.57</v>
      </c>
      <c r="T134" s="23">
        <f>'Annual Raw'!U43</f>
        <v>4639.7299999999996</v>
      </c>
      <c r="U134" s="23">
        <f>'Annual Raw'!V43</f>
        <v>4738.6000000000004</v>
      </c>
      <c r="V134" s="23">
        <f>'Annual Raw'!W43</f>
        <v>5752.55</v>
      </c>
      <c r="W134" s="23">
        <f>'Annual Raw'!X43</f>
        <v>5868.33</v>
      </c>
      <c r="X134" s="23">
        <f>'Annual Raw'!Y43</f>
        <v>6028.84</v>
      </c>
      <c r="Y134" s="23">
        <f>'Annual Raw'!Z43</f>
        <v>6686.92</v>
      </c>
      <c r="Z134" s="23">
        <f>'Annual Raw'!AA43</f>
        <v>7421.46</v>
      </c>
      <c r="AA134" s="23">
        <f>'Annual Raw'!AB43</f>
        <v>8219.2000000000007</v>
      </c>
      <c r="AB134" s="24">
        <f t="shared" si="1048"/>
        <v>10963.828189751202</v>
      </c>
      <c r="AC134" s="24">
        <f t="shared" si="1049"/>
        <v>14622.895291566911</v>
      </c>
      <c r="AD134" s="24">
        <f t="shared" si="1050"/>
        <v>18806.877790909395</v>
      </c>
      <c r="AE134" s="24">
        <f t="shared" si="1051"/>
        <v>23183.143688261131</v>
      </c>
      <c r="AJ134" s="23">
        <f>+'QTR Raw'!D58</f>
        <v>1401.04</v>
      </c>
      <c r="AK134" s="23">
        <f>+AJ134+AK63</f>
        <v>1513.04</v>
      </c>
      <c r="AL134" s="23">
        <f>+'QTR Raw'!F58</f>
        <v>1380</v>
      </c>
      <c r="AM134" s="23">
        <f>+AL134+AM63</f>
        <v>1529</v>
      </c>
      <c r="AN134" s="23">
        <f>+'QTR Raw'!H58</f>
        <v>1416</v>
      </c>
      <c r="AO134" s="23">
        <f>+AN134+AO63</f>
        <v>1574</v>
      </c>
      <c r="AP134" s="23">
        <f>+'QTR Raw'!J58</f>
        <v>1818</v>
      </c>
      <c r="AQ134" s="23">
        <f>+AP134+AQ63</f>
        <v>2074</v>
      </c>
      <c r="AR134" s="23">
        <f>+'QTR Raw'!L58</f>
        <v>2292</v>
      </c>
      <c r="AS134" s="23">
        <f>+AR134+AS63</f>
        <v>2459</v>
      </c>
      <c r="AT134" s="23">
        <f>+'QTR Raw'!N58</f>
        <v>2406</v>
      </c>
      <c r="AU134" s="23">
        <f>+AT134+AU63</f>
        <v>3056</v>
      </c>
      <c r="AV134" s="23">
        <f>+'QTR Raw'!P58</f>
        <v>3299</v>
      </c>
      <c r="AW134" s="23">
        <f>+AV134+AW63</f>
        <v>3589</v>
      </c>
      <c r="AX134" s="23">
        <f>+'QTR Raw'!R58</f>
        <v>3409</v>
      </c>
      <c r="AY134" s="23">
        <f>+AX134+AY63</f>
        <v>3701</v>
      </c>
      <c r="AZ134" s="23">
        <f>+'QTR Raw'!T58</f>
        <v>3938</v>
      </c>
      <c r="BA134" s="23">
        <f>+AZ134+BA63</f>
        <v>4167</v>
      </c>
      <c r="BB134" s="23">
        <f>+'QTR Raw'!V58</f>
        <v>4266</v>
      </c>
      <c r="BC134" s="23">
        <f>+BB134+BC63</f>
        <v>4454</v>
      </c>
      <c r="BD134" s="23">
        <f>+'QTR Raw'!X58</f>
        <v>4458</v>
      </c>
      <c r="BE134" s="23">
        <f>+BD134+BE63</f>
        <v>4516</v>
      </c>
      <c r="BF134" s="23">
        <f>+'QTR Raw'!Z58</f>
        <v>4537</v>
      </c>
      <c r="BG134" s="23">
        <f>+BF134+BG63</f>
        <v>4700</v>
      </c>
      <c r="BH134" s="23">
        <f>+'QTR Raw'!AB58</f>
        <v>4650</v>
      </c>
      <c r="BI134" s="23">
        <f>+BH134+BI63</f>
        <v>4896</v>
      </c>
      <c r="BJ134" s="23">
        <f>+'QTR Raw'!AD58</f>
        <v>4639</v>
      </c>
      <c r="BK134" s="23">
        <f>+BJ134+BK63</f>
        <v>4855</v>
      </c>
      <c r="BL134" s="23">
        <f>+'QTR Raw'!AF58</f>
        <v>4988</v>
      </c>
      <c r="BM134" s="23">
        <f>+BL134+BM63</f>
        <v>5239</v>
      </c>
      <c r="BN134" s="23">
        <f>+'QTR Raw'!AH58</f>
        <v>4739</v>
      </c>
      <c r="BO134" s="23">
        <f>+BN134+BO63</f>
        <v>5060</v>
      </c>
      <c r="BP134" s="23">
        <f>+'QTR Raw'!AJ58</f>
        <v>5446</v>
      </c>
      <c r="BQ134" s="23">
        <f>+BP134+BQ63</f>
        <v>5743</v>
      </c>
      <c r="BR134" s="23">
        <f>+'QTR Raw'!AL58</f>
        <v>5753</v>
      </c>
      <c r="BS134" s="23">
        <f>+BR134+BS63</f>
        <v>6083</v>
      </c>
      <c r="BT134" s="23">
        <f>+'QTR Raw'!AN58</f>
        <v>6134</v>
      </c>
      <c r="BU134" s="23">
        <f>+BT134+BU63</f>
        <v>6383</v>
      </c>
      <c r="BV134" s="23">
        <f>+'QTR Raw'!AP58</f>
        <v>5868</v>
      </c>
      <c r="BW134" s="23">
        <f>+BV134+BW63</f>
        <v>6222</v>
      </c>
      <c r="BX134" s="23">
        <f>+'QTR Raw'!AR58</f>
        <v>5922</v>
      </c>
      <c r="BY134" s="23">
        <f>+BX134+BY63</f>
        <v>6214</v>
      </c>
      <c r="BZ134" s="23">
        <f>+'QTR Raw'!AT58</f>
        <v>6029</v>
      </c>
      <c r="CA134" s="23">
        <f>+BZ134+CA63</f>
        <v>6407</v>
      </c>
      <c r="CB134" s="23">
        <f>+'QTR Raw'!AV58</f>
        <v>6538</v>
      </c>
      <c r="CC134" s="23">
        <f>+CB134+CC63</f>
        <v>6981</v>
      </c>
      <c r="CD134" s="23">
        <f>+'QTR Raw'!AX58</f>
        <v>6687</v>
      </c>
      <c r="CE134" s="23">
        <f>+CD134+CE63</f>
        <v>7144</v>
      </c>
      <c r="CF134" s="23">
        <f>+'QTR Raw'!AZ58</f>
        <v>7335</v>
      </c>
      <c r="CG134" s="23">
        <f>+CF134+CG63</f>
        <v>7838</v>
      </c>
      <c r="CH134" s="23">
        <f t="shared" si="1053"/>
        <v>7421.46</v>
      </c>
      <c r="CI134" s="23">
        <f>CH134+CI63</f>
        <v>7969.46</v>
      </c>
      <c r="CJ134" s="23">
        <f>+'QTR Raw'!BD58</f>
        <v>8280</v>
      </c>
      <c r="CK134" s="23">
        <f t="shared" ref="CK134:DB134" si="1055">CJ134+CK63</f>
        <v>8915</v>
      </c>
      <c r="CL134" s="23">
        <f>+'QTR Raw'!BF58</f>
        <v>8220</v>
      </c>
      <c r="CM134" s="24">
        <f t="shared" si="1055"/>
        <v>8796.6192700281299</v>
      </c>
      <c r="CN134" s="24">
        <f t="shared" si="1055"/>
        <v>9423.8701465160557</v>
      </c>
      <c r="CO134" s="24">
        <f t="shared" si="1055"/>
        <v>10059.471245944917</v>
      </c>
      <c r="CP134" s="24">
        <f t="shared" si="1055"/>
        <v>10963.828189751202</v>
      </c>
      <c r="CQ134" s="24">
        <f t="shared" si="1055"/>
        <v>11743.404765221379</v>
      </c>
      <c r="CR134" s="24">
        <f t="shared" si="1055"/>
        <v>12584.157330020793</v>
      </c>
      <c r="CS134" s="24">
        <f t="shared" si="1055"/>
        <v>13435.536557647374</v>
      </c>
      <c r="CT134" s="24">
        <f t="shared" si="1055"/>
        <v>14622.895291566911</v>
      </c>
      <c r="CU134" s="24">
        <f t="shared" si="1055"/>
        <v>15551.518848981936</v>
      </c>
      <c r="CV134" s="24">
        <f t="shared" si="1055"/>
        <v>16516.834555381574</v>
      </c>
      <c r="CW134" s="24">
        <f t="shared" si="1055"/>
        <v>17481.176666049902</v>
      </c>
      <c r="CX134" s="24">
        <f t="shared" si="1055"/>
        <v>18806.877790909395</v>
      </c>
      <c r="CY134" s="24">
        <f t="shared" si="1055"/>
        <v>19796.050986655802</v>
      </c>
      <c r="CZ134" s="24">
        <f t="shared" si="1055"/>
        <v>20816.280135214318</v>
      </c>
      <c r="DA134" s="24">
        <f t="shared" si="1055"/>
        <v>21824.213066882057</v>
      </c>
      <c r="DB134" s="24">
        <f t="shared" si="1055"/>
        <v>23183.143688261131</v>
      </c>
      <c r="DE134" s="123"/>
      <c r="DF134" s="23">
        <v>9621.1879771499007</v>
      </c>
    </row>
    <row r="135" spans="1:110" s="22" customFormat="1" x14ac:dyDescent="0.2">
      <c r="A135" s="22" t="s">
        <v>44</v>
      </c>
      <c r="B135" s="22">
        <f>B132+B133+B134</f>
        <v>241.07629999999997</v>
      </c>
      <c r="C135" s="22">
        <f t="shared" ref="C135:V135" si="1056">C132+C133+C134</f>
        <v>225.47189999999998</v>
      </c>
      <c r="D135" s="22">
        <f t="shared" si="1056"/>
        <v>250.68519999999998</v>
      </c>
      <c r="E135" s="22">
        <f t="shared" si="1056"/>
        <v>286.0763</v>
      </c>
      <c r="F135" s="22">
        <f t="shared" si="1056"/>
        <v>315.54249999999996</v>
      </c>
      <c r="G135" s="22">
        <f t="shared" si="1056"/>
        <v>347.84029999999996</v>
      </c>
      <c r="H135" s="22">
        <f t="shared" si="1056"/>
        <v>410.25169999999997</v>
      </c>
      <c r="I135" s="22">
        <f t="shared" si="1056"/>
        <v>509.56099999999998</v>
      </c>
      <c r="J135" s="22">
        <f t="shared" si="1056"/>
        <v>650.89170000000001</v>
      </c>
      <c r="K135" s="22">
        <f t="shared" si="1056"/>
        <v>830.97850000000005</v>
      </c>
      <c r="L135" s="22">
        <f t="shared" si="1056"/>
        <v>1022.4048</v>
      </c>
      <c r="M135" s="22">
        <f>M132+M133+M134</f>
        <v>1193.83</v>
      </c>
      <c r="N135" s="22">
        <f t="shared" si="1056"/>
        <v>1421.9299999999998</v>
      </c>
      <c r="O135" s="22">
        <f t="shared" si="1056"/>
        <v>1902.4299999999998</v>
      </c>
      <c r="P135" s="22">
        <f t="shared" si="1056"/>
        <v>2490.56</v>
      </c>
      <c r="Q135" s="22">
        <f t="shared" si="1056"/>
        <v>3494.1</v>
      </c>
      <c r="R135" s="22">
        <f t="shared" si="1056"/>
        <v>4350.13</v>
      </c>
      <c r="S135" s="22">
        <f t="shared" si="1056"/>
        <v>4622.1899999999996</v>
      </c>
      <c r="T135" s="22">
        <f t="shared" si="1056"/>
        <v>4724.3499999999995</v>
      </c>
      <c r="U135" s="22">
        <f t="shared" si="1056"/>
        <v>4823.22</v>
      </c>
      <c r="V135" s="22">
        <f t="shared" si="1056"/>
        <v>5837.17</v>
      </c>
      <c r="W135" s="22">
        <f t="shared" ref="W135" si="1057">W132+W133+W134</f>
        <v>5952.95</v>
      </c>
      <c r="X135" s="22">
        <f t="shared" ref="X135:Y135" si="1058">X132+X133+X134</f>
        <v>6198.07</v>
      </c>
      <c r="Y135" s="22">
        <f t="shared" si="1058"/>
        <v>6856.15</v>
      </c>
      <c r="Z135" s="22">
        <f t="shared" ref="Z135:AA135" si="1059">Z132+Z133+Z134</f>
        <v>7590.69</v>
      </c>
      <c r="AA135" s="22">
        <f t="shared" si="1059"/>
        <v>8388.43</v>
      </c>
      <c r="AB135" s="21">
        <f t="shared" ref="AA135:AD135" si="1060">AB132+AB133+AB134</f>
        <v>11132.828189751202</v>
      </c>
      <c r="AC135" s="21">
        <f t="shared" si="1060"/>
        <v>14791.895291566911</v>
      </c>
      <c r="AD135" s="21">
        <f t="shared" si="1060"/>
        <v>18975.877790909395</v>
      </c>
      <c r="AE135" s="21">
        <f t="shared" ref="AE135" si="1061">AE132+AE133+AE134</f>
        <v>23352.143688261131</v>
      </c>
      <c r="AJ135" s="22">
        <f t="shared" ref="AJ135" si="1062">AJ132+AJ133+AJ134</f>
        <v>1443.35</v>
      </c>
      <c r="AK135" s="22">
        <f t="shared" ref="AK135" si="1063">AK132+AK133+AK134</f>
        <v>1555.35</v>
      </c>
      <c r="AL135" s="22">
        <f t="shared" ref="AL135:AM135" si="1064">AL132+AL133+AL134</f>
        <v>1422</v>
      </c>
      <c r="AM135" s="22">
        <f t="shared" si="1064"/>
        <v>1571</v>
      </c>
      <c r="AN135" s="22">
        <f t="shared" ref="AN135:AO135" si="1065">AN132+AN133+AN134</f>
        <v>1501</v>
      </c>
      <c r="AO135" s="22">
        <f t="shared" si="1065"/>
        <v>1659</v>
      </c>
      <c r="AP135" s="22">
        <f t="shared" ref="AP135:CE135" si="1066">AP132+AP133+AP134</f>
        <v>1903</v>
      </c>
      <c r="AQ135" s="22">
        <f t="shared" si="1066"/>
        <v>2159</v>
      </c>
      <c r="AR135" s="22">
        <f t="shared" si="1066"/>
        <v>2377</v>
      </c>
      <c r="AS135" s="22">
        <f t="shared" si="1066"/>
        <v>2544</v>
      </c>
      <c r="AT135" s="22">
        <f t="shared" si="1066"/>
        <v>2491</v>
      </c>
      <c r="AU135" s="22">
        <f t="shared" si="1066"/>
        <v>3141</v>
      </c>
      <c r="AV135" s="22">
        <f t="shared" si="1066"/>
        <v>3384</v>
      </c>
      <c r="AW135" s="22">
        <f t="shared" si="1066"/>
        <v>3674</v>
      </c>
      <c r="AX135" s="22">
        <f t="shared" si="1066"/>
        <v>3494</v>
      </c>
      <c r="AY135" s="22">
        <f t="shared" si="1066"/>
        <v>3786</v>
      </c>
      <c r="AZ135" s="22">
        <f t="shared" si="1066"/>
        <v>4023</v>
      </c>
      <c r="BA135" s="22">
        <f t="shared" si="1066"/>
        <v>4252</v>
      </c>
      <c r="BB135" s="22">
        <f t="shared" si="1066"/>
        <v>4351</v>
      </c>
      <c r="BC135" s="22">
        <f t="shared" si="1066"/>
        <v>4539</v>
      </c>
      <c r="BD135" s="22">
        <f t="shared" si="1066"/>
        <v>4543</v>
      </c>
      <c r="BE135" s="22">
        <f t="shared" si="1066"/>
        <v>4601</v>
      </c>
      <c r="BF135" s="22">
        <f t="shared" si="1066"/>
        <v>4622</v>
      </c>
      <c r="BG135" s="22">
        <f t="shared" si="1066"/>
        <v>4785</v>
      </c>
      <c r="BH135" s="22">
        <f t="shared" si="1066"/>
        <v>4735</v>
      </c>
      <c r="BI135" s="22">
        <f t="shared" si="1066"/>
        <v>4981</v>
      </c>
      <c r="BJ135" s="22">
        <f t="shared" si="1066"/>
        <v>4724</v>
      </c>
      <c r="BK135" s="22">
        <f t="shared" si="1066"/>
        <v>4940</v>
      </c>
      <c r="BL135" s="22">
        <f t="shared" si="1066"/>
        <v>5073</v>
      </c>
      <c r="BM135" s="22">
        <f t="shared" si="1066"/>
        <v>5324</v>
      </c>
      <c r="BN135" s="22">
        <f t="shared" si="1066"/>
        <v>4824</v>
      </c>
      <c r="BO135" s="22">
        <f t="shared" si="1066"/>
        <v>5145</v>
      </c>
      <c r="BP135" s="22">
        <f t="shared" si="1066"/>
        <v>5531</v>
      </c>
      <c r="BQ135" s="22">
        <f t="shared" si="1066"/>
        <v>5828</v>
      </c>
      <c r="BR135" s="22">
        <f t="shared" si="1066"/>
        <v>5838</v>
      </c>
      <c r="BS135" s="22">
        <f t="shared" si="1066"/>
        <v>6168</v>
      </c>
      <c r="BT135" s="22">
        <f t="shared" si="1066"/>
        <v>6219</v>
      </c>
      <c r="BU135" s="22">
        <f t="shared" si="1066"/>
        <v>6468</v>
      </c>
      <c r="BV135" s="22">
        <f t="shared" si="1066"/>
        <v>5953</v>
      </c>
      <c r="BW135" s="22">
        <f t="shared" si="1066"/>
        <v>6307</v>
      </c>
      <c r="BX135" s="22">
        <f t="shared" si="1066"/>
        <v>6091</v>
      </c>
      <c r="BY135" s="22">
        <f t="shared" si="1066"/>
        <v>6383</v>
      </c>
      <c r="BZ135" s="22">
        <f t="shared" si="1066"/>
        <v>6198</v>
      </c>
      <c r="CA135" s="22">
        <f t="shared" si="1066"/>
        <v>6576</v>
      </c>
      <c r="CB135" s="22">
        <f t="shared" si="1066"/>
        <v>6707</v>
      </c>
      <c r="CC135" s="22">
        <f t="shared" si="1066"/>
        <v>7150</v>
      </c>
      <c r="CD135" s="22">
        <f t="shared" si="1066"/>
        <v>6856</v>
      </c>
      <c r="CE135" s="22">
        <f t="shared" si="1066"/>
        <v>7313</v>
      </c>
      <c r="CF135" s="22">
        <f t="shared" ref="CF135:CG135" si="1067">CF132+CF133+CF134</f>
        <v>7504</v>
      </c>
      <c r="CG135" s="22">
        <f t="shared" si="1067"/>
        <v>8007</v>
      </c>
      <c r="CH135" s="22">
        <f t="shared" ref="CH135:CI135" si="1068">CH132+CH133+CH134</f>
        <v>7590.69</v>
      </c>
      <c r="CI135" s="22">
        <f t="shared" si="1068"/>
        <v>8138.69</v>
      </c>
      <c r="CJ135" s="22">
        <f t="shared" ref="CJ135:DB135" si="1069">CJ132+CJ133+CJ134</f>
        <v>8449</v>
      </c>
      <c r="CK135" s="22">
        <f t="shared" si="1069"/>
        <v>9084</v>
      </c>
      <c r="CL135" s="22">
        <f t="shared" ref="CL135" si="1070">CL132+CL133+CL134</f>
        <v>8389</v>
      </c>
      <c r="CM135" s="21">
        <f t="shared" si="1069"/>
        <v>8965.6192700281299</v>
      </c>
      <c r="CN135" s="21">
        <f t="shared" si="1069"/>
        <v>9592.8701465160557</v>
      </c>
      <c r="CO135" s="21">
        <f t="shared" si="1069"/>
        <v>10228.471245944917</v>
      </c>
      <c r="CP135" s="21">
        <f t="shared" si="1069"/>
        <v>11132.828189751202</v>
      </c>
      <c r="CQ135" s="21">
        <f t="shared" si="1069"/>
        <v>11912.404765221379</v>
      </c>
      <c r="CR135" s="21">
        <f t="shared" si="1069"/>
        <v>12753.157330020793</v>
      </c>
      <c r="CS135" s="21">
        <f t="shared" si="1069"/>
        <v>13604.536557647374</v>
      </c>
      <c r="CT135" s="21">
        <f t="shared" si="1069"/>
        <v>14791.895291566911</v>
      </c>
      <c r="CU135" s="21">
        <f t="shared" si="1069"/>
        <v>15720.518848981936</v>
      </c>
      <c r="CV135" s="21">
        <f t="shared" si="1069"/>
        <v>16685.834555381574</v>
      </c>
      <c r="CW135" s="21">
        <f t="shared" si="1069"/>
        <v>17650.176666049902</v>
      </c>
      <c r="CX135" s="21">
        <f t="shared" si="1069"/>
        <v>18975.877790909395</v>
      </c>
      <c r="CY135" s="21">
        <f t="shared" si="1069"/>
        <v>19965.050986655802</v>
      </c>
      <c r="CZ135" s="21">
        <f t="shared" si="1069"/>
        <v>20985.280135214318</v>
      </c>
      <c r="DA135" s="21">
        <f t="shared" si="1069"/>
        <v>21993.213066882057</v>
      </c>
      <c r="DB135" s="21">
        <f t="shared" si="1069"/>
        <v>23352.143688261131</v>
      </c>
      <c r="DE135" s="126"/>
      <c r="DF135" s="22">
        <v>9790.1879771499007</v>
      </c>
    </row>
    <row r="136" spans="1:110" s="22" customFormat="1" x14ac:dyDescent="0.2">
      <c r="AB136" s="21"/>
      <c r="AC136" s="21"/>
      <c r="AD136" s="21"/>
      <c r="AE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E136" s="126"/>
    </row>
    <row r="137" spans="1:110" s="23" customFormat="1" x14ac:dyDescent="0.2">
      <c r="A137" s="23" t="s">
        <v>23</v>
      </c>
      <c r="B137" s="23">
        <f>'Annual Raw'!C45</f>
        <v>0</v>
      </c>
      <c r="C137" s="23">
        <f>'Annual Raw'!D45</f>
        <v>0</v>
      </c>
      <c r="D137" s="23">
        <f>'Annual Raw'!E45</f>
        <v>0</v>
      </c>
      <c r="E137" s="23">
        <f>'Annual Raw'!F45</f>
        <v>0</v>
      </c>
      <c r="F137" s="23">
        <f>'Annual Raw'!G45</f>
        <v>0</v>
      </c>
      <c r="G137" s="23">
        <f>'Annual Raw'!H45</f>
        <v>0</v>
      </c>
      <c r="H137" s="23">
        <f>'Annual Raw'!I45</f>
        <v>0</v>
      </c>
      <c r="I137" s="23">
        <f>'Annual Raw'!J45</f>
        <v>0</v>
      </c>
      <c r="J137" s="23">
        <f>'Annual Raw'!K45</f>
        <v>0</v>
      </c>
      <c r="K137" s="23">
        <f>'Annual Raw'!L45</f>
        <v>0</v>
      </c>
      <c r="L137" s="23">
        <f>'Annual Raw'!M45</f>
        <v>1.6009</v>
      </c>
      <c r="M137" s="23">
        <f>'Annual Raw'!N45</f>
        <v>3.5</v>
      </c>
      <c r="N137" s="23">
        <f>'Annual Raw'!O45</f>
        <v>0.37</v>
      </c>
      <c r="O137" s="23">
        <f>'Annual Raw'!P45</f>
        <v>0.4</v>
      </c>
      <c r="P137" s="23">
        <f>'Annual Raw'!Q45</f>
        <v>0.43</v>
      </c>
      <c r="Q137" s="23">
        <f>'Annual Raw'!R45</f>
        <v>0.46</v>
      </c>
      <c r="R137" s="23">
        <f>'Annual Raw'!S45</f>
        <v>0.49</v>
      </c>
      <c r="S137" s="23">
        <f>'Annual Raw'!T45</f>
        <v>0.52</v>
      </c>
      <c r="T137" s="23">
        <f>'Annual Raw'!U45</f>
        <v>0</v>
      </c>
      <c r="U137" s="23">
        <f>'Annual Raw'!V45</f>
        <v>0</v>
      </c>
      <c r="V137" s="23">
        <f>'Annual Raw'!W45</f>
        <v>0</v>
      </c>
      <c r="W137" s="23">
        <f>'Annual Raw'!X45</f>
        <v>0</v>
      </c>
      <c r="X137" s="23">
        <f>'Annual Raw'!Y45</f>
        <v>0</v>
      </c>
      <c r="Y137" s="23">
        <f>'Annual Raw'!Z45</f>
        <v>0</v>
      </c>
      <c r="Z137" s="23">
        <f>'Annual Raw'!AA45</f>
        <v>0</v>
      </c>
      <c r="AA137" s="23">
        <f>'Annual Raw'!AB45</f>
        <v>9196.4</v>
      </c>
      <c r="AB137" s="24">
        <f>+CP137</f>
        <v>9196</v>
      </c>
      <c r="AC137" s="24">
        <f>+CT137</f>
        <v>9196</v>
      </c>
      <c r="AD137" s="24">
        <f>+CX137</f>
        <v>9196</v>
      </c>
      <c r="AE137" s="24">
        <f>+DB137</f>
        <v>9196</v>
      </c>
      <c r="AJ137" s="23">
        <f>+'QTR Raw'!D60</f>
        <v>5.62</v>
      </c>
      <c r="AK137" s="23">
        <f t="shared" ref="AK137:CE137" si="1071">+AJ137</f>
        <v>5.62</v>
      </c>
      <c r="AL137" s="23">
        <f>+'QTR Raw'!F60</f>
        <v>0</v>
      </c>
      <c r="AM137" s="23">
        <f t="shared" si="1071"/>
        <v>0</v>
      </c>
      <c r="AN137" s="23">
        <f>+'QTR Raw'!H60</f>
        <v>0</v>
      </c>
      <c r="AO137" s="23">
        <f t="shared" si="1071"/>
        <v>0</v>
      </c>
      <c r="AP137" s="23">
        <f>+'QTR Raw'!J60</f>
        <v>0</v>
      </c>
      <c r="AQ137" s="23">
        <f t="shared" si="1071"/>
        <v>0</v>
      </c>
      <c r="AR137" s="23">
        <f>+'QTR Raw'!L60</f>
        <v>0</v>
      </c>
      <c r="AS137" s="23">
        <f t="shared" si="1071"/>
        <v>0</v>
      </c>
      <c r="AT137" s="23">
        <f>+'QTR Raw'!N60</f>
        <v>0</v>
      </c>
      <c r="AU137" s="23">
        <f t="shared" si="1071"/>
        <v>0</v>
      </c>
      <c r="AV137" s="23">
        <f>+'QTR Raw'!P60</f>
        <v>0</v>
      </c>
      <c r="AW137" s="23">
        <f t="shared" si="1071"/>
        <v>0</v>
      </c>
      <c r="AX137" s="23">
        <f>+'QTR Raw'!R60</f>
        <v>0</v>
      </c>
      <c r="AY137" s="23">
        <f t="shared" si="1071"/>
        <v>0</v>
      </c>
      <c r="AZ137" s="23">
        <f>+'QTR Raw'!T60</f>
        <v>0</v>
      </c>
      <c r="BA137" s="23">
        <f t="shared" si="1071"/>
        <v>0</v>
      </c>
      <c r="BB137" s="23">
        <f>+'QTR Raw'!V60</f>
        <v>0</v>
      </c>
      <c r="BC137" s="23">
        <f t="shared" si="1071"/>
        <v>0</v>
      </c>
      <c r="BD137" s="23">
        <f>+'QTR Raw'!X60</f>
        <v>0</v>
      </c>
      <c r="BE137" s="23">
        <f t="shared" si="1071"/>
        <v>0</v>
      </c>
      <c r="BF137" s="23">
        <f>+'QTR Raw'!Z60</f>
        <v>1</v>
      </c>
      <c r="BG137" s="23">
        <f t="shared" si="1071"/>
        <v>1</v>
      </c>
      <c r="BH137" s="22">
        <f>+'QTR Raw'!AB60</f>
        <v>1</v>
      </c>
      <c r="BI137" s="23">
        <f t="shared" si="1071"/>
        <v>1</v>
      </c>
      <c r="BJ137" s="23">
        <f>+'QTR Raw'!AD60</f>
        <v>0</v>
      </c>
      <c r="BK137" s="23">
        <f t="shared" si="1071"/>
        <v>0</v>
      </c>
      <c r="BL137" s="23">
        <f>+'QTR Raw'!AF60</f>
        <v>0</v>
      </c>
      <c r="BM137" s="23">
        <f t="shared" si="1071"/>
        <v>0</v>
      </c>
      <c r="BN137" s="23">
        <f>+'QTR Raw'!AH60</f>
        <v>0</v>
      </c>
      <c r="BO137" s="23">
        <f t="shared" si="1071"/>
        <v>0</v>
      </c>
      <c r="BP137" s="23">
        <f>+'QTR Raw'!AJ60</f>
        <v>0</v>
      </c>
      <c r="BQ137" s="23">
        <f t="shared" si="1071"/>
        <v>0</v>
      </c>
      <c r="BR137" s="23">
        <f>+'QTR Raw'!AL60</f>
        <v>0</v>
      </c>
      <c r="BS137" s="23">
        <f t="shared" si="1071"/>
        <v>0</v>
      </c>
      <c r="BT137" s="23">
        <f>+'QTR Raw'!AN60</f>
        <v>0</v>
      </c>
      <c r="BU137" s="23">
        <f t="shared" si="1071"/>
        <v>0</v>
      </c>
      <c r="BV137" s="23">
        <f>+'QTR Raw'!AP60</f>
        <v>0</v>
      </c>
      <c r="BW137" s="23">
        <f t="shared" si="1071"/>
        <v>0</v>
      </c>
      <c r="BX137" s="23">
        <f>+'QTR Raw'!AR60</f>
        <v>0</v>
      </c>
      <c r="BY137" s="23">
        <f t="shared" si="1071"/>
        <v>0</v>
      </c>
      <c r="BZ137" s="23">
        <f>+'QTR Raw'!AT60</f>
        <v>0</v>
      </c>
      <c r="CA137" s="23">
        <f t="shared" si="1071"/>
        <v>0</v>
      </c>
      <c r="CB137" s="23">
        <f>+'QTR Raw'!AV60</f>
        <v>0</v>
      </c>
      <c r="CC137" s="23">
        <f t="shared" si="1071"/>
        <v>0</v>
      </c>
      <c r="CD137" s="23">
        <f>+'QTR Raw'!AX60</f>
        <v>0</v>
      </c>
      <c r="CE137" s="23">
        <f t="shared" si="1071"/>
        <v>0</v>
      </c>
      <c r="CF137" s="23">
        <f>+'QTR Raw'!AZ60</f>
        <v>0</v>
      </c>
      <c r="CG137" s="23">
        <f t="shared" ref="CG137:CI137" si="1072">+CF137</f>
        <v>0</v>
      </c>
      <c r="CH137" s="23">
        <f t="shared" ref="CH137:CH142" si="1073">Z137</f>
        <v>0</v>
      </c>
      <c r="CI137" s="23">
        <f t="shared" si="1072"/>
        <v>0</v>
      </c>
      <c r="CJ137" s="23">
        <f>+'QTR Raw'!BD60</f>
        <v>0</v>
      </c>
      <c r="CK137" s="23">
        <f t="shared" ref="CK137" si="1074">+CJ137</f>
        <v>0</v>
      </c>
      <c r="CL137" s="23">
        <f>+'QTR Raw'!BF60</f>
        <v>9196</v>
      </c>
      <c r="CM137" s="24">
        <f t="shared" ref="CM137" si="1075">+CL137</f>
        <v>9196</v>
      </c>
      <c r="CN137" s="24">
        <f t="shared" ref="CN137" si="1076">+CM137</f>
        <v>9196</v>
      </c>
      <c r="CO137" s="24">
        <f t="shared" ref="CO137" si="1077">+CN137</f>
        <v>9196</v>
      </c>
      <c r="CP137" s="24">
        <f t="shared" ref="CP137" si="1078">+CO137</f>
        <v>9196</v>
      </c>
      <c r="CQ137" s="24">
        <f t="shared" ref="CQ137" si="1079">+CP137</f>
        <v>9196</v>
      </c>
      <c r="CR137" s="24">
        <f t="shared" ref="CR137" si="1080">+CQ137</f>
        <v>9196</v>
      </c>
      <c r="CS137" s="24">
        <f t="shared" ref="CS137" si="1081">+CR137</f>
        <v>9196</v>
      </c>
      <c r="CT137" s="24">
        <f t="shared" ref="CT137" si="1082">+CS137</f>
        <v>9196</v>
      </c>
      <c r="CU137" s="24">
        <f t="shared" ref="CU137" si="1083">+CT137</f>
        <v>9196</v>
      </c>
      <c r="CV137" s="24">
        <f t="shared" ref="CV137" si="1084">+CU137</f>
        <v>9196</v>
      </c>
      <c r="CW137" s="24">
        <f t="shared" ref="CW137" si="1085">+CV137</f>
        <v>9196</v>
      </c>
      <c r="CX137" s="24">
        <f t="shared" ref="CX137" si="1086">+CW137</f>
        <v>9196</v>
      </c>
      <c r="CY137" s="24">
        <f t="shared" ref="CY137" si="1087">+CX137</f>
        <v>9196</v>
      </c>
      <c r="CZ137" s="24">
        <f t="shared" ref="CZ137" si="1088">+CY137</f>
        <v>9196</v>
      </c>
      <c r="DA137" s="24">
        <f t="shared" ref="DA137" si="1089">+CZ137</f>
        <v>9196</v>
      </c>
      <c r="DB137" s="24">
        <f t="shared" ref="DB137" si="1090">+DA137</f>
        <v>9196</v>
      </c>
      <c r="DE137" s="123"/>
      <c r="DF137" s="23">
        <v>0</v>
      </c>
    </row>
    <row r="138" spans="1:110" s="23" customFormat="1" x14ac:dyDescent="0.2">
      <c r="AB138" s="24"/>
      <c r="AC138" s="24"/>
      <c r="AD138" s="24"/>
      <c r="AE138" s="24"/>
      <c r="BH138" s="22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45</v>
      </c>
      <c r="B139" s="23">
        <f>'Annual Raw'!C47</f>
        <v>58.192</v>
      </c>
      <c r="C139" s="23">
        <f>'Annual Raw'!D47</f>
        <v>22.25</v>
      </c>
      <c r="D139" s="23">
        <f>'Annual Raw'!E47</f>
        <v>4</v>
      </c>
      <c r="E139" s="23">
        <f>'Annual Raw'!F47</f>
        <v>0</v>
      </c>
      <c r="F139" s="23">
        <f>'Annual Raw'!G47</f>
        <v>182.70240000000001</v>
      </c>
      <c r="G139" s="23">
        <f>'Annual Raw'!H47</f>
        <v>256.11009999999999</v>
      </c>
      <c r="H139" s="23">
        <f>'Annual Raw'!I47</f>
        <v>276.96120000000002</v>
      </c>
      <c r="I139" s="23">
        <f>'Annual Raw'!J47</f>
        <v>336.64600000000002</v>
      </c>
      <c r="J139" s="23">
        <f>'Annual Raw'!K47</f>
        <v>318.27300000000002</v>
      </c>
      <c r="K139" s="23">
        <f>'Annual Raw'!L47</f>
        <v>364.64159999999998</v>
      </c>
      <c r="L139" s="23">
        <f>'Annual Raw'!M47</f>
        <v>170.5916</v>
      </c>
      <c r="M139" s="23">
        <f>'Annual Raw'!N47</f>
        <v>223.83</v>
      </c>
      <c r="N139" s="23">
        <f>'Annual Raw'!O47</f>
        <v>403.19</v>
      </c>
      <c r="O139" s="23">
        <f>'Annual Raw'!P47</f>
        <v>730.72</v>
      </c>
      <c r="P139" s="23">
        <f>'Annual Raw'!Q47</f>
        <v>2171.6</v>
      </c>
      <c r="Q139" s="23">
        <f>'Annual Raw'!R47</f>
        <v>1839.46</v>
      </c>
      <c r="R139" s="23">
        <f>'Annual Raw'!S47</f>
        <v>2229.5700000000002</v>
      </c>
      <c r="S139" s="23">
        <f>'Annual Raw'!T47</f>
        <v>4105.3100000000004</v>
      </c>
      <c r="T139" s="23">
        <f>'Annual Raw'!U47</f>
        <v>3909.81</v>
      </c>
      <c r="U139" s="23">
        <f>'Annual Raw'!V47</f>
        <v>3302.29</v>
      </c>
      <c r="V139" s="23">
        <f>'Annual Raw'!W47</f>
        <v>2941.07</v>
      </c>
      <c r="W139" s="23">
        <f>'Annual Raw'!X47</f>
        <v>2123.2199999999998</v>
      </c>
      <c r="X139" s="23">
        <f>'Annual Raw'!Y47</f>
        <v>2496.2199999999998</v>
      </c>
      <c r="Y139" s="23">
        <f>'Annual Raw'!Z47</f>
        <v>1603.78</v>
      </c>
      <c r="Z139" s="23">
        <f>'Annual Raw'!AA47</f>
        <v>1191.75</v>
      </c>
      <c r="AA139" s="23">
        <f>'Annual Raw'!AB47</f>
        <v>11651.17</v>
      </c>
      <c r="AB139" s="24">
        <f t="shared" ref="AB139:AB142" si="1091">+CP139</f>
        <v>0</v>
      </c>
      <c r="AC139" s="24">
        <f t="shared" ref="AC139:AC142" si="1092">+CT139</f>
        <v>0</v>
      </c>
      <c r="AD139" s="24">
        <f t="shared" ref="AD139:AD142" si="1093">+CX139</f>
        <v>0</v>
      </c>
      <c r="AE139" s="24">
        <f t="shared" ref="AE139:AE142" si="1094">+DB139</f>
        <v>0</v>
      </c>
      <c r="AJ139" s="23">
        <f>+'QTR Raw'!D62</f>
        <v>0</v>
      </c>
      <c r="AK139" s="23">
        <f t="shared" ref="AK139:CC142" si="1095">+AJ139</f>
        <v>0</v>
      </c>
      <c r="AL139" s="23">
        <f>+'QTR Raw'!F62</f>
        <v>0</v>
      </c>
      <c r="AM139" s="23">
        <f t="shared" si="1095"/>
        <v>0</v>
      </c>
      <c r="AN139" s="23">
        <f>+'QTR Raw'!H62</f>
        <v>0</v>
      </c>
      <c r="AO139" s="23">
        <f t="shared" si="1095"/>
        <v>0</v>
      </c>
      <c r="AP139" s="23">
        <f>+'QTR Raw'!J62</f>
        <v>0</v>
      </c>
      <c r="AQ139" s="23">
        <f t="shared" si="1095"/>
        <v>0</v>
      </c>
      <c r="AR139" s="23">
        <f>+'QTR Raw'!L62</f>
        <v>0</v>
      </c>
      <c r="AS139" s="23">
        <f t="shared" si="1095"/>
        <v>0</v>
      </c>
      <c r="AT139" s="23">
        <f>+'QTR Raw'!N62</f>
        <v>0</v>
      </c>
      <c r="AU139" s="23">
        <f t="shared" si="1095"/>
        <v>0</v>
      </c>
      <c r="AV139" s="23">
        <f>+'QTR Raw'!P62</f>
        <v>0</v>
      </c>
      <c r="AW139" s="23">
        <f t="shared" si="1095"/>
        <v>0</v>
      </c>
      <c r="AX139" s="23">
        <f>+'QTR Raw'!R62</f>
        <v>0</v>
      </c>
      <c r="AY139" s="23">
        <f t="shared" si="1095"/>
        <v>0</v>
      </c>
      <c r="AZ139" s="23">
        <f>+'QTR Raw'!T62</f>
        <v>0</v>
      </c>
      <c r="BA139" s="23">
        <f t="shared" si="1095"/>
        <v>0</v>
      </c>
      <c r="BB139" s="23">
        <f>+'QTR Raw'!V62</f>
        <v>0</v>
      </c>
      <c r="BC139" s="23">
        <f t="shared" si="1095"/>
        <v>0</v>
      </c>
      <c r="BD139" s="23">
        <f>+'QTR Raw'!X62</f>
        <v>0</v>
      </c>
      <c r="BE139" s="23">
        <f t="shared" si="1095"/>
        <v>0</v>
      </c>
      <c r="BF139" s="23">
        <f>+'QTR Raw'!Z62</f>
        <v>0</v>
      </c>
      <c r="BG139" s="23">
        <f t="shared" si="1095"/>
        <v>0</v>
      </c>
      <c r="BH139" s="22">
        <f>+'QTR Raw'!AB62</f>
        <v>0</v>
      </c>
      <c r="BI139" s="23">
        <f t="shared" si="1095"/>
        <v>0</v>
      </c>
      <c r="BJ139" s="23">
        <f>+'QTR Raw'!AD62</f>
        <v>0</v>
      </c>
      <c r="BK139" s="23">
        <f t="shared" si="1095"/>
        <v>0</v>
      </c>
      <c r="BL139" s="23">
        <f>+'QTR Raw'!AF62</f>
        <v>0</v>
      </c>
      <c r="BM139" s="23">
        <f t="shared" si="1095"/>
        <v>0</v>
      </c>
      <c r="BN139" s="23">
        <f>+'QTR Raw'!AH62</f>
        <v>0</v>
      </c>
      <c r="BO139" s="23">
        <f t="shared" si="1095"/>
        <v>0</v>
      </c>
      <c r="BP139" s="23">
        <f>+'QTR Raw'!AJ62</f>
        <v>0</v>
      </c>
      <c r="BQ139" s="23">
        <f t="shared" si="1095"/>
        <v>0</v>
      </c>
      <c r="BR139" s="23">
        <f>+'QTR Raw'!AL62</f>
        <v>0</v>
      </c>
      <c r="BS139" s="23">
        <f t="shared" si="1095"/>
        <v>0</v>
      </c>
      <c r="BT139" s="23">
        <f>+'QTR Raw'!AN62</f>
        <v>0</v>
      </c>
      <c r="BU139" s="23">
        <f t="shared" si="1095"/>
        <v>0</v>
      </c>
      <c r="BV139" s="23">
        <f>+'QTR Raw'!AP62</f>
        <v>0</v>
      </c>
      <c r="BW139" s="23">
        <f t="shared" si="1095"/>
        <v>0</v>
      </c>
      <c r="BX139" s="23">
        <f>+'QTR Raw'!AR62</f>
        <v>0</v>
      </c>
      <c r="BY139" s="23">
        <f t="shared" si="1095"/>
        <v>0</v>
      </c>
      <c r="BZ139" s="23">
        <f>+'QTR Raw'!AT62</f>
        <v>0</v>
      </c>
      <c r="CA139" s="23">
        <f t="shared" si="1095"/>
        <v>0</v>
      </c>
      <c r="CB139" s="23">
        <f>+'QTR Raw'!AV62</f>
        <v>0</v>
      </c>
      <c r="CC139" s="23">
        <f t="shared" si="1095"/>
        <v>0</v>
      </c>
      <c r="CD139" s="23">
        <f>+'QTR Raw'!AX62</f>
        <v>0</v>
      </c>
      <c r="CE139" s="23">
        <f t="shared" ref="CE139:CE142" si="1096">+CD139</f>
        <v>0</v>
      </c>
      <c r="CF139" s="23">
        <f>+'QTR Raw'!AZ62</f>
        <v>0</v>
      </c>
      <c r="CG139" s="23">
        <f t="shared" ref="CG139:CI142" si="1097">+CF139</f>
        <v>0</v>
      </c>
      <c r="CH139" s="23">
        <f t="shared" si="1073"/>
        <v>1191.75</v>
      </c>
      <c r="CI139" s="23">
        <f t="shared" si="1097"/>
        <v>1191.75</v>
      </c>
      <c r="CJ139" s="23">
        <f>+'QTR Raw'!BD62</f>
        <v>0</v>
      </c>
      <c r="CK139" s="23">
        <f t="shared" ref="CK139:CK142" si="1098">+CJ139</f>
        <v>0</v>
      </c>
      <c r="CL139" s="23">
        <f>+'QTR Raw'!BF62</f>
        <v>0</v>
      </c>
      <c r="CM139" s="24">
        <f t="shared" ref="CM139:CM142" si="1099">+CL139</f>
        <v>0</v>
      </c>
      <c r="CN139" s="24">
        <f t="shared" ref="CN139:CN142" si="1100">+CM139</f>
        <v>0</v>
      </c>
      <c r="CO139" s="24">
        <f t="shared" ref="CO139:CO142" si="1101">+CN139</f>
        <v>0</v>
      </c>
      <c r="CP139" s="24">
        <f t="shared" ref="CP139:CP142" si="1102">+CO139</f>
        <v>0</v>
      </c>
      <c r="CQ139" s="24">
        <f t="shared" ref="CQ139:CQ142" si="1103">+CP139</f>
        <v>0</v>
      </c>
      <c r="CR139" s="24">
        <f t="shared" ref="CR139:CR142" si="1104">+CQ139</f>
        <v>0</v>
      </c>
      <c r="CS139" s="24">
        <f t="shared" ref="CS139:CS142" si="1105">+CR139</f>
        <v>0</v>
      </c>
      <c r="CT139" s="24">
        <f t="shared" ref="CT139:CT142" si="1106">+CS139</f>
        <v>0</v>
      </c>
      <c r="CU139" s="24">
        <f t="shared" ref="CU139:CU142" si="1107">+CT139</f>
        <v>0</v>
      </c>
      <c r="CV139" s="24">
        <f t="shared" ref="CV139:CV142" si="1108">+CU139</f>
        <v>0</v>
      </c>
      <c r="CW139" s="24">
        <f t="shared" ref="CW139:CW142" si="1109">+CV139</f>
        <v>0</v>
      </c>
      <c r="CX139" s="24">
        <f t="shared" ref="CX139:CX142" si="1110">+CW139</f>
        <v>0</v>
      </c>
      <c r="CY139" s="24">
        <f t="shared" ref="CY139:CY142" si="1111">+CX139</f>
        <v>0</v>
      </c>
      <c r="CZ139" s="24">
        <f t="shared" ref="CZ139:CZ142" si="1112">+CY139</f>
        <v>0</v>
      </c>
      <c r="DA139" s="24">
        <f t="shared" ref="DA139:DA142" si="1113">+CZ139</f>
        <v>0</v>
      </c>
      <c r="DB139" s="24">
        <f t="shared" ref="DB139:DB142" si="1114">+DA139</f>
        <v>0</v>
      </c>
      <c r="DE139" s="123"/>
      <c r="DF139" s="23">
        <v>0</v>
      </c>
    </row>
    <row r="140" spans="1:110" s="23" customFormat="1" outlineLevel="1" x14ac:dyDescent="0.2">
      <c r="A140" s="23" t="s">
        <v>46</v>
      </c>
      <c r="B140" s="23">
        <f>'Annual Raw'!C48</f>
        <v>27.573</v>
      </c>
      <c r="C140" s="23">
        <f>'Annual Raw'!D48</f>
        <v>1.0800000000000001E-2</v>
      </c>
      <c r="D140" s="23">
        <f>'Annual Raw'!E48</f>
        <v>5.1999999999999998E-2</v>
      </c>
      <c r="E140" s="23">
        <f>'Annual Raw'!F48</f>
        <v>0</v>
      </c>
      <c r="F140" s="23">
        <f>'Annual Raw'!G48</f>
        <v>29.668099999999999</v>
      </c>
      <c r="G140" s="23">
        <f>'Annual Raw'!H48</f>
        <v>9.3204999999999991</v>
      </c>
      <c r="H140" s="23">
        <f>'Annual Raw'!I48</f>
        <v>21.963100000000001</v>
      </c>
      <c r="I140" s="23">
        <f>'Annual Raw'!J48</f>
        <v>23.142600000000002</v>
      </c>
      <c r="J140" s="23">
        <f>'Annual Raw'!K48</f>
        <v>164.3296</v>
      </c>
      <c r="K140" s="23">
        <f>'Annual Raw'!L48</f>
        <v>157.75409999999999</v>
      </c>
      <c r="L140" s="23">
        <f>'Annual Raw'!M48</f>
        <v>122.44889999999999</v>
      </c>
      <c r="M140" s="23">
        <f>'Annual Raw'!N48</f>
        <v>98.22</v>
      </c>
      <c r="N140" s="23">
        <f>'Annual Raw'!O48</f>
        <v>51.35</v>
      </c>
      <c r="O140" s="23">
        <f>'Annual Raw'!P48</f>
        <v>13.74</v>
      </c>
      <c r="P140" s="23">
        <f>'Annual Raw'!Q48</f>
        <v>13.62</v>
      </c>
      <c r="Q140" s="23">
        <f>'Annual Raw'!R48</f>
        <v>10.62</v>
      </c>
      <c r="R140" s="23">
        <f>'Annual Raw'!S48</f>
        <v>11.26</v>
      </c>
      <c r="S140" s="23">
        <f>'Annual Raw'!T48</f>
        <v>6.15</v>
      </c>
      <c r="T140" s="23">
        <f>'Annual Raw'!U48</f>
        <v>3.11</v>
      </c>
      <c r="U140" s="23">
        <f>'Annual Raw'!V48</f>
        <v>1.56</v>
      </c>
      <c r="V140" s="23">
        <f>'Annual Raw'!W48</f>
        <v>0</v>
      </c>
      <c r="W140" s="23">
        <f>'Annual Raw'!X48</f>
        <v>0</v>
      </c>
      <c r="X140" s="23">
        <f>'Annual Raw'!Y48</f>
        <v>0</v>
      </c>
      <c r="Y140" s="23">
        <f>'Annual Raw'!Z48</f>
        <v>0</v>
      </c>
      <c r="Z140" s="23">
        <f>'Annual Raw'!AA48</f>
        <v>0</v>
      </c>
      <c r="AA140" s="23">
        <f>'Annual Raw'!AB48</f>
        <v>0</v>
      </c>
      <c r="AB140" s="24">
        <f t="shared" si="1091"/>
        <v>11651</v>
      </c>
      <c r="AC140" s="24">
        <f t="shared" si="1092"/>
        <v>11651</v>
      </c>
      <c r="AD140" s="24">
        <f t="shared" si="1093"/>
        <v>11651</v>
      </c>
      <c r="AE140" s="24">
        <f t="shared" si="1094"/>
        <v>11651</v>
      </c>
      <c r="AJ140" s="23">
        <f>+'QTR Raw'!D63</f>
        <v>239.22</v>
      </c>
      <c r="AK140" s="23">
        <f t="shared" si="1095"/>
        <v>239.22</v>
      </c>
      <c r="AL140" s="23">
        <f>+'QTR Raw'!F63</f>
        <v>455</v>
      </c>
      <c r="AM140" s="23">
        <f t="shared" si="1095"/>
        <v>455</v>
      </c>
      <c r="AN140" s="23">
        <f>+'QTR Raw'!H63</f>
        <v>419</v>
      </c>
      <c r="AO140" s="23">
        <f t="shared" si="1095"/>
        <v>419</v>
      </c>
      <c r="AP140" s="23">
        <f>+'QTR Raw'!J63</f>
        <v>745</v>
      </c>
      <c r="AQ140" s="23">
        <f t="shared" si="1095"/>
        <v>745</v>
      </c>
      <c r="AR140" s="23">
        <f>+'QTR Raw'!L63</f>
        <v>2105</v>
      </c>
      <c r="AS140" s="23">
        <f t="shared" si="1095"/>
        <v>2105</v>
      </c>
      <c r="AT140" s="23">
        <f>+'QTR Raw'!N63</f>
        <v>2185</v>
      </c>
      <c r="AU140" s="23">
        <f t="shared" si="1095"/>
        <v>2185</v>
      </c>
      <c r="AV140" s="23">
        <f>+'QTR Raw'!P63</f>
        <v>2274</v>
      </c>
      <c r="AW140" s="23">
        <f t="shared" si="1095"/>
        <v>2274</v>
      </c>
      <c r="AX140" s="23">
        <f>+'QTR Raw'!R63</f>
        <v>1850</v>
      </c>
      <c r="AY140" s="23">
        <f t="shared" si="1095"/>
        <v>1850</v>
      </c>
      <c r="AZ140" s="23">
        <f>+'QTR Raw'!T63</f>
        <v>2064</v>
      </c>
      <c r="BA140" s="23">
        <f t="shared" si="1095"/>
        <v>2064</v>
      </c>
      <c r="BB140" s="23">
        <f>+'QTR Raw'!V63</f>
        <v>2241</v>
      </c>
      <c r="BC140" s="23">
        <f t="shared" si="1095"/>
        <v>2241</v>
      </c>
      <c r="BD140" s="23">
        <f>+'QTR Raw'!X63</f>
        <v>2099</v>
      </c>
      <c r="BE140" s="23">
        <f t="shared" si="1095"/>
        <v>2099</v>
      </c>
      <c r="BF140" s="23">
        <f>+'QTR Raw'!Z63</f>
        <v>4111</v>
      </c>
      <c r="BG140" s="23">
        <f t="shared" si="1095"/>
        <v>4111</v>
      </c>
      <c r="BH140" s="23">
        <f>+'QTR Raw'!AB63</f>
        <v>4016</v>
      </c>
      <c r="BI140" s="23">
        <f t="shared" si="1095"/>
        <v>4016</v>
      </c>
      <c r="BJ140" s="23">
        <f>+'QTR Raw'!AD63</f>
        <v>3913</v>
      </c>
      <c r="BK140" s="23">
        <f t="shared" si="1095"/>
        <v>3913</v>
      </c>
      <c r="BL140" s="23">
        <f>+'QTR Raw'!AF63</f>
        <v>3957</v>
      </c>
      <c r="BM140" s="23">
        <f t="shared" si="1095"/>
        <v>3957</v>
      </c>
      <c r="BN140" s="23">
        <f>+'QTR Raw'!AH63</f>
        <v>3275</v>
      </c>
      <c r="BO140" s="23">
        <f t="shared" si="1095"/>
        <v>3275</v>
      </c>
      <c r="BP140" s="23">
        <f>+'QTR Raw'!AJ63</f>
        <v>3657</v>
      </c>
      <c r="BQ140" s="23">
        <f t="shared" si="1095"/>
        <v>3657</v>
      </c>
      <c r="BR140" s="23">
        <f>+'QTR Raw'!AL63</f>
        <v>2941</v>
      </c>
      <c r="BS140" s="23">
        <f t="shared" si="1095"/>
        <v>2941</v>
      </c>
      <c r="BT140" s="23">
        <f>+'QTR Raw'!AN63</f>
        <v>2394</v>
      </c>
      <c r="BU140" s="23">
        <f t="shared" si="1095"/>
        <v>2394</v>
      </c>
      <c r="BV140" s="23">
        <f>+'QTR Raw'!AP63</f>
        <v>2123</v>
      </c>
      <c r="BW140" s="23">
        <f t="shared" si="1095"/>
        <v>2123</v>
      </c>
      <c r="BX140" s="23">
        <f>+'QTR Raw'!AR63</f>
        <v>2405</v>
      </c>
      <c r="BY140" s="23">
        <f t="shared" si="1095"/>
        <v>2405</v>
      </c>
      <c r="BZ140" s="23">
        <f>+'QTR Raw'!AT63</f>
        <v>2496</v>
      </c>
      <c r="CA140" s="23">
        <f t="shared" si="1095"/>
        <v>2496</v>
      </c>
      <c r="CB140" s="23">
        <f>+'QTR Raw'!AV63</f>
        <v>2110</v>
      </c>
      <c r="CC140" s="23">
        <f t="shared" si="1095"/>
        <v>2110</v>
      </c>
      <c r="CD140" s="23">
        <f>+'QTR Raw'!AX63</f>
        <v>1604</v>
      </c>
      <c r="CE140" s="23">
        <f t="shared" si="1096"/>
        <v>1604</v>
      </c>
      <c r="CF140" s="23">
        <f>+'QTR Raw'!AZ63</f>
        <v>1414</v>
      </c>
      <c r="CG140" s="23">
        <f t="shared" si="1097"/>
        <v>1414</v>
      </c>
      <c r="CH140" s="23">
        <f t="shared" si="1073"/>
        <v>0</v>
      </c>
      <c r="CI140" s="23">
        <f t="shared" si="1097"/>
        <v>0</v>
      </c>
      <c r="CJ140" s="23">
        <f>+'QTR Raw'!BD63</f>
        <v>1045</v>
      </c>
      <c r="CK140" s="23">
        <f t="shared" si="1098"/>
        <v>1045</v>
      </c>
      <c r="CL140" s="23">
        <f>+'QTR Raw'!BF63</f>
        <v>11651</v>
      </c>
      <c r="CM140" s="24">
        <f t="shared" si="1099"/>
        <v>11651</v>
      </c>
      <c r="CN140" s="24">
        <f t="shared" si="1100"/>
        <v>11651</v>
      </c>
      <c r="CO140" s="24">
        <f t="shared" si="1101"/>
        <v>11651</v>
      </c>
      <c r="CP140" s="24">
        <f t="shared" si="1102"/>
        <v>11651</v>
      </c>
      <c r="CQ140" s="24">
        <f t="shared" si="1103"/>
        <v>11651</v>
      </c>
      <c r="CR140" s="24">
        <f t="shared" si="1104"/>
        <v>11651</v>
      </c>
      <c r="CS140" s="24">
        <f t="shared" si="1105"/>
        <v>11651</v>
      </c>
      <c r="CT140" s="24">
        <f t="shared" si="1106"/>
        <v>11651</v>
      </c>
      <c r="CU140" s="24">
        <f t="shared" si="1107"/>
        <v>11651</v>
      </c>
      <c r="CV140" s="24">
        <f t="shared" si="1108"/>
        <v>11651</v>
      </c>
      <c r="CW140" s="24">
        <f t="shared" si="1109"/>
        <v>11651</v>
      </c>
      <c r="CX140" s="24">
        <f t="shared" si="1110"/>
        <v>11651</v>
      </c>
      <c r="CY140" s="24">
        <f t="shared" si="1111"/>
        <v>11651</v>
      </c>
      <c r="CZ140" s="24">
        <f t="shared" si="1112"/>
        <v>11651</v>
      </c>
      <c r="DA140" s="24">
        <f t="shared" si="1113"/>
        <v>11651</v>
      </c>
      <c r="DB140" s="24">
        <f t="shared" si="1114"/>
        <v>11651</v>
      </c>
      <c r="DE140" s="123"/>
      <c r="DF140" s="23">
        <v>1045</v>
      </c>
    </row>
    <row r="141" spans="1:110" s="23" customFormat="1" outlineLevel="1" x14ac:dyDescent="0.2">
      <c r="A141" s="23" t="s">
        <v>47</v>
      </c>
      <c r="B141" s="23">
        <f>'Annual Raw'!C87+'Annual Raw'!C88+'Annual Raw'!C89+'Annual Raw'!C90</f>
        <v>0</v>
      </c>
      <c r="C141" s="23">
        <f>'Annual Raw'!D87+'Annual Raw'!D88+'Annual Raw'!D89+'Annual Raw'!D90</f>
        <v>0</v>
      </c>
      <c r="D141" s="23">
        <f>'Annual Raw'!E87+'Annual Raw'!E88+'Annual Raw'!E89+'Annual Raw'!E90</f>
        <v>0</v>
      </c>
      <c r="E141" s="23">
        <f>'Annual Raw'!F87+'Annual Raw'!F88+'Annual Raw'!F89+'Annual Raw'!F90</f>
        <v>0</v>
      </c>
      <c r="F141" s="23">
        <f>'Annual Raw'!G87+'Annual Raw'!G88+'Annual Raw'!G89+'Annual Raw'!G90</f>
        <v>0</v>
      </c>
      <c r="G141" s="23">
        <f>'Annual Raw'!H87+'Annual Raw'!H88+'Annual Raw'!H89+'Annual Raw'!H90</f>
        <v>0</v>
      </c>
      <c r="H141" s="23">
        <f>'Annual Raw'!I87+'Annual Raw'!I88+'Annual Raw'!I89+'Annual Raw'!I90</f>
        <v>0</v>
      </c>
      <c r="I141" s="23">
        <f>'Annual Raw'!J87+'Annual Raw'!J88+'Annual Raw'!J89+'Annual Raw'!J90</f>
        <v>0</v>
      </c>
      <c r="J141" s="23">
        <f>'Annual Raw'!K87+'Annual Raw'!K88+'Annual Raw'!K89+'Annual Raw'!K90</f>
        <v>0</v>
      </c>
      <c r="K141" s="23">
        <f>'Annual Raw'!L87+'Annual Raw'!L88+'Annual Raw'!L89+'Annual Raw'!L90</f>
        <v>0</v>
      </c>
      <c r="L141" s="23">
        <f>'Annual Raw'!M87+'Annual Raw'!M88+'Annual Raw'!M89+'Annual Raw'!M90</f>
        <v>179.44460000000001</v>
      </c>
      <c r="M141" s="23">
        <f>'Annual Raw'!N87+'Annual Raw'!N88+'Annual Raw'!N89+'Annual Raw'!N90</f>
        <v>118.56</v>
      </c>
      <c r="N141" s="23">
        <f>'Annual Raw'!O87+'Annual Raw'!O88+'Annual Raw'!O89+'Annual Raw'!O90</f>
        <v>113.81</v>
      </c>
      <c r="O141" s="23">
        <f>'Annual Raw'!P87+'Annual Raw'!P88+'Annual Raw'!P89+'Annual Raw'!P90</f>
        <v>176.87</v>
      </c>
      <c r="P141" s="23">
        <f>'Annual Raw'!Q87+'Annual Raw'!Q88+'Annual Raw'!Q89+'Annual Raw'!Q90</f>
        <v>236.06</v>
      </c>
      <c r="Q141" s="23">
        <f>'Annual Raw'!R87+'Annual Raw'!R88+'Annual Raw'!R89+'Annual Raw'!R90</f>
        <v>498.28</v>
      </c>
      <c r="R141" s="23">
        <f>'Annual Raw'!S87+'Annual Raw'!S88+'Annual Raw'!S89+'Annual Raw'!S90</f>
        <v>269.3</v>
      </c>
      <c r="S141" s="23">
        <f>'Annual Raw'!T87+'Annual Raw'!T88+'Annual Raw'!T89+'Annual Raw'!T90</f>
        <v>725.26</v>
      </c>
      <c r="T141" s="23">
        <f>'Annual Raw'!U87+'Annual Raw'!U88+'Annual Raw'!U89+'Annual Raw'!U90</f>
        <v>1191.0700000000002</v>
      </c>
      <c r="U141" s="23">
        <f>'Annual Raw'!V87+'Annual Raw'!V88+'Annual Raw'!V89+'Annual Raw'!V90</f>
        <v>1445.33</v>
      </c>
      <c r="V141" s="23">
        <f>'Annual Raw'!W87+'Annual Raw'!W88+'Annual Raw'!W89+'Annual Raw'!W90</f>
        <v>1179.99</v>
      </c>
      <c r="W141" s="23">
        <f>'Annual Raw'!X87+'Annual Raw'!X88+'Annual Raw'!X89+'Annual Raw'!X90</f>
        <v>971.84</v>
      </c>
      <c r="X141" s="23">
        <f>'Annual Raw'!Y87+'Annual Raw'!Y88+'Annual Raw'!Y89+'Annual Raw'!Y90</f>
        <v>1036.01</v>
      </c>
      <c r="Y141" s="23">
        <f>'Annual Raw'!Z87+'Annual Raw'!Z88+'Annual Raw'!Z89+'Annual Raw'!Z90</f>
        <v>695.93000000000006</v>
      </c>
      <c r="Z141" s="23">
        <f>'Annual Raw'!AA87+'Annual Raw'!AA88+'Annual Raw'!AA89+'Annual Raw'!AA90</f>
        <v>584.37</v>
      </c>
      <c r="AA141" s="23">
        <f>'Annual Raw'!AB87+'Annual Raw'!AB88+'Annual Raw'!AB89+'Annual Raw'!AB90</f>
        <v>232.5</v>
      </c>
      <c r="AB141" s="24">
        <f t="shared" si="1091"/>
        <v>0</v>
      </c>
      <c r="AC141" s="24">
        <f t="shared" si="1092"/>
        <v>0</v>
      </c>
      <c r="AD141" s="24">
        <f t="shared" si="1093"/>
        <v>0</v>
      </c>
      <c r="AE141" s="24">
        <f t="shared" si="1094"/>
        <v>0</v>
      </c>
      <c r="AJ141" s="23">
        <f>+'QTR Raw'!D90</f>
        <v>0</v>
      </c>
      <c r="AK141" s="23">
        <f t="shared" si="1095"/>
        <v>0</v>
      </c>
      <c r="AL141" s="23">
        <f>+'QTR Raw'!F90</f>
        <v>0</v>
      </c>
      <c r="AM141" s="23">
        <f t="shared" si="1095"/>
        <v>0</v>
      </c>
      <c r="AN141" s="23">
        <f>+'QTR Raw'!H90</f>
        <v>0</v>
      </c>
      <c r="AO141" s="23">
        <f t="shared" si="1095"/>
        <v>0</v>
      </c>
      <c r="AP141" s="23">
        <f>+'QTR Raw'!J90</f>
        <v>0</v>
      </c>
      <c r="AQ141" s="23">
        <f t="shared" si="1095"/>
        <v>0</v>
      </c>
      <c r="AR141" s="23">
        <f>+'QTR Raw'!L90</f>
        <v>0</v>
      </c>
      <c r="AS141" s="23">
        <f t="shared" si="1095"/>
        <v>0</v>
      </c>
      <c r="AT141" s="23">
        <f>+'QTR Raw'!N90</f>
        <v>0</v>
      </c>
      <c r="AU141" s="23">
        <f t="shared" si="1095"/>
        <v>0</v>
      </c>
      <c r="AV141" s="23">
        <f>+'QTR Raw'!P90</f>
        <v>0</v>
      </c>
      <c r="AW141" s="23">
        <f t="shared" si="1095"/>
        <v>0</v>
      </c>
      <c r="AX141" s="23">
        <f>+'QTR Raw'!R90</f>
        <v>0</v>
      </c>
      <c r="AY141" s="23">
        <f t="shared" si="1095"/>
        <v>0</v>
      </c>
      <c r="AZ141" s="23">
        <f>+'QTR Raw'!T90</f>
        <v>0</v>
      </c>
      <c r="BA141" s="23">
        <f t="shared" si="1095"/>
        <v>0</v>
      </c>
      <c r="BB141" s="23">
        <f>+'QTR Raw'!V90</f>
        <v>0</v>
      </c>
      <c r="BC141" s="23">
        <f t="shared" si="1095"/>
        <v>0</v>
      </c>
      <c r="BD141" s="23">
        <f>+'QTR Raw'!X90</f>
        <v>0</v>
      </c>
      <c r="BE141" s="23">
        <f t="shared" si="1095"/>
        <v>0</v>
      </c>
      <c r="BF141" s="23">
        <f>+'QTR Raw'!Z90</f>
        <v>0</v>
      </c>
      <c r="BG141" s="23">
        <f t="shared" si="1095"/>
        <v>0</v>
      </c>
      <c r="BH141" s="22">
        <f>+'QTR Raw'!AB90</f>
        <v>0</v>
      </c>
      <c r="BI141" s="23">
        <f t="shared" si="1095"/>
        <v>0</v>
      </c>
      <c r="BJ141" s="23">
        <f>+'QTR Raw'!AD90</f>
        <v>0</v>
      </c>
      <c r="BK141" s="23">
        <f t="shared" si="1095"/>
        <v>0</v>
      </c>
      <c r="BL141" s="23">
        <f>+'QTR Raw'!AF90</f>
        <v>0</v>
      </c>
      <c r="BM141" s="23">
        <f t="shared" si="1095"/>
        <v>0</v>
      </c>
      <c r="BN141" s="23">
        <f>+'QTR Raw'!AH90</f>
        <v>0</v>
      </c>
      <c r="BO141" s="23">
        <f t="shared" si="1095"/>
        <v>0</v>
      </c>
      <c r="BP141" s="23">
        <f>+'QTR Raw'!AJ90</f>
        <v>0</v>
      </c>
      <c r="BQ141" s="23">
        <f t="shared" si="1095"/>
        <v>0</v>
      </c>
      <c r="BR141" s="23">
        <f>+'QTR Raw'!AL90</f>
        <v>0</v>
      </c>
      <c r="BS141" s="23">
        <f t="shared" si="1095"/>
        <v>0</v>
      </c>
      <c r="BT141" s="23">
        <f>+'QTR Raw'!AN90</f>
        <v>0</v>
      </c>
      <c r="BU141" s="23">
        <f t="shared" si="1095"/>
        <v>0</v>
      </c>
      <c r="BV141" s="23">
        <f>+'QTR Raw'!AP90</f>
        <v>0</v>
      </c>
      <c r="BW141" s="23">
        <f t="shared" si="1095"/>
        <v>0</v>
      </c>
      <c r="BX141" s="23">
        <f>+'QTR Raw'!AR90</f>
        <v>0</v>
      </c>
      <c r="BY141" s="23">
        <f t="shared" si="1095"/>
        <v>0</v>
      </c>
      <c r="BZ141" s="23">
        <f>+'QTR Raw'!AT90</f>
        <v>0</v>
      </c>
      <c r="CA141" s="23">
        <f t="shared" si="1095"/>
        <v>0</v>
      </c>
      <c r="CB141" s="23">
        <f>+'QTR Raw'!AV90</f>
        <v>0</v>
      </c>
      <c r="CC141" s="23">
        <f t="shared" si="1095"/>
        <v>0</v>
      </c>
      <c r="CD141" s="23">
        <f>+'QTR Raw'!AX90</f>
        <v>0</v>
      </c>
      <c r="CE141" s="23">
        <f t="shared" si="1096"/>
        <v>0</v>
      </c>
      <c r="CF141" s="23">
        <f>+'QTR Raw'!AZ90</f>
        <v>0</v>
      </c>
      <c r="CG141" s="23">
        <f t="shared" si="1097"/>
        <v>0</v>
      </c>
      <c r="CH141" s="23">
        <f>+Z141</f>
        <v>584.37</v>
      </c>
      <c r="CI141" s="23">
        <f t="shared" si="1097"/>
        <v>584.37</v>
      </c>
      <c r="CJ141" s="23">
        <f>+'QTR Raw'!BD90</f>
        <v>0</v>
      </c>
      <c r="CK141" s="23">
        <f t="shared" si="1098"/>
        <v>0</v>
      </c>
      <c r="CL141" s="23">
        <f>+'QTR Raw'!BF90</f>
        <v>0</v>
      </c>
      <c r="CM141" s="24">
        <f t="shared" si="1099"/>
        <v>0</v>
      </c>
      <c r="CN141" s="24">
        <f t="shared" si="1100"/>
        <v>0</v>
      </c>
      <c r="CO141" s="24">
        <f t="shared" si="1101"/>
        <v>0</v>
      </c>
      <c r="CP141" s="24">
        <f t="shared" si="1102"/>
        <v>0</v>
      </c>
      <c r="CQ141" s="24">
        <f t="shared" si="1103"/>
        <v>0</v>
      </c>
      <c r="CR141" s="24">
        <f t="shared" si="1104"/>
        <v>0</v>
      </c>
      <c r="CS141" s="24">
        <f t="shared" si="1105"/>
        <v>0</v>
      </c>
      <c r="CT141" s="24">
        <f t="shared" si="1106"/>
        <v>0</v>
      </c>
      <c r="CU141" s="24">
        <f t="shared" si="1107"/>
        <v>0</v>
      </c>
      <c r="CV141" s="24">
        <f t="shared" si="1108"/>
        <v>0</v>
      </c>
      <c r="CW141" s="24">
        <f t="shared" si="1109"/>
        <v>0</v>
      </c>
      <c r="CX141" s="24">
        <f t="shared" si="1110"/>
        <v>0</v>
      </c>
      <c r="CY141" s="24">
        <f t="shared" si="1111"/>
        <v>0</v>
      </c>
      <c r="CZ141" s="24">
        <f t="shared" si="1112"/>
        <v>0</v>
      </c>
      <c r="DA141" s="24">
        <f t="shared" si="1113"/>
        <v>0</v>
      </c>
      <c r="DB141" s="24">
        <f t="shared" si="1114"/>
        <v>0</v>
      </c>
      <c r="DE141" s="123"/>
      <c r="DF141" s="23">
        <v>0</v>
      </c>
    </row>
    <row r="142" spans="1:110" s="23" customFormat="1" outlineLevel="1" x14ac:dyDescent="0.2">
      <c r="A142" s="23" t="s">
        <v>48</v>
      </c>
      <c r="B142" s="23">
        <f>'Annual Raw'!C56</f>
        <v>0</v>
      </c>
      <c r="C142" s="23">
        <f>'Annual Raw'!D56</f>
        <v>0</v>
      </c>
      <c r="D142" s="23">
        <f>'Annual Raw'!E56</f>
        <v>0</v>
      </c>
      <c r="E142" s="23">
        <f>'Annual Raw'!F56</f>
        <v>0</v>
      </c>
      <c r="F142" s="23">
        <f>'Annual Raw'!G56</f>
        <v>0</v>
      </c>
      <c r="G142" s="23">
        <f>'Annual Raw'!H56</f>
        <v>0</v>
      </c>
      <c r="H142" s="23">
        <f>'Annual Raw'!I56</f>
        <v>0</v>
      </c>
      <c r="I142" s="23">
        <f>'Annual Raw'!J56</f>
        <v>0</v>
      </c>
      <c r="J142" s="23">
        <f>'Annual Raw'!K56</f>
        <v>0</v>
      </c>
      <c r="K142" s="23">
        <f>'Annual Raw'!L56</f>
        <v>0</v>
      </c>
      <c r="L142" s="23">
        <f>'Annual Raw'!M56</f>
        <v>99.569500000000005</v>
      </c>
      <c r="M142" s="23">
        <f>'Annual Raw'!N56</f>
        <v>138.12</v>
      </c>
      <c r="N142" s="23">
        <f>'Annual Raw'!O56</f>
        <v>124.62</v>
      </c>
      <c r="O142" s="23">
        <f>'Annual Raw'!P56</f>
        <v>210.43</v>
      </c>
      <c r="P142" s="23">
        <f>'Annual Raw'!Q56</f>
        <v>319.07</v>
      </c>
      <c r="Q142" s="23">
        <f>'Annual Raw'!R56</f>
        <v>3.32</v>
      </c>
      <c r="R142" s="23">
        <f>'Annual Raw'!S56</f>
        <v>0</v>
      </c>
      <c r="S142" s="23">
        <f>'Annual Raw'!T56</f>
        <v>1625.6</v>
      </c>
      <c r="T142" s="23">
        <f>'Annual Raw'!U56</f>
        <v>934.11</v>
      </c>
      <c r="U142" s="23">
        <f>'Annual Raw'!V56</f>
        <v>1090.8499999999999</v>
      </c>
      <c r="V142" s="23">
        <f>'Annual Raw'!W56</f>
        <v>704.4</v>
      </c>
      <c r="W142" s="23">
        <f>'Annual Raw'!X56</f>
        <v>923.04</v>
      </c>
      <c r="X142" s="23">
        <f>'Annual Raw'!Y56</f>
        <v>1765.07</v>
      </c>
      <c r="Y142" s="23">
        <f>'Annual Raw'!Z56</f>
        <v>1637.71</v>
      </c>
      <c r="Z142" s="23">
        <f>'Annual Raw'!AA56</f>
        <v>1249.97</v>
      </c>
      <c r="AA142" s="23">
        <f>'Annual Raw'!AB56</f>
        <v>2914.57</v>
      </c>
      <c r="AB142" s="24">
        <f t="shared" si="1091"/>
        <v>3147</v>
      </c>
      <c r="AC142" s="24">
        <f t="shared" si="1092"/>
        <v>3147</v>
      </c>
      <c r="AD142" s="24">
        <f t="shared" si="1093"/>
        <v>3147</v>
      </c>
      <c r="AE142" s="24">
        <f t="shared" si="1094"/>
        <v>3147</v>
      </c>
      <c r="AJ142" s="23">
        <f>+'QTR Raw'!D88</f>
        <v>65.459999999999994</v>
      </c>
      <c r="AK142" s="23">
        <f t="shared" si="1095"/>
        <v>65.459999999999994</v>
      </c>
      <c r="AL142" s="23">
        <f>+'QTR Raw'!F88</f>
        <v>125</v>
      </c>
      <c r="AM142" s="23">
        <f t="shared" si="1095"/>
        <v>125</v>
      </c>
      <c r="AN142" s="23">
        <f>+'QTR Raw'!H88</f>
        <v>494</v>
      </c>
      <c r="AO142" s="23">
        <f t="shared" si="1095"/>
        <v>494</v>
      </c>
      <c r="AP142" s="23">
        <f>+'QTR Raw'!J88</f>
        <v>210</v>
      </c>
      <c r="AQ142" s="23">
        <f t="shared" si="1095"/>
        <v>210</v>
      </c>
      <c r="AR142" s="23">
        <f>+'QTR Raw'!L88</f>
        <v>136</v>
      </c>
      <c r="AS142" s="23">
        <f t="shared" si="1095"/>
        <v>136</v>
      </c>
      <c r="AT142" s="23">
        <f>+'QTR Raw'!N88</f>
        <v>319</v>
      </c>
      <c r="AU142" s="23">
        <f t="shared" si="1095"/>
        <v>319</v>
      </c>
      <c r="AV142" s="23">
        <f>+'QTR Raw'!P88</f>
        <v>0</v>
      </c>
      <c r="AW142" s="23">
        <f t="shared" si="1095"/>
        <v>0</v>
      </c>
      <c r="AX142" s="23">
        <f>+'QTR Raw'!R88</f>
        <v>3</v>
      </c>
      <c r="AY142" s="23">
        <f t="shared" si="1095"/>
        <v>3</v>
      </c>
      <c r="AZ142" s="23">
        <f>+'QTR Raw'!T88</f>
        <v>3</v>
      </c>
      <c r="BA142" s="23">
        <f t="shared" si="1095"/>
        <v>3</v>
      </c>
      <c r="BB142" s="23">
        <f>+'QTR Raw'!V88</f>
        <v>0</v>
      </c>
      <c r="BC142" s="23">
        <f t="shared" si="1095"/>
        <v>0</v>
      </c>
      <c r="BD142" s="23">
        <f>+'QTR Raw'!X88</f>
        <v>250</v>
      </c>
      <c r="BE142" s="23">
        <f t="shared" si="1095"/>
        <v>250</v>
      </c>
      <c r="BF142" s="23">
        <f>+'QTR Raw'!Z88</f>
        <v>1626</v>
      </c>
      <c r="BG142" s="23">
        <f t="shared" si="1095"/>
        <v>1626</v>
      </c>
      <c r="BH142" s="23">
        <f>+'QTR Raw'!AB88</f>
        <v>1680</v>
      </c>
      <c r="BI142" s="23">
        <f t="shared" si="1095"/>
        <v>1680</v>
      </c>
      <c r="BJ142" s="23">
        <f>+'QTR Raw'!AD88</f>
        <v>934</v>
      </c>
      <c r="BK142" s="23">
        <f t="shared" si="1095"/>
        <v>934</v>
      </c>
      <c r="BL142" s="23">
        <f>+'QTR Raw'!AF88</f>
        <v>352</v>
      </c>
      <c r="BM142" s="23">
        <f t="shared" si="1095"/>
        <v>352</v>
      </c>
      <c r="BN142" s="23">
        <f>+'QTR Raw'!AH88</f>
        <v>1091</v>
      </c>
      <c r="BO142" s="23">
        <f t="shared" si="1095"/>
        <v>1091</v>
      </c>
      <c r="BP142" s="23">
        <f>+'QTR Raw'!AJ88</f>
        <v>295</v>
      </c>
      <c r="BQ142" s="23">
        <f t="shared" si="1095"/>
        <v>295</v>
      </c>
      <c r="BR142" s="23">
        <f>+'QTR Raw'!AL88</f>
        <v>1884</v>
      </c>
      <c r="BS142" s="23">
        <f t="shared" si="1095"/>
        <v>1884</v>
      </c>
      <c r="BT142" s="23">
        <f>+'QTR Raw'!AN88</f>
        <v>1944</v>
      </c>
      <c r="BU142" s="23">
        <f t="shared" si="1095"/>
        <v>1944</v>
      </c>
      <c r="BV142" s="23">
        <f>+'QTR Raw'!AP88</f>
        <v>1895</v>
      </c>
      <c r="BW142" s="23">
        <f t="shared" si="1095"/>
        <v>1895</v>
      </c>
      <c r="BX142" s="23">
        <f>+'QTR Raw'!AR88</f>
        <v>1613</v>
      </c>
      <c r="BY142" s="23">
        <f t="shared" si="1095"/>
        <v>1613</v>
      </c>
      <c r="BZ142" s="23">
        <f>+'QTR Raw'!AT88</f>
        <v>2801</v>
      </c>
      <c r="CA142" s="23">
        <f t="shared" si="1095"/>
        <v>2801</v>
      </c>
      <c r="CB142" s="23">
        <f>+'QTR Raw'!AV88</f>
        <v>2306</v>
      </c>
      <c r="CC142" s="23">
        <f t="shared" si="1095"/>
        <v>2306</v>
      </c>
      <c r="CD142" s="23">
        <f>+'QTR Raw'!AX88</f>
        <v>2334</v>
      </c>
      <c r="CE142" s="23">
        <f t="shared" si="1096"/>
        <v>2334</v>
      </c>
      <c r="CF142" s="23">
        <f>+'QTR Raw'!AZ88</f>
        <v>1634</v>
      </c>
      <c r="CG142" s="23">
        <f t="shared" si="1097"/>
        <v>1634</v>
      </c>
      <c r="CH142" s="23">
        <f t="shared" si="1073"/>
        <v>1249.97</v>
      </c>
      <c r="CI142" s="23">
        <f t="shared" si="1097"/>
        <v>1249.97</v>
      </c>
      <c r="CJ142" s="23">
        <f>+'QTR Raw'!BD88</f>
        <v>1545</v>
      </c>
      <c r="CK142" s="23">
        <f t="shared" si="1098"/>
        <v>1545</v>
      </c>
      <c r="CL142" s="23">
        <f>+'QTR Raw'!BF88</f>
        <v>3147</v>
      </c>
      <c r="CM142" s="24">
        <f t="shared" si="1099"/>
        <v>3147</v>
      </c>
      <c r="CN142" s="24">
        <f t="shared" si="1100"/>
        <v>3147</v>
      </c>
      <c r="CO142" s="24">
        <f t="shared" si="1101"/>
        <v>3147</v>
      </c>
      <c r="CP142" s="24">
        <f t="shared" si="1102"/>
        <v>3147</v>
      </c>
      <c r="CQ142" s="24">
        <f t="shared" si="1103"/>
        <v>3147</v>
      </c>
      <c r="CR142" s="24">
        <f t="shared" si="1104"/>
        <v>3147</v>
      </c>
      <c r="CS142" s="24">
        <f t="shared" si="1105"/>
        <v>3147</v>
      </c>
      <c r="CT142" s="24">
        <f t="shared" si="1106"/>
        <v>3147</v>
      </c>
      <c r="CU142" s="24">
        <f t="shared" si="1107"/>
        <v>3147</v>
      </c>
      <c r="CV142" s="24">
        <f t="shared" si="1108"/>
        <v>3147</v>
      </c>
      <c r="CW142" s="24">
        <f t="shared" si="1109"/>
        <v>3147</v>
      </c>
      <c r="CX142" s="24">
        <f t="shared" si="1110"/>
        <v>3147</v>
      </c>
      <c r="CY142" s="24">
        <f t="shared" si="1111"/>
        <v>3147</v>
      </c>
      <c r="CZ142" s="24">
        <f t="shared" si="1112"/>
        <v>3147</v>
      </c>
      <c r="DA142" s="24">
        <f t="shared" si="1113"/>
        <v>3147</v>
      </c>
      <c r="DB142" s="24">
        <f t="shared" si="1114"/>
        <v>3147</v>
      </c>
      <c r="DE142" s="123"/>
      <c r="DF142" s="23">
        <v>1545</v>
      </c>
    </row>
    <row r="143" spans="1:110" s="22" customFormat="1" x14ac:dyDescent="0.2">
      <c r="A143" s="22" t="s">
        <v>49</v>
      </c>
      <c r="B143" s="22">
        <f>SUM(B139:B142)</f>
        <v>85.765000000000001</v>
      </c>
      <c r="C143" s="22">
        <f t="shared" ref="C143:V143" si="1115">SUM(C139:C142)</f>
        <v>22.2608</v>
      </c>
      <c r="D143" s="22">
        <f t="shared" si="1115"/>
        <v>4.0519999999999996</v>
      </c>
      <c r="E143" s="22">
        <f t="shared" si="1115"/>
        <v>0</v>
      </c>
      <c r="F143" s="22">
        <f t="shared" si="1115"/>
        <v>212.37050000000002</v>
      </c>
      <c r="G143" s="22">
        <f t="shared" si="1115"/>
        <v>265.43059999999997</v>
      </c>
      <c r="H143" s="22">
        <f t="shared" si="1115"/>
        <v>298.92430000000002</v>
      </c>
      <c r="I143" s="22">
        <f t="shared" si="1115"/>
        <v>359.78860000000003</v>
      </c>
      <c r="J143" s="22">
        <f t="shared" si="1115"/>
        <v>482.60260000000005</v>
      </c>
      <c r="K143" s="22">
        <f t="shared" si="1115"/>
        <v>522.39570000000003</v>
      </c>
      <c r="L143" s="22">
        <f t="shared" si="1115"/>
        <v>572.05459999999994</v>
      </c>
      <c r="M143" s="22">
        <f t="shared" si="1115"/>
        <v>578.73</v>
      </c>
      <c r="N143" s="22">
        <f t="shared" si="1115"/>
        <v>692.97</v>
      </c>
      <c r="O143" s="22">
        <f t="shared" si="1115"/>
        <v>1131.76</v>
      </c>
      <c r="P143" s="22">
        <f t="shared" si="1115"/>
        <v>2740.35</v>
      </c>
      <c r="Q143" s="22">
        <f t="shared" si="1115"/>
        <v>2351.6799999999998</v>
      </c>
      <c r="R143" s="22">
        <f t="shared" si="1115"/>
        <v>2510.1300000000006</v>
      </c>
      <c r="S143" s="22">
        <f t="shared" si="1115"/>
        <v>6462.32</v>
      </c>
      <c r="T143" s="22">
        <f t="shared" si="1115"/>
        <v>6038.0999999999995</v>
      </c>
      <c r="U143" s="22">
        <f t="shared" si="1115"/>
        <v>5840.0300000000007</v>
      </c>
      <c r="V143" s="22">
        <f t="shared" si="1115"/>
        <v>4825.46</v>
      </c>
      <c r="W143" s="22">
        <f t="shared" ref="W143" si="1116">SUM(W139:W142)</f>
        <v>4018.1</v>
      </c>
      <c r="X143" s="22">
        <f t="shared" ref="X143:Y143" si="1117">SUM(X139:X142)</f>
        <v>5297.2999999999993</v>
      </c>
      <c r="Y143" s="22">
        <f t="shared" si="1117"/>
        <v>3937.42</v>
      </c>
      <c r="Z143" s="22">
        <f t="shared" ref="Z143:AA143" si="1118">SUM(Z139:Z142)</f>
        <v>3026.09</v>
      </c>
      <c r="AA143" s="22">
        <f t="shared" si="1118"/>
        <v>14798.24</v>
      </c>
      <c r="AB143" s="21">
        <f t="shared" ref="AA143:AD143" si="1119">SUM(AB139:AB142)</f>
        <v>14798</v>
      </c>
      <c r="AC143" s="21">
        <f t="shared" si="1119"/>
        <v>14798</v>
      </c>
      <c r="AD143" s="21">
        <f t="shared" si="1119"/>
        <v>14798</v>
      </c>
      <c r="AE143" s="21">
        <f t="shared" ref="AE143" si="1120">SUM(AE139:AE142)</f>
        <v>14798</v>
      </c>
      <c r="AJ143" s="22">
        <f t="shared" ref="AJ143" si="1121">SUM(AJ139:AJ142)</f>
        <v>304.68</v>
      </c>
      <c r="AK143" s="22">
        <f t="shared" ref="AK143" si="1122">SUM(AK139:AK142)</f>
        <v>304.68</v>
      </c>
      <c r="AL143" s="22">
        <f t="shared" ref="AL143:AM143" si="1123">SUM(AL139:AL142)</f>
        <v>580</v>
      </c>
      <c r="AM143" s="22">
        <f t="shared" si="1123"/>
        <v>580</v>
      </c>
      <c r="AN143" s="22">
        <f t="shared" ref="AN143:AO143" si="1124">SUM(AN139:AN142)</f>
        <v>913</v>
      </c>
      <c r="AO143" s="22">
        <f t="shared" si="1124"/>
        <v>913</v>
      </c>
      <c r="AP143" s="22">
        <f t="shared" ref="AP143:CE143" si="1125">SUM(AP139:AP142)</f>
        <v>955</v>
      </c>
      <c r="AQ143" s="22">
        <f t="shared" si="1125"/>
        <v>955</v>
      </c>
      <c r="AR143" s="22">
        <f t="shared" si="1125"/>
        <v>2241</v>
      </c>
      <c r="AS143" s="22">
        <f t="shared" si="1125"/>
        <v>2241</v>
      </c>
      <c r="AT143" s="22">
        <f t="shared" si="1125"/>
        <v>2504</v>
      </c>
      <c r="AU143" s="22">
        <f t="shared" si="1125"/>
        <v>2504</v>
      </c>
      <c r="AV143" s="22">
        <f t="shared" si="1125"/>
        <v>2274</v>
      </c>
      <c r="AW143" s="22">
        <f t="shared" si="1125"/>
        <v>2274</v>
      </c>
      <c r="AX143" s="22">
        <f t="shared" si="1125"/>
        <v>1853</v>
      </c>
      <c r="AY143" s="22">
        <f t="shared" si="1125"/>
        <v>1853</v>
      </c>
      <c r="AZ143" s="22">
        <f t="shared" si="1125"/>
        <v>2067</v>
      </c>
      <c r="BA143" s="22">
        <f t="shared" si="1125"/>
        <v>2067</v>
      </c>
      <c r="BB143" s="22">
        <f t="shared" si="1125"/>
        <v>2241</v>
      </c>
      <c r="BC143" s="22">
        <f t="shared" si="1125"/>
        <v>2241</v>
      </c>
      <c r="BD143" s="22">
        <f t="shared" si="1125"/>
        <v>2349</v>
      </c>
      <c r="BE143" s="22">
        <f t="shared" si="1125"/>
        <v>2349</v>
      </c>
      <c r="BF143" s="22">
        <f t="shared" si="1125"/>
        <v>5737</v>
      </c>
      <c r="BG143" s="22">
        <f t="shared" si="1125"/>
        <v>5737</v>
      </c>
      <c r="BH143" s="22">
        <f t="shared" ref="BH143" si="1126">SUM(BH139:BH142)</f>
        <v>5696</v>
      </c>
      <c r="BI143" s="22">
        <f t="shared" si="1125"/>
        <v>5696</v>
      </c>
      <c r="BJ143" s="22">
        <f t="shared" si="1125"/>
        <v>4847</v>
      </c>
      <c r="BK143" s="22">
        <f t="shared" si="1125"/>
        <v>4847</v>
      </c>
      <c r="BL143" s="22">
        <f t="shared" si="1125"/>
        <v>4309</v>
      </c>
      <c r="BM143" s="22">
        <f t="shared" si="1125"/>
        <v>4309</v>
      </c>
      <c r="BN143" s="22">
        <f t="shared" si="1125"/>
        <v>4366</v>
      </c>
      <c r="BO143" s="22">
        <f t="shared" si="1125"/>
        <v>4366</v>
      </c>
      <c r="BP143" s="22">
        <f t="shared" si="1125"/>
        <v>3952</v>
      </c>
      <c r="BQ143" s="22">
        <f t="shared" si="1125"/>
        <v>3952</v>
      </c>
      <c r="BR143" s="22">
        <f t="shared" si="1125"/>
        <v>4825</v>
      </c>
      <c r="BS143" s="22">
        <f t="shared" si="1125"/>
        <v>4825</v>
      </c>
      <c r="BT143" s="22">
        <f t="shared" si="1125"/>
        <v>4338</v>
      </c>
      <c r="BU143" s="22">
        <f t="shared" si="1125"/>
        <v>4338</v>
      </c>
      <c r="BV143" s="22">
        <f t="shared" si="1125"/>
        <v>4018</v>
      </c>
      <c r="BW143" s="22">
        <f t="shared" si="1125"/>
        <v>4018</v>
      </c>
      <c r="BX143" s="22">
        <f t="shared" si="1125"/>
        <v>4018</v>
      </c>
      <c r="BY143" s="22">
        <f t="shared" si="1125"/>
        <v>4018</v>
      </c>
      <c r="BZ143" s="22">
        <f t="shared" si="1125"/>
        <v>5297</v>
      </c>
      <c r="CA143" s="22">
        <f t="shared" si="1125"/>
        <v>5297</v>
      </c>
      <c r="CB143" s="22">
        <f t="shared" si="1125"/>
        <v>4416</v>
      </c>
      <c r="CC143" s="22">
        <f t="shared" si="1125"/>
        <v>4416</v>
      </c>
      <c r="CD143" s="22">
        <f t="shared" si="1125"/>
        <v>3938</v>
      </c>
      <c r="CE143" s="22">
        <f t="shared" si="1125"/>
        <v>3938</v>
      </c>
      <c r="CF143" s="22">
        <f t="shared" ref="CF143:CG143" si="1127">SUM(CF139:CF142)</f>
        <v>3048</v>
      </c>
      <c r="CG143" s="22">
        <f t="shared" si="1127"/>
        <v>3048</v>
      </c>
      <c r="CH143" s="22">
        <f t="shared" ref="CH143:CI143" si="1128">SUM(CH139:CH142)</f>
        <v>3026.09</v>
      </c>
      <c r="CI143" s="22">
        <f t="shared" si="1128"/>
        <v>3026.09</v>
      </c>
      <c r="CJ143" s="22">
        <f t="shared" ref="CJ143:DB143" si="1129">SUM(CJ139:CJ142)</f>
        <v>2590</v>
      </c>
      <c r="CK143" s="22">
        <f t="shared" si="1129"/>
        <v>2590</v>
      </c>
      <c r="CL143" s="22">
        <f t="shared" ref="CL143" si="1130">SUM(CL139:CL142)</f>
        <v>14798</v>
      </c>
      <c r="CM143" s="21">
        <f t="shared" si="1129"/>
        <v>14798</v>
      </c>
      <c r="CN143" s="21">
        <f t="shared" si="1129"/>
        <v>14798</v>
      </c>
      <c r="CO143" s="21">
        <f t="shared" si="1129"/>
        <v>14798</v>
      </c>
      <c r="CP143" s="21">
        <f t="shared" si="1129"/>
        <v>14798</v>
      </c>
      <c r="CQ143" s="21">
        <f t="shared" si="1129"/>
        <v>14798</v>
      </c>
      <c r="CR143" s="21">
        <f t="shared" si="1129"/>
        <v>14798</v>
      </c>
      <c r="CS143" s="21">
        <f t="shared" si="1129"/>
        <v>14798</v>
      </c>
      <c r="CT143" s="21">
        <f t="shared" si="1129"/>
        <v>14798</v>
      </c>
      <c r="CU143" s="21">
        <f t="shared" si="1129"/>
        <v>14798</v>
      </c>
      <c r="CV143" s="21">
        <f t="shared" si="1129"/>
        <v>14798</v>
      </c>
      <c r="CW143" s="21">
        <f t="shared" si="1129"/>
        <v>14798</v>
      </c>
      <c r="CX143" s="21">
        <f t="shared" si="1129"/>
        <v>14798</v>
      </c>
      <c r="CY143" s="21">
        <f t="shared" si="1129"/>
        <v>14798</v>
      </c>
      <c r="CZ143" s="21">
        <f t="shared" si="1129"/>
        <v>14798</v>
      </c>
      <c r="DA143" s="21">
        <f t="shared" si="1129"/>
        <v>14798</v>
      </c>
      <c r="DB143" s="21">
        <f t="shared" si="1129"/>
        <v>14798</v>
      </c>
      <c r="DE143" s="126"/>
      <c r="DF143" s="22">
        <v>2590</v>
      </c>
    </row>
    <row r="144" spans="1:110" s="26" customFormat="1" x14ac:dyDescent="0.2">
      <c r="A144" s="26" t="s">
        <v>437</v>
      </c>
      <c r="B144" s="26">
        <f>B143+B135+B137</f>
        <v>326.84129999999999</v>
      </c>
      <c r="C144" s="26">
        <f t="shared" ref="C144:V144" si="1131">C143+C135+C137</f>
        <v>247.73269999999997</v>
      </c>
      <c r="D144" s="26">
        <f>D143+D135+D137</f>
        <v>254.73719999999997</v>
      </c>
      <c r="E144" s="26">
        <f t="shared" si="1131"/>
        <v>286.0763</v>
      </c>
      <c r="F144" s="26">
        <f t="shared" si="1131"/>
        <v>527.91300000000001</v>
      </c>
      <c r="G144" s="26">
        <f t="shared" si="1131"/>
        <v>613.27089999999998</v>
      </c>
      <c r="H144" s="26">
        <f t="shared" si="1131"/>
        <v>709.17599999999993</v>
      </c>
      <c r="I144" s="26">
        <f t="shared" si="1131"/>
        <v>869.34960000000001</v>
      </c>
      <c r="J144" s="26">
        <f t="shared" si="1131"/>
        <v>1133.4943000000001</v>
      </c>
      <c r="K144" s="26">
        <f t="shared" si="1131"/>
        <v>1353.3742000000002</v>
      </c>
      <c r="L144" s="26">
        <f t="shared" si="1131"/>
        <v>1596.0602999999999</v>
      </c>
      <c r="M144" s="26">
        <f t="shared" si="1131"/>
        <v>1776.06</v>
      </c>
      <c r="N144" s="26">
        <f t="shared" si="1131"/>
        <v>2115.2699999999995</v>
      </c>
      <c r="O144" s="26">
        <f t="shared" si="1131"/>
        <v>3034.5899999999997</v>
      </c>
      <c r="P144" s="26">
        <f t="shared" si="1131"/>
        <v>5231.34</v>
      </c>
      <c r="Q144" s="26">
        <f t="shared" si="1131"/>
        <v>5846.24</v>
      </c>
      <c r="R144" s="26">
        <f t="shared" si="1131"/>
        <v>6860.75</v>
      </c>
      <c r="S144" s="26">
        <f t="shared" si="1131"/>
        <v>11085.029999999999</v>
      </c>
      <c r="T144" s="26">
        <f t="shared" si="1131"/>
        <v>10762.449999999999</v>
      </c>
      <c r="U144" s="26">
        <f t="shared" si="1131"/>
        <v>10663.25</v>
      </c>
      <c r="V144" s="26">
        <f t="shared" si="1131"/>
        <v>10662.630000000001</v>
      </c>
      <c r="W144" s="26">
        <f t="shared" ref="W144" si="1132">W143+W135+W137</f>
        <v>9971.0499999999993</v>
      </c>
      <c r="X144" s="26">
        <f t="shared" ref="X144:Y144" si="1133">X143+X135+X137</f>
        <v>11495.369999999999</v>
      </c>
      <c r="Y144" s="26">
        <f t="shared" si="1133"/>
        <v>10793.57</v>
      </c>
      <c r="Z144" s="26">
        <f t="shared" ref="Z144:AA144" si="1134">Z143+Z135+Z137</f>
        <v>10616.779999999999</v>
      </c>
      <c r="AA144" s="26">
        <f t="shared" si="1134"/>
        <v>32383.07</v>
      </c>
      <c r="AB144" s="27">
        <f t="shared" ref="AA144:AD144" si="1135">AB143+AB135+AB137</f>
        <v>35126.828189751206</v>
      </c>
      <c r="AC144" s="27">
        <f t="shared" si="1135"/>
        <v>38785.895291566907</v>
      </c>
      <c r="AD144" s="27">
        <f t="shared" si="1135"/>
        <v>42969.877790909391</v>
      </c>
      <c r="AE144" s="27">
        <f t="shared" ref="AE144" si="1136">AE143+AE135+AE137</f>
        <v>47346.143688261131</v>
      </c>
      <c r="AJ144" s="26">
        <f t="shared" ref="AJ144" si="1137">AJ143+AJ135+AJ137</f>
        <v>1753.6499999999999</v>
      </c>
      <c r="AK144" s="26">
        <f t="shared" ref="AK144" si="1138">AK143+AK135+AK137</f>
        <v>1865.6499999999999</v>
      </c>
      <c r="AL144" s="26">
        <f t="shared" ref="AL144" si="1139">AL143+AL135+AL137</f>
        <v>2002</v>
      </c>
      <c r="AM144" s="26">
        <f t="shared" ref="AM144:AO144" si="1140">AM143+AM135+AM137</f>
        <v>2151</v>
      </c>
      <c r="AN144" s="26">
        <f t="shared" si="1140"/>
        <v>2414</v>
      </c>
      <c r="AO144" s="26">
        <f t="shared" si="1140"/>
        <v>2572</v>
      </c>
      <c r="AP144" s="26">
        <f t="shared" ref="AP144:CE144" si="1141">AP143+AP135+AP137</f>
        <v>2858</v>
      </c>
      <c r="AQ144" s="26">
        <f t="shared" si="1141"/>
        <v>3114</v>
      </c>
      <c r="AR144" s="26">
        <f t="shared" si="1141"/>
        <v>4618</v>
      </c>
      <c r="AS144" s="26">
        <f t="shared" si="1141"/>
        <v>4785</v>
      </c>
      <c r="AT144" s="26">
        <f t="shared" si="1141"/>
        <v>4995</v>
      </c>
      <c r="AU144" s="26">
        <f t="shared" si="1141"/>
        <v>5645</v>
      </c>
      <c r="AV144" s="26">
        <f t="shared" si="1141"/>
        <v>5658</v>
      </c>
      <c r="AW144" s="26">
        <f t="shared" si="1141"/>
        <v>5948</v>
      </c>
      <c r="AX144" s="26">
        <f t="shared" si="1141"/>
        <v>5347</v>
      </c>
      <c r="AY144" s="26">
        <f t="shared" si="1141"/>
        <v>5639</v>
      </c>
      <c r="AZ144" s="26">
        <f t="shared" si="1141"/>
        <v>6090</v>
      </c>
      <c r="BA144" s="26">
        <f t="shared" si="1141"/>
        <v>6319</v>
      </c>
      <c r="BB144" s="26">
        <f t="shared" si="1141"/>
        <v>6592</v>
      </c>
      <c r="BC144" s="26">
        <f t="shared" si="1141"/>
        <v>6780</v>
      </c>
      <c r="BD144" s="26">
        <f t="shared" si="1141"/>
        <v>6892</v>
      </c>
      <c r="BE144" s="26">
        <f t="shared" si="1141"/>
        <v>6950</v>
      </c>
      <c r="BF144" s="26">
        <f t="shared" si="1141"/>
        <v>10360</v>
      </c>
      <c r="BG144" s="26">
        <f t="shared" si="1141"/>
        <v>10523</v>
      </c>
      <c r="BH144" s="26">
        <f t="shared" ref="BH144" si="1142">BH143+BH135+BH137</f>
        <v>10432</v>
      </c>
      <c r="BI144" s="26">
        <f t="shared" si="1141"/>
        <v>10678</v>
      </c>
      <c r="BJ144" s="26">
        <f t="shared" si="1141"/>
        <v>9571</v>
      </c>
      <c r="BK144" s="26">
        <f t="shared" si="1141"/>
        <v>9787</v>
      </c>
      <c r="BL144" s="26">
        <f t="shared" si="1141"/>
        <v>9382</v>
      </c>
      <c r="BM144" s="26">
        <f t="shared" si="1141"/>
        <v>9633</v>
      </c>
      <c r="BN144" s="26">
        <f t="shared" si="1141"/>
        <v>9190</v>
      </c>
      <c r="BO144" s="26">
        <f t="shared" si="1141"/>
        <v>9511</v>
      </c>
      <c r="BP144" s="26">
        <f t="shared" si="1141"/>
        <v>9483</v>
      </c>
      <c r="BQ144" s="26">
        <f t="shared" si="1141"/>
        <v>9780</v>
      </c>
      <c r="BR144" s="26">
        <f t="shared" si="1141"/>
        <v>10663</v>
      </c>
      <c r="BS144" s="26">
        <f t="shared" si="1141"/>
        <v>10993</v>
      </c>
      <c r="BT144" s="26">
        <f t="shared" si="1141"/>
        <v>10557</v>
      </c>
      <c r="BU144" s="26">
        <f t="shared" si="1141"/>
        <v>10806</v>
      </c>
      <c r="BV144" s="26">
        <f t="shared" si="1141"/>
        <v>9971</v>
      </c>
      <c r="BW144" s="26">
        <f t="shared" si="1141"/>
        <v>10325</v>
      </c>
      <c r="BX144" s="26">
        <f t="shared" si="1141"/>
        <v>10109</v>
      </c>
      <c r="BY144" s="26">
        <f t="shared" si="1141"/>
        <v>10401</v>
      </c>
      <c r="BZ144" s="26">
        <f t="shared" si="1141"/>
        <v>11495</v>
      </c>
      <c r="CA144" s="26">
        <f t="shared" si="1141"/>
        <v>11873</v>
      </c>
      <c r="CB144" s="26">
        <f t="shared" si="1141"/>
        <v>11123</v>
      </c>
      <c r="CC144" s="26">
        <f t="shared" si="1141"/>
        <v>11566</v>
      </c>
      <c r="CD144" s="26">
        <f t="shared" si="1141"/>
        <v>10794</v>
      </c>
      <c r="CE144" s="26">
        <f t="shared" si="1141"/>
        <v>11251</v>
      </c>
      <c r="CF144" s="26">
        <f t="shared" ref="CF144:CG144" si="1143">CF143+CF135+CF137</f>
        <v>10552</v>
      </c>
      <c r="CG144" s="26">
        <f t="shared" si="1143"/>
        <v>11055</v>
      </c>
      <c r="CH144" s="26">
        <f t="shared" ref="CH144:CI144" si="1144">CH143+CH135+CH137</f>
        <v>10616.779999999999</v>
      </c>
      <c r="CI144" s="26">
        <f t="shared" si="1144"/>
        <v>11164.779999999999</v>
      </c>
      <c r="CJ144" s="26">
        <f t="shared" ref="CJ144:DB144" si="1145">CJ143+CJ135+CJ137</f>
        <v>11039</v>
      </c>
      <c r="CK144" s="26">
        <f t="shared" si="1145"/>
        <v>11674</v>
      </c>
      <c r="CL144" s="26">
        <f t="shared" ref="CL144" si="1146">CL143+CL135+CL137</f>
        <v>32383</v>
      </c>
      <c r="CM144" s="27">
        <f t="shared" si="1145"/>
        <v>32959.619270028132</v>
      </c>
      <c r="CN144" s="27">
        <f t="shared" si="1145"/>
        <v>33586.870146516056</v>
      </c>
      <c r="CO144" s="27">
        <f t="shared" si="1145"/>
        <v>34222.471245944915</v>
      </c>
      <c r="CP144" s="27">
        <f t="shared" si="1145"/>
        <v>35126.828189751206</v>
      </c>
      <c r="CQ144" s="27">
        <f t="shared" si="1145"/>
        <v>35906.404765221378</v>
      </c>
      <c r="CR144" s="27">
        <f t="shared" si="1145"/>
        <v>36747.157330020797</v>
      </c>
      <c r="CS144" s="27">
        <f t="shared" si="1145"/>
        <v>37598.536557647371</v>
      </c>
      <c r="CT144" s="27">
        <f t="shared" si="1145"/>
        <v>38785.895291566907</v>
      </c>
      <c r="CU144" s="27">
        <f t="shared" si="1145"/>
        <v>39714.518848981934</v>
      </c>
      <c r="CV144" s="27">
        <f t="shared" si="1145"/>
        <v>40679.834555381574</v>
      </c>
      <c r="CW144" s="27">
        <f t="shared" si="1145"/>
        <v>41644.176666049898</v>
      </c>
      <c r="CX144" s="27">
        <f t="shared" si="1145"/>
        <v>42969.877790909391</v>
      </c>
      <c r="CY144" s="27">
        <f t="shared" si="1145"/>
        <v>43959.050986655799</v>
      </c>
      <c r="CZ144" s="27">
        <f t="shared" si="1145"/>
        <v>44979.280135214314</v>
      </c>
      <c r="DA144" s="27">
        <f t="shared" si="1145"/>
        <v>45987.213066882061</v>
      </c>
      <c r="DB144" s="27">
        <f t="shared" si="1145"/>
        <v>47346.143688261131</v>
      </c>
      <c r="DE144" s="121"/>
      <c r="DF144" s="26">
        <v>12380.187977149901</v>
      </c>
    </row>
    <row r="145" spans="1:110" s="23" customFormat="1" x14ac:dyDescent="0.2">
      <c r="AB145" s="24"/>
      <c r="AC145" s="24"/>
      <c r="AD145" s="24"/>
      <c r="AE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E145" s="123"/>
    </row>
    <row r="146" spans="1:110" s="23" customFormat="1" outlineLevel="1" x14ac:dyDescent="0.2">
      <c r="A146" s="23" t="s">
        <v>50</v>
      </c>
      <c r="B146" s="23">
        <f>'Annual Raw'!C62</f>
        <v>209.84030000000001</v>
      </c>
      <c r="C146" s="23">
        <f>'Annual Raw'!D62</f>
        <v>232.85339999999999</v>
      </c>
      <c r="D146" s="23">
        <f>'Annual Raw'!E62</f>
        <v>248.05549999999999</v>
      </c>
      <c r="E146" s="23">
        <f>'Annual Raw'!F62-E150</f>
        <v>290.10539999999997</v>
      </c>
      <c r="F146" s="23">
        <f>'Annual Raw'!G62-F150</f>
        <v>324.31540000000001</v>
      </c>
      <c r="G146" s="23">
        <f>'Annual Raw'!H62-G150</f>
        <v>483.63479999999998</v>
      </c>
      <c r="H146" s="23">
        <f>'Annual Raw'!I62-H150</f>
        <v>569.49720000000002</v>
      </c>
      <c r="I146" s="23">
        <f>'Annual Raw'!J62-I150</f>
        <v>646.10770000000002</v>
      </c>
      <c r="J146" s="23">
        <f>'Annual Raw'!K62-J150</f>
        <v>720.6241</v>
      </c>
      <c r="K146" s="23">
        <f>'Annual Raw'!L62-K150</f>
        <v>812.94029999999998</v>
      </c>
      <c r="L146" s="23">
        <f>'Annual Raw'!M62-L150</f>
        <v>964.28210000000001</v>
      </c>
      <c r="M146" s="23">
        <f>'Annual Raw'!N62-M150</f>
        <v>1199.6400000000001</v>
      </c>
      <c r="N146" s="23">
        <f>'Annual Raw'!O62-N150</f>
        <v>1278.1500000000001</v>
      </c>
      <c r="O146" s="23">
        <f>'Annual Raw'!P62-O150</f>
        <v>1420.04</v>
      </c>
      <c r="P146" s="23">
        <f>'Annual Raw'!Q62-P150</f>
        <v>3418.0499999999997</v>
      </c>
      <c r="Q146" s="23">
        <f>'Annual Raw'!R62-Q150</f>
        <v>3668.65</v>
      </c>
      <c r="R146" s="23">
        <f>'Annual Raw'!S62-R150</f>
        <v>4750.3</v>
      </c>
      <c r="S146" s="23">
        <f>'Annual Raw'!T62-S150</f>
        <v>9050.9599999999991</v>
      </c>
      <c r="T146" s="23">
        <f>'Annual Raw'!U62-T150</f>
        <v>9600.64</v>
      </c>
      <c r="U146" s="23">
        <f>'Annual Raw'!V62-U150</f>
        <v>9992.0399999999991</v>
      </c>
      <c r="V146" s="23">
        <f>'Annual Raw'!W62-V150</f>
        <v>10170.300000000001</v>
      </c>
      <c r="W146" s="23">
        <f>'Annual Raw'!X62-W150</f>
        <v>10468.710000000001</v>
      </c>
      <c r="X146" s="23">
        <f>'Annual Raw'!Y62-X150</f>
        <v>12474.12</v>
      </c>
      <c r="Y146" s="23">
        <f>'Annual Raw'!Z62-Y150</f>
        <v>13146.539999999999</v>
      </c>
      <c r="Z146" s="23">
        <f>'Annual Raw'!AA62-Z150</f>
        <v>13702.460000000001</v>
      </c>
      <c r="AA146" s="23">
        <f>'Annual Raw'!AB62-AA150</f>
        <v>35493.72</v>
      </c>
      <c r="AB146" s="24">
        <f t="shared" ref="AB146:AB152" si="1147">+CP146</f>
        <v>38324.44</v>
      </c>
      <c r="AC146" s="24">
        <f t="shared" ref="AC146:AC152" si="1148">+CT146</f>
        <v>40724.44</v>
      </c>
      <c r="AD146" s="24">
        <f t="shared" ref="AD146:AD152" si="1149">+CX146</f>
        <v>43124.44</v>
      </c>
      <c r="AE146" s="24">
        <f t="shared" ref="AE146:AE152" si="1150">+DB146</f>
        <v>45524.44</v>
      </c>
      <c r="AJ146" s="23">
        <f>+'QTR Raw'!D68</f>
        <v>1021.46</v>
      </c>
      <c r="AL146" s="23">
        <f>+'QTR Raw'!F68</f>
        <v>1105</v>
      </c>
      <c r="AN146" s="23">
        <f>+'QTR Raw'!H68</f>
        <v>1276</v>
      </c>
      <c r="AP146" s="23">
        <f>+'QTR Raw'!J68</f>
        <v>1409</v>
      </c>
      <c r="AR146" s="23">
        <f>+'QTR Raw'!L68</f>
        <v>3468</v>
      </c>
      <c r="AT146" s="23">
        <f>+'QTR Raw'!N68</f>
        <v>3495</v>
      </c>
      <c r="AV146" s="23">
        <f>+'QTR Raw'!P68</f>
        <v>3685</v>
      </c>
      <c r="AX146" s="23">
        <f>+'QTR Raw'!R68</f>
        <v>2734</v>
      </c>
      <c r="AZ146" s="23">
        <f>+'QTR Raw'!T68</f>
        <v>3185</v>
      </c>
      <c r="BB146" s="23">
        <f>+'QTR Raw'!V68</f>
        <v>3585</v>
      </c>
      <c r="BD146" s="23">
        <f>+'QTR Raw'!X68</f>
        <v>3753</v>
      </c>
      <c r="BF146" s="23">
        <f>+'QTR Raw'!Z68</f>
        <v>7680</v>
      </c>
      <c r="BH146" s="23">
        <f>+'QTR Raw'!AB68</f>
        <v>7528</v>
      </c>
      <c r="BJ146" s="23">
        <f>+'QTR Raw'!AD68</f>
        <v>7551</v>
      </c>
      <c r="BL146" s="23">
        <f>+'QTR Raw'!AF68</f>
        <v>7301</v>
      </c>
      <c r="BN146" s="23">
        <f>+'QTR Raw'!AH68</f>
        <v>7191</v>
      </c>
      <c r="BP146" s="23">
        <f>+'QTR Raw'!AJ68</f>
        <v>6933</v>
      </c>
      <c r="BR146" s="23">
        <f>+'QTR Raw'!AL68</f>
        <v>6743</v>
      </c>
      <c r="BT146" s="23">
        <f>+'QTR Raw'!AN68</f>
        <v>6765</v>
      </c>
      <c r="BV146" s="23">
        <f>+'QTR Raw'!AP68</f>
        <v>6121</v>
      </c>
      <c r="BX146" s="23">
        <f>+'QTR Raw'!AR68</f>
        <v>6100</v>
      </c>
      <c r="BZ146" s="23">
        <f>+'QTR Raw'!AT68</f>
        <v>7716</v>
      </c>
      <c r="CB146" s="23">
        <f>+'QTR Raw'!AV68</f>
        <v>7886</v>
      </c>
      <c r="CD146" s="23">
        <f>+'QTR Raw'!AX68</f>
        <v>7722</v>
      </c>
      <c r="CF146" s="23">
        <f>+'QTR Raw'!AZ68</f>
        <v>7401</v>
      </c>
      <c r="CH146" s="23">
        <f t="shared" ref="CH146:CH152" si="1151">Z146</f>
        <v>13702.460000000001</v>
      </c>
      <c r="CI146" s="23">
        <f>CH146</f>
        <v>13702.460000000001</v>
      </c>
      <c r="CJ146" s="23">
        <f>+CJ147+CJ149</f>
        <v>13707.439999999999</v>
      </c>
      <c r="CK146" s="23">
        <f>+CJ146+100</f>
        <v>13807.439999999999</v>
      </c>
      <c r="CL146" s="23">
        <f>+CL147+CL149</f>
        <v>35924.44</v>
      </c>
      <c r="CM146" s="24">
        <f>+CL146+600</f>
        <v>36524.44</v>
      </c>
      <c r="CN146" s="24">
        <f t="shared" ref="CN146:DB146" si="1152">+CM146+600</f>
        <v>37124.44</v>
      </c>
      <c r="CO146" s="24">
        <f t="shared" si="1152"/>
        <v>37724.44</v>
      </c>
      <c r="CP146" s="24">
        <f t="shared" si="1152"/>
        <v>38324.44</v>
      </c>
      <c r="CQ146" s="24">
        <f t="shared" si="1152"/>
        <v>38924.44</v>
      </c>
      <c r="CR146" s="24">
        <f t="shared" si="1152"/>
        <v>39524.44</v>
      </c>
      <c r="CS146" s="24">
        <f t="shared" si="1152"/>
        <v>40124.44</v>
      </c>
      <c r="CT146" s="24">
        <f t="shared" si="1152"/>
        <v>40724.44</v>
      </c>
      <c r="CU146" s="24">
        <f t="shared" si="1152"/>
        <v>41324.44</v>
      </c>
      <c r="CV146" s="24">
        <f t="shared" si="1152"/>
        <v>41924.44</v>
      </c>
      <c r="CW146" s="24">
        <f t="shared" si="1152"/>
        <v>42524.44</v>
      </c>
      <c r="CX146" s="24">
        <f t="shared" si="1152"/>
        <v>43124.44</v>
      </c>
      <c r="CY146" s="24">
        <f t="shared" si="1152"/>
        <v>43724.44</v>
      </c>
      <c r="CZ146" s="24">
        <f t="shared" si="1152"/>
        <v>44324.44</v>
      </c>
      <c r="DA146" s="24">
        <f t="shared" si="1152"/>
        <v>44924.44</v>
      </c>
      <c r="DB146" s="24">
        <f t="shared" si="1152"/>
        <v>45524.44</v>
      </c>
      <c r="DE146" s="123"/>
      <c r="DF146" s="23">
        <v>14107.439999999999</v>
      </c>
    </row>
    <row r="147" spans="1:110" s="23" customFormat="1" outlineLevel="1" x14ac:dyDescent="0.2">
      <c r="A147" s="23" t="s">
        <v>51</v>
      </c>
      <c r="B147" s="23">
        <f>'Annual Raw'!C63</f>
        <v>48.488500000000002</v>
      </c>
      <c r="C147" s="23">
        <f>'Annual Raw'!D63</f>
        <v>62.585799999999999</v>
      </c>
      <c r="D147" s="23">
        <f>'Annual Raw'!E63</f>
        <v>77.179699999999997</v>
      </c>
      <c r="E147" s="23">
        <f>'Annual Raw'!F63</f>
        <v>86.546099999999996</v>
      </c>
      <c r="F147" s="23">
        <f>'Annual Raw'!G63</f>
        <v>103.3541</v>
      </c>
      <c r="G147" s="23">
        <f>'Annual Raw'!H63</f>
        <v>116.45269999999999</v>
      </c>
      <c r="H147" s="23">
        <f>'Annual Raw'!I63</f>
        <v>144.63900000000001</v>
      </c>
      <c r="I147" s="23">
        <f>'Annual Raw'!J63</f>
        <v>176.19329999999999</v>
      </c>
      <c r="J147" s="23">
        <f>'Annual Raw'!K63</f>
        <v>209.37020000000001</v>
      </c>
      <c r="K147" s="23">
        <f>'Annual Raw'!L63</f>
        <v>271.791</v>
      </c>
      <c r="L147" s="23">
        <f>'Annual Raw'!M63</f>
        <v>328.73430000000002</v>
      </c>
      <c r="M147" s="23">
        <f>'Annual Raw'!N63</f>
        <v>402.77</v>
      </c>
      <c r="N147" s="23">
        <f>'Annual Raw'!O63</f>
        <v>458.33</v>
      </c>
      <c r="O147" s="23">
        <f>'Annual Raw'!P63</f>
        <v>544.70000000000005</v>
      </c>
      <c r="P147" s="23">
        <f>'Annual Raw'!Q63</f>
        <v>710.27</v>
      </c>
      <c r="Q147" s="23">
        <f>'Annual Raw'!R63</f>
        <v>934.45</v>
      </c>
      <c r="R147" s="23">
        <f>'Annual Raw'!S63</f>
        <v>1221.3599999999999</v>
      </c>
      <c r="S147" s="23">
        <f>'Annual Raw'!T63</f>
        <v>1594.8</v>
      </c>
      <c r="T147" s="23">
        <f>'Annual Raw'!U63</f>
        <v>2187.7199999999998</v>
      </c>
      <c r="U147" s="23">
        <f>'Annual Raw'!V63</f>
        <v>2801.01</v>
      </c>
      <c r="V147" s="23">
        <f>'Annual Raw'!W63</f>
        <v>3446.9</v>
      </c>
      <c r="W147" s="23">
        <f>'Annual Raw'!X63</f>
        <v>4305.54</v>
      </c>
      <c r="X147" s="23">
        <f>'Annual Raw'!Y63</f>
        <v>4690.17</v>
      </c>
      <c r="Y147" s="23">
        <f>'Annual Raw'!Z63</f>
        <v>5346.46</v>
      </c>
      <c r="Z147" s="23">
        <f>'Annual Raw'!AA63</f>
        <v>6094.44</v>
      </c>
      <c r="AA147" s="23">
        <f>'Annual Raw'!AB63</f>
        <v>7227.37</v>
      </c>
      <c r="AB147" s="24">
        <f t="shared" si="1147"/>
        <v>9064.3004810199036</v>
      </c>
      <c r="AC147" s="24">
        <f t="shared" si="1148"/>
        <v>10949.47137406685</v>
      </c>
      <c r="AD147" s="24">
        <f t="shared" si="1149"/>
        <v>12866.808953670761</v>
      </c>
      <c r="AE147" s="24">
        <f t="shared" si="1150"/>
        <v>14814.303435011627</v>
      </c>
      <c r="AJ147" s="23">
        <f>+'QTR Raw'!D69</f>
        <v>0</v>
      </c>
      <c r="AL147" s="23">
        <f>+'QTR Raw'!F69</f>
        <v>0</v>
      </c>
      <c r="AN147" s="23">
        <f>+'QTR Raw'!H69</f>
        <v>0</v>
      </c>
      <c r="AP147" s="23">
        <f>+'QTR Raw'!J69</f>
        <v>0</v>
      </c>
      <c r="AR147" s="23">
        <f>+'QTR Raw'!L69</f>
        <v>0</v>
      </c>
      <c r="AT147" s="23">
        <f>+'QTR Raw'!N69</f>
        <v>0</v>
      </c>
      <c r="AV147" s="23">
        <f>+'QTR Raw'!P69</f>
        <v>0</v>
      </c>
      <c r="AX147" s="23">
        <f>+'QTR Raw'!R69</f>
        <v>0</v>
      </c>
      <c r="AZ147" s="23">
        <f>+'QTR Raw'!T69</f>
        <v>0</v>
      </c>
      <c r="BB147" s="23">
        <f>+'QTR Raw'!V69</f>
        <v>0</v>
      </c>
      <c r="BD147" s="23">
        <f>+'QTR Raw'!X69</f>
        <v>0</v>
      </c>
      <c r="BF147" s="23">
        <f>+'QTR Raw'!Z69</f>
        <v>0</v>
      </c>
      <c r="BH147" s="23">
        <f>+'QTR Raw'!AB69</f>
        <v>0</v>
      </c>
      <c r="BJ147" s="23">
        <f>+'QTR Raw'!AD69</f>
        <v>0</v>
      </c>
      <c r="BL147" s="23">
        <f>+'QTR Raw'!AF69</f>
        <v>0</v>
      </c>
      <c r="BN147" s="23">
        <f>+'QTR Raw'!AH69</f>
        <v>0</v>
      </c>
      <c r="BP147" s="23">
        <f>+'QTR Raw'!AJ69</f>
        <v>0</v>
      </c>
      <c r="BR147" s="23">
        <f>+'QTR Raw'!AL69</f>
        <v>0</v>
      </c>
      <c r="BT147" s="23">
        <f>+'QTR Raw'!AN69</f>
        <v>0</v>
      </c>
      <c r="BV147" s="23">
        <f>+'QTR Raw'!AP69</f>
        <v>0</v>
      </c>
      <c r="BX147" s="23">
        <f>+'QTR Raw'!AR69</f>
        <v>0</v>
      </c>
      <c r="BZ147" s="23">
        <f>+'QTR Raw'!AT69</f>
        <v>0</v>
      </c>
      <c r="CB147" s="23">
        <f>+'QTR Raw'!AV69</f>
        <v>0</v>
      </c>
      <c r="CD147" s="23">
        <f>+'QTR Raw'!AX69</f>
        <v>0</v>
      </c>
      <c r="CF147" s="23">
        <f>+'QTR Raw'!AZ69</f>
        <v>0</v>
      </c>
      <c r="CH147" s="23">
        <f t="shared" si="1151"/>
        <v>6094.44</v>
      </c>
      <c r="CI147" s="23">
        <f t="shared" ref="CI147:DB147" si="1153">CH147+CI47</f>
        <v>6295.44</v>
      </c>
      <c r="CJ147" s="23">
        <f t="shared" si="1153"/>
        <v>6499.44</v>
      </c>
      <c r="CK147" s="23">
        <f t="shared" si="1153"/>
        <v>6705.44</v>
      </c>
      <c r="CL147" s="23">
        <f t="shared" si="1153"/>
        <v>7213.44</v>
      </c>
      <c r="CM147" s="24">
        <f t="shared" si="1153"/>
        <v>7672.8159999999998</v>
      </c>
      <c r="CN147" s="24">
        <f t="shared" si="1153"/>
        <v>8134.441984</v>
      </c>
      <c r="CO147" s="24">
        <f t="shared" si="1153"/>
        <v>8598.2819522560003</v>
      </c>
      <c r="CP147" s="24">
        <f t="shared" si="1153"/>
        <v>9064.3004810199036</v>
      </c>
      <c r="CQ147" s="24">
        <f t="shared" si="1153"/>
        <v>9532.4627133235845</v>
      </c>
      <c r="CR147" s="24">
        <f t="shared" si="1153"/>
        <v>10002.734349910406</v>
      </c>
      <c r="CS147" s="24">
        <f t="shared" si="1153"/>
        <v>10475.081640311841</v>
      </c>
      <c r="CT147" s="24">
        <f t="shared" si="1153"/>
        <v>10949.47137406685</v>
      </c>
      <c r="CU147" s="24">
        <f t="shared" si="1153"/>
        <v>11425.870872081781</v>
      </c>
      <c r="CV147" s="24">
        <f t="shared" si="1153"/>
        <v>11904.247978128473</v>
      </c>
      <c r="CW147" s="24">
        <f t="shared" si="1153"/>
        <v>12384.571050478417</v>
      </c>
      <c r="CX147" s="24">
        <f t="shared" si="1153"/>
        <v>12866.808953670761</v>
      </c>
      <c r="CY147" s="24">
        <f t="shared" si="1153"/>
        <v>13350.931050412029</v>
      </c>
      <c r="CZ147" s="24">
        <f t="shared" si="1153"/>
        <v>13836.907193605437</v>
      </c>
      <c r="DA147" s="24">
        <f t="shared" si="1153"/>
        <v>14324.707718507751</v>
      </c>
      <c r="DB147" s="24">
        <f t="shared" si="1153"/>
        <v>14814.303435011627</v>
      </c>
      <c r="DE147" s="123"/>
      <c r="DF147" s="23">
        <v>6908.4105882352933</v>
      </c>
    </row>
    <row r="148" spans="1:110" s="23" customFormat="1" outlineLevel="1" x14ac:dyDescent="0.2">
      <c r="A148" s="23" t="s">
        <v>52</v>
      </c>
      <c r="B148" s="23">
        <f>'Annual Raw'!C64</f>
        <v>0</v>
      </c>
      <c r="C148" s="23">
        <f>'Annual Raw'!D64</f>
        <v>0</v>
      </c>
      <c r="D148" s="23">
        <f>'Annual Raw'!E64</f>
        <v>0</v>
      </c>
      <c r="E148" s="23">
        <f>'Annual Raw'!F64</f>
        <v>0</v>
      </c>
      <c r="F148" s="23">
        <f>'Annual Raw'!G64</f>
        <v>0</v>
      </c>
      <c r="G148" s="23">
        <f>'Annual Raw'!H64</f>
        <v>0</v>
      </c>
      <c r="H148" s="23">
        <f>'Annual Raw'!I64</f>
        <v>0</v>
      </c>
      <c r="I148" s="23">
        <f>'Annual Raw'!J64</f>
        <v>0</v>
      </c>
      <c r="J148" s="23">
        <f>'Annual Raw'!K64</f>
        <v>0</v>
      </c>
      <c r="K148" s="23">
        <f>'Annual Raw'!L64</f>
        <v>0</v>
      </c>
      <c r="L148" s="23">
        <f>'Annual Raw'!M64</f>
        <v>0</v>
      </c>
      <c r="M148" s="23">
        <f>'Annual Raw'!N64</f>
        <v>0</v>
      </c>
      <c r="N148" s="23">
        <f>'Annual Raw'!O64</f>
        <v>0</v>
      </c>
      <c r="O148" s="23">
        <f>'Annual Raw'!P64</f>
        <v>0</v>
      </c>
      <c r="P148" s="23">
        <f>'Annual Raw'!Q64</f>
        <v>0</v>
      </c>
      <c r="Q148" s="23">
        <f>'Annual Raw'!R64</f>
        <v>0</v>
      </c>
      <c r="R148" s="23">
        <f>'Annual Raw'!S64</f>
        <v>0</v>
      </c>
      <c r="S148" s="23">
        <f>'Annual Raw'!T64</f>
        <v>0</v>
      </c>
      <c r="T148" s="23">
        <f>'Annual Raw'!U64</f>
        <v>0</v>
      </c>
      <c r="U148" s="23">
        <f>'Annual Raw'!V64</f>
        <v>0</v>
      </c>
      <c r="V148" s="23">
        <f>'Annual Raw'!W64</f>
        <v>0</v>
      </c>
      <c r="W148" s="23">
        <f>'Annual Raw'!X64</f>
        <v>0</v>
      </c>
      <c r="X148" s="23">
        <f>'Annual Raw'!Y64</f>
        <v>0</v>
      </c>
      <c r="Y148" s="23">
        <f>'Annual Raw'!Z64</f>
        <v>0</v>
      </c>
      <c r="Z148" s="23">
        <f>'Annual Raw'!AA64</f>
        <v>0</v>
      </c>
      <c r="AA148" s="23">
        <f>'Annual Raw'!AB64</f>
        <v>0</v>
      </c>
      <c r="AB148" s="24">
        <f t="shared" si="1147"/>
        <v>0</v>
      </c>
      <c r="AC148" s="24">
        <f t="shared" si="1148"/>
        <v>0</v>
      </c>
      <c r="AD148" s="24">
        <f t="shared" si="1149"/>
        <v>0</v>
      </c>
      <c r="AE148" s="24">
        <f t="shared" si="1150"/>
        <v>0</v>
      </c>
      <c r="AJ148" s="23">
        <f>+'QTR Raw'!D70</f>
        <v>0</v>
      </c>
      <c r="AL148" s="23">
        <f>+'QTR Raw'!F70</f>
        <v>0</v>
      </c>
      <c r="AN148" s="23">
        <f>+'QTR Raw'!H70</f>
        <v>0</v>
      </c>
      <c r="AP148" s="23">
        <f>+'QTR Raw'!J70</f>
        <v>0</v>
      </c>
      <c r="AR148" s="23">
        <f>+'QTR Raw'!L70</f>
        <v>0</v>
      </c>
      <c r="AT148" s="23">
        <f>+'QTR Raw'!N70</f>
        <v>0</v>
      </c>
      <c r="AV148" s="23">
        <f>+'QTR Raw'!P70</f>
        <v>0</v>
      </c>
      <c r="AX148" s="23">
        <f>+'QTR Raw'!R70</f>
        <v>0</v>
      </c>
      <c r="AZ148" s="23">
        <f>+'QTR Raw'!T70</f>
        <v>0</v>
      </c>
      <c r="BB148" s="23">
        <f>+'QTR Raw'!V70</f>
        <v>0</v>
      </c>
      <c r="BD148" s="23">
        <f>+'QTR Raw'!X70</f>
        <v>0</v>
      </c>
      <c r="BF148" s="23">
        <f>+'QTR Raw'!Z70</f>
        <v>0</v>
      </c>
      <c r="BH148" s="23">
        <f>+'QTR Raw'!AB70</f>
        <v>0</v>
      </c>
      <c r="BJ148" s="23">
        <f>+'QTR Raw'!AD70</f>
        <v>0</v>
      </c>
      <c r="BL148" s="23">
        <f>+'QTR Raw'!AF70</f>
        <v>0</v>
      </c>
      <c r="BN148" s="23">
        <f>+'QTR Raw'!AH70</f>
        <v>0</v>
      </c>
      <c r="BP148" s="23">
        <f>+'QTR Raw'!AJ70</f>
        <v>0</v>
      </c>
      <c r="BR148" s="23">
        <f>+'QTR Raw'!AL70</f>
        <v>0</v>
      </c>
      <c r="BT148" s="23">
        <f>+'QTR Raw'!AN70</f>
        <v>0</v>
      </c>
      <c r="BV148" s="23">
        <f>+'QTR Raw'!AP70</f>
        <v>0</v>
      </c>
      <c r="BX148" s="23">
        <f>+'QTR Raw'!AR70</f>
        <v>0</v>
      </c>
      <c r="BZ148" s="23">
        <f>+'QTR Raw'!AT70</f>
        <v>0</v>
      </c>
      <c r="CB148" s="23">
        <f>+'QTR Raw'!AV70</f>
        <v>0</v>
      </c>
      <c r="CD148" s="23">
        <f>+'QTR Raw'!AX70</f>
        <v>0</v>
      </c>
      <c r="CF148" s="23">
        <f>+'QTR Raw'!AZ70</f>
        <v>0</v>
      </c>
      <c r="CH148" s="23">
        <f t="shared" si="1151"/>
        <v>0</v>
      </c>
      <c r="CI148" s="23">
        <f>CH148</f>
        <v>0</v>
      </c>
      <c r="CJ148" s="23">
        <f>+'QTR Raw'!BD70</f>
        <v>0</v>
      </c>
      <c r="CK148" s="23">
        <f t="shared" ref="CK148:DB148" si="1154">CJ148</f>
        <v>0</v>
      </c>
      <c r="CL148" s="23">
        <f>+'QTR Raw'!BF70</f>
        <v>0</v>
      </c>
      <c r="CM148" s="24">
        <f t="shared" si="1154"/>
        <v>0</v>
      </c>
      <c r="CN148" s="24">
        <f t="shared" si="1154"/>
        <v>0</v>
      </c>
      <c r="CO148" s="24">
        <f t="shared" si="1154"/>
        <v>0</v>
      </c>
      <c r="CP148" s="24">
        <f t="shared" si="1154"/>
        <v>0</v>
      </c>
      <c r="CQ148" s="24">
        <f t="shared" si="1154"/>
        <v>0</v>
      </c>
      <c r="CR148" s="24">
        <f t="shared" si="1154"/>
        <v>0</v>
      </c>
      <c r="CS148" s="24">
        <f t="shared" si="1154"/>
        <v>0</v>
      </c>
      <c r="CT148" s="24">
        <f t="shared" si="1154"/>
        <v>0</v>
      </c>
      <c r="CU148" s="24">
        <f t="shared" si="1154"/>
        <v>0</v>
      </c>
      <c r="CV148" s="24">
        <f t="shared" si="1154"/>
        <v>0</v>
      </c>
      <c r="CW148" s="24">
        <f t="shared" si="1154"/>
        <v>0</v>
      </c>
      <c r="CX148" s="24">
        <f t="shared" si="1154"/>
        <v>0</v>
      </c>
      <c r="CY148" s="24">
        <f t="shared" si="1154"/>
        <v>0</v>
      </c>
      <c r="CZ148" s="24">
        <f t="shared" si="1154"/>
        <v>0</v>
      </c>
      <c r="DA148" s="24">
        <f t="shared" si="1154"/>
        <v>0</v>
      </c>
      <c r="DB148" s="24">
        <f t="shared" si="1154"/>
        <v>0</v>
      </c>
      <c r="DE148" s="123"/>
      <c r="DF148" s="23">
        <v>0</v>
      </c>
    </row>
    <row r="149" spans="1:110" s="22" customFormat="1" outlineLevel="1" x14ac:dyDescent="0.2">
      <c r="A149" s="22" t="s">
        <v>53</v>
      </c>
      <c r="B149" s="22">
        <f>+B146-B147-B148</f>
        <v>161.35180000000003</v>
      </c>
      <c r="C149" s="22">
        <f t="shared" ref="C149:W149" si="1155">+C146-C147-C148</f>
        <v>170.26759999999999</v>
      </c>
      <c r="D149" s="22">
        <f t="shared" si="1155"/>
        <v>170.8758</v>
      </c>
      <c r="E149" s="22">
        <f t="shared" si="1155"/>
        <v>203.55929999999998</v>
      </c>
      <c r="F149" s="22">
        <f t="shared" si="1155"/>
        <v>220.96129999999999</v>
      </c>
      <c r="G149" s="22">
        <f t="shared" si="1155"/>
        <v>367.18209999999999</v>
      </c>
      <c r="H149" s="22">
        <f t="shared" si="1155"/>
        <v>424.85820000000001</v>
      </c>
      <c r="I149" s="22">
        <f t="shared" si="1155"/>
        <v>469.9144</v>
      </c>
      <c r="J149" s="22">
        <f t="shared" si="1155"/>
        <v>511.25389999999999</v>
      </c>
      <c r="K149" s="22">
        <f t="shared" si="1155"/>
        <v>541.14930000000004</v>
      </c>
      <c r="L149" s="22">
        <f t="shared" si="1155"/>
        <v>635.54780000000005</v>
      </c>
      <c r="M149" s="22">
        <f t="shared" si="1155"/>
        <v>796.87000000000012</v>
      </c>
      <c r="N149" s="22">
        <f t="shared" si="1155"/>
        <v>819.82000000000016</v>
      </c>
      <c r="O149" s="22">
        <f t="shared" si="1155"/>
        <v>875.33999999999992</v>
      </c>
      <c r="P149" s="22">
        <f t="shared" si="1155"/>
        <v>2707.7799999999997</v>
      </c>
      <c r="Q149" s="22">
        <f t="shared" si="1155"/>
        <v>2734.2</v>
      </c>
      <c r="R149" s="22">
        <f t="shared" si="1155"/>
        <v>3528.9400000000005</v>
      </c>
      <c r="S149" s="22">
        <f t="shared" si="1155"/>
        <v>7456.1599999999989</v>
      </c>
      <c r="T149" s="22">
        <f t="shared" si="1155"/>
        <v>7412.92</v>
      </c>
      <c r="U149" s="22">
        <f t="shared" si="1155"/>
        <v>7191.0299999999988</v>
      </c>
      <c r="V149" s="22">
        <f t="shared" si="1155"/>
        <v>6723.4000000000015</v>
      </c>
      <c r="W149" s="22">
        <f t="shared" si="1155"/>
        <v>6163.170000000001</v>
      </c>
      <c r="X149" s="22">
        <f t="shared" ref="X149:Y149" si="1156">+X146-X147-X148</f>
        <v>7783.9500000000007</v>
      </c>
      <c r="Y149" s="22">
        <f t="shared" si="1156"/>
        <v>7800.079999999999</v>
      </c>
      <c r="Z149" s="22">
        <f t="shared" ref="Z149:AE149" si="1157">+Z146-Z147-Z148</f>
        <v>7608.0200000000013</v>
      </c>
      <c r="AA149" s="22">
        <f t="shared" ref="AA149" si="1158">+AA146-AA147-AA148</f>
        <v>28266.350000000002</v>
      </c>
      <c r="AB149" s="21">
        <f t="shared" si="1157"/>
        <v>29260.139518980097</v>
      </c>
      <c r="AC149" s="21">
        <f t="shared" si="1157"/>
        <v>29774.96862593315</v>
      </c>
      <c r="AD149" s="21">
        <f t="shared" si="1157"/>
        <v>30257.631046329239</v>
      </c>
      <c r="AE149" s="21">
        <f t="shared" si="1157"/>
        <v>30710.136564988374</v>
      </c>
      <c r="AJ149" s="22">
        <f t="shared" ref="AJ149:AL149" si="1159">+AJ146-AJ147-AJ148</f>
        <v>1021.46</v>
      </c>
      <c r="AK149" s="22">
        <f t="shared" ref="AK149:CE149" si="1160">+AJ149</f>
        <v>1021.46</v>
      </c>
      <c r="AL149" s="22">
        <f t="shared" si="1159"/>
        <v>1105</v>
      </c>
      <c r="AM149" s="22">
        <f t="shared" si="1160"/>
        <v>1105</v>
      </c>
      <c r="AN149" s="22">
        <f t="shared" ref="AN149" si="1161">+AN146-AN147-AN148</f>
        <v>1276</v>
      </c>
      <c r="AO149" s="22">
        <f t="shared" si="1160"/>
        <v>1276</v>
      </c>
      <c r="AP149" s="22">
        <f t="shared" ref="AP149:CD149" si="1162">+AP146-AP147-AP148</f>
        <v>1409</v>
      </c>
      <c r="AQ149" s="22">
        <f t="shared" si="1160"/>
        <v>1409</v>
      </c>
      <c r="AR149" s="22">
        <f t="shared" si="1162"/>
        <v>3468</v>
      </c>
      <c r="AS149" s="22">
        <f t="shared" si="1160"/>
        <v>3468</v>
      </c>
      <c r="AT149" s="22">
        <f t="shared" si="1162"/>
        <v>3495</v>
      </c>
      <c r="AU149" s="22">
        <f t="shared" si="1160"/>
        <v>3495</v>
      </c>
      <c r="AV149" s="22">
        <f t="shared" si="1162"/>
        <v>3685</v>
      </c>
      <c r="AW149" s="22">
        <f t="shared" si="1160"/>
        <v>3685</v>
      </c>
      <c r="AX149" s="22">
        <f t="shared" si="1162"/>
        <v>2734</v>
      </c>
      <c r="AY149" s="22">
        <f t="shared" si="1160"/>
        <v>2734</v>
      </c>
      <c r="AZ149" s="22">
        <f t="shared" si="1162"/>
        <v>3185</v>
      </c>
      <c r="BA149" s="22">
        <f t="shared" si="1160"/>
        <v>3185</v>
      </c>
      <c r="BB149" s="22">
        <f t="shared" si="1162"/>
        <v>3585</v>
      </c>
      <c r="BC149" s="22">
        <f t="shared" si="1160"/>
        <v>3585</v>
      </c>
      <c r="BD149" s="22">
        <f t="shared" si="1162"/>
        <v>3753</v>
      </c>
      <c r="BE149" s="22">
        <f t="shared" si="1160"/>
        <v>3753</v>
      </c>
      <c r="BF149" s="22">
        <f t="shared" si="1162"/>
        <v>7680</v>
      </c>
      <c r="BG149" s="22">
        <f t="shared" si="1160"/>
        <v>7680</v>
      </c>
      <c r="BH149" s="22">
        <f t="shared" si="1162"/>
        <v>7528</v>
      </c>
      <c r="BI149" s="22">
        <f t="shared" si="1160"/>
        <v>7528</v>
      </c>
      <c r="BJ149" s="22">
        <f t="shared" si="1162"/>
        <v>7551</v>
      </c>
      <c r="BK149" s="22">
        <f t="shared" si="1160"/>
        <v>7551</v>
      </c>
      <c r="BL149" s="22">
        <f t="shared" si="1162"/>
        <v>7301</v>
      </c>
      <c r="BM149" s="22">
        <f t="shared" si="1160"/>
        <v>7301</v>
      </c>
      <c r="BN149" s="22">
        <f t="shared" si="1162"/>
        <v>7191</v>
      </c>
      <c r="BO149" s="22">
        <f t="shared" si="1160"/>
        <v>7191</v>
      </c>
      <c r="BP149" s="22">
        <f t="shared" si="1162"/>
        <v>6933</v>
      </c>
      <c r="BQ149" s="22">
        <f t="shared" si="1160"/>
        <v>6933</v>
      </c>
      <c r="BR149" s="22">
        <f t="shared" si="1162"/>
        <v>6743</v>
      </c>
      <c r="BS149" s="22">
        <f t="shared" si="1160"/>
        <v>6743</v>
      </c>
      <c r="BT149" s="22">
        <f t="shared" si="1162"/>
        <v>6765</v>
      </c>
      <c r="BU149" s="22">
        <f t="shared" si="1160"/>
        <v>6765</v>
      </c>
      <c r="BV149" s="22">
        <f t="shared" si="1162"/>
        <v>6121</v>
      </c>
      <c r="BW149" s="22">
        <f t="shared" si="1160"/>
        <v>6121</v>
      </c>
      <c r="BX149" s="22">
        <f t="shared" si="1162"/>
        <v>6100</v>
      </c>
      <c r="BY149" s="22">
        <f t="shared" si="1160"/>
        <v>6100</v>
      </c>
      <c r="BZ149" s="22">
        <f t="shared" si="1162"/>
        <v>7716</v>
      </c>
      <c r="CA149" s="22">
        <f t="shared" si="1160"/>
        <v>7716</v>
      </c>
      <c r="CB149" s="22">
        <f t="shared" si="1162"/>
        <v>7886</v>
      </c>
      <c r="CC149" s="22">
        <f t="shared" si="1160"/>
        <v>7886</v>
      </c>
      <c r="CD149" s="22">
        <f t="shared" si="1162"/>
        <v>7722</v>
      </c>
      <c r="CE149" s="22">
        <f t="shared" si="1160"/>
        <v>7722</v>
      </c>
      <c r="CF149" s="22">
        <f t="shared" ref="CF149:CI149" si="1163">+CF146-CF147-CF148</f>
        <v>7401</v>
      </c>
      <c r="CG149" s="22">
        <f t="shared" ref="CG149:CI152" si="1164">+CF149</f>
        <v>7401</v>
      </c>
      <c r="CH149" s="22">
        <f t="shared" si="1163"/>
        <v>7608.0200000000013</v>
      </c>
      <c r="CI149" s="22">
        <f t="shared" si="1163"/>
        <v>7407.0200000000013</v>
      </c>
      <c r="CJ149" s="22">
        <f>+'QTR Raw'!BD68</f>
        <v>7208</v>
      </c>
      <c r="CK149" s="22">
        <f t="shared" ref="CK149:DB149" si="1165">+CK146-CK147-CK148</f>
        <v>7101.9999999999991</v>
      </c>
      <c r="CL149" s="22">
        <f>+'QTR Raw'!BF68</f>
        <v>28711</v>
      </c>
      <c r="CM149" s="21">
        <f t="shared" si="1165"/>
        <v>28851.624000000003</v>
      </c>
      <c r="CN149" s="21">
        <f t="shared" si="1165"/>
        <v>28989.998016000001</v>
      </c>
      <c r="CO149" s="21">
        <f t="shared" si="1165"/>
        <v>29126.158047744</v>
      </c>
      <c r="CP149" s="21">
        <f t="shared" si="1165"/>
        <v>29260.139518980097</v>
      </c>
      <c r="CQ149" s="21">
        <f t="shared" si="1165"/>
        <v>29391.977286676418</v>
      </c>
      <c r="CR149" s="21">
        <f t="shared" si="1165"/>
        <v>29521.705650089596</v>
      </c>
      <c r="CS149" s="21">
        <f t="shared" si="1165"/>
        <v>29649.358359688162</v>
      </c>
      <c r="CT149" s="21">
        <f t="shared" si="1165"/>
        <v>29774.96862593315</v>
      </c>
      <c r="CU149" s="21">
        <f t="shared" si="1165"/>
        <v>29898.569127918221</v>
      </c>
      <c r="CV149" s="21">
        <f t="shared" si="1165"/>
        <v>30020.192021871531</v>
      </c>
      <c r="CW149" s="21">
        <f t="shared" si="1165"/>
        <v>30139.868949521588</v>
      </c>
      <c r="CX149" s="21">
        <f t="shared" si="1165"/>
        <v>30257.631046329239</v>
      </c>
      <c r="CY149" s="21">
        <f t="shared" si="1165"/>
        <v>30373.508949587973</v>
      </c>
      <c r="CZ149" s="21">
        <f t="shared" si="1165"/>
        <v>30487.532806394564</v>
      </c>
      <c r="DA149" s="21">
        <f t="shared" si="1165"/>
        <v>30599.732281492252</v>
      </c>
      <c r="DB149" s="21">
        <f t="shared" si="1165"/>
        <v>30710.136564988374</v>
      </c>
      <c r="DE149" s="126"/>
      <c r="DF149" s="22">
        <v>7199.0294117647054</v>
      </c>
    </row>
    <row r="150" spans="1:110" s="23" customFormat="1" outlineLevel="1" x14ac:dyDescent="0.2">
      <c r="A150" s="23" t="s">
        <v>54</v>
      </c>
      <c r="B150" s="23">
        <f>'Annual Raw'!C86</f>
        <v>0</v>
      </c>
      <c r="C150" s="23">
        <f>'Annual Raw'!D86</f>
        <v>1.0226999999999999</v>
      </c>
      <c r="D150" s="23">
        <f>'Annual Raw'!E86</f>
        <v>0.76700000000000002</v>
      </c>
      <c r="E150" s="23">
        <f>'Annual Raw'!F86</f>
        <v>0.51129999999999998</v>
      </c>
      <c r="F150" s="23">
        <f>'Annual Raw'!G86</f>
        <v>0.2555</v>
      </c>
      <c r="G150" s="23">
        <f>'Annual Raw'!H86</f>
        <v>0</v>
      </c>
      <c r="H150" s="23">
        <f>'Annual Raw'!I86</f>
        <v>0</v>
      </c>
      <c r="I150" s="23">
        <f>'Annual Raw'!J86</f>
        <v>0</v>
      </c>
      <c r="J150" s="23">
        <f>'Annual Raw'!K86</f>
        <v>0</v>
      </c>
      <c r="K150" s="23">
        <f>'Annual Raw'!L86</f>
        <v>0</v>
      </c>
      <c r="L150" s="23">
        <f>'Annual Raw'!M86</f>
        <v>0</v>
      </c>
      <c r="M150" s="23">
        <f>'Annual Raw'!N86</f>
        <v>0</v>
      </c>
      <c r="N150" s="23">
        <f>'Annual Raw'!O86</f>
        <v>0</v>
      </c>
      <c r="O150" s="23">
        <f>'Annual Raw'!P86</f>
        <v>0</v>
      </c>
      <c r="P150" s="23">
        <f>'Annual Raw'!Q86</f>
        <v>124.88</v>
      </c>
      <c r="Q150" s="23">
        <f>'Annual Raw'!R86</f>
        <v>124.88</v>
      </c>
      <c r="R150" s="23">
        <f>'Annual Raw'!S86</f>
        <v>159.5</v>
      </c>
      <c r="S150" s="23">
        <f>'Annual Raw'!T86</f>
        <v>398.52</v>
      </c>
      <c r="T150" s="23">
        <f>'Annual Raw'!U86</f>
        <v>334.79</v>
      </c>
      <c r="U150" s="23">
        <f>'Annual Raw'!V86</f>
        <v>342.09</v>
      </c>
      <c r="V150" s="23">
        <f>'Annual Raw'!W86</f>
        <v>341.23</v>
      </c>
      <c r="W150" s="23">
        <f>'Annual Raw'!X86</f>
        <v>259.48</v>
      </c>
      <c r="X150" s="23">
        <f>'Annual Raw'!Y86</f>
        <v>337.5</v>
      </c>
      <c r="Y150" s="23">
        <f>'Annual Raw'!Z86</f>
        <v>338.03</v>
      </c>
      <c r="Z150" s="23">
        <f>'Annual Raw'!AA86</f>
        <v>338.88</v>
      </c>
      <c r="AA150" s="23">
        <f>'Annual Raw'!AB86</f>
        <v>4911.7299999999996</v>
      </c>
      <c r="AB150" s="24">
        <f t="shared" si="1147"/>
        <v>3990</v>
      </c>
      <c r="AC150" s="24">
        <f t="shared" si="1148"/>
        <v>3990</v>
      </c>
      <c r="AD150" s="24">
        <f t="shared" si="1149"/>
        <v>3990</v>
      </c>
      <c r="AE150" s="24">
        <f t="shared" si="1150"/>
        <v>3990</v>
      </c>
      <c r="AJ150" s="23">
        <f>+'QTR Raw'!D72</f>
        <v>0</v>
      </c>
      <c r="AK150" s="23">
        <f>+AJ150</f>
        <v>0</v>
      </c>
      <c r="AL150" s="23">
        <f>+'QTR Raw'!F72</f>
        <v>0</v>
      </c>
      <c r="AM150" s="23">
        <f t="shared" ref="AK150:CE152" si="1166">+AL150</f>
        <v>0</v>
      </c>
      <c r="AN150" s="23">
        <f>+'QTR Raw'!H72</f>
        <v>0</v>
      </c>
      <c r="AO150" s="23">
        <f t="shared" si="1166"/>
        <v>0</v>
      </c>
      <c r="AP150" s="23">
        <f>+'QTR Raw'!J72</f>
        <v>0</v>
      </c>
      <c r="AQ150" s="23">
        <f t="shared" si="1166"/>
        <v>0</v>
      </c>
      <c r="AR150" s="23">
        <f>+'QTR Raw'!L72</f>
        <v>16</v>
      </c>
      <c r="AS150" s="23">
        <f t="shared" si="1166"/>
        <v>16</v>
      </c>
      <c r="AT150" s="23">
        <f>+'QTR Raw'!N72</f>
        <v>16</v>
      </c>
      <c r="AU150" s="23">
        <f t="shared" si="1166"/>
        <v>16</v>
      </c>
      <c r="AV150" s="23">
        <f>+'QTR Raw'!P72</f>
        <v>231</v>
      </c>
      <c r="AW150" s="23">
        <f t="shared" si="1166"/>
        <v>231</v>
      </c>
      <c r="AX150" s="23">
        <f>+'QTR Raw'!R72</f>
        <v>125</v>
      </c>
      <c r="AY150" s="23">
        <f t="shared" si="1166"/>
        <v>125</v>
      </c>
      <c r="AZ150" s="23">
        <f>+'QTR Raw'!T72</f>
        <v>125</v>
      </c>
      <c r="BA150" s="23">
        <f t="shared" si="1166"/>
        <v>125</v>
      </c>
      <c r="BB150" s="23">
        <f>+'QTR Raw'!V72</f>
        <v>160</v>
      </c>
      <c r="BC150" s="23">
        <f t="shared" si="1166"/>
        <v>160</v>
      </c>
      <c r="BD150" s="23">
        <f>+'QTR Raw'!X72</f>
        <v>158</v>
      </c>
      <c r="BE150" s="23">
        <f t="shared" si="1166"/>
        <v>158</v>
      </c>
      <c r="BF150" s="23">
        <f>+'QTR Raw'!Z72</f>
        <v>399</v>
      </c>
      <c r="BG150" s="23">
        <f t="shared" si="1166"/>
        <v>399</v>
      </c>
      <c r="BH150" s="23">
        <f>+'QTR Raw'!AB72</f>
        <v>415</v>
      </c>
      <c r="BI150" s="23">
        <f t="shared" si="1166"/>
        <v>415</v>
      </c>
      <c r="BJ150" s="23">
        <f>+'QTR Raw'!AD72</f>
        <v>335</v>
      </c>
      <c r="BK150" s="23">
        <f t="shared" si="1166"/>
        <v>335</v>
      </c>
      <c r="BL150" s="23">
        <f>+'QTR Raw'!AF72</f>
        <v>336</v>
      </c>
      <c r="BM150" s="23">
        <f t="shared" si="1166"/>
        <v>336</v>
      </c>
      <c r="BN150" s="23">
        <f>+'QTR Raw'!AH72</f>
        <v>342</v>
      </c>
      <c r="BO150" s="23">
        <f t="shared" si="1166"/>
        <v>342</v>
      </c>
      <c r="BP150" s="23">
        <f>+'QTR Raw'!AJ72</f>
        <v>341</v>
      </c>
      <c r="BQ150" s="23">
        <f t="shared" si="1166"/>
        <v>341</v>
      </c>
      <c r="BR150" s="23">
        <f>+'QTR Raw'!AL72</f>
        <v>341</v>
      </c>
      <c r="BS150" s="23">
        <f t="shared" si="1166"/>
        <v>341</v>
      </c>
      <c r="BT150" s="23">
        <f>+'QTR Raw'!AN72</f>
        <v>342</v>
      </c>
      <c r="BU150" s="23">
        <f t="shared" si="1166"/>
        <v>342</v>
      </c>
      <c r="BV150" s="23">
        <f>+'QTR Raw'!AP72</f>
        <v>259</v>
      </c>
      <c r="BW150" s="23">
        <f t="shared" si="1166"/>
        <v>259</v>
      </c>
      <c r="BX150" s="23">
        <f>+'QTR Raw'!AR72</f>
        <v>258</v>
      </c>
      <c r="BY150" s="23">
        <f t="shared" si="1166"/>
        <v>258</v>
      </c>
      <c r="BZ150" s="23">
        <f>+'QTR Raw'!AT72</f>
        <v>338</v>
      </c>
      <c r="CA150" s="23">
        <f t="shared" si="1166"/>
        <v>338</v>
      </c>
      <c r="CB150" s="23">
        <f>+'QTR Raw'!AV72</f>
        <v>337</v>
      </c>
      <c r="CC150" s="23">
        <f t="shared" si="1166"/>
        <v>337</v>
      </c>
      <c r="CD150" s="23">
        <f>+'QTR Raw'!AX72</f>
        <v>338</v>
      </c>
      <c r="CE150" s="23">
        <f t="shared" si="1166"/>
        <v>338</v>
      </c>
      <c r="CF150" s="23">
        <f>+'QTR Raw'!AZ72</f>
        <v>339</v>
      </c>
      <c r="CG150" s="23">
        <f t="shared" si="1164"/>
        <v>339</v>
      </c>
      <c r="CH150" s="23">
        <f t="shared" si="1151"/>
        <v>338.88</v>
      </c>
      <c r="CI150" s="23">
        <f t="shared" si="1164"/>
        <v>338.88</v>
      </c>
      <c r="CJ150" s="23">
        <f>+'QTR Raw'!BD72</f>
        <v>340</v>
      </c>
      <c r="CK150" s="23">
        <f t="shared" ref="CK150:CK152" si="1167">+CJ150</f>
        <v>340</v>
      </c>
      <c r="CL150" s="23">
        <f>+'QTR Raw'!BF72</f>
        <v>3990</v>
      </c>
      <c r="CM150" s="24">
        <f t="shared" ref="CM150:CM152" si="1168">+CL150</f>
        <v>3990</v>
      </c>
      <c r="CN150" s="24">
        <f t="shared" ref="CN150:CN152" si="1169">+CM150</f>
        <v>3990</v>
      </c>
      <c r="CO150" s="24">
        <f t="shared" ref="CO150:CO152" si="1170">+CN150</f>
        <v>3990</v>
      </c>
      <c r="CP150" s="24">
        <f t="shared" ref="CP150:CP152" si="1171">+CO150</f>
        <v>3990</v>
      </c>
      <c r="CQ150" s="24">
        <f t="shared" ref="CQ150:CQ152" si="1172">+CP150</f>
        <v>3990</v>
      </c>
      <c r="CR150" s="24">
        <f t="shared" ref="CR150:CR152" si="1173">+CQ150</f>
        <v>3990</v>
      </c>
      <c r="CS150" s="24">
        <f t="shared" ref="CS150:CS152" si="1174">+CR150</f>
        <v>3990</v>
      </c>
      <c r="CT150" s="24">
        <f t="shared" ref="CT150:CT152" si="1175">+CS150</f>
        <v>3990</v>
      </c>
      <c r="CU150" s="24">
        <f t="shared" ref="CU150:CU152" si="1176">+CT150</f>
        <v>3990</v>
      </c>
      <c r="CV150" s="24">
        <f t="shared" ref="CV150:CV152" si="1177">+CU150</f>
        <v>3990</v>
      </c>
      <c r="CW150" s="24">
        <f t="shared" ref="CW150:CW152" si="1178">+CV150</f>
        <v>3990</v>
      </c>
      <c r="CX150" s="24">
        <f t="shared" ref="CX150:CX152" si="1179">+CW150</f>
        <v>3990</v>
      </c>
      <c r="CY150" s="24">
        <f t="shared" ref="CY150:CY152" si="1180">+CX150</f>
        <v>3990</v>
      </c>
      <c r="CZ150" s="24">
        <f t="shared" ref="CZ150:CZ152" si="1181">+CY150</f>
        <v>3990</v>
      </c>
      <c r="DA150" s="24">
        <f t="shared" ref="DA150:DA152" si="1182">+CZ150</f>
        <v>3990</v>
      </c>
      <c r="DB150" s="24">
        <f t="shared" ref="DB150:DB152" si="1183">+DA150</f>
        <v>3990</v>
      </c>
      <c r="DE150" s="123"/>
      <c r="DF150" s="23">
        <v>340</v>
      </c>
    </row>
    <row r="151" spans="1:110" s="23" customFormat="1" outlineLevel="1" x14ac:dyDescent="0.2">
      <c r="A151" s="23" t="s">
        <v>55</v>
      </c>
      <c r="B151" s="23">
        <f>'Annual Raw'!C68</f>
        <v>0</v>
      </c>
      <c r="C151" s="23">
        <f>'Annual Raw'!D68</f>
        <v>0</v>
      </c>
      <c r="D151" s="23">
        <f>'Annual Raw'!E68</f>
        <v>0</v>
      </c>
      <c r="E151" s="23">
        <f>'Annual Raw'!F68</f>
        <v>0</v>
      </c>
      <c r="F151" s="23">
        <f>'Annual Raw'!G68</f>
        <v>0</v>
      </c>
      <c r="G151" s="23">
        <f>'Annual Raw'!H68</f>
        <v>0</v>
      </c>
      <c r="H151" s="23">
        <f>'Annual Raw'!I68</f>
        <v>0</v>
      </c>
      <c r="I151" s="23">
        <f>'Annual Raw'!J68</f>
        <v>0</v>
      </c>
      <c r="J151" s="23">
        <f>'Annual Raw'!K68</f>
        <v>0</v>
      </c>
      <c r="K151" s="23">
        <f>'Annual Raw'!L68</f>
        <v>0</v>
      </c>
      <c r="L151" s="23">
        <f>'Annual Raw'!M68</f>
        <v>0</v>
      </c>
      <c r="M151" s="23">
        <f>'Annual Raw'!N68</f>
        <v>0</v>
      </c>
      <c r="N151" s="23">
        <f>'Annual Raw'!O68</f>
        <v>0</v>
      </c>
      <c r="O151" s="23">
        <f>'Annual Raw'!P68</f>
        <v>0</v>
      </c>
      <c r="P151" s="23">
        <f>'Annual Raw'!Q68</f>
        <v>0</v>
      </c>
      <c r="Q151" s="23">
        <f>'Annual Raw'!R68</f>
        <v>0</v>
      </c>
      <c r="R151" s="23">
        <f>'Annual Raw'!S68</f>
        <v>56.59</v>
      </c>
      <c r="S151" s="23">
        <f>'Annual Raw'!T68</f>
        <v>223.73</v>
      </c>
      <c r="T151" s="23">
        <f>'Annual Raw'!U68</f>
        <v>137.81</v>
      </c>
      <c r="U151" s="23">
        <f>'Annual Raw'!V68</f>
        <v>135.32</v>
      </c>
      <c r="V151" s="23">
        <f>'Annual Raw'!W68</f>
        <v>145.47999999999999</v>
      </c>
      <c r="W151" s="23">
        <f>'Annual Raw'!X68</f>
        <v>85.48</v>
      </c>
      <c r="X151" s="23">
        <f>'Annual Raw'!Y68</f>
        <v>77.16</v>
      </c>
      <c r="Y151" s="23">
        <f>'Annual Raw'!Z68</f>
        <v>79.709999999999994</v>
      </c>
      <c r="Z151" s="23">
        <f>'Annual Raw'!AA68</f>
        <v>110.88</v>
      </c>
      <c r="AA151" s="23">
        <f>'Annual Raw'!AB68</f>
        <v>183.63</v>
      </c>
      <c r="AB151" s="24">
        <f t="shared" si="1147"/>
        <v>0</v>
      </c>
      <c r="AC151" s="24">
        <f t="shared" si="1148"/>
        <v>0</v>
      </c>
      <c r="AD151" s="24">
        <f t="shared" si="1149"/>
        <v>0</v>
      </c>
      <c r="AE151" s="24">
        <f t="shared" si="1150"/>
        <v>0</v>
      </c>
      <c r="AK151" s="23">
        <f t="shared" si="1166"/>
        <v>0</v>
      </c>
      <c r="AM151" s="23">
        <f t="shared" si="1166"/>
        <v>0</v>
      </c>
      <c r="AO151" s="23">
        <f t="shared" si="1166"/>
        <v>0</v>
      </c>
      <c r="AQ151" s="23">
        <f t="shared" si="1166"/>
        <v>0</v>
      </c>
      <c r="AS151" s="23">
        <f t="shared" si="1166"/>
        <v>0</v>
      </c>
      <c r="AU151" s="23">
        <f t="shared" si="1166"/>
        <v>0</v>
      </c>
      <c r="AW151" s="23">
        <f t="shared" si="1166"/>
        <v>0</v>
      </c>
      <c r="AY151" s="23">
        <f t="shared" si="1166"/>
        <v>0</v>
      </c>
      <c r="BA151" s="23">
        <f t="shared" si="1166"/>
        <v>0</v>
      </c>
      <c r="BC151" s="23">
        <f t="shared" si="1166"/>
        <v>0</v>
      </c>
      <c r="BE151" s="23">
        <f t="shared" si="1166"/>
        <v>0</v>
      </c>
      <c r="BG151" s="23">
        <f t="shared" si="1166"/>
        <v>0</v>
      </c>
      <c r="BI151" s="23">
        <f t="shared" si="1166"/>
        <v>0</v>
      </c>
      <c r="BK151" s="23">
        <f t="shared" si="1166"/>
        <v>0</v>
      </c>
      <c r="BM151" s="23">
        <f t="shared" si="1166"/>
        <v>0</v>
      </c>
      <c r="BO151" s="23">
        <f t="shared" si="1166"/>
        <v>0</v>
      </c>
      <c r="BQ151" s="23">
        <f t="shared" si="1166"/>
        <v>0</v>
      </c>
      <c r="BS151" s="23">
        <f t="shared" si="1166"/>
        <v>0</v>
      </c>
      <c r="BU151" s="23">
        <f t="shared" si="1166"/>
        <v>0</v>
      </c>
      <c r="BW151" s="23">
        <f t="shared" si="1166"/>
        <v>0</v>
      </c>
      <c r="BY151" s="23">
        <f t="shared" si="1166"/>
        <v>0</v>
      </c>
      <c r="CA151" s="23">
        <f t="shared" si="1166"/>
        <v>0</v>
      </c>
      <c r="CC151" s="23">
        <f t="shared" si="1166"/>
        <v>0</v>
      </c>
      <c r="CE151" s="23">
        <f t="shared" si="1166"/>
        <v>0</v>
      </c>
      <c r="CG151" s="23">
        <f t="shared" si="1164"/>
        <v>0</v>
      </c>
      <c r="CH151" s="23">
        <f t="shared" si="1151"/>
        <v>110.88</v>
      </c>
      <c r="CI151" s="23">
        <f t="shared" si="1164"/>
        <v>110.88</v>
      </c>
      <c r="CK151" s="23">
        <f t="shared" si="1167"/>
        <v>0</v>
      </c>
      <c r="CM151" s="24">
        <f t="shared" si="1168"/>
        <v>0</v>
      </c>
      <c r="CN151" s="24">
        <f t="shared" si="1169"/>
        <v>0</v>
      </c>
      <c r="CO151" s="24">
        <f t="shared" si="1170"/>
        <v>0</v>
      </c>
      <c r="CP151" s="24">
        <f t="shared" si="1171"/>
        <v>0</v>
      </c>
      <c r="CQ151" s="24">
        <f t="shared" si="1172"/>
        <v>0</v>
      </c>
      <c r="CR151" s="24">
        <f t="shared" si="1173"/>
        <v>0</v>
      </c>
      <c r="CS151" s="24">
        <f t="shared" si="1174"/>
        <v>0</v>
      </c>
      <c r="CT151" s="24">
        <f t="shared" si="1175"/>
        <v>0</v>
      </c>
      <c r="CU151" s="24">
        <f t="shared" si="1176"/>
        <v>0</v>
      </c>
      <c r="CV151" s="24">
        <f t="shared" si="1177"/>
        <v>0</v>
      </c>
      <c r="CW151" s="24">
        <f t="shared" si="1178"/>
        <v>0</v>
      </c>
      <c r="CX151" s="24">
        <f t="shared" si="1179"/>
        <v>0</v>
      </c>
      <c r="CY151" s="24">
        <f t="shared" si="1180"/>
        <v>0</v>
      </c>
      <c r="CZ151" s="24">
        <f t="shared" si="1181"/>
        <v>0</v>
      </c>
      <c r="DA151" s="24">
        <f t="shared" si="1182"/>
        <v>0</v>
      </c>
      <c r="DB151" s="24">
        <f t="shared" si="1183"/>
        <v>0</v>
      </c>
      <c r="DE151" s="123"/>
      <c r="DF151" s="23">
        <v>0</v>
      </c>
    </row>
    <row r="152" spans="1:110" s="23" customFormat="1" outlineLevel="1" x14ac:dyDescent="0.2">
      <c r="A152" s="23" t="s">
        <v>56</v>
      </c>
      <c r="B152" s="23">
        <f>'Annual Raw'!C67+'Annual Raw'!C66+'Annual Raw'!C69+'Annual Raw'!C70</f>
        <v>12.355700000000001</v>
      </c>
      <c r="C152" s="23">
        <f>'Annual Raw'!D67+'Annual Raw'!D66+'Annual Raw'!D69+'Annual Raw'!D70</f>
        <v>7.1910999999999996</v>
      </c>
      <c r="D152" s="23">
        <f>'Annual Raw'!E67+'Annual Raw'!E66+'Annual Raw'!E69+'Annual Raw'!E70</f>
        <v>14.436299999999999</v>
      </c>
      <c r="E152" s="23">
        <f>'Annual Raw'!F67+'Annual Raw'!F66+'Annual Raw'!F69+'Annual Raw'!F70</f>
        <v>6.9755000000000003</v>
      </c>
      <c r="F152" s="23">
        <f>'Annual Raw'!G67+'Annual Raw'!G66+'Annual Raw'!G69+'Annual Raw'!G70</f>
        <v>77.061300000000003</v>
      </c>
      <c r="G152" s="23">
        <f>'Annual Raw'!H67+'Annual Raw'!H66+'Annual Raw'!H69+'Annual Raw'!H70</f>
        <v>38.669699999999999</v>
      </c>
      <c r="H152" s="23">
        <f>'Annual Raw'!I67+'Annual Raw'!I66+'Annual Raw'!I69+'Annual Raw'!I70</f>
        <v>43.056699999999999</v>
      </c>
      <c r="I152" s="23">
        <f>'Annual Raw'!J67+'Annual Raw'!J66+'Annual Raw'!J69+'Annual Raw'!J70</f>
        <v>82.094899999999996</v>
      </c>
      <c r="J152" s="23">
        <f>'Annual Raw'!K67+'Annual Raw'!K66+'Annual Raw'!K69+'Annual Raw'!K70</f>
        <v>53.4236</v>
      </c>
      <c r="K152" s="23">
        <f>'Annual Raw'!L67+'Annual Raw'!L66+'Annual Raw'!L69+'Annual Raw'!L70</f>
        <v>109.82080000000001</v>
      </c>
      <c r="L152" s="23">
        <f>'Annual Raw'!M67+'Annual Raw'!M66+'Annual Raw'!M69+'Annual Raw'!M70</f>
        <v>179.87889999999999</v>
      </c>
      <c r="M152" s="23">
        <f>'Annual Raw'!N67+'Annual Raw'!N66+'Annual Raw'!N69+'Annual Raw'!N70</f>
        <v>118.77</v>
      </c>
      <c r="N152" s="23">
        <f>'Annual Raw'!O67+'Annual Raw'!O66+'Annual Raw'!O69+'Annual Raw'!O70</f>
        <v>285.27999999999997</v>
      </c>
      <c r="O152" s="23">
        <f>'Annual Raw'!P67+'Annual Raw'!P66+'Annual Raw'!P69+'Annual Raw'!P70</f>
        <v>534.11</v>
      </c>
      <c r="P152" s="23">
        <f>'Annual Raw'!Q67+'Annual Raw'!Q66+'Annual Raw'!Q69+'Annual Raw'!Q70</f>
        <v>678.33</v>
      </c>
      <c r="Q152" s="23">
        <f>'Annual Raw'!R67+'Annual Raw'!R66+'Annual Raw'!R69+'Annual Raw'!R70</f>
        <v>1041.58</v>
      </c>
      <c r="R152" s="23">
        <f>'Annual Raw'!S67+'Annual Raw'!S66+'Annual Raw'!S69+'Annual Raw'!S70</f>
        <v>462.9</v>
      </c>
      <c r="S152" s="23">
        <f>'Annual Raw'!T67+'Annual Raw'!T66+'Annual Raw'!T69+'Annual Raw'!T70</f>
        <v>423.21</v>
      </c>
      <c r="T152" s="23">
        <f>'Annual Raw'!U67+'Annual Raw'!U66+'Annual Raw'!U69+'Annual Raw'!U70</f>
        <v>479.31</v>
      </c>
      <c r="U152" s="23">
        <f>'Annual Raw'!V67+'Annual Raw'!V66+'Annual Raw'!V69+'Annual Raw'!V70</f>
        <v>576.61</v>
      </c>
      <c r="V152" s="23">
        <f>'Annual Raw'!W67+'Annual Raw'!W66+'Annual Raw'!W69+'Annual Raw'!W70</f>
        <v>743.9</v>
      </c>
      <c r="W152" s="23">
        <f>'Annual Raw'!X67+'Annual Raw'!X66+'Annual Raw'!X69+'Annual Raw'!X70</f>
        <v>544.34</v>
      </c>
      <c r="X152" s="23">
        <f>'Annual Raw'!Y67+'Annual Raw'!Y66+'Annual Raw'!Y69+'Annual Raw'!Y70</f>
        <v>688.24</v>
      </c>
      <c r="Y152" s="23">
        <f>'Annual Raw'!Z67+'Annual Raw'!Z66+'Annual Raw'!Z69+'Annual Raw'!Z70</f>
        <v>280.8</v>
      </c>
      <c r="Z152" s="23">
        <f>'Annual Raw'!AA67+'Annual Raw'!AA66+'Annual Raw'!AA69+'Annual Raw'!AA70</f>
        <v>367.26</v>
      </c>
      <c r="AA152" s="23">
        <f>'Annual Raw'!AB67+'Annual Raw'!AB66+'Annual Raw'!AB69+'Annual Raw'!AB70</f>
        <v>470.59000000000003</v>
      </c>
      <c r="AB152" s="24">
        <f t="shared" si="1147"/>
        <v>457</v>
      </c>
      <c r="AC152" s="24">
        <f t="shared" si="1148"/>
        <v>457</v>
      </c>
      <c r="AD152" s="24">
        <f t="shared" si="1149"/>
        <v>457</v>
      </c>
      <c r="AE152" s="24">
        <f t="shared" si="1150"/>
        <v>457</v>
      </c>
      <c r="AJ152" s="23">
        <f>+'QTR Raw'!D74+'QTR Raw'!D75</f>
        <v>0</v>
      </c>
      <c r="AK152" s="23">
        <f t="shared" si="1166"/>
        <v>0</v>
      </c>
      <c r="AL152" s="23">
        <f>+'QTR Raw'!F74+'QTR Raw'!F75</f>
        <v>0</v>
      </c>
      <c r="AM152" s="23">
        <f t="shared" si="1166"/>
        <v>0</v>
      </c>
      <c r="AN152" s="23">
        <f>+'QTR Raw'!H74+'QTR Raw'!H75</f>
        <v>0</v>
      </c>
      <c r="AO152" s="23">
        <f t="shared" si="1166"/>
        <v>0</v>
      </c>
      <c r="AP152" s="23">
        <f>+'QTR Raw'!J74+'QTR Raw'!J75</f>
        <v>0</v>
      </c>
      <c r="AQ152" s="23">
        <f t="shared" si="1166"/>
        <v>0</v>
      </c>
      <c r="AR152" s="23">
        <f>+'QTR Raw'!L74+'QTR Raw'!L75</f>
        <v>0</v>
      </c>
      <c r="AS152" s="23">
        <f t="shared" si="1166"/>
        <v>0</v>
      </c>
      <c r="AT152" s="23">
        <f>+'QTR Raw'!N74+'QTR Raw'!N75</f>
        <v>0</v>
      </c>
      <c r="AU152" s="23">
        <f t="shared" si="1166"/>
        <v>0</v>
      </c>
      <c r="AV152" s="23">
        <f>+'QTR Raw'!P74+'QTR Raw'!P75</f>
        <v>0</v>
      </c>
      <c r="AW152" s="23">
        <f t="shared" si="1166"/>
        <v>0</v>
      </c>
      <c r="AX152" s="23">
        <f>+'QTR Raw'!R74+'QTR Raw'!R75</f>
        <v>1042</v>
      </c>
      <c r="AY152" s="23">
        <f t="shared" si="1166"/>
        <v>1042</v>
      </c>
      <c r="AZ152" s="23">
        <f>+'QTR Raw'!T74+'QTR Raw'!T75</f>
        <v>781</v>
      </c>
      <c r="BA152" s="23">
        <f t="shared" si="1166"/>
        <v>781</v>
      </c>
      <c r="BB152" s="23">
        <f>+'QTR Raw'!V74+'QTR Raw'!V75</f>
        <v>463</v>
      </c>
      <c r="BC152" s="23">
        <f t="shared" si="1166"/>
        <v>463</v>
      </c>
      <c r="BD152" s="23">
        <f>+'QTR Raw'!X74+'QTR Raw'!X75</f>
        <v>509</v>
      </c>
      <c r="BE152" s="23">
        <f t="shared" si="1166"/>
        <v>509</v>
      </c>
      <c r="BF152" s="23">
        <f>+'QTR Raw'!Z74+'QTR Raw'!Z75</f>
        <v>423</v>
      </c>
      <c r="BG152" s="23">
        <f t="shared" si="1166"/>
        <v>423</v>
      </c>
      <c r="BH152" s="23">
        <f>+'QTR Raw'!AB74+'QTR Raw'!AB75</f>
        <v>449</v>
      </c>
      <c r="BI152" s="23">
        <f t="shared" si="1166"/>
        <v>449</v>
      </c>
      <c r="BJ152" s="23">
        <f>+'QTR Raw'!AD74+'QTR Raw'!AD75</f>
        <v>479</v>
      </c>
      <c r="BK152" s="23">
        <f t="shared" si="1166"/>
        <v>479</v>
      </c>
      <c r="BL152" s="23">
        <f>+'QTR Raw'!AF74+'QTR Raw'!AF75</f>
        <v>525</v>
      </c>
      <c r="BM152" s="23">
        <f t="shared" si="1166"/>
        <v>525</v>
      </c>
      <c r="BN152" s="23">
        <f>+'QTR Raw'!AH74+'QTR Raw'!AH75</f>
        <v>577</v>
      </c>
      <c r="BO152" s="23">
        <f t="shared" si="1166"/>
        <v>577</v>
      </c>
      <c r="BP152" s="23">
        <f>+'QTR Raw'!AJ74+'QTR Raw'!AJ75</f>
        <v>687</v>
      </c>
      <c r="BQ152" s="23">
        <f t="shared" si="1166"/>
        <v>687</v>
      </c>
      <c r="BR152" s="23">
        <f>+'QTR Raw'!AL74+'QTR Raw'!AL75</f>
        <v>744</v>
      </c>
      <c r="BS152" s="23">
        <f t="shared" si="1166"/>
        <v>744</v>
      </c>
      <c r="BT152" s="23">
        <f>+'QTR Raw'!AN74+'QTR Raw'!AN75</f>
        <v>532</v>
      </c>
      <c r="BU152" s="23">
        <f t="shared" si="1166"/>
        <v>532</v>
      </c>
      <c r="BV152" s="23">
        <f>+'QTR Raw'!AP74+'QTR Raw'!AP75</f>
        <v>544</v>
      </c>
      <c r="BW152" s="23">
        <f t="shared" si="1166"/>
        <v>544</v>
      </c>
      <c r="BX152" s="23">
        <f>+'QTR Raw'!AR74+'QTR Raw'!AR75</f>
        <v>609</v>
      </c>
      <c r="BY152" s="23">
        <f t="shared" si="1166"/>
        <v>609</v>
      </c>
      <c r="BZ152" s="23">
        <f>+'QTR Raw'!AT74+'QTR Raw'!AT75</f>
        <v>688</v>
      </c>
      <c r="CA152" s="23">
        <f t="shared" si="1166"/>
        <v>688</v>
      </c>
      <c r="CB152" s="23">
        <f>+'QTR Raw'!AV74+'QTR Raw'!AV75</f>
        <v>263</v>
      </c>
      <c r="CC152" s="23">
        <f t="shared" si="1166"/>
        <v>263</v>
      </c>
      <c r="CD152" s="23">
        <f>+'QTR Raw'!AX74+'QTR Raw'!AX75</f>
        <v>281</v>
      </c>
      <c r="CE152" s="23">
        <f t="shared" si="1166"/>
        <v>281</v>
      </c>
      <c r="CF152" s="23">
        <f>+'QTR Raw'!AZ74+'QTR Raw'!AZ75</f>
        <v>412</v>
      </c>
      <c r="CG152" s="23">
        <f t="shared" si="1164"/>
        <v>412</v>
      </c>
      <c r="CH152" s="23">
        <f t="shared" si="1151"/>
        <v>367.26</v>
      </c>
      <c r="CI152" s="23">
        <f t="shared" si="1164"/>
        <v>367.26</v>
      </c>
      <c r="CJ152" s="23">
        <f>+'QTR Raw'!BD74+'QTR Raw'!BD75</f>
        <v>488</v>
      </c>
      <c r="CK152" s="23">
        <f t="shared" si="1167"/>
        <v>488</v>
      </c>
      <c r="CL152" s="23">
        <f>+'QTR Raw'!BF74+'QTR Raw'!BF75</f>
        <v>457</v>
      </c>
      <c r="CM152" s="24">
        <f t="shared" si="1168"/>
        <v>457</v>
      </c>
      <c r="CN152" s="24">
        <f t="shared" si="1169"/>
        <v>457</v>
      </c>
      <c r="CO152" s="24">
        <f t="shared" si="1170"/>
        <v>457</v>
      </c>
      <c r="CP152" s="24">
        <f t="shared" si="1171"/>
        <v>457</v>
      </c>
      <c r="CQ152" s="24">
        <f t="shared" si="1172"/>
        <v>457</v>
      </c>
      <c r="CR152" s="24">
        <f t="shared" si="1173"/>
        <v>457</v>
      </c>
      <c r="CS152" s="24">
        <f t="shared" si="1174"/>
        <v>457</v>
      </c>
      <c r="CT152" s="24">
        <f t="shared" si="1175"/>
        <v>457</v>
      </c>
      <c r="CU152" s="24">
        <f t="shared" si="1176"/>
        <v>457</v>
      </c>
      <c r="CV152" s="24">
        <f t="shared" si="1177"/>
        <v>457</v>
      </c>
      <c r="CW152" s="24">
        <f t="shared" si="1178"/>
        <v>457</v>
      </c>
      <c r="CX152" s="24">
        <f t="shared" si="1179"/>
        <v>457</v>
      </c>
      <c r="CY152" s="24">
        <f t="shared" si="1180"/>
        <v>457</v>
      </c>
      <c r="CZ152" s="24">
        <f t="shared" si="1181"/>
        <v>457</v>
      </c>
      <c r="DA152" s="24">
        <f t="shared" si="1182"/>
        <v>457</v>
      </c>
      <c r="DB152" s="24">
        <f t="shared" si="1183"/>
        <v>457</v>
      </c>
      <c r="DE152" s="123"/>
      <c r="DF152" s="23">
        <v>488</v>
      </c>
    </row>
    <row r="153" spans="1:110" s="22" customFormat="1" x14ac:dyDescent="0.2">
      <c r="A153" s="22" t="s">
        <v>57</v>
      </c>
      <c r="B153" s="22">
        <f>B149+B152+B151</f>
        <v>173.70750000000004</v>
      </c>
      <c r="C153" s="22">
        <f t="shared" ref="C153:D153" si="1184">C149+C152+C151</f>
        <v>177.45869999999999</v>
      </c>
      <c r="D153" s="22">
        <f t="shared" si="1184"/>
        <v>185.31209999999999</v>
      </c>
      <c r="E153" s="22">
        <f t="shared" ref="E153:Y153" si="1185">E149+E152+E151+E150</f>
        <v>211.0461</v>
      </c>
      <c r="F153" s="22">
        <f t="shared" si="1185"/>
        <v>298.27809999999999</v>
      </c>
      <c r="G153" s="22">
        <f t="shared" si="1185"/>
        <v>405.85179999999997</v>
      </c>
      <c r="H153" s="22">
        <f t="shared" si="1185"/>
        <v>467.91489999999999</v>
      </c>
      <c r="I153" s="22">
        <f t="shared" si="1185"/>
        <v>552.00929999999994</v>
      </c>
      <c r="J153" s="22">
        <f t="shared" si="1185"/>
        <v>564.67750000000001</v>
      </c>
      <c r="K153" s="22">
        <f t="shared" si="1185"/>
        <v>650.9701</v>
      </c>
      <c r="L153" s="22">
        <f t="shared" si="1185"/>
        <v>815.42669999999998</v>
      </c>
      <c r="M153" s="22">
        <f t="shared" si="1185"/>
        <v>915.6400000000001</v>
      </c>
      <c r="N153" s="22">
        <f t="shared" si="1185"/>
        <v>1105.1000000000001</v>
      </c>
      <c r="O153" s="22">
        <f t="shared" si="1185"/>
        <v>1409.4499999999998</v>
      </c>
      <c r="P153" s="22">
        <f t="shared" si="1185"/>
        <v>3510.99</v>
      </c>
      <c r="Q153" s="22">
        <f t="shared" si="1185"/>
        <v>3900.66</v>
      </c>
      <c r="R153" s="22">
        <f t="shared" si="1185"/>
        <v>4207.93</v>
      </c>
      <c r="S153" s="22">
        <f t="shared" si="1185"/>
        <v>8501.619999999999</v>
      </c>
      <c r="T153" s="22">
        <f t="shared" si="1185"/>
        <v>8364.8300000000017</v>
      </c>
      <c r="U153" s="22">
        <f t="shared" si="1185"/>
        <v>8245.0499999999975</v>
      </c>
      <c r="V153" s="22">
        <f t="shared" si="1185"/>
        <v>7954.01</v>
      </c>
      <c r="W153" s="22">
        <f t="shared" si="1185"/>
        <v>7052.4700000000012</v>
      </c>
      <c r="X153" s="22">
        <f t="shared" si="1185"/>
        <v>8886.85</v>
      </c>
      <c r="Y153" s="22">
        <f t="shared" si="1185"/>
        <v>8498.619999999999</v>
      </c>
      <c r="Z153" s="22">
        <f>Z149+Z152+Z151+Z150</f>
        <v>8425.0400000000009</v>
      </c>
      <c r="AA153" s="22">
        <f>AA149+AA152+AA151+AA150</f>
        <v>33832.300000000003</v>
      </c>
      <c r="AB153" s="161">
        <f t="shared" ref="AB153:AE153" si="1186">AB149+AB152+AB151+AB150</f>
        <v>33707.139518980097</v>
      </c>
      <c r="AC153" s="161">
        <f t="shared" si="1186"/>
        <v>34221.96862593315</v>
      </c>
      <c r="AD153" s="161">
        <f t="shared" si="1186"/>
        <v>34704.631046329239</v>
      </c>
      <c r="AE153" s="161">
        <f t="shared" si="1186"/>
        <v>35157.136564988374</v>
      </c>
      <c r="AJ153" s="22">
        <f t="shared" ref="AJ153" si="1187">AJ149+AJ152+AJ150+AJ151</f>
        <v>1021.46</v>
      </c>
      <c r="AK153" s="22">
        <f t="shared" ref="AK153" si="1188">AK149+AK152+AK150+AK151</f>
        <v>1021.46</v>
      </c>
      <c r="AL153" s="22">
        <f t="shared" ref="AL153:AM153" si="1189">AL149+AL152+AL150+AL151</f>
        <v>1105</v>
      </c>
      <c r="AM153" s="22">
        <f t="shared" si="1189"/>
        <v>1105</v>
      </c>
      <c r="AN153" s="22">
        <f t="shared" ref="AN153:AO153" si="1190">AN149+AN152+AN150+AN151</f>
        <v>1276</v>
      </c>
      <c r="AO153" s="22">
        <f t="shared" si="1190"/>
        <v>1276</v>
      </c>
      <c r="AP153" s="22">
        <f t="shared" ref="AP153:CE153" si="1191">AP149+AP152+AP150+AP151</f>
        <v>1409</v>
      </c>
      <c r="AQ153" s="22">
        <f t="shared" si="1191"/>
        <v>1409</v>
      </c>
      <c r="AR153" s="22">
        <f t="shared" si="1191"/>
        <v>3484</v>
      </c>
      <c r="AS153" s="22">
        <f t="shared" si="1191"/>
        <v>3484</v>
      </c>
      <c r="AT153" s="22">
        <f t="shared" si="1191"/>
        <v>3511</v>
      </c>
      <c r="AU153" s="22">
        <f t="shared" si="1191"/>
        <v>3511</v>
      </c>
      <c r="AV153" s="22">
        <f t="shared" si="1191"/>
        <v>3916</v>
      </c>
      <c r="AW153" s="22">
        <f t="shared" si="1191"/>
        <v>3916</v>
      </c>
      <c r="AX153" s="22">
        <f t="shared" si="1191"/>
        <v>3901</v>
      </c>
      <c r="AY153" s="22">
        <f t="shared" si="1191"/>
        <v>3901</v>
      </c>
      <c r="AZ153" s="22">
        <f t="shared" si="1191"/>
        <v>4091</v>
      </c>
      <c r="BA153" s="22">
        <f t="shared" si="1191"/>
        <v>4091</v>
      </c>
      <c r="BB153" s="22">
        <f t="shared" si="1191"/>
        <v>4208</v>
      </c>
      <c r="BC153" s="22">
        <f t="shared" si="1191"/>
        <v>4208</v>
      </c>
      <c r="BD153" s="22">
        <f t="shared" si="1191"/>
        <v>4420</v>
      </c>
      <c r="BE153" s="22">
        <f t="shared" si="1191"/>
        <v>4420</v>
      </c>
      <c r="BF153" s="22">
        <f t="shared" si="1191"/>
        <v>8502</v>
      </c>
      <c r="BG153" s="22">
        <f t="shared" si="1191"/>
        <v>8502</v>
      </c>
      <c r="BH153" s="22">
        <f t="shared" si="1191"/>
        <v>8392</v>
      </c>
      <c r="BI153" s="22">
        <f t="shared" si="1191"/>
        <v>8392</v>
      </c>
      <c r="BJ153" s="22">
        <f t="shared" si="1191"/>
        <v>8365</v>
      </c>
      <c r="BK153" s="22">
        <f t="shared" si="1191"/>
        <v>8365</v>
      </c>
      <c r="BL153" s="22">
        <f t="shared" si="1191"/>
        <v>8162</v>
      </c>
      <c r="BM153" s="22">
        <f t="shared" si="1191"/>
        <v>8162</v>
      </c>
      <c r="BN153" s="22">
        <f t="shared" si="1191"/>
        <v>8110</v>
      </c>
      <c r="BO153" s="22">
        <f t="shared" si="1191"/>
        <v>8110</v>
      </c>
      <c r="BP153" s="22">
        <f t="shared" si="1191"/>
        <v>7961</v>
      </c>
      <c r="BQ153" s="22">
        <f t="shared" si="1191"/>
        <v>7961</v>
      </c>
      <c r="BR153" s="22">
        <f t="shared" si="1191"/>
        <v>7828</v>
      </c>
      <c r="BS153" s="22">
        <f t="shared" si="1191"/>
        <v>7828</v>
      </c>
      <c r="BT153" s="22">
        <f t="shared" si="1191"/>
        <v>7639</v>
      </c>
      <c r="BU153" s="22">
        <f t="shared" si="1191"/>
        <v>7639</v>
      </c>
      <c r="BV153" s="22">
        <f t="shared" si="1191"/>
        <v>6924</v>
      </c>
      <c r="BW153" s="22">
        <f t="shared" si="1191"/>
        <v>6924</v>
      </c>
      <c r="BX153" s="22">
        <f t="shared" si="1191"/>
        <v>6967</v>
      </c>
      <c r="BY153" s="22">
        <f t="shared" si="1191"/>
        <v>6967</v>
      </c>
      <c r="BZ153" s="22">
        <f t="shared" si="1191"/>
        <v>8742</v>
      </c>
      <c r="CA153" s="22">
        <f t="shared" si="1191"/>
        <v>8742</v>
      </c>
      <c r="CB153" s="22">
        <f t="shared" si="1191"/>
        <v>8486</v>
      </c>
      <c r="CC153" s="22">
        <f t="shared" si="1191"/>
        <v>8486</v>
      </c>
      <c r="CD153" s="22">
        <f t="shared" si="1191"/>
        <v>8341</v>
      </c>
      <c r="CE153" s="22">
        <f t="shared" si="1191"/>
        <v>8341</v>
      </c>
      <c r="CF153" s="22">
        <f t="shared" ref="CF153:CG153" si="1192">CF149+CF152+CF150+CF151</f>
        <v>8152</v>
      </c>
      <c r="CG153" s="22">
        <f t="shared" si="1192"/>
        <v>8152</v>
      </c>
      <c r="CH153" s="22">
        <f t="shared" ref="CH153:CJ153" si="1193">CH149+CH152+CH150+CH151</f>
        <v>8425.0400000000009</v>
      </c>
      <c r="CI153" s="22">
        <f t="shared" si="1193"/>
        <v>8224.0400000000009</v>
      </c>
      <c r="CJ153" s="22">
        <f t="shared" si="1193"/>
        <v>8036</v>
      </c>
      <c r="CK153" s="22">
        <f t="shared" ref="CK153:DB153" si="1194">CK149+CK152+CK150+CK151</f>
        <v>7929.9999999999991</v>
      </c>
      <c r="CL153" s="22">
        <f t="shared" si="1194"/>
        <v>33158</v>
      </c>
      <c r="CM153" s="21">
        <f t="shared" si="1194"/>
        <v>33298.624000000003</v>
      </c>
      <c r="CN153" s="21">
        <f t="shared" si="1194"/>
        <v>33436.998015999998</v>
      </c>
      <c r="CO153" s="21">
        <f t="shared" si="1194"/>
        <v>33573.158047744</v>
      </c>
      <c r="CP153" s="21">
        <f t="shared" si="1194"/>
        <v>33707.139518980097</v>
      </c>
      <c r="CQ153" s="21">
        <f t="shared" si="1194"/>
        <v>33838.977286676418</v>
      </c>
      <c r="CR153" s="21">
        <f t="shared" si="1194"/>
        <v>33968.7056500896</v>
      </c>
      <c r="CS153" s="21">
        <f t="shared" si="1194"/>
        <v>34096.358359688165</v>
      </c>
      <c r="CT153" s="21">
        <f t="shared" si="1194"/>
        <v>34221.96862593315</v>
      </c>
      <c r="CU153" s="21">
        <f t="shared" si="1194"/>
        <v>34345.569127918221</v>
      </c>
      <c r="CV153" s="21">
        <f t="shared" si="1194"/>
        <v>34467.192021871531</v>
      </c>
      <c r="CW153" s="21">
        <f t="shared" si="1194"/>
        <v>34586.868949521588</v>
      </c>
      <c r="CX153" s="21">
        <f t="shared" si="1194"/>
        <v>34704.631046329239</v>
      </c>
      <c r="CY153" s="21">
        <f t="shared" si="1194"/>
        <v>34820.508949587973</v>
      </c>
      <c r="CZ153" s="21">
        <f t="shared" si="1194"/>
        <v>34934.532806394564</v>
      </c>
      <c r="DA153" s="21">
        <f t="shared" si="1194"/>
        <v>35046.732281492252</v>
      </c>
      <c r="DB153" s="21">
        <f t="shared" si="1194"/>
        <v>35157.136564988374</v>
      </c>
      <c r="DE153" s="126"/>
      <c r="DF153" s="22">
        <v>8027.0294117647054</v>
      </c>
    </row>
    <row r="154" spans="1:110" s="23" customFormat="1" x14ac:dyDescent="0.2">
      <c r="AB154" s="24"/>
      <c r="AC154" s="24"/>
      <c r="AD154" s="24"/>
      <c r="AE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x14ac:dyDescent="0.2">
      <c r="A155" s="23" t="s">
        <v>58</v>
      </c>
      <c r="B155" s="23">
        <f>'Annual Raw'!C71</f>
        <v>45.471800000000002</v>
      </c>
      <c r="C155" s="23">
        <f>'Annual Raw'!D71</f>
        <v>1.3476999999999999</v>
      </c>
      <c r="D155" s="23">
        <f>'Annual Raw'!E71</f>
        <v>1.8083</v>
      </c>
      <c r="E155" s="23">
        <f>'Annual Raw'!F71</f>
        <v>0.122800000000002</v>
      </c>
      <c r="F155" s="23">
        <f>'Annual Raw'!G71</f>
        <v>0.23129999999999201</v>
      </c>
      <c r="G155" s="23">
        <f>'Annual Raw'!H71</f>
        <v>0.2271</v>
      </c>
      <c r="H155" s="23">
        <f>'Annual Raw'!I71</f>
        <v>0.20349999999999999</v>
      </c>
      <c r="I155" s="23">
        <f>'Annual Raw'!J71</f>
        <v>19.133400000000002</v>
      </c>
      <c r="J155" s="23">
        <f>'Annual Raw'!K71</f>
        <v>19.0459</v>
      </c>
      <c r="K155" s="23">
        <f>'Annual Raw'!L71</f>
        <v>19.0459</v>
      </c>
      <c r="L155" s="23">
        <f>'Annual Raw'!M71</f>
        <v>19.999199999999998</v>
      </c>
      <c r="M155" s="23">
        <f>'Annual Raw'!N71</f>
        <v>37.520000000000003</v>
      </c>
      <c r="N155" s="23">
        <f>'Annual Raw'!O71</f>
        <v>0.03</v>
      </c>
      <c r="O155" s="23">
        <f>'Annual Raw'!P71</f>
        <v>0.03</v>
      </c>
      <c r="P155" s="23">
        <f>'Annual Raw'!Q71</f>
        <v>0.06</v>
      </c>
      <c r="Q155" s="23">
        <f>'Annual Raw'!R71</f>
        <v>0.09</v>
      </c>
      <c r="R155" s="23">
        <f>'Annual Raw'!S71</f>
        <v>0.09</v>
      </c>
      <c r="S155" s="23">
        <f>'Annual Raw'!T71</f>
        <v>0.09</v>
      </c>
      <c r="T155" s="23">
        <f>'Annual Raw'!U71</f>
        <v>2.09</v>
      </c>
      <c r="U155" s="23">
        <f>'Annual Raw'!V71</f>
        <v>2.09</v>
      </c>
      <c r="V155" s="23">
        <f>'Annual Raw'!W71</f>
        <v>42.09</v>
      </c>
      <c r="W155" s="23">
        <f>'Annual Raw'!X71</f>
        <v>42.33</v>
      </c>
      <c r="X155" s="23">
        <f>'Annual Raw'!Y71</f>
        <v>42.7</v>
      </c>
      <c r="Y155" s="23">
        <f>'Annual Raw'!Z71</f>
        <v>31.8</v>
      </c>
      <c r="Z155" s="23">
        <f>'Annual Raw'!AA71</f>
        <v>43.57</v>
      </c>
      <c r="AA155" s="23">
        <f>'Annual Raw'!AB71</f>
        <v>82.62</v>
      </c>
      <c r="AB155" s="24">
        <f>+CP155</f>
        <v>96</v>
      </c>
      <c r="AC155" s="24">
        <f>+CT155</f>
        <v>96</v>
      </c>
      <c r="AD155" s="24">
        <f>+CX155</f>
        <v>96</v>
      </c>
      <c r="AE155" s="24">
        <f>+DB155</f>
        <v>96</v>
      </c>
      <c r="AJ155" s="23">
        <f>+'QTR Raw'!D77</f>
        <v>37.520000000000003</v>
      </c>
      <c r="AK155" s="23">
        <f t="shared" ref="AK155:CE155" si="1195">+AJ155</f>
        <v>37.520000000000003</v>
      </c>
      <c r="AL155" s="23">
        <f>+'QTR Raw'!F77</f>
        <v>0</v>
      </c>
      <c r="AM155" s="23">
        <f t="shared" si="1195"/>
        <v>0</v>
      </c>
      <c r="AN155" s="23">
        <f>+'QTR Raw'!H77</f>
        <v>0</v>
      </c>
      <c r="AO155" s="23">
        <f t="shared" si="1195"/>
        <v>0</v>
      </c>
      <c r="AP155" s="23">
        <f>+'QTR Raw'!J77</f>
        <v>0</v>
      </c>
      <c r="AQ155" s="23">
        <f t="shared" si="1195"/>
        <v>0</v>
      </c>
      <c r="AR155" s="23">
        <f>+'QTR Raw'!L77</f>
        <v>0</v>
      </c>
      <c r="AS155" s="23">
        <f t="shared" si="1195"/>
        <v>0</v>
      </c>
      <c r="AT155" s="23">
        <f>+'QTR Raw'!N77</f>
        <v>0</v>
      </c>
      <c r="AU155" s="23">
        <f t="shared" si="1195"/>
        <v>0</v>
      </c>
      <c r="AV155" s="23">
        <f>+'QTR Raw'!P77</f>
        <v>0</v>
      </c>
      <c r="AW155" s="23">
        <f t="shared" si="1195"/>
        <v>0</v>
      </c>
      <c r="AX155" s="23">
        <f>+'QTR Raw'!R77</f>
        <v>0</v>
      </c>
      <c r="AY155" s="23">
        <f t="shared" si="1195"/>
        <v>0</v>
      </c>
      <c r="AZ155" s="23">
        <f>+'QTR Raw'!T77</f>
        <v>0</v>
      </c>
      <c r="BA155" s="23">
        <f t="shared" si="1195"/>
        <v>0</v>
      </c>
      <c r="BB155" s="23">
        <f>+'QTR Raw'!V77</f>
        <v>0</v>
      </c>
      <c r="BC155" s="23">
        <f t="shared" si="1195"/>
        <v>0</v>
      </c>
      <c r="BD155" s="23">
        <f>+'QTR Raw'!X77</f>
        <v>0</v>
      </c>
      <c r="BE155" s="23">
        <f t="shared" si="1195"/>
        <v>0</v>
      </c>
      <c r="BF155" s="23">
        <f>+'QTR Raw'!Z77</f>
        <v>0</v>
      </c>
      <c r="BG155" s="23">
        <f t="shared" si="1195"/>
        <v>0</v>
      </c>
      <c r="BH155" s="23">
        <f>+'QTR Raw'!AB77</f>
        <v>2</v>
      </c>
      <c r="BI155" s="23">
        <f t="shared" si="1195"/>
        <v>2</v>
      </c>
      <c r="BJ155" s="23">
        <f>+'QTR Raw'!AD77</f>
        <v>2</v>
      </c>
      <c r="BK155" s="23">
        <f t="shared" si="1195"/>
        <v>2</v>
      </c>
      <c r="BL155" s="23">
        <f>+'QTR Raw'!AF77</f>
        <v>2</v>
      </c>
      <c r="BM155" s="23">
        <f t="shared" si="1195"/>
        <v>2</v>
      </c>
      <c r="BN155" s="23">
        <f>+'QTR Raw'!AH77</f>
        <v>2</v>
      </c>
      <c r="BO155" s="23">
        <f t="shared" si="1195"/>
        <v>2</v>
      </c>
      <c r="BP155" s="23">
        <f>+'QTR Raw'!AJ77</f>
        <v>2</v>
      </c>
      <c r="BQ155" s="23">
        <f t="shared" si="1195"/>
        <v>2</v>
      </c>
      <c r="BR155" s="23">
        <f>+'QTR Raw'!AL77</f>
        <v>42</v>
      </c>
      <c r="BS155" s="23">
        <f t="shared" si="1195"/>
        <v>42</v>
      </c>
      <c r="BT155" s="23">
        <f>+'QTR Raw'!AN77</f>
        <v>42</v>
      </c>
      <c r="BU155" s="23">
        <f t="shared" si="1195"/>
        <v>42</v>
      </c>
      <c r="BV155" s="23">
        <f>+'QTR Raw'!AP77</f>
        <v>42</v>
      </c>
      <c r="BW155" s="23">
        <f t="shared" si="1195"/>
        <v>42</v>
      </c>
      <c r="BX155" s="23">
        <f>+'QTR Raw'!AR77</f>
        <v>42</v>
      </c>
      <c r="BY155" s="23">
        <f t="shared" si="1195"/>
        <v>42</v>
      </c>
      <c r="BZ155" s="23">
        <f>+'QTR Raw'!AT77</f>
        <v>43</v>
      </c>
      <c r="CA155" s="23">
        <f t="shared" si="1195"/>
        <v>43</v>
      </c>
      <c r="CB155" s="23">
        <f>+'QTR Raw'!AV77</f>
        <v>43</v>
      </c>
      <c r="CC155" s="23">
        <f t="shared" si="1195"/>
        <v>43</v>
      </c>
      <c r="CD155" s="23">
        <f>+'QTR Raw'!AX77</f>
        <v>32</v>
      </c>
      <c r="CE155" s="23">
        <f t="shared" si="1195"/>
        <v>32</v>
      </c>
      <c r="CF155" s="23">
        <f>+'QTR Raw'!AZ77</f>
        <v>42</v>
      </c>
      <c r="CG155" s="23">
        <f t="shared" ref="CG155:CI158" si="1196">+CF155</f>
        <v>42</v>
      </c>
      <c r="CH155" s="23">
        <f t="shared" ref="CH155:CH170" si="1197">Z155</f>
        <v>43.57</v>
      </c>
      <c r="CI155" s="23">
        <f t="shared" si="1196"/>
        <v>43.57</v>
      </c>
      <c r="CJ155" s="23">
        <f>+'QTR Raw'!BD77</f>
        <v>44</v>
      </c>
      <c r="CK155" s="23">
        <f t="shared" ref="CK155" si="1198">+CJ155</f>
        <v>44</v>
      </c>
      <c r="CL155" s="23">
        <f>+'QTR Raw'!BF77</f>
        <v>96</v>
      </c>
      <c r="CM155" s="24">
        <f t="shared" ref="CM155" si="1199">+CL155</f>
        <v>96</v>
      </c>
      <c r="CN155" s="24">
        <f t="shared" ref="CN155" si="1200">+CM155</f>
        <v>96</v>
      </c>
      <c r="CO155" s="24">
        <f t="shared" ref="CO155" si="1201">+CN155</f>
        <v>96</v>
      </c>
      <c r="CP155" s="24">
        <f t="shared" ref="CP155" si="1202">+CO155</f>
        <v>96</v>
      </c>
      <c r="CQ155" s="24">
        <f t="shared" ref="CQ155" si="1203">+CP155</f>
        <v>96</v>
      </c>
      <c r="CR155" s="24">
        <f t="shared" ref="CR155" si="1204">+CQ155</f>
        <v>96</v>
      </c>
      <c r="CS155" s="24">
        <f t="shared" ref="CS155" si="1205">+CR155</f>
        <v>96</v>
      </c>
      <c r="CT155" s="24">
        <f t="shared" ref="CT155" si="1206">+CS155</f>
        <v>96</v>
      </c>
      <c r="CU155" s="24">
        <f t="shared" ref="CU155" si="1207">+CT155</f>
        <v>96</v>
      </c>
      <c r="CV155" s="24">
        <f t="shared" ref="CV155" si="1208">+CU155</f>
        <v>96</v>
      </c>
      <c r="CW155" s="24">
        <f t="shared" ref="CW155" si="1209">+CV155</f>
        <v>96</v>
      </c>
      <c r="CX155" s="24">
        <f t="shared" ref="CX155" si="1210">+CW155</f>
        <v>96</v>
      </c>
      <c r="CY155" s="24">
        <f t="shared" ref="CY155" si="1211">+CX155</f>
        <v>96</v>
      </c>
      <c r="CZ155" s="24">
        <f t="shared" ref="CZ155" si="1212">+CY155</f>
        <v>96</v>
      </c>
      <c r="DA155" s="24">
        <f t="shared" ref="DA155" si="1213">+CZ155</f>
        <v>96</v>
      </c>
      <c r="DB155" s="24">
        <f t="shared" ref="DB155" si="1214">+DA155</f>
        <v>96</v>
      </c>
      <c r="DE155" s="123"/>
      <c r="DF155" s="23">
        <v>44</v>
      </c>
    </row>
    <row r="156" spans="1:110" s="23" customFormat="1" x14ac:dyDescent="0.2">
      <c r="AB156" s="24"/>
      <c r="AC156" s="24"/>
      <c r="AD156" s="24"/>
      <c r="AE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</row>
    <row r="157" spans="1:110" s="23" customFormat="1" outlineLevel="1" x14ac:dyDescent="0.2">
      <c r="A157" s="23" t="s">
        <v>59</v>
      </c>
      <c r="B157" s="23">
        <f>'Annual Raw'!C72</f>
        <v>0</v>
      </c>
      <c r="C157" s="23">
        <f>'Annual Raw'!D72</f>
        <v>0</v>
      </c>
      <c r="D157" s="23">
        <f>'Annual Raw'!E72</f>
        <v>0</v>
      </c>
      <c r="E157" s="23">
        <f>'Annual Raw'!F72+'Annual Raw'!F61</f>
        <v>0</v>
      </c>
      <c r="F157" s="23">
        <f>'Annual Raw'!G72+'Annual Raw'!G61</f>
        <v>0</v>
      </c>
      <c r="G157" s="23">
        <f>'Annual Raw'!H72+'Annual Raw'!H61</f>
        <v>0</v>
      </c>
      <c r="H157" s="23">
        <f>'Annual Raw'!I72+'Annual Raw'!I61</f>
        <v>0</v>
      </c>
      <c r="I157" s="23">
        <f>'Annual Raw'!J72+'Annual Raw'!J61</f>
        <v>0</v>
      </c>
      <c r="J157" s="23">
        <f>'Annual Raw'!K72+'Annual Raw'!K61</f>
        <v>0</v>
      </c>
      <c r="K157" s="23">
        <f>'Annual Raw'!L72+'Annual Raw'!L61</f>
        <v>0</v>
      </c>
      <c r="L157" s="23">
        <f>'Annual Raw'!M72+'Annual Raw'!M61</f>
        <v>59.508800000000001</v>
      </c>
      <c r="M157" s="23">
        <f>'Annual Raw'!N72+'Annual Raw'!N61</f>
        <v>61.37</v>
      </c>
      <c r="N157" s="23">
        <f>'Annual Raw'!O72+'Annual Raw'!O61</f>
        <v>62.84</v>
      </c>
      <c r="O157" s="23">
        <f>'Annual Raw'!P72+'Annual Raw'!P61</f>
        <v>129.47</v>
      </c>
      <c r="P157" s="23">
        <f>'Annual Raw'!Q72+'Annual Raw'!Q61</f>
        <v>206.92</v>
      </c>
      <c r="Q157" s="23">
        <f>'Annual Raw'!R72+'Annual Raw'!R61</f>
        <v>99.66</v>
      </c>
      <c r="R157" s="23">
        <f>'Annual Raw'!S72+'Annual Raw'!S61</f>
        <v>182.32</v>
      </c>
      <c r="S157" s="23">
        <f>'Annual Raw'!T72+'Annual Raw'!T61</f>
        <v>130.96</v>
      </c>
      <c r="T157" s="23">
        <f>'Annual Raw'!U72+'Annual Raw'!U61</f>
        <v>150.58000000000001</v>
      </c>
      <c r="U157" s="23">
        <f>'Annual Raw'!V72+'Annual Raw'!V61</f>
        <v>222.19</v>
      </c>
      <c r="V157" s="23">
        <f>'Annual Raw'!W72+'Annual Raw'!W61</f>
        <v>96.84</v>
      </c>
      <c r="W157" s="23">
        <f>'Annual Raw'!X72+'Annual Raw'!X61</f>
        <v>166.55</v>
      </c>
      <c r="X157" s="23">
        <f>'Annual Raw'!Y72+'Annual Raw'!Y61</f>
        <v>181.04</v>
      </c>
      <c r="Y157" s="23">
        <f>'Annual Raw'!Z72+'Annual Raw'!Z61</f>
        <v>349.34</v>
      </c>
      <c r="Z157" s="23">
        <f>'Annual Raw'!AA72+'Annual Raw'!AA61</f>
        <v>294.29000000000002</v>
      </c>
      <c r="AA157" s="23">
        <f>'Annual Raw'!AB72+'Annual Raw'!AB61</f>
        <v>281.33</v>
      </c>
      <c r="AB157" s="24">
        <f t="shared" ref="AB157:AB162" si="1215">+CP157</f>
        <v>0</v>
      </c>
      <c r="AC157" s="24">
        <f t="shared" ref="AC157:AC162" si="1216">+CT157</f>
        <v>0</v>
      </c>
      <c r="AD157" s="24">
        <f t="shared" ref="AD157:AD162" si="1217">+CX157</f>
        <v>0</v>
      </c>
      <c r="AE157" s="24">
        <f t="shared" ref="AE157:AE162" si="1218">+DB157</f>
        <v>0</v>
      </c>
      <c r="AJ157" s="23">
        <f>+'QTR Raw'!D78</f>
        <v>51.92</v>
      </c>
      <c r="AK157" s="23">
        <f t="shared" ref="AK157:CE162" si="1219">+AJ157</f>
        <v>51.92</v>
      </c>
      <c r="AL157" s="23">
        <f>+'QTR Raw'!F78</f>
        <v>63</v>
      </c>
      <c r="AM157" s="23">
        <f t="shared" si="1219"/>
        <v>63</v>
      </c>
      <c r="AN157" s="23">
        <f>+'QTR Raw'!H78</f>
        <v>84</v>
      </c>
      <c r="AO157" s="23">
        <f t="shared" si="1219"/>
        <v>84</v>
      </c>
      <c r="AP157" s="23">
        <f>+'QTR Raw'!J78</f>
        <v>129</v>
      </c>
      <c r="AQ157" s="23">
        <f t="shared" si="1219"/>
        <v>129</v>
      </c>
      <c r="AR157" s="23">
        <f>+'QTR Raw'!L78</f>
        <v>120</v>
      </c>
      <c r="AS157" s="23">
        <f t="shared" si="1219"/>
        <v>120</v>
      </c>
      <c r="AT157" s="23">
        <f>+'QTR Raw'!N78</f>
        <v>207</v>
      </c>
      <c r="AU157" s="23">
        <f t="shared" si="1219"/>
        <v>207</v>
      </c>
      <c r="AV157" s="23">
        <f>+'QTR Raw'!P78</f>
        <v>204</v>
      </c>
      <c r="AW157" s="23">
        <f t="shared" si="1219"/>
        <v>204</v>
      </c>
      <c r="AX157" s="23">
        <f>+'QTR Raw'!R78</f>
        <v>1</v>
      </c>
      <c r="AY157" s="23">
        <f t="shared" si="1219"/>
        <v>1</v>
      </c>
      <c r="AZ157" s="23">
        <f>+'QTR Raw'!T78</f>
        <v>115</v>
      </c>
      <c r="BA157" s="23">
        <f t="shared" si="1219"/>
        <v>115</v>
      </c>
      <c r="BB157" s="23">
        <f>+'QTR Raw'!V78</f>
        <v>2</v>
      </c>
      <c r="BC157" s="23">
        <f t="shared" si="1219"/>
        <v>2</v>
      </c>
      <c r="BD157" s="23">
        <f>+'QTR Raw'!X78</f>
        <v>2</v>
      </c>
      <c r="BE157" s="23">
        <f t="shared" si="1219"/>
        <v>2</v>
      </c>
      <c r="BF157" s="23">
        <f>+'QTR Raw'!Z78</f>
        <v>3</v>
      </c>
      <c r="BG157" s="23">
        <f t="shared" si="1219"/>
        <v>3</v>
      </c>
      <c r="BH157" s="23">
        <f>+'QTR Raw'!AB78</f>
        <v>3</v>
      </c>
      <c r="BI157" s="23">
        <f t="shared" si="1219"/>
        <v>3</v>
      </c>
      <c r="BJ157" s="23">
        <f>+'QTR Raw'!AD78</f>
        <v>3</v>
      </c>
      <c r="BK157" s="23">
        <f t="shared" si="1219"/>
        <v>3</v>
      </c>
      <c r="BL157" s="23">
        <f>+'QTR Raw'!AF78</f>
        <v>2</v>
      </c>
      <c r="BM157" s="23">
        <f t="shared" si="1219"/>
        <v>2</v>
      </c>
      <c r="BN157" s="23">
        <f>+'QTR Raw'!AH78</f>
        <v>2</v>
      </c>
      <c r="BO157" s="23">
        <f t="shared" si="1219"/>
        <v>2</v>
      </c>
      <c r="BP157" s="23">
        <f>+'QTR Raw'!AJ78</f>
        <v>2</v>
      </c>
      <c r="BQ157" s="23">
        <f t="shared" si="1219"/>
        <v>2</v>
      </c>
      <c r="BR157" s="23">
        <f>+'QTR Raw'!AL78</f>
        <v>2</v>
      </c>
      <c r="BS157" s="23">
        <f t="shared" si="1219"/>
        <v>2</v>
      </c>
      <c r="BT157" s="23">
        <f>+'QTR Raw'!AN78</f>
        <v>2</v>
      </c>
      <c r="BU157" s="23">
        <f t="shared" si="1219"/>
        <v>2</v>
      </c>
      <c r="BV157" s="23">
        <f>+'QTR Raw'!AP78</f>
        <v>2</v>
      </c>
      <c r="BW157" s="23">
        <f t="shared" si="1219"/>
        <v>2</v>
      </c>
      <c r="BX157" s="23">
        <f>+'QTR Raw'!AR78</f>
        <v>2</v>
      </c>
      <c r="BY157" s="23">
        <f t="shared" si="1219"/>
        <v>2</v>
      </c>
      <c r="BZ157" s="23">
        <f>+'QTR Raw'!AT78</f>
        <v>2</v>
      </c>
      <c r="CA157" s="23">
        <f t="shared" si="1219"/>
        <v>2</v>
      </c>
      <c r="CB157" s="23">
        <f>+'QTR Raw'!AV78</f>
        <v>2</v>
      </c>
      <c r="CC157" s="23">
        <f t="shared" si="1219"/>
        <v>2</v>
      </c>
      <c r="CD157" s="23">
        <f>+'QTR Raw'!AX78</f>
        <v>3</v>
      </c>
      <c r="CE157" s="23">
        <f t="shared" si="1219"/>
        <v>3</v>
      </c>
      <c r="CF157" s="23">
        <f>+'QTR Raw'!AZ78</f>
        <v>3</v>
      </c>
      <c r="CG157" s="23">
        <f t="shared" si="1196"/>
        <v>3</v>
      </c>
      <c r="CH157" s="23">
        <f t="shared" si="1197"/>
        <v>294.29000000000002</v>
      </c>
      <c r="CJ157" s="23">
        <f>+'QTR Raw'!BD78</f>
        <v>4</v>
      </c>
      <c r="CL157" s="23">
        <f>+'QTR Raw'!BF78</f>
        <v>3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3</v>
      </c>
    </row>
    <row r="158" spans="1:110" s="23" customFormat="1" outlineLevel="1" x14ac:dyDescent="0.2">
      <c r="A158" s="23" t="s">
        <v>60</v>
      </c>
      <c r="B158" s="23">
        <f>'Annual Raw'!C73+'Annual Raw'!C81</f>
        <v>0</v>
      </c>
      <c r="C158" s="23">
        <f>'Annual Raw'!D73+'Annual Raw'!D81</f>
        <v>0</v>
      </c>
      <c r="D158" s="23">
        <f>'Annual Raw'!E73+'Annual Raw'!E81</f>
        <v>0</v>
      </c>
      <c r="E158" s="23">
        <f>'Annual Raw'!F73+'Annual Raw'!F81</f>
        <v>0</v>
      </c>
      <c r="F158" s="23">
        <f>'Annual Raw'!G73+'Annual Raw'!G81</f>
        <v>0</v>
      </c>
      <c r="G158" s="23">
        <f>'Annual Raw'!H73+'Annual Raw'!H81</f>
        <v>0</v>
      </c>
      <c r="H158" s="23">
        <f>'Annual Raw'!I73+'Annual Raw'!I81</f>
        <v>0</v>
      </c>
      <c r="I158" s="23">
        <f>'Annual Raw'!J73+'Annual Raw'!J81</f>
        <v>0</v>
      </c>
      <c r="J158" s="23">
        <f>'Annual Raw'!K73+'Annual Raw'!K81</f>
        <v>0</v>
      </c>
      <c r="K158" s="23">
        <f>'Annual Raw'!L73+'Annual Raw'!L81</f>
        <v>0</v>
      </c>
      <c r="L158" s="23">
        <f>'Annual Raw'!M73+'Annual Raw'!M81</f>
        <v>46.338299999999997</v>
      </c>
      <c r="M158" s="23">
        <f>'Annual Raw'!N73+'Annual Raw'!N81</f>
        <v>46.25</v>
      </c>
      <c r="N158" s="23">
        <f>'Annual Raw'!O73+'Annual Raw'!O81</f>
        <v>23.9</v>
      </c>
      <c r="O158" s="23">
        <f>'Annual Raw'!P73+'Annual Raw'!P81</f>
        <v>60.74</v>
      </c>
      <c r="P158" s="23">
        <f>'Annual Raw'!Q73+'Annual Raw'!Q81</f>
        <v>50.28</v>
      </c>
      <c r="Q158" s="23">
        <f>'Annual Raw'!R73+'Annual Raw'!R81</f>
        <v>86.07</v>
      </c>
      <c r="R158" s="23">
        <f>'Annual Raw'!S73+'Annual Raw'!S81</f>
        <v>122.49000000000001</v>
      </c>
      <c r="S158" s="23">
        <f>'Annual Raw'!T73+'Annual Raw'!T81</f>
        <v>72.31</v>
      </c>
      <c r="T158" s="23">
        <f>'Annual Raw'!U73+'Annual Raw'!U81</f>
        <v>196.04</v>
      </c>
      <c r="U158" s="23">
        <f>'Annual Raw'!V73+'Annual Raw'!V81</f>
        <v>128.14000000000001</v>
      </c>
      <c r="V158" s="23">
        <f>'Annual Raw'!W73+'Annual Raw'!W81</f>
        <v>38.549999999999997</v>
      </c>
      <c r="W158" s="23">
        <f>'Annual Raw'!X73+'Annual Raw'!X81</f>
        <v>179.85</v>
      </c>
      <c r="X158" s="23">
        <f>'Annual Raw'!Y73+'Annual Raw'!Y81</f>
        <v>43.870000000000005</v>
      </c>
      <c r="Y158" s="23">
        <f>'Annual Raw'!Z73+'Annual Raw'!Z81</f>
        <v>14.21</v>
      </c>
      <c r="Z158" s="23">
        <f>'Annual Raw'!AA73+'Annual Raw'!AA81</f>
        <v>10.119999999999999</v>
      </c>
      <c r="AA158" s="23">
        <f>'Annual Raw'!AB73+'Annual Raw'!AB81</f>
        <v>25.55</v>
      </c>
      <c r="AB158" s="24">
        <f t="shared" si="1215"/>
        <v>0</v>
      </c>
      <c r="AC158" s="24">
        <f t="shared" si="1216"/>
        <v>0</v>
      </c>
      <c r="AD158" s="24">
        <f t="shared" si="1217"/>
        <v>0</v>
      </c>
      <c r="AE158" s="24">
        <f t="shared" si="1218"/>
        <v>0</v>
      </c>
      <c r="AJ158" s="23">
        <f>+'QTR Raw'!D79+'QTR Raw'!D76</f>
        <v>18.239999999999998</v>
      </c>
      <c r="AK158" s="23">
        <f t="shared" si="1219"/>
        <v>18.239999999999998</v>
      </c>
      <c r="AL158" s="23">
        <f>+'QTR Raw'!F79+'QTR Raw'!F76</f>
        <v>24</v>
      </c>
      <c r="AM158" s="23">
        <f t="shared" si="1219"/>
        <v>24</v>
      </c>
      <c r="AN158" s="23">
        <f>+'QTR Raw'!H79+'QTR Raw'!H76</f>
        <v>66</v>
      </c>
      <c r="AO158" s="23">
        <f t="shared" si="1219"/>
        <v>66</v>
      </c>
      <c r="AP158" s="23">
        <f>+'QTR Raw'!J79+'QTR Raw'!J76</f>
        <v>61</v>
      </c>
      <c r="AQ158" s="23">
        <f t="shared" si="1219"/>
        <v>61</v>
      </c>
      <c r="AR158" s="23">
        <f>+'QTR Raw'!L79+'QTR Raw'!L76</f>
        <v>53</v>
      </c>
      <c r="AS158" s="23">
        <f t="shared" si="1219"/>
        <v>53</v>
      </c>
      <c r="AT158" s="23">
        <f>+'QTR Raw'!N79+'QTR Raw'!N76</f>
        <v>50</v>
      </c>
      <c r="AU158" s="23">
        <f t="shared" si="1219"/>
        <v>50</v>
      </c>
      <c r="AV158" s="23">
        <f>+'QTR Raw'!P79+'QTR Raw'!P76</f>
        <v>59</v>
      </c>
      <c r="AW158" s="23">
        <f t="shared" si="1219"/>
        <v>59</v>
      </c>
      <c r="AX158" s="23">
        <f>+'QTR Raw'!R79+'QTR Raw'!R76</f>
        <v>184</v>
      </c>
      <c r="AY158" s="23">
        <f t="shared" si="1219"/>
        <v>184</v>
      </c>
      <c r="AZ158" s="23">
        <f>+'QTR Raw'!T79+'QTR Raw'!T76</f>
        <v>125</v>
      </c>
      <c r="BA158" s="23">
        <f t="shared" si="1219"/>
        <v>125</v>
      </c>
      <c r="BB158" s="23">
        <f>+'QTR Raw'!V79+'QTR Raw'!V76</f>
        <v>303</v>
      </c>
      <c r="BC158" s="23">
        <f t="shared" si="1219"/>
        <v>303</v>
      </c>
      <c r="BD158" s="23">
        <f>+'QTR Raw'!X79+'QTR Raw'!X76</f>
        <v>196</v>
      </c>
      <c r="BE158" s="23">
        <f t="shared" si="1219"/>
        <v>196</v>
      </c>
      <c r="BF158" s="23">
        <f>+'QTR Raw'!Z79+'QTR Raw'!Z76</f>
        <v>200</v>
      </c>
      <c r="BG158" s="23">
        <f t="shared" si="1219"/>
        <v>200</v>
      </c>
      <c r="BH158" s="23">
        <f>+'QTR Raw'!AB79+'QTR Raw'!AB76</f>
        <v>503</v>
      </c>
      <c r="BI158" s="23">
        <f t="shared" si="1219"/>
        <v>503</v>
      </c>
      <c r="BJ158" s="23">
        <f>+'QTR Raw'!AD79+'QTR Raw'!AD76</f>
        <v>343</v>
      </c>
      <c r="BK158" s="23">
        <f t="shared" si="1219"/>
        <v>343</v>
      </c>
      <c r="BL158" s="23">
        <f>+'QTR Raw'!AF79+'QTR Raw'!AF76</f>
        <v>368</v>
      </c>
      <c r="BM158" s="23">
        <f t="shared" si="1219"/>
        <v>368</v>
      </c>
      <c r="BN158" s="23">
        <f>+'QTR Raw'!AH79+'QTR Raw'!AH76</f>
        <v>482</v>
      </c>
      <c r="BO158" s="23">
        <f t="shared" si="1219"/>
        <v>482</v>
      </c>
      <c r="BP158" s="23">
        <f>+'QTR Raw'!AJ79+'QTR Raw'!AJ76</f>
        <v>403</v>
      </c>
      <c r="BQ158" s="23">
        <f t="shared" si="1219"/>
        <v>403</v>
      </c>
      <c r="BR158" s="23">
        <f>+'QTR Raw'!AL79+'QTR Raw'!AL76</f>
        <v>260</v>
      </c>
      <c r="BS158" s="23">
        <f t="shared" si="1219"/>
        <v>260</v>
      </c>
      <c r="BT158" s="23">
        <f>+'QTR Raw'!AN79+'QTR Raw'!AN76</f>
        <v>239</v>
      </c>
      <c r="BU158" s="23">
        <f t="shared" si="1219"/>
        <v>239</v>
      </c>
      <c r="BV158" s="23">
        <f>+'QTR Raw'!AP79+'QTR Raw'!AP76</f>
        <v>473</v>
      </c>
      <c r="BW158" s="23">
        <f t="shared" si="1219"/>
        <v>473</v>
      </c>
      <c r="BX158" s="23">
        <f>+'QTR Raw'!AR79+'QTR Raw'!AR76</f>
        <v>469</v>
      </c>
      <c r="BY158" s="23">
        <f t="shared" si="1219"/>
        <v>469</v>
      </c>
      <c r="BZ158" s="23">
        <f>+'QTR Raw'!AT79+'QTR Raw'!AT76</f>
        <v>367</v>
      </c>
      <c r="CA158" s="23">
        <f t="shared" si="1219"/>
        <v>367</v>
      </c>
      <c r="CB158" s="23">
        <f>+'QTR Raw'!AV79+'QTR Raw'!AV76</f>
        <v>365</v>
      </c>
      <c r="CC158" s="23">
        <f t="shared" si="1219"/>
        <v>365</v>
      </c>
      <c r="CD158" s="23">
        <f>+'QTR Raw'!AX79+'QTR Raw'!AX76</f>
        <v>519</v>
      </c>
      <c r="CE158" s="23">
        <f t="shared" si="1219"/>
        <v>519</v>
      </c>
      <c r="CF158" s="23">
        <f>+'QTR Raw'!AZ79+'QTR Raw'!AZ76</f>
        <v>431</v>
      </c>
      <c r="CG158" s="23">
        <f t="shared" si="1196"/>
        <v>431</v>
      </c>
      <c r="CH158" s="23">
        <f t="shared" si="1197"/>
        <v>10.119999999999999</v>
      </c>
      <c r="CJ158" s="23">
        <f>+'QTR Raw'!BD79+'QTR Raw'!BD76</f>
        <v>607</v>
      </c>
      <c r="CL158" s="23">
        <f>+'QTR Raw'!BF79+'QTR Raw'!BF76</f>
        <v>965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965</v>
      </c>
    </row>
    <row r="159" spans="1:110" s="23" customFormat="1" outlineLevel="1" x14ac:dyDescent="0.2">
      <c r="A159" s="23" t="s">
        <v>61</v>
      </c>
      <c r="B159" s="23">
        <f>'Annual Raw'!C76</f>
        <v>78.421199999999999</v>
      </c>
      <c r="C159" s="23">
        <f>'Annual Raw'!D76</f>
        <v>83.020499999999998</v>
      </c>
      <c r="D159" s="23">
        <f>'Annual Raw'!E76</f>
        <v>80.090199999999996</v>
      </c>
      <c r="E159" s="23">
        <f>'Annual Raw'!F76</f>
        <v>97.102500000000006</v>
      </c>
      <c r="F159" s="23">
        <f>'Annual Raw'!G76</f>
        <v>148.33109999999999</v>
      </c>
      <c r="G159" s="23">
        <f>'Annual Raw'!H76</f>
        <v>225.33260000000001</v>
      </c>
      <c r="H159" s="23">
        <f>'Annual Raw'!I76</f>
        <v>258.12150000000003</v>
      </c>
      <c r="I159" s="23">
        <f>'Annual Raw'!J76</f>
        <v>230.97049999999999</v>
      </c>
      <c r="J159" s="23">
        <f>'Annual Raw'!K76</f>
        <v>264.53809999999999</v>
      </c>
      <c r="K159" s="23">
        <f>'Annual Raw'!L76</f>
        <v>323.6293</v>
      </c>
      <c r="L159" s="23">
        <f>'Annual Raw'!M76</f>
        <v>504.8306</v>
      </c>
      <c r="M159" s="23">
        <f>'Annual Raw'!N76</f>
        <v>531.55999999999995</v>
      </c>
      <c r="N159" s="23">
        <f>'Annual Raw'!O76</f>
        <v>923.86</v>
      </c>
      <c r="O159" s="23">
        <f>'Annual Raw'!P76</f>
        <v>1006.06</v>
      </c>
      <c r="P159" s="23">
        <f>'Annual Raw'!Q76</f>
        <v>1067.17</v>
      </c>
      <c r="Q159" s="23">
        <f>'Annual Raw'!R76</f>
        <v>1357.98</v>
      </c>
      <c r="R159" s="23">
        <f>'Annual Raw'!S76</f>
        <v>1559.15</v>
      </c>
      <c r="S159" s="23">
        <f>'Annual Raw'!T76</f>
        <v>1966.3</v>
      </c>
      <c r="T159" s="23">
        <f>'Annual Raw'!U76</f>
        <v>1935.15</v>
      </c>
      <c r="U159" s="23">
        <f>'Annual Raw'!V76</f>
        <v>2148.2199999999998</v>
      </c>
      <c r="V159" s="23">
        <f>'Annual Raw'!W76</f>
        <v>2681.2</v>
      </c>
      <c r="W159" s="23">
        <f>'Annual Raw'!X76</f>
        <v>2462.3200000000002</v>
      </c>
      <c r="X159" s="23">
        <f>'Annual Raw'!Y76</f>
        <v>2229.64</v>
      </c>
      <c r="Y159" s="23">
        <f>'Annual Raw'!Z76</f>
        <v>2279.0700000000002</v>
      </c>
      <c r="Z159" s="23">
        <f>'Annual Raw'!AA76</f>
        <v>2541.25</v>
      </c>
      <c r="AA159" s="23">
        <f>'Annual Raw'!AB76</f>
        <v>3138.19</v>
      </c>
      <c r="AB159" s="24">
        <f t="shared" si="1215"/>
        <v>3722.3566799404534</v>
      </c>
      <c r="AC159" s="24">
        <f t="shared" si="1216"/>
        <v>4349.3844222751986</v>
      </c>
      <c r="AD159" s="24">
        <f t="shared" si="1217"/>
        <v>4458.0155160665854</v>
      </c>
      <c r="AE159" s="24">
        <f t="shared" si="1218"/>
        <v>4570.3780393483139</v>
      </c>
      <c r="AJ159" s="23">
        <f>+'QTR Raw'!D81</f>
        <v>735.01</v>
      </c>
      <c r="AK159" s="23">
        <f>+AK194*AK25/90</f>
        <v>751.99354300385107</v>
      </c>
      <c r="AL159" s="23">
        <f>+'QTR Raw'!F81</f>
        <v>924</v>
      </c>
      <c r="AM159" s="23">
        <f>+AM194*AM25/90</f>
        <v>1029.9633027522937</v>
      </c>
      <c r="AN159" s="23">
        <f>+'QTR Raw'!H81</f>
        <v>998</v>
      </c>
      <c r="AO159" s="23">
        <f>+AO194*AO25/90</f>
        <v>1042.1502057613168</v>
      </c>
      <c r="AP159" s="23">
        <f>+'QTR Raw'!J81</f>
        <v>1006</v>
      </c>
      <c r="AQ159" s="23">
        <f>+AQ194*AQ25/90</f>
        <v>914.84408163265311</v>
      </c>
      <c r="AR159" s="23">
        <f>+'QTR Raw'!L81</f>
        <v>1024</v>
      </c>
      <c r="AS159" s="23">
        <f>+AS194*AS25/90</f>
        <v>982.77074774034509</v>
      </c>
      <c r="AT159" s="23">
        <f>+'QTR Raw'!N81</f>
        <v>1067</v>
      </c>
      <c r="AU159" s="23">
        <f>+AU194*AU25/90</f>
        <v>1800.2157712305022</v>
      </c>
      <c r="AV159" s="23">
        <f>+'QTR Raw'!P81</f>
        <v>1211</v>
      </c>
      <c r="AW159" s="23">
        <f>+AW194*AW25/90</f>
        <v>1102.9899586532781</v>
      </c>
      <c r="AX159" s="23">
        <f>+'QTR Raw'!R81</f>
        <v>1358</v>
      </c>
      <c r="AY159" s="23">
        <f>+AY194*AY25/90</f>
        <v>1401.3692614770459</v>
      </c>
      <c r="AZ159" s="23">
        <f>+'QTR Raw'!T81</f>
        <v>1582</v>
      </c>
      <c r="BA159" s="23">
        <f>+BA194*BA25/90</f>
        <v>1597.4989503149054</v>
      </c>
      <c r="BB159" s="23">
        <f>+'QTR Raw'!V81</f>
        <v>1559</v>
      </c>
      <c r="BC159" s="23">
        <f>+BC194*BC25/90</f>
        <v>1480.7238493723851</v>
      </c>
      <c r="BD159" s="23">
        <f>+'QTR Raw'!X81</f>
        <v>1543</v>
      </c>
      <c r="BE159" s="23">
        <f>+BE194*BE25/90</f>
        <v>1593.0903316866616</v>
      </c>
      <c r="BF159" s="23">
        <f>+'QTR Raw'!Z81</f>
        <v>1966</v>
      </c>
      <c r="BG159" s="23">
        <f>+BG194*BG25/90</f>
        <v>2154.7728337236535</v>
      </c>
      <c r="BH159" s="23">
        <f>+'QTR Raw'!AB81</f>
        <v>2033</v>
      </c>
      <c r="BI159" s="23">
        <f>+BI194*BI25/90</f>
        <v>2201.5221752903908</v>
      </c>
      <c r="BJ159" s="23">
        <f>+'QTR Raw'!AD81</f>
        <v>1935</v>
      </c>
      <c r="BK159" s="23">
        <f>+BK194*BK25/90</f>
        <v>2108.0657327586205</v>
      </c>
      <c r="BL159" s="23">
        <f>+'QTR Raw'!AF81</f>
        <v>1960</v>
      </c>
      <c r="BM159" s="23">
        <f>+BM194*BM25/90</f>
        <v>1921.8753117206982</v>
      </c>
      <c r="BN159" s="23">
        <f>+'QTR Raw'!AH81</f>
        <v>2148</v>
      </c>
      <c r="BO159" s="23">
        <f>+BO194*BO25/90</f>
        <v>2269.4182939362795</v>
      </c>
      <c r="BP159" s="23">
        <f>+'QTR Raw'!AJ81</f>
        <v>2541</v>
      </c>
      <c r="BQ159" s="23">
        <f>+BQ194*BQ25/90</f>
        <v>2513.284581060982</v>
      </c>
      <c r="BR159" s="23">
        <f>+'QTR Raw'!AL81</f>
        <v>2681</v>
      </c>
      <c r="BS159" s="23">
        <f>+BS194*BS25/90</f>
        <v>2953.6675271037689</v>
      </c>
      <c r="BT159" s="23">
        <f>+'QTR Raw'!AN81</f>
        <v>2612</v>
      </c>
      <c r="BU159" s="23">
        <f>+BU194*BU25/90</f>
        <v>2576.5540477304635</v>
      </c>
      <c r="BV159" s="23">
        <f>+'QTR Raw'!AP81</f>
        <v>2462</v>
      </c>
      <c r="BW159" s="23">
        <f>+BW194*BW25/90</f>
        <v>2711.5504458000937</v>
      </c>
      <c r="BX159" s="23">
        <f>+'QTR Raw'!AR81</f>
        <v>2328</v>
      </c>
      <c r="BY159" s="23">
        <f>+BY194*BY25/90</f>
        <v>2531.2300305543431</v>
      </c>
      <c r="BZ159" s="23">
        <f>+'QTR Raw'!AT81</f>
        <v>2230</v>
      </c>
      <c r="CA159" s="23">
        <f>+CA194*CA25/90</f>
        <v>2319.5222802087515</v>
      </c>
      <c r="CB159" s="23">
        <f>+'QTR Raw'!AV81</f>
        <v>2218</v>
      </c>
      <c r="CC159" s="23">
        <f>+CC194*CC25/90</f>
        <v>2278.0360902255638</v>
      </c>
      <c r="CD159" s="23">
        <f>+'QTR Raw'!AX81</f>
        <v>2279</v>
      </c>
      <c r="CE159" s="23">
        <f>+CE194*CE25/90</f>
        <v>2373.6469945355188</v>
      </c>
      <c r="CF159" s="23">
        <f>+'QTR Raw'!AZ81</f>
        <v>2271</v>
      </c>
      <c r="CG159" s="23">
        <f>+CG194*CG25/90</f>
        <v>2208.1131879543095</v>
      </c>
      <c r="CH159" s="23">
        <f t="shared" si="1197"/>
        <v>2541.25</v>
      </c>
      <c r="CI159" s="23">
        <f>+CI194*CI25/90</f>
        <v>2729.3316998986147</v>
      </c>
      <c r="CJ159" s="23">
        <f>+'QTR Raw'!BD81</f>
        <v>2467</v>
      </c>
      <c r="CK159" s="23">
        <f t="shared" ref="CK159:DB159" si="1220">+CK194*CK25/90</f>
        <v>2467.7471229557846</v>
      </c>
      <c r="CL159" s="23">
        <f>+'QTR Raw'!BF81</f>
        <v>3138</v>
      </c>
      <c r="CM159" s="24">
        <f t="shared" si="1220"/>
        <v>2810.293315800925</v>
      </c>
      <c r="CN159" s="24">
        <f t="shared" si="1220"/>
        <v>2932.5281129430728</v>
      </c>
      <c r="CO159" s="24">
        <f t="shared" si="1220"/>
        <v>2937.1439496343</v>
      </c>
      <c r="CP159" s="24">
        <f t="shared" si="1220"/>
        <v>3722.3566799404534</v>
      </c>
      <c r="CQ159" s="24">
        <f t="shared" si="1220"/>
        <v>3296.902069144061</v>
      </c>
      <c r="CR159" s="24">
        <f t="shared" si="1220"/>
        <v>3438.5158464384649</v>
      </c>
      <c r="CS159" s="24">
        <f t="shared" si="1220"/>
        <v>3438.5085204922143</v>
      </c>
      <c r="CT159" s="24">
        <f t="shared" si="1220"/>
        <v>4349.3844222751986</v>
      </c>
      <c r="CU159" s="24">
        <f t="shared" si="1220"/>
        <v>3544.8640044068393</v>
      </c>
      <c r="CV159" s="24">
        <f t="shared" si="1220"/>
        <v>3596.3067902886219</v>
      </c>
      <c r="CW159" s="24">
        <f t="shared" si="1220"/>
        <v>3548.1486077091049</v>
      </c>
      <c r="CX159" s="24">
        <f t="shared" si="1220"/>
        <v>4458.0155160665854</v>
      </c>
      <c r="CY159" s="24">
        <f t="shared" si="1220"/>
        <v>3626.8715732954306</v>
      </c>
      <c r="CZ159" s="24">
        <f t="shared" si="1220"/>
        <v>3684.4074646119457</v>
      </c>
      <c r="DA159" s="24">
        <f t="shared" si="1220"/>
        <v>3636.8413563063118</v>
      </c>
      <c r="DB159" s="24">
        <f t="shared" si="1220"/>
        <v>4570.3780393483139</v>
      </c>
      <c r="DE159" s="123"/>
      <c r="DF159" s="23">
        <v>2567.7743919259606</v>
      </c>
    </row>
    <row r="160" spans="1:110" s="23" customFormat="1" outlineLevel="1" x14ac:dyDescent="0.2">
      <c r="A160" s="23" t="s">
        <v>62</v>
      </c>
      <c r="B160" s="23">
        <f>'Annual Raw'!C77</f>
        <v>38.102200000000003</v>
      </c>
      <c r="C160" s="23">
        <f>'Annual Raw'!D77</f>
        <v>36.655200000000001</v>
      </c>
      <c r="D160" s="23">
        <f>'Annual Raw'!E77</f>
        <v>25.819299999999998</v>
      </c>
      <c r="E160" s="23">
        <f>'Annual Raw'!F77</f>
        <v>42.037199999999999</v>
      </c>
      <c r="F160" s="23">
        <f>'Annual Raw'!G77</f>
        <v>62.8932</v>
      </c>
      <c r="G160" s="23">
        <f>'Annual Raw'!H77</f>
        <v>172.5189</v>
      </c>
      <c r="H160" s="23">
        <f>'Annual Raw'!I77</f>
        <v>228.03639999999999</v>
      </c>
      <c r="I160" s="23">
        <f>'Annual Raw'!J77</f>
        <v>211.1412</v>
      </c>
      <c r="J160" s="23">
        <f>'Annual Raw'!K77</f>
        <v>266.57859999999999</v>
      </c>
      <c r="K160" s="23">
        <f>'Annual Raw'!L77</f>
        <v>298.15969999999999</v>
      </c>
      <c r="L160" s="23">
        <f>'Annual Raw'!M77</f>
        <v>340.3963</v>
      </c>
      <c r="M160" s="23">
        <f>'Annual Raw'!N77</f>
        <v>522.79999999999995</v>
      </c>
      <c r="N160" s="23">
        <f>'Annual Raw'!O77</f>
        <v>687.82</v>
      </c>
      <c r="O160" s="23">
        <f>'Annual Raw'!P77</f>
        <v>1099.42</v>
      </c>
      <c r="P160" s="23">
        <f>'Annual Raw'!Q77</f>
        <v>1587.26</v>
      </c>
      <c r="Q160" s="23">
        <f>'Annual Raw'!R77</f>
        <v>1445.09</v>
      </c>
      <c r="R160" s="23">
        <f>'Annual Raw'!S77</f>
        <v>950.89</v>
      </c>
      <c r="S160" s="23">
        <f>'Annual Raw'!T77</f>
        <v>1253.45</v>
      </c>
      <c r="T160" s="23">
        <f>'Annual Raw'!U77</f>
        <v>1435.71</v>
      </c>
      <c r="U160" s="23">
        <f>'Annual Raw'!V77</f>
        <v>1649.34</v>
      </c>
      <c r="V160" s="23">
        <f>'Annual Raw'!W77</f>
        <v>1523.37</v>
      </c>
      <c r="W160" s="23">
        <f>'Annual Raw'!X77</f>
        <v>1632.48</v>
      </c>
      <c r="X160" s="23">
        <f>'Annual Raw'!Y77</f>
        <v>1943.82</v>
      </c>
      <c r="Y160" s="23">
        <f>'Annual Raw'!Z77</f>
        <v>1844.3</v>
      </c>
      <c r="Z160" s="23">
        <f>'Annual Raw'!AA77</f>
        <v>1866.45</v>
      </c>
      <c r="AA160" s="23">
        <f>'Annual Raw'!AB77</f>
        <v>3030.86</v>
      </c>
      <c r="AB160" s="24">
        <f t="shared" si="1215"/>
        <v>3595.4311972273781</v>
      </c>
      <c r="AC160" s="24">
        <f t="shared" si="1216"/>
        <v>4201.0784524907995</v>
      </c>
      <c r="AD160" s="24">
        <f t="shared" si="1217"/>
        <v>4306.0054267679479</v>
      </c>
      <c r="AE160" s="24">
        <f t="shared" si="1218"/>
        <v>4414.5365956866599</v>
      </c>
      <c r="AJ160" s="23">
        <f>+'QTR Raw'!D82</f>
        <v>560.87</v>
      </c>
      <c r="AK160" s="23">
        <f>+AK195*AK25/90</f>
        <v>573.82976893453144</v>
      </c>
      <c r="AL160" s="23">
        <f>+'QTR Raw'!F82</f>
        <v>688</v>
      </c>
      <c r="AM160" s="23">
        <f>+AM195*AM25/90</f>
        <v>766.89908256880733</v>
      </c>
      <c r="AN160" s="23">
        <f>+'QTR Raw'!H82</f>
        <v>833</v>
      </c>
      <c r="AO160" s="23">
        <f>+AO195*AO25/90</f>
        <v>869.85082304526736</v>
      </c>
      <c r="AP160" s="23">
        <f>+'QTR Raw'!J82</f>
        <v>1099</v>
      </c>
      <c r="AQ160" s="23">
        <f>+AQ195*AQ25/90</f>
        <v>999.41714285714295</v>
      </c>
      <c r="AR160" s="23">
        <f>+'QTR Raw'!L82</f>
        <v>1223</v>
      </c>
      <c r="AS160" s="23">
        <f>+AS195*AS25/90</f>
        <v>1173.758422350041</v>
      </c>
      <c r="AT160" s="23">
        <f>+'QTR Raw'!N82</f>
        <v>1588</v>
      </c>
      <c r="AU160" s="23">
        <f>+AU195*AU25/90</f>
        <v>2679.2339688041593</v>
      </c>
      <c r="AV160" s="23">
        <f>+'QTR Raw'!P82</f>
        <v>1824</v>
      </c>
      <c r="AW160" s="23">
        <f>+AW195*AW25/90</f>
        <v>1661.3160070880092</v>
      </c>
      <c r="AX160" s="23">
        <f>+'QTR Raw'!R82</f>
        <v>1445</v>
      </c>
      <c r="AY160" s="23">
        <f>+AY195*AY25/90</f>
        <v>1491.1477045908182</v>
      </c>
      <c r="AZ160" s="23">
        <f>+'QTR Raw'!T82</f>
        <v>1381</v>
      </c>
      <c r="BA160" s="23">
        <f>+BA195*BA25/90</f>
        <v>1394.5297410776768</v>
      </c>
      <c r="BB160" s="23">
        <f>+'QTR Raw'!V82</f>
        <v>951</v>
      </c>
      <c r="BC160" s="23">
        <f>+BC195*BC25/90</f>
        <v>903.25104602510464</v>
      </c>
      <c r="BD160" s="23">
        <f>+'QTR Raw'!X82</f>
        <v>1087</v>
      </c>
      <c r="BE160" s="23">
        <f>+BE195*BE25/90</f>
        <v>1122.2872265349329</v>
      </c>
      <c r="BF160" s="23">
        <f>+'QTR Raw'!Z82</f>
        <v>1254</v>
      </c>
      <c r="BG160" s="23">
        <f>+BG195*BG25/90</f>
        <v>1374.4074941451991</v>
      </c>
      <c r="BH160" s="23">
        <f>+'QTR Raw'!AB82</f>
        <v>1576</v>
      </c>
      <c r="BI160" s="23">
        <f>+BI195*BI25/90</f>
        <v>1706.6399155227032</v>
      </c>
      <c r="BJ160" s="23">
        <f>+'QTR Raw'!AD82</f>
        <v>1436</v>
      </c>
      <c r="BK160" s="23">
        <f>+BK195*BK25/90</f>
        <v>1564.4353448275861</v>
      </c>
      <c r="BL160" s="23">
        <f>+'QTR Raw'!AF82</f>
        <v>1518</v>
      </c>
      <c r="BM160" s="23">
        <f>+BM195*BM25/90</f>
        <v>1488.4728179551121</v>
      </c>
      <c r="BN160" s="23">
        <f>+'QTR Raw'!AH82</f>
        <v>1649</v>
      </c>
      <c r="BO160" s="23">
        <f>+BO195*BO25/90</f>
        <v>1742.2117163412127</v>
      </c>
      <c r="BP160" s="23">
        <f>+'QTR Raw'!AJ82</f>
        <v>1556</v>
      </c>
      <c r="BQ160" s="23">
        <f>+BQ195*BQ25/90</f>
        <v>1539.0282597917701</v>
      </c>
      <c r="BR160" s="23">
        <f>+'QTR Raw'!AL82</f>
        <v>1523</v>
      </c>
      <c r="BS160" s="23">
        <f>+BS195*BS25/90</f>
        <v>1677.8946824987095</v>
      </c>
      <c r="BT160" s="23">
        <f>+'QTR Raw'!AN82</f>
        <v>1561</v>
      </c>
      <c r="BU160" s="23">
        <f>+BU195*BU25/90</f>
        <v>1539.8165652784276</v>
      </c>
      <c r="BV160" s="23">
        <f>+'QTR Raw'!AP82</f>
        <v>1633</v>
      </c>
      <c r="BW160" s="23">
        <f>+BW195*BW25/90</f>
        <v>1798.5222900046929</v>
      </c>
      <c r="BX160" s="23">
        <f>+'QTR Raw'!AR82</f>
        <v>1754</v>
      </c>
      <c r="BY160" s="23">
        <f>+BY195*BY25/90</f>
        <v>1907.1209079004802</v>
      </c>
      <c r="BZ160" s="23">
        <f>+'QTR Raw'!AT82</f>
        <v>1944</v>
      </c>
      <c r="CA160" s="23">
        <f>+CA195*CA25/90</f>
        <v>2022.0409474106784</v>
      </c>
      <c r="CB160" s="23">
        <f>+'QTR Raw'!AV82</f>
        <v>1752</v>
      </c>
      <c r="CC160" s="23">
        <f>+CC195*CC25/90</f>
        <v>1799.4225563909774</v>
      </c>
      <c r="CD160" s="23">
        <f>+'QTR Raw'!AX82</f>
        <v>1844</v>
      </c>
      <c r="CE160" s="23">
        <f>+CE195*CE25/90</f>
        <v>1920.5814207650271</v>
      </c>
      <c r="CF160" s="23">
        <f>+'QTR Raw'!AZ82</f>
        <v>1783</v>
      </c>
      <c r="CG160" s="23">
        <f>+CG195*CG25/90</f>
        <v>1733.626514364832</v>
      </c>
      <c r="CH160" s="23">
        <f t="shared" si="1197"/>
        <v>1866.45</v>
      </c>
      <c r="CI160" s="23">
        <f>+CI195*CI25/90</f>
        <v>2004.5887461980401</v>
      </c>
      <c r="CJ160" s="23">
        <f>+'QTR Raw'!BD82</f>
        <v>2185</v>
      </c>
      <c r="CK160" s="23">
        <f t="shared" ref="CK160:DB160" si="1221">+CK195*CK25/90</f>
        <v>2185.6617201695944</v>
      </c>
      <c r="CL160" s="23">
        <f>+'QTR Raw'!BF82</f>
        <v>3031</v>
      </c>
      <c r="CM160" s="24">
        <f t="shared" si="1221"/>
        <v>2714.4675080282354</v>
      </c>
      <c r="CN160" s="24">
        <f t="shared" si="1221"/>
        <v>2832.5343245157592</v>
      </c>
      <c r="CO160" s="24">
        <f t="shared" si="1221"/>
        <v>2836.9927697073176</v>
      </c>
      <c r="CP160" s="24">
        <f t="shared" si="1221"/>
        <v>3595.4311972273781</v>
      </c>
      <c r="CQ160" s="24">
        <f t="shared" si="1221"/>
        <v>3184.4838022866948</v>
      </c>
      <c r="CR160" s="24">
        <f t="shared" si="1221"/>
        <v>3321.2688115216656</v>
      </c>
      <c r="CS160" s="24">
        <f t="shared" si="1221"/>
        <v>3321.2617353766414</v>
      </c>
      <c r="CT160" s="24">
        <f t="shared" si="1221"/>
        <v>4201.0784524907995</v>
      </c>
      <c r="CU160" s="24">
        <f t="shared" si="1221"/>
        <v>3423.9906938677914</v>
      </c>
      <c r="CV160" s="24">
        <f t="shared" si="1221"/>
        <v>3473.6793758332738</v>
      </c>
      <c r="CW160" s="24">
        <f t="shared" si="1221"/>
        <v>3427.1632982684182</v>
      </c>
      <c r="CX160" s="24">
        <f t="shared" si="1221"/>
        <v>4306.0054267679479</v>
      </c>
      <c r="CY160" s="24">
        <f t="shared" si="1221"/>
        <v>3503.2019562327755</v>
      </c>
      <c r="CZ160" s="24">
        <f t="shared" si="1221"/>
        <v>3558.7759799996197</v>
      </c>
      <c r="DA160" s="24">
        <f t="shared" si="1221"/>
        <v>3512.8317880702452</v>
      </c>
      <c r="DB160" s="24">
        <f t="shared" si="1221"/>
        <v>4414.5365956866599</v>
      </c>
      <c r="DE160" s="123"/>
      <c r="DF160" s="23">
        <v>2274.2549843365318</v>
      </c>
    </row>
    <row r="161" spans="1:110" s="23" customFormat="1" outlineLevel="1" x14ac:dyDescent="0.2">
      <c r="A161" s="23" t="s">
        <v>63</v>
      </c>
      <c r="B161" s="23">
        <f>'Annual Raw'!C79</f>
        <v>0</v>
      </c>
      <c r="C161" s="23">
        <f>'Annual Raw'!D79</f>
        <v>4.5167999999999999</v>
      </c>
      <c r="D161" s="23">
        <f>'Annual Raw'!E79</f>
        <v>5.3526999999999996</v>
      </c>
      <c r="E161" s="23">
        <f>'Annual Raw'!F79</f>
        <v>3.9336000000000002</v>
      </c>
      <c r="F161" s="23">
        <f>'Annual Raw'!G79</f>
        <v>5.7659000000000002</v>
      </c>
      <c r="G161" s="23">
        <f>'Annual Raw'!H79</f>
        <v>14.2591</v>
      </c>
      <c r="H161" s="23">
        <f>'Annual Raw'!I79</f>
        <v>16.583300000000001</v>
      </c>
      <c r="I161" s="23">
        <f>'Annual Raw'!J79</f>
        <v>22.657</v>
      </c>
      <c r="J161" s="23">
        <f>'Annual Raw'!K79</f>
        <v>34.322800000000001</v>
      </c>
      <c r="K161" s="23">
        <f>'Annual Raw'!L79</f>
        <v>41.540100000000002</v>
      </c>
      <c r="L161" s="23">
        <f>'Annual Raw'!M79</f>
        <v>95.125200000000007</v>
      </c>
      <c r="M161" s="23">
        <f>'Annual Raw'!N79</f>
        <v>115.5</v>
      </c>
      <c r="N161" s="23">
        <f>'Annual Raw'!O79</f>
        <v>185.85</v>
      </c>
      <c r="O161" s="23">
        <f>'Annual Raw'!P79</f>
        <v>259</v>
      </c>
      <c r="P161" s="23">
        <f>'Annual Raw'!Q79</f>
        <v>422.94</v>
      </c>
      <c r="Q161" s="23">
        <f>'Annual Raw'!R79</f>
        <v>368.34</v>
      </c>
      <c r="R161" s="23">
        <f>'Annual Raw'!S79</f>
        <v>589.45000000000005</v>
      </c>
      <c r="S161" s="23">
        <f>'Annual Raw'!T79</f>
        <v>587.67999999999995</v>
      </c>
      <c r="T161" s="23">
        <f>'Annual Raw'!U79</f>
        <v>405.82</v>
      </c>
      <c r="U161" s="23">
        <f>'Annual Raw'!V79</f>
        <v>441.35</v>
      </c>
      <c r="V161" s="23">
        <f>'Annual Raw'!W79</f>
        <v>510.97</v>
      </c>
      <c r="W161" s="23">
        <f>'Annual Raw'!X79</f>
        <v>331.62</v>
      </c>
      <c r="X161" s="23">
        <f>'Annual Raw'!Y79</f>
        <v>246.89</v>
      </c>
      <c r="Y161" s="23">
        <f>'Annual Raw'!Z79</f>
        <v>327.99</v>
      </c>
      <c r="Z161" s="23">
        <f>'Annual Raw'!AA79</f>
        <v>323.62</v>
      </c>
      <c r="AA161" s="23">
        <f>'Annual Raw'!AB79</f>
        <v>404.27</v>
      </c>
      <c r="AB161" s="24">
        <f t="shared" si="1215"/>
        <v>2562.2340435536585</v>
      </c>
      <c r="AC161" s="24">
        <f t="shared" si="1216"/>
        <v>2993.8401377037708</v>
      </c>
      <c r="AD161" s="24">
        <f t="shared" si="1217"/>
        <v>3068.6148867762354</v>
      </c>
      <c r="AE161" s="24">
        <f t="shared" si="1218"/>
        <v>3145.9581150389927</v>
      </c>
      <c r="AJ161" s="23">
        <f>+'QTR Raw'!D84</f>
        <v>134.19</v>
      </c>
      <c r="AK161" s="23">
        <f t="shared" si="1219"/>
        <v>134.19</v>
      </c>
      <c r="AL161" s="23">
        <f>+'QTR Raw'!F84</f>
        <v>186</v>
      </c>
      <c r="AM161" s="23">
        <f t="shared" si="1219"/>
        <v>186</v>
      </c>
      <c r="AN161" s="23">
        <f>+'QTR Raw'!H84</f>
        <v>190</v>
      </c>
      <c r="AO161" s="23">
        <f t="shared" si="1219"/>
        <v>190</v>
      </c>
      <c r="AP161" s="23">
        <f>+'QTR Raw'!J84</f>
        <v>259</v>
      </c>
      <c r="AQ161" s="23">
        <f t="shared" si="1219"/>
        <v>259</v>
      </c>
      <c r="AR161" s="23">
        <f>+'QTR Raw'!L84</f>
        <v>320</v>
      </c>
      <c r="AS161" s="23">
        <f t="shared" si="1219"/>
        <v>320</v>
      </c>
      <c r="AT161" s="23">
        <f>+'QTR Raw'!N84</f>
        <v>423</v>
      </c>
      <c r="AU161" s="23">
        <f t="shared" si="1219"/>
        <v>423</v>
      </c>
      <c r="AV161" s="23">
        <f>+'QTR Raw'!P84</f>
        <v>382</v>
      </c>
      <c r="AW161" s="23">
        <f t="shared" si="1219"/>
        <v>382</v>
      </c>
      <c r="AX161" s="23">
        <f>+'QTR Raw'!R84</f>
        <v>458</v>
      </c>
      <c r="AY161" s="23">
        <f t="shared" si="1219"/>
        <v>458</v>
      </c>
      <c r="AZ161" s="23">
        <f>+'QTR Raw'!T84</f>
        <v>575</v>
      </c>
      <c r="BA161" s="23">
        <f t="shared" si="1219"/>
        <v>575</v>
      </c>
      <c r="BB161" s="23">
        <f>+'QTR Raw'!V84</f>
        <v>669</v>
      </c>
      <c r="BC161" s="23">
        <f t="shared" si="1219"/>
        <v>669</v>
      </c>
      <c r="BD161" s="23">
        <f>+'QTR Raw'!X84</f>
        <v>3</v>
      </c>
      <c r="BE161" s="23">
        <f t="shared" si="1219"/>
        <v>3</v>
      </c>
      <c r="BF161" s="23">
        <f>+'QTR Raw'!Z84</f>
        <v>680</v>
      </c>
      <c r="BG161" s="23">
        <f t="shared" si="1219"/>
        <v>680</v>
      </c>
      <c r="BH161" s="23">
        <f>+'QTR Raw'!AB84</f>
        <v>483</v>
      </c>
      <c r="BI161" s="23">
        <f t="shared" si="1219"/>
        <v>483</v>
      </c>
      <c r="BJ161" s="23">
        <f>+'QTR Raw'!AD84</f>
        <v>496</v>
      </c>
      <c r="BK161" s="23">
        <f t="shared" si="1219"/>
        <v>496</v>
      </c>
      <c r="BL161" s="23">
        <f>+'QTR Raw'!AF84</f>
        <v>518</v>
      </c>
      <c r="BM161" s="23">
        <f t="shared" si="1219"/>
        <v>518</v>
      </c>
      <c r="BN161" s="23">
        <f>+'QTR Raw'!AH84</f>
        <v>514</v>
      </c>
      <c r="BO161" s="23">
        <f t="shared" si="1219"/>
        <v>514</v>
      </c>
      <c r="BP161" s="23">
        <f>+'QTR Raw'!AJ84</f>
        <v>586</v>
      </c>
      <c r="BQ161" s="23">
        <f t="shared" si="1219"/>
        <v>586</v>
      </c>
      <c r="BR161" s="23">
        <f>+'QTR Raw'!AL84</f>
        <v>572</v>
      </c>
      <c r="BS161" s="23">
        <f t="shared" si="1219"/>
        <v>572</v>
      </c>
      <c r="BT161" s="23">
        <f>+'QTR Raw'!AN84</f>
        <v>534</v>
      </c>
      <c r="BU161" s="23">
        <f t="shared" si="1219"/>
        <v>534</v>
      </c>
      <c r="BV161" s="23">
        <f>+'QTR Raw'!AP84</f>
        <v>480</v>
      </c>
      <c r="BW161" s="23">
        <f t="shared" si="1219"/>
        <v>480</v>
      </c>
      <c r="BX161" s="23">
        <f>+'QTR Raw'!AR84</f>
        <v>322</v>
      </c>
      <c r="BY161" s="23">
        <f t="shared" si="1219"/>
        <v>322</v>
      </c>
      <c r="BZ161" s="23">
        <f>+'QTR Raw'!AT84</f>
        <v>411</v>
      </c>
      <c r="CA161" s="23">
        <f t="shared" si="1219"/>
        <v>411</v>
      </c>
      <c r="CB161" s="23">
        <f>+'QTR Raw'!AV84</f>
        <v>509</v>
      </c>
      <c r="CC161" s="23">
        <f t="shared" si="1219"/>
        <v>509</v>
      </c>
      <c r="CD161" s="23">
        <f>+'QTR Raw'!AX84</f>
        <v>505</v>
      </c>
      <c r="CE161" s="23">
        <f t="shared" si="1219"/>
        <v>505</v>
      </c>
      <c r="CF161" s="23">
        <f>+'QTR Raw'!AZ84</f>
        <v>586</v>
      </c>
      <c r="CG161" s="23">
        <f t="shared" ref="CG161:CG162" si="1222">+CF161</f>
        <v>586</v>
      </c>
      <c r="CH161" s="23">
        <f t="shared" si="1197"/>
        <v>323.62</v>
      </c>
      <c r="CI161" s="23">
        <f>CI25/90*CI196</f>
        <v>888.86264954376372</v>
      </c>
      <c r="CJ161" s="23">
        <f>+'QTR Raw'!BD84</f>
        <v>720</v>
      </c>
      <c r="CK161" s="23">
        <f t="shared" ref="CK161:DB161" si="1223">CK25/90*CK196</f>
        <v>1336.4046032707447</v>
      </c>
      <c r="CL161" s="23">
        <f>+'QTR Raw'!BF84</f>
        <v>1187</v>
      </c>
      <c r="CM161" s="24">
        <f t="shared" si="1223"/>
        <v>1934.4275213926066</v>
      </c>
      <c r="CN161" s="24">
        <f t="shared" si="1223"/>
        <v>2018.5661962896872</v>
      </c>
      <c r="CO161" s="24">
        <f t="shared" si="1223"/>
        <v>2021.743445254968</v>
      </c>
      <c r="CP161" s="24">
        <f t="shared" si="1223"/>
        <v>2562.2340435536585</v>
      </c>
      <c r="CQ161" s="24">
        <f t="shared" si="1223"/>
        <v>2269.3780973075759</v>
      </c>
      <c r="CR161" s="24">
        <f t="shared" si="1223"/>
        <v>2366.8560319652915</v>
      </c>
      <c r="CS161" s="24">
        <f t="shared" si="1223"/>
        <v>2366.8509892489433</v>
      </c>
      <c r="CT161" s="24">
        <f t="shared" si="1223"/>
        <v>2993.8401377037708</v>
      </c>
      <c r="CU161" s="24">
        <f t="shared" si="1223"/>
        <v>2440.059352937787</v>
      </c>
      <c r="CV161" s="24">
        <f t="shared" si="1223"/>
        <v>2475.4693011546924</v>
      </c>
      <c r="CW161" s="24">
        <f t="shared" si="1223"/>
        <v>2442.3202653447001</v>
      </c>
      <c r="CX161" s="24">
        <f t="shared" si="1223"/>
        <v>3068.6148867762354</v>
      </c>
      <c r="CY161" s="24">
        <f t="shared" si="1223"/>
        <v>2496.5081575264917</v>
      </c>
      <c r="CZ161" s="24">
        <f t="shared" si="1223"/>
        <v>2536.1122127348003</v>
      </c>
      <c r="DA161" s="24">
        <f t="shared" si="1223"/>
        <v>2503.3707232701195</v>
      </c>
      <c r="DB161" s="24">
        <f t="shared" si="1223"/>
        <v>3145.9581150389927</v>
      </c>
      <c r="DE161" s="123"/>
      <c r="DF161" s="23">
        <v>1390.5742146789955</v>
      </c>
    </row>
    <row r="162" spans="1:110" s="23" customFormat="1" outlineLevel="1" x14ac:dyDescent="0.2">
      <c r="A162" s="23" t="s">
        <v>64</v>
      </c>
      <c r="B162" s="23">
        <f>'Annual Raw'!C80</f>
        <v>93.430099999999996</v>
      </c>
      <c r="C162" s="23">
        <f>'Annual Raw'!D80</f>
        <v>31.604500000000002</v>
      </c>
      <c r="D162" s="23">
        <f>'Annual Raw'!E80</f>
        <v>26.064499999999999</v>
      </c>
      <c r="E162" s="23">
        <f>'Annual Raw'!F80</f>
        <v>26.976900000000001</v>
      </c>
      <c r="F162" s="23">
        <f>'Annual Raw'!G80</f>
        <v>37.5244</v>
      </c>
      <c r="G162" s="23">
        <f>'Annual Raw'!H80</f>
        <v>38.709699999999998</v>
      </c>
      <c r="H162" s="23">
        <f>'Annual Raw'!I80</f>
        <v>53.354700000000001</v>
      </c>
      <c r="I162" s="23">
        <f>'Annual Raw'!J80</f>
        <v>76.098600000000005</v>
      </c>
      <c r="J162" s="23">
        <f>'Annual Raw'!K80</f>
        <v>157.93770000000001</v>
      </c>
      <c r="K162" s="23">
        <f>'Annual Raw'!L80</f>
        <v>109.0583</v>
      </c>
      <c r="L162" s="23">
        <f>'Annual Raw'!M80</f>
        <v>49.276000000000003</v>
      </c>
      <c r="M162" s="23">
        <f>'Annual Raw'!N80</f>
        <v>56.46</v>
      </c>
      <c r="N162" s="23">
        <f>'Annual Raw'!O80</f>
        <v>75.95</v>
      </c>
      <c r="O162" s="23">
        <f>'Annual Raw'!P80</f>
        <v>84.95</v>
      </c>
      <c r="P162" s="23">
        <f>'Annual Raw'!Q80</f>
        <v>109.09</v>
      </c>
      <c r="Q162" s="23">
        <f>'Annual Raw'!R80</f>
        <v>90.18</v>
      </c>
      <c r="R162" s="23">
        <f>'Annual Raw'!S80</f>
        <v>82.62</v>
      </c>
      <c r="S162" s="23">
        <f>'Annual Raw'!T80</f>
        <v>95.39</v>
      </c>
      <c r="T162" s="23">
        <f>'Annual Raw'!U80</f>
        <v>93.46</v>
      </c>
      <c r="U162" s="23">
        <f>'Annual Raw'!V80</f>
        <v>73.48</v>
      </c>
      <c r="V162" s="23">
        <f>'Annual Raw'!W80</f>
        <v>63.41</v>
      </c>
      <c r="W162" s="23">
        <f>'Annual Raw'!X80</f>
        <v>151.18</v>
      </c>
      <c r="X162" s="23">
        <f>'Annual Raw'!Y80</f>
        <v>165.82</v>
      </c>
      <c r="Y162" s="23">
        <f>'Annual Raw'!Z80</f>
        <v>180.04</v>
      </c>
      <c r="Z162" s="23">
        <f>'Annual Raw'!AA80</f>
        <v>199.58</v>
      </c>
      <c r="AA162" s="23">
        <f>'Annual Raw'!AB80</f>
        <v>787.63</v>
      </c>
      <c r="AB162" s="24">
        <f t="shared" si="1215"/>
        <v>0</v>
      </c>
      <c r="AC162" s="24">
        <f t="shared" si="1216"/>
        <v>0</v>
      </c>
      <c r="AD162" s="24">
        <f t="shared" si="1217"/>
        <v>0</v>
      </c>
      <c r="AE162" s="24">
        <f t="shared" si="1218"/>
        <v>0</v>
      </c>
      <c r="AJ162" s="23">
        <f>+'QTR Raw'!D85</f>
        <v>66.03</v>
      </c>
      <c r="AK162" s="23">
        <f t="shared" si="1219"/>
        <v>66.03</v>
      </c>
      <c r="AL162" s="23">
        <f>+'QTR Raw'!F85</f>
        <v>76</v>
      </c>
      <c r="AM162" s="23">
        <f t="shared" si="1219"/>
        <v>76</v>
      </c>
      <c r="AN162" s="23">
        <f>+'QTR Raw'!H85</f>
        <v>97</v>
      </c>
      <c r="AO162" s="23">
        <f t="shared" si="1219"/>
        <v>97</v>
      </c>
      <c r="AP162" s="23">
        <f>+'QTR Raw'!J85</f>
        <v>85</v>
      </c>
      <c r="AQ162" s="23">
        <f t="shared" si="1219"/>
        <v>85</v>
      </c>
      <c r="AR162" s="23">
        <f>+'QTR Raw'!L85</f>
        <v>124</v>
      </c>
      <c r="AS162" s="23">
        <f t="shared" si="1219"/>
        <v>124</v>
      </c>
      <c r="AT162" s="23">
        <f>+'QTR Raw'!N85</f>
        <v>109</v>
      </c>
      <c r="AU162" s="23">
        <f t="shared" si="1219"/>
        <v>109</v>
      </c>
      <c r="AV162" s="23">
        <f>+'QTR Raw'!P85</f>
        <v>113</v>
      </c>
      <c r="AW162" s="23">
        <f t="shared" si="1219"/>
        <v>113</v>
      </c>
      <c r="AX162" s="23">
        <f>+'QTR Raw'!R85</f>
        <v>2</v>
      </c>
      <c r="AY162" s="23">
        <f t="shared" si="1219"/>
        <v>2</v>
      </c>
      <c r="AZ162" s="23">
        <f>+'QTR Raw'!T85</f>
        <v>21</v>
      </c>
      <c r="BA162" s="23">
        <f t="shared" si="1219"/>
        <v>21</v>
      </c>
      <c r="BB162" s="23">
        <f>+'QTR Raw'!V85</f>
        <v>2</v>
      </c>
      <c r="BC162" s="23">
        <f t="shared" si="1219"/>
        <v>2</v>
      </c>
      <c r="BD162" s="23">
        <f>+'QTR Raw'!X85</f>
        <v>588</v>
      </c>
      <c r="BE162" s="23">
        <f t="shared" si="1219"/>
        <v>588</v>
      </c>
      <c r="BF162" s="23">
        <f>+'QTR Raw'!Z85</f>
        <v>3</v>
      </c>
      <c r="BG162" s="23">
        <f t="shared" si="1219"/>
        <v>3</v>
      </c>
      <c r="BH162" s="23">
        <f>+'QTR Raw'!AB85</f>
        <v>4</v>
      </c>
      <c r="BI162" s="23">
        <f t="shared" si="1219"/>
        <v>4</v>
      </c>
      <c r="BJ162" s="23">
        <f>+'QTR Raw'!AD85</f>
        <v>4</v>
      </c>
      <c r="BK162" s="23">
        <f t="shared" si="1219"/>
        <v>4</v>
      </c>
      <c r="BL162" s="23">
        <f>+'QTR Raw'!AF85</f>
        <v>4</v>
      </c>
      <c r="BM162" s="23">
        <f t="shared" si="1219"/>
        <v>4</v>
      </c>
      <c r="BN162" s="23">
        <f>+'QTR Raw'!AH85</f>
        <v>4</v>
      </c>
      <c r="BO162" s="23">
        <f t="shared" si="1219"/>
        <v>4</v>
      </c>
      <c r="BP162" s="23">
        <f>+'QTR Raw'!AJ85</f>
        <v>3</v>
      </c>
      <c r="BQ162" s="23">
        <f t="shared" si="1219"/>
        <v>3</v>
      </c>
      <c r="BR162" s="23">
        <f>+'QTR Raw'!AL85</f>
        <v>3</v>
      </c>
      <c r="BS162" s="23">
        <f t="shared" si="1219"/>
        <v>3</v>
      </c>
      <c r="BT162" s="23">
        <f>+'QTR Raw'!AN85</f>
        <v>3</v>
      </c>
      <c r="BU162" s="23">
        <f t="shared" si="1219"/>
        <v>3</v>
      </c>
      <c r="BV162" s="23">
        <f>+'QTR Raw'!AP85</f>
        <v>3</v>
      </c>
      <c r="BW162" s="23">
        <f t="shared" si="1219"/>
        <v>3</v>
      </c>
      <c r="BX162" s="23">
        <f>+'QTR Raw'!AR85</f>
        <v>3</v>
      </c>
      <c r="BY162" s="23">
        <f t="shared" si="1219"/>
        <v>3</v>
      </c>
      <c r="BZ162" s="23">
        <f>+'QTR Raw'!AT85</f>
        <v>2</v>
      </c>
      <c r="CA162" s="23">
        <f t="shared" si="1219"/>
        <v>2</v>
      </c>
      <c r="CB162" s="23">
        <f>+'QTR Raw'!AV85</f>
        <v>3</v>
      </c>
      <c r="CC162" s="23">
        <f t="shared" si="1219"/>
        <v>3</v>
      </c>
      <c r="CD162" s="23">
        <f>+'QTR Raw'!AX85</f>
        <v>3</v>
      </c>
      <c r="CE162" s="23">
        <f t="shared" si="1219"/>
        <v>3</v>
      </c>
      <c r="CF162" s="23">
        <f>+'QTR Raw'!AZ85</f>
        <v>4</v>
      </c>
      <c r="CG162" s="23">
        <f t="shared" si="1222"/>
        <v>4</v>
      </c>
      <c r="CH162" s="23">
        <f t="shared" si="1197"/>
        <v>199.58</v>
      </c>
      <c r="CJ162" s="23">
        <f>+'QTR Raw'!BD85</f>
        <v>5</v>
      </c>
      <c r="CL162" s="23">
        <f>+'QTR Raw'!BF85</f>
        <v>5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</v>
      </c>
    </row>
    <row r="163" spans="1:110" s="22" customFormat="1" x14ac:dyDescent="0.2">
      <c r="A163" s="22" t="s">
        <v>65</v>
      </c>
      <c r="B163" s="22">
        <f>SUM(B157:B162)</f>
        <v>209.95350000000002</v>
      </c>
      <c r="C163" s="22">
        <f t="shared" ref="C163:V163" si="1224">SUM(C157:C162)</f>
        <v>155.79700000000003</v>
      </c>
      <c r="D163" s="22">
        <f t="shared" si="1224"/>
        <v>137.32669999999999</v>
      </c>
      <c r="E163" s="22">
        <f t="shared" si="1224"/>
        <v>170.05020000000002</v>
      </c>
      <c r="F163" s="22">
        <f t="shared" si="1224"/>
        <v>254.51459999999997</v>
      </c>
      <c r="G163" s="22">
        <f t="shared" si="1224"/>
        <v>450.82029999999997</v>
      </c>
      <c r="H163" s="22">
        <f t="shared" si="1224"/>
        <v>556.09590000000003</v>
      </c>
      <c r="I163" s="22">
        <f t="shared" si="1224"/>
        <v>540.8673</v>
      </c>
      <c r="J163" s="22">
        <f t="shared" si="1224"/>
        <v>723.37720000000013</v>
      </c>
      <c r="K163" s="22">
        <f t="shared" si="1224"/>
        <v>772.38740000000007</v>
      </c>
      <c r="L163" s="22">
        <f>SUM(L157:L162)</f>
        <v>1095.4752000000001</v>
      </c>
      <c r="M163" s="22">
        <f>SUM(M157:M162)</f>
        <v>1333.94</v>
      </c>
      <c r="N163" s="22">
        <f t="shared" si="1224"/>
        <v>1960.22</v>
      </c>
      <c r="O163" s="22">
        <f t="shared" si="1224"/>
        <v>2639.64</v>
      </c>
      <c r="P163" s="22">
        <f t="shared" si="1224"/>
        <v>3443.6600000000003</v>
      </c>
      <c r="Q163" s="22">
        <f t="shared" si="1224"/>
        <v>3447.32</v>
      </c>
      <c r="R163" s="22">
        <f t="shared" si="1224"/>
        <v>3486.92</v>
      </c>
      <c r="S163" s="22">
        <f t="shared" si="1224"/>
        <v>4106.09</v>
      </c>
      <c r="T163" s="22">
        <f t="shared" si="1224"/>
        <v>4216.76</v>
      </c>
      <c r="U163" s="22">
        <f t="shared" si="1224"/>
        <v>4662.7199999999993</v>
      </c>
      <c r="V163" s="22">
        <f t="shared" si="1224"/>
        <v>4914.3399999999992</v>
      </c>
      <c r="W163" s="22">
        <f t="shared" ref="W163" si="1225">SUM(W157:W162)</f>
        <v>4924.0000000000009</v>
      </c>
      <c r="X163" s="22">
        <f t="shared" ref="X163:Y163" si="1226">SUM(X157:X162)</f>
        <v>4811.08</v>
      </c>
      <c r="Y163" s="22">
        <f t="shared" si="1226"/>
        <v>4994.95</v>
      </c>
      <c r="Z163" s="22">
        <f t="shared" ref="Z163:AA163" si="1227">SUM(Z157:Z162)</f>
        <v>5235.3099999999995</v>
      </c>
      <c r="AA163" s="22">
        <f t="shared" si="1227"/>
        <v>7667.8300000000008</v>
      </c>
      <c r="AB163" s="21">
        <f t="shared" ref="AA163:AD163" si="1228">SUM(AB157:AB162)</f>
        <v>9880.0219207214905</v>
      </c>
      <c r="AC163" s="21">
        <f t="shared" si="1228"/>
        <v>11544.303012469769</v>
      </c>
      <c r="AD163" s="21">
        <f t="shared" si="1228"/>
        <v>11832.635829610768</v>
      </c>
      <c r="AE163" s="21">
        <f t="shared" ref="AE163" si="1229">SUM(AE157:AE162)</f>
        <v>12130.872750073966</v>
      </c>
      <c r="AJ163" s="22">
        <f t="shared" ref="AJ163" si="1230">SUM(AJ157:AJ162)</f>
        <v>1566.26</v>
      </c>
      <c r="AK163" s="22">
        <f t="shared" ref="AK163" si="1231">SUM(AK157:AK162)</f>
        <v>1596.2033119383825</v>
      </c>
      <c r="AL163" s="22">
        <f t="shared" ref="AL163:AM163" si="1232">SUM(AL157:AL162)</f>
        <v>1961</v>
      </c>
      <c r="AM163" s="22">
        <f t="shared" si="1232"/>
        <v>2145.8623853211011</v>
      </c>
      <c r="AN163" s="22">
        <f t="shared" ref="AN163:AO163" si="1233">SUM(AN157:AN162)</f>
        <v>2268</v>
      </c>
      <c r="AO163" s="22">
        <f t="shared" si="1233"/>
        <v>2349.0010288065841</v>
      </c>
      <c r="AP163" s="22">
        <f t="shared" ref="AP163:CE163" si="1234">SUM(AP157:AP162)</f>
        <v>2639</v>
      </c>
      <c r="AQ163" s="22">
        <f t="shared" si="1234"/>
        <v>2448.2612244897959</v>
      </c>
      <c r="AR163" s="22">
        <f t="shared" si="1234"/>
        <v>2864</v>
      </c>
      <c r="AS163" s="22">
        <f t="shared" si="1234"/>
        <v>2773.5291700903863</v>
      </c>
      <c r="AT163" s="22">
        <f t="shared" si="1234"/>
        <v>3444</v>
      </c>
      <c r="AU163" s="22">
        <f t="shared" si="1234"/>
        <v>5268.4497400346618</v>
      </c>
      <c r="AV163" s="22">
        <f t="shared" si="1234"/>
        <v>3793</v>
      </c>
      <c r="AW163" s="22">
        <f t="shared" si="1234"/>
        <v>3522.3059657412873</v>
      </c>
      <c r="AX163" s="22">
        <f t="shared" si="1234"/>
        <v>3448</v>
      </c>
      <c r="AY163" s="22">
        <f t="shared" si="1234"/>
        <v>3537.5169660678639</v>
      </c>
      <c r="AZ163" s="22">
        <f t="shared" si="1234"/>
        <v>3799</v>
      </c>
      <c r="BA163" s="22">
        <f t="shared" si="1234"/>
        <v>3828.028691392582</v>
      </c>
      <c r="BB163" s="22">
        <f t="shared" si="1234"/>
        <v>3486</v>
      </c>
      <c r="BC163" s="22">
        <f t="shared" si="1234"/>
        <v>3359.9748953974895</v>
      </c>
      <c r="BD163" s="22">
        <f t="shared" si="1234"/>
        <v>3419</v>
      </c>
      <c r="BE163" s="22">
        <f t="shared" si="1234"/>
        <v>3504.3775582215944</v>
      </c>
      <c r="BF163" s="22">
        <f t="shared" si="1234"/>
        <v>4106</v>
      </c>
      <c r="BG163" s="22">
        <f t="shared" si="1234"/>
        <v>4415.1803278688531</v>
      </c>
      <c r="BH163" s="22">
        <f t="shared" si="1234"/>
        <v>4602</v>
      </c>
      <c r="BI163" s="22">
        <f t="shared" si="1234"/>
        <v>4901.1620908130935</v>
      </c>
      <c r="BJ163" s="22">
        <f t="shared" si="1234"/>
        <v>4217</v>
      </c>
      <c r="BK163" s="22">
        <f t="shared" si="1234"/>
        <v>4518.5010775862065</v>
      </c>
      <c r="BL163" s="22">
        <f t="shared" si="1234"/>
        <v>4370</v>
      </c>
      <c r="BM163" s="22">
        <f t="shared" si="1234"/>
        <v>4302.34812967581</v>
      </c>
      <c r="BN163" s="22">
        <f t="shared" si="1234"/>
        <v>4799</v>
      </c>
      <c r="BO163" s="22">
        <f t="shared" si="1234"/>
        <v>5013.6300102774921</v>
      </c>
      <c r="BP163" s="22">
        <f t="shared" si="1234"/>
        <v>5091</v>
      </c>
      <c r="BQ163" s="22">
        <f t="shared" si="1234"/>
        <v>5046.3128408527518</v>
      </c>
      <c r="BR163" s="22">
        <f t="shared" si="1234"/>
        <v>5041</v>
      </c>
      <c r="BS163" s="22">
        <f t="shared" si="1234"/>
        <v>5468.5622096024781</v>
      </c>
      <c r="BT163" s="22">
        <f t="shared" si="1234"/>
        <v>4951</v>
      </c>
      <c r="BU163" s="22">
        <f t="shared" si="1234"/>
        <v>4894.3706130088913</v>
      </c>
      <c r="BV163" s="22">
        <f t="shared" si="1234"/>
        <v>5053</v>
      </c>
      <c r="BW163" s="22">
        <f t="shared" si="1234"/>
        <v>5468.0727358047861</v>
      </c>
      <c r="BX163" s="22">
        <f t="shared" si="1234"/>
        <v>4878</v>
      </c>
      <c r="BY163" s="22">
        <f t="shared" si="1234"/>
        <v>5234.3509384548233</v>
      </c>
      <c r="BZ163" s="22">
        <f t="shared" si="1234"/>
        <v>4956</v>
      </c>
      <c r="CA163" s="22">
        <f t="shared" si="1234"/>
        <v>5123.5632276194301</v>
      </c>
      <c r="CB163" s="22">
        <f t="shared" si="1234"/>
        <v>4849</v>
      </c>
      <c r="CC163" s="22">
        <f t="shared" si="1234"/>
        <v>4956.458646616541</v>
      </c>
      <c r="CD163" s="22">
        <f t="shared" si="1234"/>
        <v>5153</v>
      </c>
      <c r="CE163" s="22">
        <f t="shared" si="1234"/>
        <v>5324.2284153005457</v>
      </c>
      <c r="CF163" s="22">
        <f t="shared" ref="CF163:CG163" si="1235">SUM(CF157:CF162)</f>
        <v>5078</v>
      </c>
      <c r="CG163" s="22">
        <f t="shared" si="1235"/>
        <v>4965.7397023191415</v>
      </c>
      <c r="CH163" s="22">
        <f t="shared" ref="CH163:CI163" si="1236">SUM(CH157:CH162)</f>
        <v>5235.3099999999995</v>
      </c>
      <c r="CI163" s="22">
        <f t="shared" si="1236"/>
        <v>5622.7830956404187</v>
      </c>
      <c r="CJ163" s="22">
        <f t="shared" ref="CJ163:DB163" si="1237">SUM(CJ157:CJ162)</f>
        <v>5988</v>
      </c>
      <c r="CK163" s="22">
        <f t="shared" si="1237"/>
        <v>5989.8134463961233</v>
      </c>
      <c r="CL163" s="22">
        <f t="shared" ref="CL163" si="1238">SUM(CL157:CL162)</f>
        <v>8329</v>
      </c>
      <c r="CM163" s="21">
        <f t="shared" si="1237"/>
        <v>7459.1883452217671</v>
      </c>
      <c r="CN163" s="21">
        <f t="shared" si="1237"/>
        <v>7783.628633748519</v>
      </c>
      <c r="CO163" s="21">
        <f t="shared" si="1237"/>
        <v>7795.880164596585</v>
      </c>
      <c r="CP163" s="21">
        <f t="shared" si="1237"/>
        <v>9880.0219207214905</v>
      </c>
      <c r="CQ163" s="21">
        <f t="shared" si="1237"/>
        <v>8750.7639687383307</v>
      </c>
      <c r="CR163" s="21">
        <f t="shared" si="1237"/>
        <v>9126.6406899254216</v>
      </c>
      <c r="CS163" s="21">
        <f t="shared" si="1237"/>
        <v>9126.6212451177998</v>
      </c>
      <c r="CT163" s="21">
        <f t="shared" si="1237"/>
        <v>11544.303012469769</v>
      </c>
      <c r="CU163" s="21">
        <f t="shared" si="1237"/>
        <v>9408.9140512124177</v>
      </c>
      <c r="CV163" s="21">
        <f t="shared" si="1237"/>
        <v>9545.455467276588</v>
      </c>
      <c r="CW163" s="21">
        <f t="shared" si="1237"/>
        <v>9417.6321713222242</v>
      </c>
      <c r="CX163" s="21">
        <f t="shared" si="1237"/>
        <v>11832.635829610768</v>
      </c>
      <c r="CY163" s="21">
        <f t="shared" si="1237"/>
        <v>9626.5816870546987</v>
      </c>
      <c r="CZ163" s="21">
        <f t="shared" si="1237"/>
        <v>9779.2956573463653</v>
      </c>
      <c r="DA163" s="21">
        <f t="shared" si="1237"/>
        <v>9653.0438676466765</v>
      </c>
      <c r="DB163" s="21">
        <f t="shared" si="1237"/>
        <v>12130.872750073966</v>
      </c>
      <c r="DE163" s="126"/>
      <c r="DF163" s="22">
        <v>6232.6035909414877</v>
      </c>
    </row>
    <row r="164" spans="1:110" s="23" customFormat="1" outlineLevel="1" x14ac:dyDescent="0.2">
      <c r="A164" s="23" t="s">
        <v>66</v>
      </c>
      <c r="B164" s="23">
        <f>'Annual Raw'!C50+'Annual Raw'!C58</f>
        <v>0</v>
      </c>
      <c r="C164" s="23">
        <f>'Annual Raw'!D50+'Annual Raw'!D58</f>
        <v>0</v>
      </c>
      <c r="D164" s="23">
        <f>'Annual Raw'!E50+'Annual Raw'!E58</f>
        <v>0</v>
      </c>
      <c r="E164" s="23">
        <f>'Annual Raw'!F50+'Annual Raw'!F58</f>
        <v>0</v>
      </c>
      <c r="F164" s="23">
        <f>'Annual Raw'!G50+'Annual Raw'!G58</f>
        <v>0</v>
      </c>
      <c r="G164" s="23">
        <f>'Annual Raw'!H50+'Annual Raw'!H58</f>
        <v>0</v>
      </c>
      <c r="H164" s="23">
        <f>'Annual Raw'!I50+'Annual Raw'!I58</f>
        <v>0</v>
      </c>
      <c r="I164" s="23">
        <f>'Annual Raw'!J50+'Annual Raw'!J58</f>
        <v>0</v>
      </c>
      <c r="J164" s="23">
        <f>'Annual Raw'!K50+'Annual Raw'!K58</f>
        <v>0</v>
      </c>
      <c r="K164" s="23">
        <f>'Annual Raw'!L50+'Annual Raw'!L58</f>
        <v>0</v>
      </c>
      <c r="L164" s="23">
        <f>'Annual Raw'!M50+'Annual Raw'!M58</f>
        <v>0.43590000000000001</v>
      </c>
      <c r="M164" s="23">
        <f>'Annual Raw'!N50+'Annual Raw'!N58</f>
        <v>3.8</v>
      </c>
      <c r="N164" s="23">
        <f>'Annual Raw'!O50+'Annual Raw'!O58</f>
        <v>10.01</v>
      </c>
      <c r="O164" s="23">
        <f>'Annual Raw'!P50+'Annual Raw'!P58</f>
        <v>10.029999999999999</v>
      </c>
      <c r="P164" s="23">
        <f>'Annual Raw'!Q50+'Annual Raw'!Q58</f>
        <v>7.51</v>
      </c>
      <c r="Q164" s="23">
        <f>'Annual Raw'!R50+'Annual Raw'!R58</f>
        <v>9.65</v>
      </c>
      <c r="R164" s="23">
        <f>'Annual Raw'!S50+'Annual Raw'!S58</f>
        <v>7.93</v>
      </c>
      <c r="S164" s="23">
        <f>'Annual Raw'!T50+'Annual Raw'!T58</f>
        <v>20.18</v>
      </c>
      <c r="T164" s="23">
        <f>'Annual Raw'!U50+'Annual Raw'!U58</f>
        <v>22.31</v>
      </c>
      <c r="U164" s="23">
        <f>'Annual Raw'!V50+'Annual Raw'!V58</f>
        <v>90.17</v>
      </c>
      <c r="V164" s="23">
        <f>'Annual Raw'!W50+'Annual Raw'!W58</f>
        <v>35.17</v>
      </c>
      <c r="W164" s="23">
        <f>'Annual Raw'!X50+'Annual Raw'!X58</f>
        <v>46.28</v>
      </c>
      <c r="X164" s="23">
        <f>'Annual Raw'!Y50+'Annual Raw'!Y58</f>
        <v>75.260000000000005</v>
      </c>
      <c r="Y164" s="23">
        <f>'Annual Raw'!Z50+'Annual Raw'!Z58</f>
        <v>74.66</v>
      </c>
      <c r="Z164" s="23">
        <f>'Annual Raw'!AA50+'Annual Raw'!AA58</f>
        <v>160.12</v>
      </c>
      <c r="AA164" s="23">
        <f>'Annual Raw'!AB50+'Annual Raw'!AB58</f>
        <v>298.04000000000002</v>
      </c>
      <c r="AB164" s="24">
        <f t="shared" ref="AB164:AB170" si="1239">+CP164</f>
        <v>0</v>
      </c>
      <c r="AC164" s="24">
        <f t="shared" ref="AC164:AC170" si="1240">+CT164</f>
        <v>0</v>
      </c>
      <c r="AD164" s="24">
        <f t="shared" ref="AD164:AD170" si="1241">+CX164</f>
        <v>0</v>
      </c>
      <c r="AE164" s="24">
        <f t="shared" ref="AE164:AE170" si="1242">+DB164</f>
        <v>0</v>
      </c>
      <c r="AJ164" s="23">
        <f>+'QTR Raw'!D64</f>
        <v>6.16</v>
      </c>
      <c r="AK164" s="23">
        <f t="shared" ref="AK164:CE170" si="1243">+AJ164</f>
        <v>6.16</v>
      </c>
      <c r="AL164" s="23">
        <f>+'QTR Raw'!F64</f>
        <v>10</v>
      </c>
      <c r="AM164" s="23">
        <f t="shared" si="1243"/>
        <v>10</v>
      </c>
      <c r="AN164" s="23">
        <f>+'QTR Raw'!H64</f>
        <v>7</v>
      </c>
      <c r="AO164" s="23">
        <f t="shared" si="1243"/>
        <v>7</v>
      </c>
      <c r="AP164" s="23">
        <f>+'QTR Raw'!J64</f>
        <v>10</v>
      </c>
      <c r="AQ164" s="23">
        <f t="shared" si="1243"/>
        <v>10</v>
      </c>
      <c r="AR164" s="23">
        <f>+'QTR Raw'!L64</f>
        <v>7</v>
      </c>
      <c r="AS164" s="23">
        <f t="shared" si="1243"/>
        <v>7</v>
      </c>
      <c r="AT164" s="23">
        <f>+'QTR Raw'!N64</f>
        <v>8</v>
      </c>
      <c r="AU164" s="23">
        <f t="shared" si="1243"/>
        <v>8</v>
      </c>
      <c r="AV164" s="23">
        <f>+'QTR Raw'!P64</f>
        <v>9</v>
      </c>
      <c r="AW164" s="23">
        <f t="shared" si="1243"/>
        <v>9</v>
      </c>
      <c r="AX164" s="23">
        <f>+'QTR Raw'!R64</f>
        <v>10</v>
      </c>
      <c r="AY164" s="23">
        <f t="shared" si="1243"/>
        <v>10</v>
      </c>
      <c r="AZ164" s="23">
        <f>+'QTR Raw'!T64</f>
        <v>10</v>
      </c>
      <c r="BA164" s="23">
        <f t="shared" si="1243"/>
        <v>10</v>
      </c>
      <c r="BB164" s="23">
        <f>+'QTR Raw'!V64</f>
        <v>8</v>
      </c>
      <c r="BC164" s="23">
        <f t="shared" si="1243"/>
        <v>8</v>
      </c>
      <c r="BD164" s="23">
        <f>+'QTR Raw'!X64</f>
        <v>10</v>
      </c>
      <c r="BE164" s="23">
        <f t="shared" si="1243"/>
        <v>10</v>
      </c>
      <c r="BF164" s="23">
        <f>+'QTR Raw'!Z64</f>
        <v>20</v>
      </c>
      <c r="BG164" s="23">
        <f t="shared" si="1243"/>
        <v>20</v>
      </c>
      <c r="BH164" s="23">
        <f>+'QTR Raw'!AB64</f>
        <v>76</v>
      </c>
      <c r="BI164" s="23">
        <f t="shared" si="1243"/>
        <v>76</v>
      </c>
      <c r="BJ164" s="23">
        <f>+'QTR Raw'!AD64</f>
        <v>22</v>
      </c>
      <c r="BK164" s="23">
        <f t="shared" si="1243"/>
        <v>22</v>
      </c>
      <c r="BL164" s="23">
        <f>+'QTR Raw'!AF64</f>
        <v>25</v>
      </c>
      <c r="BM164" s="23">
        <f t="shared" si="1243"/>
        <v>25</v>
      </c>
      <c r="BN164" s="23">
        <f>+'QTR Raw'!AH64</f>
        <v>119</v>
      </c>
      <c r="BO164" s="23">
        <f t="shared" si="1243"/>
        <v>119</v>
      </c>
      <c r="BP164" s="23">
        <f>+'QTR Raw'!AJ64</f>
        <v>54</v>
      </c>
      <c r="BQ164" s="23">
        <f t="shared" si="1243"/>
        <v>54</v>
      </c>
      <c r="BR164" s="23">
        <f>+'QTR Raw'!AL64</f>
        <v>35</v>
      </c>
      <c r="BS164" s="23">
        <f t="shared" si="1243"/>
        <v>35</v>
      </c>
      <c r="BT164" s="23">
        <f>+'QTR Raw'!AN64</f>
        <v>43</v>
      </c>
      <c r="BU164" s="23">
        <f t="shared" si="1243"/>
        <v>43</v>
      </c>
      <c r="BV164" s="23">
        <f>+'QTR Raw'!AP64</f>
        <v>46</v>
      </c>
      <c r="BW164" s="23">
        <f t="shared" si="1243"/>
        <v>46</v>
      </c>
      <c r="BX164" s="23">
        <f>+'QTR Raw'!AR64</f>
        <v>79</v>
      </c>
      <c r="BY164" s="23">
        <f t="shared" si="1243"/>
        <v>79</v>
      </c>
      <c r="BZ164" s="23">
        <f>+'QTR Raw'!AT64</f>
        <v>76</v>
      </c>
      <c r="CA164" s="23">
        <f t="shared" si="1243"/>
        <v>76</v>
      </c>
      <c r="CB164" s="23">
        <f>+'QTR Raw'!AV64</f>
        <v>61</v>
      </c>
      <c r="CC164" s="23">
        <f t="shared" si="1243"/>
        <v>61</v>
      </c>
      <c r="CD164" s="23">
        <f>+'QTR Raw'!AX64</f>
        <v>74</v>
      </c>
      <c r="CE164" s="23">
        <f t="shared" si="1243"/>
        <v>74</v>
      </c>
      <c r="CF164" s="23">
        <f>+'QTR Raw'!AZ64</f>
        <v>84</v>
      </c>
      <c r="CG164" s="23">
        <f t="shared" ref="CG164:CG167" si="1244">+CF164</f>
        <v>84</v>
      </c>
      <c r="CH164" s="23">
        <f t="shared" si="1197"/>
        <v>160.12</v>
      </c>
      <c r="CJ164" s="23">
        <f>+'QTR Raw'!BD64</f>
        <v>260</v>
      </c>
      <c r="CL164" s="23">
        <f>+'QTR Raw'!BF64</f>
        <v>298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298</v>
      </c>
    </row>
    <row r="165" spans="1:110" s="23" customFormat="1" outlineLevel="1" x14ac:dyDescent="0.2">
      <c r="A165" s="23" t="s">
        <v>67</v>
      </c>
      <c r="B165" s="23">
        <f>'Annual Raw'!C51</f>
        <v>0</v>
      </c>
      <c r="C165" s="23">
        <f>'Annual Raw'!D51</f>
        <v>0</v>
      </c>
      <c r="D165" s="23">
        <f>'Annual Raw'!E51</f>
        <v>0</v>
      </c>
      <c r="E165" s="23">
        <f>'Annual Raw'!F51</f>
        <v>0</v>
      </c>
      <c r="F165" s="23">
        <f>'Annual Raw'!G51</f>
        <v>0</v>
      </c>
      <c r="G165" s="23">
        <f>'Annual Raw'!H51</f>
        <v>0</v>
      </c>
      <c r="H165" s="23">
        <f>'Annual Raw'!I51</f>
        <v>0</v>
      </c>
      <c r="I165" s="23">
        <f>'Annual Raw'!J51</f>
        <v>0</v>
      </c>
      <c r="J165" s="23">
        <f>'Annual Raw'!K51</f>
        <v>0</v>
      </c>
      <c r="K165" s="23">
        <f>'Annual Raw'!L51</f>
        <v>0</v>
      </c>
      <c r="L165" s="23">
        <f>'Annual Raw'!M51</f>
        <v>0</v>
      </c>
      <c r="M165" s="23">
        <f>'Annual Raw'!N51</f>
        <v>0</v>
      </c>
      <c r="N165" s="23">
        <f>'Annual Raw'!O51</f>
        <v>0</v>
      </c>
      <c r="O165" s="23">
        <f>'Annual Raw'!P51</f>
        <v>0</v>
      </c>
      <c r="P165" s="23">
        <f>'Annual Raw'!Q51</f>
        <v>0</v>
      </c>
      <c r="Q165" s="23">
        <f>'Annual Raw'!R51</f>
        <v>0</v>
      </c>
      <c r="R165" s="23">
        <f>'Annual Raw'!S51</f>
        <v>0</v>
      </c>
      <c r="S165" s="23">
        <f>'Annual Raw'!T51</f>
        <v>0</v>
      </c>
      <c r="T165" s="23">
        <f>'Annual Raw'!U51</f>
        <v>0</v>
      </c>
      <c r="U165" s="23">
        <f>'Annual Raw'!V51</f>
        <v>0</v>
      </c>
      <c r="V165" s="23">
        <f>'Annual Raw'!W51</f>
        <v>0</v>
      </c>
      <c r="W165" s="23">
        <f>'Annual Raw'!X51</f>
        <v>0</v>
      </c>
      <c r="X165" s="23">
        <f>'Annual Raw'!Y51</f>
        <v>0</v>
      </c>
      <c r="Y165" s="23">
        <f>'Annual Raw'!Z51</f>
        <v>0</v>
      </c>
      <c r="Z165" s="23">
        <f>'Annual Raw'!AA51</f>
        <v>0</v>
      </c>
      <c r="AA165" s="23">
        <f>'Annual Raw'!AB51</f>
        <v>0</v>
      </c>
      <c r="AB165" s="24">
        <f t="shared" si="1239"/>
        <v>0</v>
      </c>
      <c r="AC165" s="24">
        <f t="shared" si="1240"/>
        <v>0</v>
      </c>
      <c r="AD165" s="24">
        <f t="shared" si="1241"/>
        <v>0</v>
      </c>
      <c r="AE165" s="24">
        <f t="shared" si="1242"/>
        <v>0</v>
      </c>
      <c r="AJ165" s="23">
        <f>+'QTR Raw'!D65</f>
        <v>0</v>
      </c>
      <c r="AK165" s="23">
        <f t="shared" si="1243"/>
        <v>0</v>
      </c>
      <c r="AL165" s="23">
        <f>+'QTR Raw'!F65</f>
        <v>0</v>
      </c>
      <c r="AM165" s="23">
        <f t="shared" si="1243"/>
        <v>0</v>
      </c>
      <c r="AN165" s="23">
        <f>+'QTR Raw'!H65</f>
        <v>0</v>
      </c>
      <c r="AO165" s="23">
        <f t="shared" si="1243"/>
        <v>0</v>
      </c>
      <c r="AP165" s="23">
        <f>+'QTR Raw'!J65</f>
        <v>0</v>
      </c>
      <c r="AQ165" s="23">
        <f t="shared" si="1243"/>
        <v>0</v>
      </c>
      <c r="AR165" s="23">
        <f>+'QTR Raw'!L65</f>
        <v>0</v>
      </c>
      <c r="AS165" s="23">
        <f t="shared" si="1243"/>
        <v>0</v>
      </c>
      <c r="AT165" s="23">
        <f>+'QTR Raw'!N65</f>
        <v>0</v>
      </c>
      <c r="AU165" s="23">
        <f t="shared" si="1243"/>
        <v>0</v>
      </c>
      <c r="AV165" s="23">
        <f>+'QTR Raw'!P65</f>
        <v>0</v>
      </c>
      <c r="AW165" s="23">
        <f t="shared" si="1243"/>
        <v>0</v>
      </c>
      <c r="AX165" s="23">
        <f>+'QTR Raw'!R65</f>
        <v>0</v>
      </c>
      <c r="AY165" s="23">
        <f t="shared" si="1243"/>
        <v>0</v>
      </c>
      <c r="AZ165" s="23">
        <f>+'QTR Raw'!T65</f>
        <v>0</v>
      </c>
      <c r="BA165" s="23">
        <f t="shared" si="1243"/>
        <v>0</v>
      </c>
      <c r="BB165" s="23">
        <f>+'QTR Raw'!V65</f>
        <v>0</v>
      </c>
      <c r="BC165" s="23">
        <f t="shared" si="1243"/>
        <v>0</v>
      </c>
      <c r="BD165" s="23">
        <f>+'QTR Raw'!X65</f>
        <v>0</v>
      </c>
      <c r="BE165" s="23">
        <f t="shared" si="1243"/>
        <v>0</v>
      </c>
      <c r="BF165" s="23">
        <f>+'QTR Raw'!Z65</f>
        <v>0</v>
      </c>
      <c r="BG165" s="23">
        <f t="shared" si="1243"/>
        <v>0</v>
      </c>
      <c r="BH165" s="23">
        <f>+'QTR Raw'!AB65</f>
        <v>0</v>
      </c>
      <c r="BI165" s="23">
        <f t="shared" si="1243"/>
        <v>0</v>
      </c>
      <c r="BJ165" s="23">
        <f>+'QTR Raw'!AD65</f>
        <v>0</v>
      </c>
      <c r="BK165" s="23">
        <f t="shared" si="1243"/>
        <v>0</v>
      </c>
      <c r="BL165" s="23">
        <f>+'QTR Raw'!AF65</f>
        <v>0</v>
      </c>
      <c r="BM165" s="23">
        <f t="shared" si="1243"/>
        <v>0</v>
      </c>
      <c r="BN165" s="23">
        <f>+'QTR Raw'!AH65</f>
        <v>0</v>
      </c>
      <c r="BO165" s="23">
        <f t="shared" si="1243"/>
        <v>0</v>
      </c>
      <c r="BP165" s="23">
        <f>+'QTR Raw'!AJ65</f>
        <v>0</v>
      </c>
      <c r="BQ165" s="23">
        <f t="shared" si="1243"/>
        <v>0</v>
      </c>
      <c r="BR165" s="23">
        <f>+'QTR Raw'!AL65</f>
        <v>0</v>
      </c>
      <c r="BS165" s="23">
        <f t="shared" si="1243"/>
        <v>0</v>
      </c>
      <c r="BT165" s="23">
        <f>+'QTR Raw'!AN65</f>
        <v>0</v>
      </c>
      <c r="BU165" s="23">
        <f t="shared" si="1243"/>
        <v>0</v>
      </c>
      <c r="BV165" s="23">
        <f>+'QTR Raw'!AP65</f>
        <v>0</v>
      </c>
      <c r="BW165" s="23">
        <f t="shared" si="1243"/>
        <v>0</v>
      </c>
      <c r="BX165" s="23">
        <f>+'QTR Raw'!AR65</f>
        <v>0</v>
      </c>
      <c r="BY165" s="23">
        <f t="shared" si="1243"/>
        <v>0</v>
      </c>
      <c r="BZ165" s="23">
        <f>+'QTR Raw'!AT65</f>
        <v>0</v>
      </c>
      <c r="CA165" s="23">
        <f t="shared" si="1243"/>
        <v>0</v>
      </c>
      <c r="CB165" s="23">
        <f>+'QTR Raw'!AV65</f>
        <v>0</v>
      </c>
      <c r="CC165" s="23">
        <f t="shared" si="1243"/>
        <v>0</v>
      </c>
      <c r="CD165" s="23">
        <f>+'QTR Raw'!AX65</f>
        <v>0</v>
      </c>
      <c r="CE165" s="23">
        <f t="shared" si="1243"/>
        <v>0</v>
      </c>
      <c r="CF165" s="23">
        <f>+'QTR Raw'!AZ65</f>
        <v>0</v>
      </c>
      <c r="CG165" s="23">
        <f t="shared" si="1244"/>
        <v>0</v>
      </c>
      <c r="CH165" s="23">
        <f t="shared" si="1197"/>
        <v>0</v>
      </c>
      <c r="CJ165" s="23">
        <f>+'QTR Raw'!BD65</f>
        <v>0</v>
      </c>
      <c r="CL165" s="23">
        <f>+'QTR Raw'!BF65</f>
        <v>0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0</v>
      </c>
    </row>
    <row r="166" spans="1:110" s="23" customFormat="1" outlineLevel="1" x14ac:dyDescent="0.2">
      <c r="A166" s="23" t="s">
        <v>68</v>
      </c>
      <c r="B166" s="23">
        <f>'Annual Raw'!C52</f>
        <v>0</v>
      </c>
      <c r="C166" s="23">
        <f>'Annual Raw'!D52</f>
        <v>0</v>
      </c>
      <c r="D166" s="23">
        <f>'Annual Raw'!E52</f>
        <v>0</v>
      </c>
      <c r="E166" s="23">
        <f>'Annual Raw'!F52</f>
        <v>0</v>
      </c>
      <c r="F166" s="23">
        <f>'Annual Raw'!G52</f>
        <v>0</v>
      </c>
      <c r="G166" s="23">
        <f>'Annual Raw'!H52</f>
        <v>0</v>
      </c>
      <c r="H166" s="23">
        <f>'Annual Raw'!I52</f>
        <v>0</v>
      </c>
      <c r="I166" s="23">
        <f>'Annual Raw'!J52</f>
        <v>0</v>
      </c>
      <c r="J166" s="23">
        <f>'Annual Raw'!K52</f>
        <v>0</v>
      </c>
      <c r="K166" s="23">
        <f>'Annual Raw'!L52</f>
        <v>0</v>
      </c>
      <c r="L166" s="23">
        <f>'Annual Raw'!M52</f>
        <v>56.1387</v>
      </c>
      <c r="M166" s="23">
        <f>'Annual Raw'!N52</f>
        <v>110.45</v>
      </c>
      <c r="N166" s="23">
        <f>'Annual Raw'!O52</f>
        <v>129.51</v>
      </c>
      <c r="O166" s="23">
        <f>'Annual Raw'!P52</f>
        <v>190.43</v>
      </c>
      <c r="P166" s="23">
        <f>'Annual Raw'!Q52</f>
        <v>207.49</v>
      </c>
      <c r="Q166" s="23">
        <f>'Annual Raw'!R52</f>
        <v>246.36</v>
      </c>
      <c r="R166" s="23">
        <f>'Annual Raw'!S52</f>
        <v>263.04000000000002</v>
      </c>
      <c r="S166" s="23">
        <f>'Annual Raw'!T52</f>
        <v>286.66000000000003</v>
      </c>
      <c r="T166" s="23">
        <f>'Annual Raw'!U52</f>
        <v>288.52</v>
      </c>
      <c r="U166" s="23">
        <f>'Annual Raw'!V52</f>
        <v>338.34</v>
      </c>
      <c r="V166" s="23">
        <f>'Annual Raw'!W52</f>
        <v>369.62</v>
      </c>
      <c r="W166" s="23">
        <f>'Annual Raw'!X52</f>
        <v>368.74</v>
      </c>
      <c r="X166" s="23">
        <f>'Annual Raw'!Y52</f>
        <v>393.06</v>
      </c>
      <c r="Y166" s="23">
        <f>'Annual Raw'!Z52</f>
        <v>444.69</v>
      </c>
      <c r="Z166" s="23">
        <f>'Annual Raw'!AA52</f>
        <v>501.27</v>
      </c>
      <c r="AA166" s="23">
        <f>'Annual Raw'!AB52</f>
        <v>764.55</v>
      </c>
      <c r="AB166" s="24">
        <f t="shared" si="1239"/>
        <v>0</v>
      </c>
      <c r="AC166" s="24">
        <f t="shared" si="1240"/>
        <v>0</v>
      </c>
      <c r="AD166" s="24">
        <f t="shared" si="1241"/>
        <v>0</v>
      </c>
      <c r="AE166" s="24">
        <f t="shared" si="1242"/>
        <v>0</v>
      </c>
      <c r="AJ166" s="23">
        <f>+'QTR Raw'!D66</f>
        <v>120.67</v>
      </c>
      <c r="AK166" s="23">
        <f t="shared" si="1243"/>
        <v>120.67</v>
      </c>
      <c r="AL166" s="23">
        <f>+'QTR Raw'!F66</f>
        <v>130</v>
      </c>
      <c r="AM166" s="23">
        <f t="shared" si="1243"/>
        <v>130</v>
      </c>
      <c r="AN166" s="23">
        <f>+'QTR Raw'!H66</f>
        <v>153</v>
      </c>
      <c r="AO166" s="23">
        <f t="shared" si="1243"/>
        <v>153</v>
      </c>
      <c r="AP166" s="23">
        <f>+'QTR Raw'!J66</f>
        <v>190</v>
      </c>
      <c r="AQ166" s="23">
        <f t="shared" si="1243"/>
        <v>190</v>
      </c>
      <c r="AR166" s="23">
        <f>+'QTR Raw'!L66</f>
        <v>200</v>
      </c>
      <c r="AS166" s="23">
        <f t="shared" si="1243"/>
        <v>200</v>
      </c>
      <c r="AT166" s="23">
        <f>+'QTR Raw'!N66</f>
        <v>207</v>
      </c>
      <c r="AU166" s="23">
        <f t="shared" si="1243"/>
        <v>207</v>
      </c>
      <c r="AV166" s="23">
        <f>+'QTR Raw'!P66</f>
        <v>266</v>
      </c>
      <c r="AW166" s="23">
        <f t="shared" si="1243"/>
        <v>266</v>
      </c>
      <c r="AX166" s="23">
        <f>+'QTR Raw'!R66</f>
        <v>246</v>
      </c>
      <c r="AY166" s="23">
        <f t="shared" si="1243"/>
        <v>246</v>
      </c>
      <c r="AZ166" s="23">
        <f>+'QTR Raw'!T66</f>
        <v>245</v>
      </c>
      <c r="BA166" s="23">
        <f t="shared" si="1243"/>
        <v>245</v>
      </c>
      <c r="BB166" s="23">
        <f>+'QTR Raw'!V66</f>
        <v>263</v>
      </c>
      <c r="BC166" s="23">
        <f t="shared" si="1243"/>
        <v>263</v>
      </c>
      <c r="BD166" s="23">
        <f>+'QTR Raw'!X66</f>
        <v>274</v>
      </c>
      <c r="BE166" s="23">
        <f t="shared" si="1243"/>
        <v>274</v>
      </c>
      <c r="BF166" s="23">
        <f>+'QTR Raw'!Z66</f>
        <v>287</v>
      </c>
      <c r="BG166" s="23">
        <f t="shared" si="1243"/>
        <v>287</v>
      </c>
      <c r="BH166" s="23">
        <f>+'QTR Raw'!AB66</f>
        <v>303</v>
      </c>
      <c r="BI166" s="23">
        <f t="shared" si="1243"/>
        <v>303</v>
      </c>
      <c r="BJ166" s="23">
        <f>+'QTR Raw'!AD66</f>
        <v>289</v>
      </c>
      <c r="BK166" s="23">
        <f t="shared" si="1243"/>
        <v>289</v>
      </c>
      <c r="BL166" s="23">
        <f>+'QTR Raw'!AF66</f>
        <v>316</v>
      </c>
      <c r="BM166" s="23">
        <f t="shared" si="1243"/>
        <v>316</v>
      </c>
      <c r="BN166" s="23">
        <f>+'QTR Raw'!AH66</f>
        <v>338</v>
      </c>
      <c r="BO166" s="23">
        <f t="shared" si="1243"/>
        <v>338</v>
      </c>
      <c r="BP166" s="23">
        <f>+'QTR Raw'!AJ66</f>
        <v>353</v>
      </c>
      <c r="BQ166" s="23">
        <f t="shared" si="1243"/>
        <v>353</v>
      </c>
      <c r="BR166" s="23">
        <f>+'QTR Raw'!AL66</f>
        <v>370</v>
      </c>
      <c r="BS166" s="23">
        <f t="shared" si="1243"/>
        <v>370</v>
      </c>
      <c r="BT166" s="23">
        <f>+'QTR Raw'!AN66</f>
        <v>377</v>
      </c>
      <c r="BU166" s="23">
        <f t="shared" si="1243"/>
        <v>377</v>
      </c>
      <c r="BV166" s="23">
        <f>+'QTR Raw'!AP66</f>
        <v>369</v>
      </c>
      <c r="BW166" s="23">
        <f t="shared" si="1243"/>
        <v>369</v>
      </c>
      <c r="BX166" s="23">
        <f>+'QTR Raw'!AR66</f>
        <v>390</v>
      </c>
      <c r="BY166" s="23">
        <f t="shared" si="1243"/>
        <v>390</v>
      </c>
      <c r="BZ166" s="23">
        <f>+'QTR Raw'!AT66</f>
        <v>393</v>
      </c>
      <c r="CA166" s="23">
        <f t="shared" si="1243"/>
        <v>393</v>
      </c>
      <c r="CB166" s="23">
        <f>+'QTR Raw'!AV66</f>
        <v>408</v>
      </c>
      <c r="CC166" s="23">
        <f t="shared" si="1243"/>
        <v>408</v>
      </c>
      <c r="CD166" s="23">
        <f>+'QTR Raw'!AX66</f>
        <v>445</v>
      </c>
      <c r="CE166" s="23">
        <f t="shared" si="1243"/>
        <v>445</v>
      </c>
      <c r="CF166" s="23">
        <f>+'QTR Raw'!AZ66</f>
        <v>446</v>
      </c>
      <c r="CG166" s="23">
        <f t="shared" si="1244"/>
        <v>446</v>
      </c>
      <c r="CH166" s="23">
        <f t="shared" si="1197"/>
        <v>501.27</v>
      </c>
      <c r="CJ166" s="23">
        <f>+'QTR Raw'!BD66</f>
        <v>541</v>
      </c>
      <c r="CL166" s="23">
        <f>+'QTR Raw'!BF66</f>
        <v>765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765</v>
      </c>
    </row>
    <row r="167" spans="1:110" s="23" customFormat="1" outlineLevel="1" x14ac:dyDescent="0.2">
      <c r="A167" s="23" t="s">
        <v>69</v>
      </c>
      <c r="B167" s="23">
        <v>0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24">
        <f t="shared" si="1239"/>
        <v>4627.4421314364899</v>
      </c>
      <c r="AC167" s="24">
        <f t="shared" si="1240"/>
        <v>5406.9307301770386</v>
      </c>
      <c r="AD167" s="24">
        <f t="shared" si="1241"/>
        <v>5541.9753117194859</v>
      </c>
      <c r="AE167" s="24">
        <f t="shared" si="1242"/>
        <v>5681.6586142440301</v>
      </c>
      <c r="AJ167" s="23">
        <f>+'QTR Raw'!D87</f>
        <v>1085.5899999999999</v>
      </c>
      <c r="AK167" s="23">
        <f t="shared" si="1243"/>
        <v>1085.5899999999999</v>
      </c>
      <c r="AL167" s="23">
        <f>+'QTR Raw'!F87</f>
        <v>0</v>
      </c>
      <c r="AM167" s="23">
        <f t="shared" si="1243"/>
        <v>0</v>
      </c>
      <c r="AN167" s="23">
        <f>+'QTR Raw'!H87</f>
        <v>0</v>
      </c>
      <c r="AO167" s="23">
        <f t="shared" si="1243"/>
        <v>0</v>
      </c>
      <c r="AP167" s="23">
        <f>+'QTR Raw'!J87</f>
        <v>0</v>
      </c>
      <c r="AQ167" s="23">
        <f t="shared" si="1243"/>
        <v>0</v>
      </c>
      <c r="AR167" s="23">
        <f>+'QTR Raw'!L87</f>
        <v>0</v>
      </c>
      <c r="AS167" s="23">
        <f t="shared" si="1243"/>
        <v>0</v>
      </c>
      <c r="AT167" s="23">
        <f>+'QTR Raw'!N87</f>
        <v>0</v>
      </c>
      <c r="AU167" s="23">
        <f t="shared" si="1243"/>
        <v>0</v>
      </c>
      <c r="AV167" s="23">
        <f>+'QTR Raw'!P87</f>
        <v>0</v>
      </c>
      <c r="AW167" s="23">
        <f t="shared" si="1243"/>
        <v>0</v>
      </c>
      <c r="AX167" s="23">
        <f>+'QTR Raw'!R87</f>
        <v>0</v>
      </c>
      <c r="AY167" s="23">
        <f t="shared" si="1243"/>
        <v>0</v>
      </c>
      <c r="AZ167" s="23">
        <f>+'QTR Raw'!T87</f>
        <v>0</v>
      </c>
      <c r="BA167" s="23">
        <f t="shared" si="1243"/>
        <v>0</v>
      </c>
      <c r="BB167" s="23">
        <f>+'QTR Raw'!V87</f>
        <v>0</v>
      </c>
      <c r="BC167" s="23">
        <f t="shared" si="1243"/>
        <v>0</v>
      </c>
      <c r="BD167" s="23">
        <f>+'QTR Raw'!X87</f>
        <v>0</v>
      </c>
      <c r="BE167" s="23">
        <f t="shared" si="1243"/>
        <v>0</v>
      </c>
      <c r="BF167" s="23">
        <f>+'QTR Raw'!Z87</f>
        <v>0</v>
      </c>
      <c r="BG167" s="23">
        <f t="shared" si="1243"/>
        <v>0</v>
      </c>
      <c r="BH167" s="23">
        <f>+'QTR Raw'!AB87</f>
        <v>0</v>
      </c>
      <c r="BI167" s="23">
        <f t="shared" si="1243"/>
        <v>0</v>
      </c>
      <c r="BJ167" s="23">
        <f>+'QTR Raw'!AD87</f>
        <v>0</v>
      </c>
      <c r="BK167" s="23">
        <f t="shared" si="1243"/>
        <v>0</v>
      </c>
      <c r="BL167" s="23">
        <f>+'QTR Raw'!AF87</f>
        <v>0</v>
      </c>
      <c r="BM167" s="23">
        <f t="shared" si="1243"/>
        <v>0</v>
      </c>
      <c r="BN167" s="23">
        <f>+'QTR Raw'!AH87</f>
        <v>0</v>
      </c>
      <c r="BO167" s="23">
        <f t="shared" si="1243"/>
        <v>0</v>
      </c>
      <c r="BP167" s="23">
        <f>+'QTR Raw'!AJ87</f>
        <v>0</v>
      </c>
      <c r="BQ167" s="23">
        <f t="shared" si="1243"/>
        <v>0</v>
      </c>
      <c r="BR167" s="23">
        <f>+'QTR Raw'!AL87</f>
        <v>0</v>
      </c>
      <c r="BS167" s="23">
        <f t="shared" si="1243"/>
        <v>0</v>
      </c>
      <c r="BT167" s="23">
        <f>+'QTR Raw'!AN87</f>
        <v>0</v>
      </c>
      <c r="BU167" s="23">
        <f t="shared" si="1243"/>
        <v>0</v>
      </c>
      <c r="BV167" s="23">
        <f>+'QTR Raw'!AP87</f>
        <v>0</v>
      </c>
      <c r="BW167" s="23">
        <f t="shared" si="1243"/>
        <v>0</v>
      </c>
      <c r="BX167" s="23">
        <f>+'QTR Raw'!AR87</f>
        <v>0</v>
      </c>
      <c r="BY167" s="23">
        <f t="shared" si="1243"/>
        <v>0</v>
      </c>
      <c r="BZ167" s="23">
        <f>+'QTR Raw'!AT87</f>
        <v>0</v>
      </c>
      <c r="CA167" s="23">
        <f t="shared" si="1243"/>
        <v>0</v>
      </c>
      <c r="CB167" s="23">
        <f>+'QTR Raw'!AV87</f>
        <v>0</v>
      </c>
      <c r="CC167" s="23">
        <f t="shared" si="1243"/>
        <v>0</v>
      </c>
      <c r="CD167" s="23">
        <f>+'QTR Raw'!AX87</f>
        <v>0</v>
      </c>
      <c r="CE167" s="23">
        <f t="shared" si="1243"/>
        <v>0</v>
      </c>
      <c r="CF167" s="23">
        <f>+'QTR Raw'!AZ87</f>
        <v>0</v>
      </c>
      <c r="CG167" s="23">
        <f t="shared" si="1244"/>
        <v>0</v>
      </c>
      <c r="CH167" s="23">
        <f t="shared" si="1197"/>
        <v>0</v>
      </c>
      <c r="CI167" s="23">
        <f>CI25/90*CI199</f>
        <v>1851.8320919229466</v>
      </c>
      <c r="CJ167" s="23">
        <f>+'QTR Raw'!BD87</f>
        <v>0</v>
      </c>
      <c r="CK167" s="23">
        <f t="shared" ref="CK167:DB167" si="1245">CK25/90*CK199</f>
        <v>2016.6105390672324</v>
      </c>
      <c r="CL167" s="23">
        <f>+'QTR Raw'!BF87</f>
        <v>0</v>
      </c>
      <c r="CM167" s="24">
        <f t="shared" si="1245"/>
        <v>3493.6119263669239</v>
      </c>
      <c r="CN167" s="24">
        <f t="shared" si="1245"/>
        <v>3645.5679313546607</v>
      </c>
      <c r="CO167" s="24">
        <f t="shared" si="1245"/>
        <v>3651.3061018239014</v>
      </c>
      <c r="CP167" s="24">
        <f t="shared" si="1245"/>
        <v>4627.4421314364899</v>
      </c>
      <c r="CQ167" s="24">
        <f t="shared" si="1245"/>
        <v>4098.5388692578008</v>
      </c>
      <c r="CR167" s="24">
        <f t="shared" si="1245"/>
        <v>4274.585824396574</v>
      </c>
      <c r="CS167" s="24">
        <f t="shared" si="1245"/>
        <v>4274.5767171574644</v>
      </c>
      <c r="CT167" s="24">
        <f t="shared" si="1245"/>
        <v>5406.9307301770386</v>
      </c>
      <c r="CU167" s="24">
        <f t="shared" si="1245"/>
        <v>4406.7923776899552</v>
      </c>
      <c r="CV167" s="24">
        <f t="shared" si="1245"/>
        <v>4470.7433999094683</v>
      </c>
      <c r="CW167" s="24">
        <f t="shared" si="1245"/>
        <v>4410.8756273655881</v>
      </c>
      <c r="CX167" s="24">
        <f t="shared" si="1245"/>
        <v>5541.9753117194859</v>
      </c>
      <c r="CY167" s="24">
        <f t="shared" si="1245"/>
        <v>4508.7399641253887</v>
      </c>
      <c r="CZ167" s="24">
        <f t="shared" si="1245"/>
        <v>4580.2656212400243</v>
      </c>
      <c r="DA167" s="24">
        <f t="shared" si="1245"/>
        <v>4521.1338849429312</v>
      </c>
      <c r="DB167" s="24">
        <f t="shared" si="1245"/>
        <v>5681.6586142440301</v>
      </c>
      <c r="DE167" s="123"/>
      <c r="DF167" s="23">
        <v>2098.351509575491</v>
      </c>
    </row>
    <row r="168" spans="1:110" s="23" customFormat="1" outlineLevel="1" x14ac:dyDescent="0.2">
      <c r="A168" s="23" t="s">
        <v>70</v>
      </c>
      <c r="B168" s="23">
        <f>'Annual Raw'!C54</f>
        <v>70.025999999999996</v>
      </c>
      <c r="C168" s="23">
        <f>'Annual Raw'!D54</f>
        <v>72.640500000000003</v>
      </c>
      <c r="D168" s="23">
        <f>'Annual Raw'!E54</f>
        <v>57.3414</v>
      </c>
      <c r="E168" s="23">
        <f>'Annual Raw'!F54</f>
        <v>66.007400000000004</v>
      </c>
      <c r="F168" s="23">
        <f>'Annual Raw'!G54</f>
        <v>115.4607</v>
      </c>
      <c r="G168" s="23">
        <f>'Annual Raw'!H54</f>
        <v>232.97649999999999</v>
      </c>
      <c r="H168" s="23">
        <f>'Annual Raw'!I54</f>
        <v>249.3546</v>
      </c>
      <c r="I168" s="23">
        <f>'Annual Raw'!J54</f>
        <v>251.55279999999999</v>
      </c>
      <c r="J168" s="23">
        <f>'Annual Raw'!K54</f>
        <v>313.41219999999998</v>
      </c>
      <c r="K168" s="23">
        <f>'Annual Raw'!L54</f>
        <v>383.59789999999998</v>
      </c>
      <c r="L168" s="23">
        <f>'Annual Raw'!M54</f>
        <v>615.00030000000004</v>
      </c>
      <c r="M168" s="23">
        <f>'Annual Raw'!N54</f>
        <v>863.47</v>
      </c>
      <c r="N168" s="23">
        <f>'Annual Raw'!O54</f>
        <v>1067.74</v>
      </c>
      <c r="O168" s="23">
        <f>'Annual Raw'!P54</f>
        <v>1429.13</v>
      </c>
      <c r="P168" s="23">
        <f>'Annual Raw'!Q54</f>
        <v>1827.72</v>
      </c>
      <c r="Q168" s="23">
        <f>'Annual Raw'!R54</f>
        <v>2260.2199999999998</v>
      </c>
      <c r="R168" s="23">
        <f>'Annual Raw'!S54</f>
        <v>1749.32</v>
      </c>
      <c r="S168" s="23">
        <f>'Annual Raw'!T54</f>
        <v>2048.2399999999998</v>
      </c>
      <c r="T168" s="23">
        <f>'Annual Raw'!U54</f>
        <v>2096.7399999999998</v>
      </c>
      <c r="U168" s="23">
        <f>'Annual Raw'!V54</f>
        <v>2048.81</v>
      </c>
      <c r="V168" s="23">
        <f>'Annual Raw'!W54</f>
        <v>2066.81</v>
      </c>
      <c r="W168" s="23">
        <f>'Annual Raw'!X54</f>
        <v>1674.44</v>
      </c>
      <c r="X168" s="23">
        <f>'Annual Raw'!Y54</f>
        <v>1678.8</v>
      </c>
      <c r="Y168" s="23">
        <f>'Annual Raw'!Z54</f>
        <v>2089.3200000000002</v>
      </c>
      <c r="Z168" s="23">
        <f>'Annual Raw'!AA54</f>
        <v>1820.02</v>
      </c>
      <c r="AA168" s="23">
        <f>'Annual Raw'!AB54</f>
        <v>2357.61</v>
      </c>
      <c r="AB168" s="24">
        <f t="shared" si="1239"/>
        <v>2797.1054975460765</v>
      </c>
      <c r="AC168" s="24">
        <f t="shared" si="1240"/>
        <v>3268.2754836599483</v>
      </c>
      <c r="AD168" s="24">
        <f t="shared" si="1241"/>
        <v>3349.9045847307229</v>
      </c>
      <c r="AE168" s="24">
        <f t="shared" si="1242"/>
        <v>3434.3376089175663</v>
      </c>
      <c r="AJ168" s="23">
        <f>+'QTR Raw'!D89</f>
        <v>0</v>
      </c>
      <c r="AK168" s="23">
        <f>+AK198*AK25/90</f>
        <v>0</v>
      </c>
      <c r="AL168" s="23">
        <f>+'QTR Raw'!F89</f>
        <v>1067</v>
      </c>
      <c r="AM168" s="23">
        <f>+AM198*AM25/90</f>
        <v>1189.3623853211009</v>
      </c>
      <c r="AN168" s="23">
        <f>+'QTR Raw'!H89</f>
        <v>1359</v>
      </c>
      <c r="AO168" s="23">
        <f>+AO198*AO25/90</f>
        <v>1419.1203703703702</v>
      </c>
      <c r="AP168" s="23">
        <f>+'QTR Raw'!J89</f>
        <v>1429</v>
      </c>
      <c r="AQ168" s="23">
        <f>+AQ198*AQ25/90</f>
        <v>1299.5151020408164</v>
      </c>
      <c r="AR168" s="23">
        <f>+'QTR Raw'!L89</f>
        <v>1772</v>
      </c>
      <c r="AS168" s="23">
        <f>+AS198*AS25/90</f>
        <v>1700.6540673788004</v>
      </c>
      <c r="AT168" s="23">
        <f>+'QTR Raw'!N89</f>
        <v>1828</v>
      </c>
      <c r="AU168" s="23">
        <f>+AU198*AU25/90</f>
        <v>3084.1559792027724</v>
      </c>
      <c r="AV168" s="23">
        <f>+'QTR Raw'!P89</f>
        <v>2376</v>
      </c>
      <c r="AW168" s="23">
        <f>+AW198*AW25/90</f>
        <v>2164.0826934435913</v>
      </c>
      <c r="AX168" s="23">
        <f>+'QTR Raw'!R89</f>
        <v>2263</v>
      </c>
      <c r="AY168" s="23">
        <f>+AY198*AY25/90</f>
        <v>2335.2714570858284</v>
      </c>
      <c r="AZ168" s="23">
        <f>+'QTR Raw'!T89</f>
        <v>2462</v>
      </c>
      <c r="BA168" s="23">
        <f>+BA198*BA25/90</f>
        <v>2486.1203638908332</v>
      </c>
      <c r="BB168" s="23">
        <f>+'QTR Raw'!V89</f>
        <v>1749</v>
      </c>
      <c r="BC168" s="23">
        <f>+BC198*BC25/90</f>
        <v>1661.18410041841</v>
      </c>
      <c r="BD168" s="23">
        <f>+'QTR Raw'!X89</f>
        <v>1819</v>
      </c>
      <c r="BE168" s="23">
        <f>+BE198*BE25/90</f>
        <v>1878.0501058574453</v>
      </c>
      <c r="BF168" s="23">
        <f>+'QTR Raw'!Z89</f>
        <v>2048</v>
      </c>
      <c r="BG168" s="23">
        <f>+BG198*BG25/90</f>
        <v>2244.6463700234194</v>
      </c>
      <c r="BH168" s="23">
        <f>+'QTR Raw'!AB89</f>
        <v>2244</v>
      </c>
      <c r="BI168" s="23">
        <f>+BI198*BI25/90</f>
        <v>2430.0126715945094</v>
      </c>
      <c r="BJ168" s="23">
        <f>+'QTR Raw'!AD89</f>
        <v>2098</v>
      </c>
      <c r="BK168" s="23">
        <f>+BK198*BK25/90</f>
        <v>2285.6443965517242</v>
      </c>
      <c r="BL168" s="23">
        <f>+'QTR Raw'!AF89</f>
        <v>1963</v>
      </c>
      <c r="BM168" s="23">
        <f>+BM198*BM25/90</f>
        <v>1924.8169576059852</v>
      </c>
      <c r="BN168" s="23">
        <f>+'QTR Raw'!AH89</f>
        <v>2048</v>
      </c>
      <c r="BO168" s="23">
        <f>+BO198*BO25/90</f>
        <v>2163.7656731757452</v>
      </c>
      <c r="BP168" s="23">
        <f>+'QTR Raw'!AJ89</f>
        <v>2309</v>
      </c>
      <c r="BQ168" s="23">
        <f>+BQ198*BQ25/90</f>
        <v>2283.8150718889437</v>
      </c>
      <c r="BR168" s="23">
        <f>+'QTR Raw'!AL89</f>
        <v>2067</v>
      </c>
      <c r="BS168" s="23">
        <f>+BS198*BS25/90</f>
        <v>2277.2214765100671</v>
      </c>
      <c r="BT168" s="23">
        <f>+'QTR Raw'!AN89</f>
        <v>1784</v>
      </c>
      <c r="BU168" s="23">
        <f>+BU198*BU25/90</f>
        <v>1759.7903603182033</v>
      </c>
      <c r="BV168" s="23">
        <f>+'QTR Raw'!AP89</f>
        <v>1674</v>
      </c>
      <c r="BW168" s="23">
        <f>+BW198*BW25/90</f>
        <v>1843.6780854059127</v>
      </c>
      <c r="BX168" s="23">
        <f>+'QTR Raw'!AR89</f>
        <v>1477</v>
      </c>
      <c r="BY168" s="23">
        <f>+BY198*BY25/90</f>
        <v>1605.9393278044522</v>
      </c>
      <c r="BZ168" s="23">
        <f>+'QTR Raw'!AT89</f>
        <v>1679</v>
      </c>
      <c r="CA168" s="23">
        <f>+CA198*CA25/90</f>
        <v>1746.402649538338</v>
      </c>
      <c r="CB168" s="23">
        <f>+'QTR Raw'!AV89</f>
        <v>1661</v>
      </c>
      <c r="CC168" s="23">
        <f>+CC198*CC25/90</f>
        <v>1705.9593984962405</v>
      </c>
      <c r="CD168" s="23">
        <f>+'QTR Raw'!AX89</f>
        <v>2089</v>
      </c>
      <c r="CE168" s="23">
        <f>+CE198*CE25/90</f>
        <v>2175.7562841530057</v>
      </c>
      <c r="CF168" s="23">
        <f>+'QTR Raw'!AZ89</f>
        <v>2188</v>
      </c>
      <c r="CG168" s="23">
        <f>+CG198*CG25/90</f>
        <v>2127.4115610938043</v>
      </c>
      <c r="CH168" s="23">
        <f t="shared" si="1197"/>
        <v>1820.02</v>
      </c>
      <c r="CI168" s="23">
        <f>+CI198*CI25/90</f>
        <v>1954.7223927002365</v>
      </c>
      <c r="CJ168" s="23">
        <f>+'QTR Raw'!BD89</f>
        <v>1675</v>
      </c>
      <c r="CK168" s="23">
        <f t="shared" ref="CK168:DB168" si="1246">+CK198*CK25/90</f>
        <v>1675.5072683222288</v>
      </c>
      <c r="CL168" s="23">
        <f>+'QTR Raw'!BF89</f>
        <v>2358</v>
      </c>
      <c r="CM168" s="24">
        <f t="shared" si="1246"/>
        <v>2111.7500441869283</v>
      </c>
      <c r="CN168" s="24">
        <f t="shared" si="1246"/>
        <v>2203.6014309495745</v>
      </c>
      <c r="CO168" s="24">
        <f t="shared" si="1246"/>
        <v>2207.069927736673</v>
      </c>
      <c r="CP168" s="24">
        <f t="shared" si="1246"/>
        <v>2797.1054975460765</v>
      </c>
      <c r="CQ168" s="24">
        <f t="shared" si="1246"/>
        <v>2477.4044228941029</v>
      </c>
      <c r="CR168" s="24">
        <f t="shared" si="1246"/>
        <v>2583.817834895443</v>
      </c>
      <c r="CS168" s="24">
        <f t="shared" si="1246"/>
        <v>2583.8123299300955</v>
      </c>
      <c r="CT168" s="24">
        <f t="shared" si="1246"/>
        <v>3268.2754836599483</v>
      </c>
      <c r="CU168" s="24">
        <f t="shared" si="1246"/>
        <v>2663.7314602904162</v>
      </c>
      <c r="CV168" s="24">
        <f t="shared" si="1246"/>
        <v>2702.3873204272054</v>
      </c>
      <c r="CW168" s="24">
        <f t="shared" si="1246"/>
        <v>2666.1996230012965</v>
      </c>
      <c r="CX168" s="24">
        <f t="shared" si="1246"/>
        <v>3349.9045847307229</v>
      </c>
      <c r="CY168" s="24">
        <f t="shared" si="1246"/>
        <v>2725.3547386330861</v>
      </c>
      <c r="CZ168" s="24">
        <f t="shared" si="1246"/>
        <v>2768.5891655688233</v>
      </c>
      <c r="DA168" s="24">
        <f t="shared" si="1246"/>
        <v>2732.8463729032128</v>
      </c>
      <c r="DB168" s="24">
        <f t="shared" si="1246"/>
        <v>3434.3376089175663</v>
      </c>
      <c r="DE168" s="123"/>
      <c r="DF168" s="23">
        <v>1743.4220131641607</v>
      </c>
    </row>
    <row r="169" spans="1:110" s="23" customFormat="1" outlineLevel="1" x14ac:dyDescent="0.2">
      <c r="A169" s="23" t="s">
        <v>71</v>
      </c>
      <c r="B169" s="23">
        <f>'Annual Raw'!C55-Template!B141</f>
        <v>3.3317000000000001</v>
      </c>
      <c r="C169" s="23">
        <f>'Annual Raw'!D55-Template!C141</f>
        <v>7.2115999999999998</v>
      </c>
      <c r="D169" s="23">
        <f>'Annual Raw'!E55-Template!D141</f>
        <v>3.9253</v>
      </c>
      <c r="E169" s="23">
        <f>'Annual Raw'!F55-Template!E141</f>
        <v>4.3382000000000103</v>
      </c>
      <c r="F169" s="23">
        <f>'Annual Raw'!G55-Template!F141</f>
        <v>3.8296000000000099</v>
      </c>
      <c r="G169" s="23">
        <f>'Annual Raw'!H55-Template!G141</f>
        <v>12.9229</v>
      </c>
      <c r="H169" s="23">
        <f>'Annual Raw'!I55-Template!H141</f>
        <v>11.9863</v>
      </c>
      <c r="I169" s="23">
        <f>'Annual Raw'!J55-Template!I141</f>
        <v>28.9541</v>
      </c>
      <c r="J169" s="23">
        <f>'Annual Raw'!K55-Template!J141</f>
        <v>60.902799999999999</v>
      </c>
      <c r="K169" s="23">
        <f>'Annual Raw'!L55-Template!K141</f>
        <v>43.3904</v>
      </c>
      <c r="L169" s="23">
        <f>'Annual Raw'!M55-Template!L141</f>
        <v>133.40729999999999</v>
      </c>
      <c r="M169" s="23">
        <f>'Annual Raw'!N55-Template!M141</f>
        <v>172.44</v>
      </c>
      <c r="N169" s="23">
        <f>'Annual Raw'!O55-Template!N141</f>
        <v>162.01999999999998</v>
      </c>
      <c r="O169" s="23">
        <f>'Annual Raw'!P55-Template!O141</f>
        <v>194.76</v>
      </c>
      <c r="P169" s="23">
        <f>'Annual Raw'!Q55-Template!P141</f>
        <v>210.08999999999997</v>
      </c>
      <c r="Q169" s="23">
        <f>'Annual Raw'!R55-Template!Q141</f>
        <v>324</v>
      </c>
      <c r="R169" s="23">
        <f>'Annual Raw'!S55-Template!R141</f>
        <v>417.84</v>
      </c>
      <c r="S169" s="23">
        <f>'Annual Raw'!T55-Template!S141</f>
        <v>426.42000000000007</v>
      </c>
      <c r="T169" s="23">
        <f>'Annual Raw'!U55-Template!T141</f>
        <v>450.18999999999983</v>
      </c>
      <c r="U169" s="23">
        <f>'Annual Raw'!V55-Template!U141</f>
        <v>415.47</v>
      </c>
      <c r="V169" s="23">
        <f>'Annual Raw'!W55-Template!V141</f>
        <v>455.36999999999989</v>
      </c>
      <c r="W169" s="23">
        <f>'Annual Raw'!X55-Template!W141</f>
        <v>393.25999999999988</v>
      </c>
      <c r="X169" s="23">
        <f>'Annual Raw'!Y55-Template!X141</f>
        <v>542.40000000000009</v>
      </c>
      <c r="Y169" s="23">
        <f>'Annual Raw'!Z55-Template!Y141</f>
        <v>434.22</v>
      </c>
      <c r="Z169" s="23">
        <f>'Annual Raw'!AA55-Template!Z141</f>
        <v>559.13</v>
      </c>
      <c r="AA169" s="23">
        <f>'Annual Raw'!AB55-Template!AA141</f>
        <v>2218.98</v>
      </c>
      <c r="AB169" s="24">
        <f t="shared" si="1239"/>
        <v>0</v>
      </c>
      <c r="AC169" s="24">
        <f t="shared" si="1240"/>
        <v>0</v>
      </c>
      <c r="AD169" s="24">
        <f t="shared" si="1241"/>
        <v>0</v>
      </c>
      <c r="AE169" s="24">
        <f t="shared" si="1242"/>
        <v>0</v>
      </c>
      <c r="AJ169" s="23">
        <f>+'QTR Raw'!D91</f>
        <v>0</v>
      </c>
      <c r="AK169" s="23">
        <f t="shared" si="1243"/>
        <v>0</v>
      </c>
      <c r="AL169" s="23">
        <f>+'QTR Raw'!F91</f>
        <v>276</v>
      </c>
      <c r="AM169" s="23">
        <f t="shared" si="1243"/>
        <v>276</v>
      </c>
      <c r="AN169" s="23">
        <f>+'QTR Raw'!H91</f>
        <v>453</v>
      </c>
      <c r="AO169" s="23">
        <f t="shared" si="1243"/>
        <v>453</v>
      </c>
      <c r="AP169" s="23">
        <f>+'QTR Raw'!J91</f>
        <v>372</v>
      </c>
      <c r="AQ169" s="23">
        <f t="shared" si="1243"/>
        <v>372</v>
      </c>
      <c r="AR169" s="23">
        <f>+'QTR Raw'!L91</f>
        <v>345</v>
      </c>
      <c r="AS169" s="23">
        <f t="shared" si="1243"/>
        <v>345</v>
      </c>
      <c r="AT169" s="23">
        <f>+'QTR Raw'!N91</f>
        <v>446</v>
      </c>
      <c r="AU169" s="23">
        <f t="shared" si="1243"/>
        <v>446</v>
      </c>
      <c r="AV169" s="23">
        <f>+'QTR Raw'!P91</f>
        <v>569</v>
      </c>
      <c r="AW169" s="23">
        <f t="shared" si="1243"/>
        <v>569</v>
      </c>
      <c r="AX169" s="23">
        <f>+'QTR Raw'!R91</f>
        <v>894</v>
      </c>
      <c r="AY169" s="23">
        <f t="shared" si="1243"/>
        <v>894</v>
      </c>
      <c r="AZ169" s="23">
        <f>+'QTR Raw'!T91</f>
        <v>947</v>
      </c>
      <c r="BA169" s="23">
        <f t="shared" si="1243"/>
        <v>947</v>
      </c>
      <c r="BB169" s="23">
        <f>+'QTR Raw'!V91</f>
        <v>750</v>
      </c>
      <c r="BC169" s="23">
        <f t="shared" si="1243"/>
        <v>750</v>
      </c>
      <c r="BD169" s="23">
        <f>+'QTR Raw'!X91</f>
        <v>738</v>
      </c>
      <c r="BE169" s="23">
        <f t="shared" si="1243"/>
        <v>738</v>
      </c>
      <c r="BF169" s="23">
        <f>+'QTR Raw'!Z91</f>
        <v>1201</v>
      </c>
      <c r="BG169" s="23">
        <f t="shared" si="1243"/>
        <v>1201</v>
      </c>
      <c r="BH169" s="23">
        <f>+'QTR Raw'!AB91</f>
        <v>1699</v>
      </c>
      <c r="BI169" s="23">
        <f t="shared" si="1243"/>
        <v>1699</v>
      </c>
      <c r="BJ169" s="23">
        <f>+'QTR Raw'!AD91</f>
        <v>1720</v>
      </c>
      <c r="BK169" s="23">
        <f t="shared" si="1243"/>
        <v>1720</v>
      </c>
      <c r="BL169" s="23">
        <f>+'QTR Raw'!AF91</f>
        <v>1880</v>
      </c>
      <c r="BM169" s="23">
        <f t="shared" si="1243"/>
        <v>1880</v>
      </c>
      <c r="BN169" s="23">
        <f>+'QTR Raw'!AH91</f>
        <v>1896</v>
      </c>
      <c r="BO169" s="23">
        <f t="shared" si="1243"/>
        <v>1896</v>
      </c>
      <c r="BP169" s="23">
        <f>+'QTR Raw'!AJ91</f>
        <v>1846</v>
      </c>
      <c r="BQ169" s="23">
        <f t="shared" si="1243"/>
        <v>1846</v>
      </c>
      <c r="BR169" s="23">
        <f>+'QTR Raw'!AL91</f>
        <v>509</v>
      </c>
      <c r="BS169" s="23">
        <f t="shared" si="1243"/>
        <v>509</v>
      </c>
      <c r="BT169" s="23">
        <f>+'QTR Raw'!AN91</f>
        <v>448</v>
      </c>
      <c r="BU169" s="23">
        <f t="shared" si="1243"/>
        <v>448</v>
      </c>
      <c r="BV169" s="23">
        <f>+'QTR Raw'!AP91</f>
        <v>435</v>
      </c>
      <c r="BW169" s="23">
        <f t="shared" si="1243"/>
        <v>435</v>
      </c>
      <c r="BX169" s="23">
        <f>+'QTR Raw'!AR91</f>
        <v>479</v>
      </c>
      <c r="BY169" s="23">
        <f t="shared" si="1243"/>
        <v>479</v>
      </c>
      <c r="BZ169" s="23">
        <f>+'QTR Raw'!AT91</f>
        <v>573</v>
      </c>
      <c r="CA169" s="23">
        <f t="shared" si="1243"/>
        <v>573</v>
      </c>
      <c r="CB169" s="23">
        <f>+'QTR Raw'!AV91</f>
        <v>526</v>
      </c>
      <c r="CC169" s="23">
        <f t="shared" si="1243"/>
        <v>526</v>
      </c>
      <c r="CD169" s="23">
        <f>+'QTR Raw'!AX91</f>
        <v>603</v>
      </c>
      <c r="CE169" s="23">
        <f t="shared" si="1243"/>
        <v>603</v>
      </c>
      <c r="CF169" s="23">
        <f>+'QTR Raw'!AZ91</f>
        <v>590</v>
      </c>
      <c r="CG169" s="23">
        <f t="shared" ref="CG169:CG170" si="1247">+CF169</f>
        <v>590</v>
      </c>
      <c r="CH169" s="23">
        <f t="shared" si="1197"/>
        <v>559.13</v>
      </c>
      <c r="CJ169" s="23">
        <f>+'QTR Raw'!BD91</f>
        <v>755</v>
      </c>
      <c r="CL169" s="23">
        <f>+'QTR Raw'!BF91</f>
        <v>2339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2339</v>
      </c>
    </row>
    <row r="170" spans="1:110" s="23" customFormat="1" outlineLevel="1" x14ac:dyDescent="0.2">
      <c r="A170" s="23" t="s">
        <v>72</v>
      </c>
      <c r="B170" s="23">
        <f>'Annual Raw'!C57</f>
        <v>55.997700000000002</v>
      </c>
      <c r="C170" s="23">
        <f>'Annual Raw'!D57</f>
        <v>20.41</v>
      </c>
      <c r="D170" s="23">
        <f>'Annual Raw'!E57</f>
        <v>23.2395</v>
      </c>
      <c r="E170" s="23">
        <f>'Annual Raw'!F57</f>
        <v>24.415600000000001</v>
      </c>
      <c r="F170" s="23">
        <f>'Annual Raw'!G57</f>
        <v>25.6294</v>
      </c>
      <c r="G170" s="23">
        <f>'Annual Raw'!H57</f>
        <v>34.911000000000001</v>
      </c>
      <c r="H170" s="23">
        <f>'Annual Raw'!I57</f>
        <v>18.267600000000002</v>
      </c>
      <c r="I170" s="23">
        <f>'Annual Raw'!J57</f>
        <v>53.690899999999999</v>
      </c>
      <c r="J170" s="23">
        <f>'Annual Raw'!K57</f>
        <v>91.327399999999997</v>
      </c>
      <c r="K170" s="23">
        <f>'Annual Raw'!L57</f>
        <v>122.59780000000001</v>
      </c>
      <c r="L170" s="23">
        <f>'Annual Raw'!M57</f>
        <v>86.663499999999999</v>
      </c>
      <c r="M170" s="23">
        <f>'Annual Raw'!N57</f>
        <v>70.25</v>
      </c>
      <c r="N170" s="23">
        <f>'Annual Raw'!O57</f>
        <v>242.46</v>
      </c>
      <c r="O170" s="23">
        <f>'Annual Raw'!P57</f>
        <v>163.38999999999999</v>
      </c>
      <c r="P170" s="23">
        <f>'Annual Raw'!Q57</f>
        <v>230.81</v>
      </c>
      <c r="Q170" s="23">
        <f>'Annual Raw'!R57</f>
        <v>199.66</v>
      </c>
      <c r="R170" s="23">
        <f>'Annual Raw'!S57</f>
        <v>301.8</v>
      </c>
      <c r="S170" s="23">
        <f>'Annual Raw'!T57</f>
        <v>376.65</v>
      </c>
      <c r="T170" s="23">
        <f>'Annual Raw'!U57</f>
        <v>493.21</v>
      </c>
      <c r="U170" s="23">
        <f>'Annual Raw'!V57</f>
        <v>453.7</v>
      </c>
      <c r="V170" s="23">
        <f>'Annual Raw'!W57</f>
        <v>485.05</v>
      </c>
      <c r="W170" s="23">
        <f>'Annual Raw'!X57</f>
        <v>452.51</v>
      </c>
      <c r="X170" s="23">
        <f>'Annual Raw'!Y57</f>
        <v>425.02</v>
      </c>
      <c r="Y170" s="23">
        <f>'Annual Raw'!Z57</f>
        <v>568.07000000000005</v>
      </c>
      <c r="Z170" s="23">
        <f>'Annual Raw'!AA57</f>
        <v>503.7</v>
      </c>
      <c r="AA170" s="23">
        <f>'Annual Raw'!AB57</f>
        <v>619.66999999999996</v>
      </c>
      <c r="AB170" s="24">
        <f t="shared" si="1239"/>
        <v>0</v>
      </c>
      <c r="AC170" s="24">
        <f t="shared" si="1240"/>
        <v>0</v>
      </c>
      <c r="AD170" s="24">
        <f t="shared" si="1241"/>
        <v>0</v>
      </c>
      <c r="AE170" s="24">
        <f t="shared" si="1242"/>
        <v>0</v>
      </c>
      <c r="AJ170" s="23">
        <f>+'QTR Raw'!D92</f>
        <v>72.41</v>
      </c>
      <c r="AK170" s="23">
        <f t="shared" si="1243"/>
        <v>72.41</v>
      </c>
      <c r="AL170" s="23">
        <f>+'QTR Raw'!F92</f>
        <v>242</v>
      </c>
      <c r="AM170" s="23">
        <f t="shared" si="1243"/>
        <v>242</v>
      </c>
      <c r="AN170" s="23">
        <f>+'QTR Raw'!H92</f>
        <v>84</v>
      </c>
      <c r="AO170" s="23">
        <f t="shared" si="1243"/>
        <v>84</v>
      </c>
      <c r="AP170" s="23">
        <f>+'QTR Raw'!J92</f>
        <v>163</v>
      </c>
      <c r="AQ170" s="23">
        <f t="shared" si="1243"/>
        <v>163</v>
      </c>
      <c r="AR170" s="23">
        <f>+'QTR Raw'!L92</f>
        <v>145</v>
      </c>
      <c r="AS170" s="23">
        <f t="shared" si="1243"/>
        <v>145</v>
      </c>
      <c r="AT170" s="23">
        <f>+'QTR Raw'!N92</f>
        <v>231</v>
      </c>
      <c r="AU170" s="23">
        <f t="shared" si="1243"/>
        <v>231</v>
      </c>
      <c r="AV170" s="23">
        <f>+'QTR Raw'!P92</f>
        <v>354</v>
      </c>
      <c r="AW170" s="23">
        <f t="shared" si="1243"/>
        <v>354</v>
      </c>
      <c r="AX170" s="23">
        <f>+'QTR Raw'!R92</f>
        <v>127</v>
      </c>
      <c r="AY170" s="23">
        <f t="shared" si="1243"/>
        <v>127</v>
      </c>
      <c r="AZ170" s="23">
        <f>+'QTR Raw'!T92</f>
        <v>147</v>
      </c>
      <c r="BA170" s="23">
        <f t="shared" si="1243"/>
        <v>147</v>
      </c>
      <c r="BB170" s="23">
        <f>+'QTR Raw'!V92</f>
        <v>239</v>
      </c>
      <c r="BC170" s="23">
        <f t="shared" si="1243"/>
        <v>239</v>
      </c>
      <c r="BD170" s="23">
        <f>+'QTR Raw'!X92</f>
        <v>269</v>
      </c>
      <c r="BE170" s="23">
        <f t="shared" si="1243"/>
        <v>269</v>
      </c>
      <c r="BF170" s="23">
        <f>+'QTR Raw'!Z92</f>
        <v>327</v>
      </c>
      <c r="BG170" s="23">
        <f t="shared" si="1243"/>
        <v>327</v>
      </c>
      <c r="BH170" s="23">
        <f>+'QTR Raw'!AB92</f>
        <v>297</v>
      </c>
      <c r="BI170" s="23">
        <f t="shared" si="1243"/>
        <v>297</v>
      </c>
      <c r="BJ170" s="23">
        <f>+'QTR Raw'!AD92</f>
        <v>414</v>
      </c>
      <c r="BK170" s="23">
        <f t="shared" si="1243"/>
        <v>414</v>
      </c>
      <c r="BL170" s="23">
        <f>+'QTR Raw'!AF92</f>
        <v>410</v>
      </c>
      <c r="BM170" s="23">
        <f t="shared" si="1243"/>
        <v>410</v>
      </c>
      <c r="BN170" s="23">
        <f>+'QTR Raw'!AH92</f>
        <v>419</v>
      </c>
      <c r="BO170" s="23">
        <f t="shared" si="1243"/>
        <v>419</v>
      </c>
      <c r="BP170" s="23">
        <f>+'QTR Raw'!AJ92</f>
        <v>427</v>
      </c>
      <c r="BQ170" s="23">
        <f t="shared" si="1243"/>
        <v>427</v>
      </c>
      <c r="BR170" s="23">
        <f>+'QTR Raw'!AL92</f>
        <v>431</v>
      </c>
      <c r="BS170" s="23">
        <f t="shared" si="1243"/>
        <v>431</v>
      </c>
      <c r="BT170" s="23">
        <f>+'QTR Raw'!AN92</f>
        <v>391</v>
      </c>
      <c r="BU170" s="23">
        <f t="shared" si="1243"/>
        <v>391</v>
      </c>
      <c r="BV170" s="23">
        <f>+'QTR Raw'!AP92</f>
        <v>411</v>
      </c>
      <c r="BW170" s="23">
        <f t="shared" si="1243"/>
        <v>411</v>
      </c>
      <c r="BX170" s="23">
        <f>+'QTR Raw'!AR92</f>
        <v>381</v>
      </c>
      <c r="BY170" s="23">
        <f t="shared" si="1243"/>
        <v>381</v>
      </c>
      <c r="BZ170" s="23">
        <f>+'QTR Raw'!AT92</f>
        <v>394</v>
      </c>
      <c r="CA170" s="23">
        <f t="shared" si="1243"/>
        <v>394</v>
      </c>
      <c r="CB170" s="23">
        <f>+'QTR Raw'!AV92</f>
        <v>405</v>
      </c>
      <c r="CC170" s="23">
        <f t="shared" si="1243"/>
        <v>405</v>
      </c>
      <c r="CD170" s="23">
        <f>+'QTR Raw'!AX92</f>
        <v>400</v>
      </c>
      <c r="CE170" s="23">
        <f t="shared" si="1243"/>
        <v>400</v>
      </c>
      <c r="CF170" s="23">
        <f>+'QTR Raw'!AZ92</f>
        <v>435</v>
      </c>
      <c r="CG170" s="23">
        <f t="shared" si="1247"/>
        <v>435</v>
      </c>
      <c r="CH170" s="23">
        <f t="shared" si="1197"/>
        <v>503.7</v>
      </c>
      <c r="CJ170" s="23">
        <f>+'QTR Raw'!BD92</f>
        <v>460</v>
      </c>
      <c r="CL170" s="23">
        <f>+'QTR Raw'!BF92</f>
        <v>499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499</v>
      </c>
    </row>
    <row r="171" spans="1:110" s="22" customFormat="1" x14ac:dyDescent="0.2">
      <c r="A171" s="22" t="s">
        <v>73</v>
      </c>
      <c r="B171" s="22">
        <f>SUM(B164:B170)</f>
        <v>129.3554</v>
      </c>
      <c r="C171" s="22">
        <f t="shared" ref="C171:V171" si="1248">SUM(C164:C170)</f>
        <v>100.2621</v>
      </c>
      <c r="D171" s="22">
        <f t="shared" si="1248"/>
        <v>84.506200000000007</v>
      </c>
      <c r="E171" s="22">
        <f t="shared" si="1248"/>
        <v>94.761200000000017</v>
      </c>
      <c r="F171" s="22">
        <f t="shared" si="1248"/>
        <v>144.91970000000001</v>
      </c>
      <c r="G171" s="22">
        <f t="shared" si="1248"/>
        <v>280.81039999999996</v>
      </c>
      <c r="H171" s="22">
        <f t="shared" si="1248"/>
        <v>279.60850000000005</v>
      </c>
      <c r="I171" s="22">
        <f t="shared" si="1248"/>
        <v>334.19779999999997</v>
      </c>
      <c r="J171" s="22">
        <f t="shared" si="1248"/>
        <v>465.64240000000001</v>
      </c>
      <c r="K171" s="22">
        <f t="shared" si="1248"/>
        <v>549.58609999999999</v>
      </c>
      <c r="L171" s="22">
        <f t="shared" si="1248"/>
        <v>891.64570000000003</v>
      </c>
      <c r="M171" s="22">
        <f t="shared" si="1248"/>
        <v>1220.4100000000001</v>
      </c>
      <c r="N171" s="22">
        <f t="shared" si="1248"/>
        <v>1611.74</v>
      </c>
      <c r="O171" s="22">
        <f t="shared" si="1248"/>
        <v>1987.7400000000002</v>
      </c>
      <c r="P171" s="22">
        <f t="shared" si="1248"/>
        <v>2483.62</v>
      </c>
      <c r="Q171" s="22">
        <f t="shared" si="1248"/>
        <v>3039.8899999999994</v>
      </c>
      <c r="R171" s="22">
        <f t="shared" si="1248"/>
        <v>2739.9300000000003</v>
      </c>
      <c r="S171" s="22">
        <f t="shared" si="1248"/>
        <v>3158.15</v>
      </c>
      <c r="T171" s="22">
        <f t="shared" si="1248"/>
        <v>3350.9699999999993</v>
      </c>
      <c r="U171" s="22">
        <f t="shared" si="1248"/>
        <v>3346.49</v>
      </c>
      <c r="V171" s="22">
        <f t="shared" si="1248"/>
        <v>3412.02</v>
      </c>
      <c r="W171" s="22">
        <f t="shared" ref="W171" si="1249">SUM(W164:W170)</f>
        <v>2935.2299999999996</v>
      </c>
      <c r="X171" s="22">
        <f t="shared" ref="X171:Y171" si="1250">SUM(X164:X170)</f>
        <v>3114.54</v>
      </c>
      <c r="Y171" s="22">
        <f t="shared" si="1250"/>
        <v>3610.9600000000005</v>
      </c>
      <c r="Z171" s="22">
        <f t="shared" ref="Z171:AA171" si="1251">SUM(Z164:Z170)</f>
        <v>3544.24</v>
      </c>
      <c r="AA171" s="22">
        <f t="shared" si="1251"/>
        <v>6258.85</v>
      </c>
      <c r="AB171" s="21">
        <f t="shared" ref="AA171:AD171" si="1252">SUM(AB164:AB170)</f>
        <v>7424.5476289825665</v>
      </c>
      <c r="AC171" s="21">
        <f t="shared" si="1252"/>
        <v>8675.2062138369874</v>
      </c>
      <c r="AD171" s="21">
        <f t="shared" si="1252"/>
        <v>8891.8798964502093</v>
      </c>
      <c r="AE171" s="21">
        <f t="shared" ref="AE171" si="1253">SUM(AE164:AE170)</f>
        <v>9115.9962231615973</v>
      </c>
      <c r="AJ171" s="22">
        <f t="shared" ref="AJ171" si="1254">SUM(AJ164:AJ170)</f>
        <v>1284.83</v>
      </c>
      <c r="AK171" s="22">
        <f t="shared" ref="AK171" si="1255">SUM(AK164:AK170)</f>
        <v>1284.83</v>
      </c>
      <c r="AL171" s="22">
        <f t="shared" ref="AL171:AM171" si="1256">SUM(AL164:AL170)</f>
        <v>1725</v>
      </c>
      <c r="AM171" s="22">
        <f t="shared" si="1256"/>
        <v>1847.3623853211009</v>
      </c>
      <c r="AN171" s="22">
        <f t="shared" ref="AN171:AO171" si="1257">SUM(AN164:AN170)</f>
        <v>2056</v>
      </c>
      <c r="AO171" s="22">
        <f t="shared" si="1257"/>
        <v>2116.1203703703704</v>
      </c>
      <c r="AP171" s="22">
        <f t="shared" ref="AP171:CE171" si="1258">SUM(AP164:AP170)</f>
        <v>2164</v>
      </c>
      <c r="AQ171" s="22">
        <f t="shared" si="1258"/>
        <v>2034.5151020408164</v>
      </c>
      <c r="AR171" s="22">
        <f t="shared" si="1258"/>
        <v>2469</v>
      </c>
      <c r="AS171" s="22">
        <f t="shared" si="1258"/>
        <v>2397.6540673788004</v>
      </c>
      <c r="AT171" s="22">
        <f t="shared" si="1258"/>
        <v>2720</v>
      </c>
      <c r="AU171" s="22">
        <f t="shared" si="1258"/>
        <v>3976.1559792027724</v>
      </c>
      <c r="AV171" s="22">
        <f t="shared" si="1258"/>
        <v>3574</v>
      </c>
      <c r="AW171" s="22">
        <f t="shared" si="1258"/>
        <v>3362.0826934435913</v>
      </c>
      <c r="AX171" s="22">
        <f t="shared" si="1258"/>
        <v>3540</v>
      </c>
      <c r="AY171" s="22">
        <f t="shared" si="1258"/>
        <v>3612.2714570858284</v>
      </c>
      <c r="AZ171" s="22">
        <f t="shared" si="1258"/>
        <v>3811</v>
      </c>
      <c r="BA171" s="22">
        <f t="shared" si="1258"/>
        <v>3835.1203638908332</v>
      </c>
      <c r="BB171" s="22">
        <f t="shared" si="1258"/>
        <v>3009</v>
      </c>
      <c r="BC171" s="22">
        <f t="shared" si="1258"/>
        <v>2921.1841004184098</v>
      </c>
      <c r="BD171" s="22">
        <f t="shared" si="1258"/>
        <v>3110</v>
      </c>
      <c r="BE171" s="22">
        <f t="shared" si="1258"/>
        <v>3169.0501058574455</v>
      </c>
      <c r="BF171" s="22">
        <f t="shared" si="1258"/>
        <v>3883</v>
      </c>
      <c r="BG171" s="22">
        <f t="shared" si="1258"/>
        <v>4079.6463700234194</v>
      </c>
      <c r="BH171" s="22">
        <f t="shared" ref="BH171" si="1259">SUM(BH164:BH170)</f>
        <v>4619</v>
      </c>
      <c r="BI171" s="22">
        <f t="shared" si="1258"/>
        <v>4805.0126715945098</v>
      </c>
      <c r="BJ171" s="22">
        <f t="shared" si="1258"/>
        <v>4543</v>
      </c>
      <c r="BK171" s="22">
        <f t="shared" si="1258"/>
        <v>4730.6443965517246</v>
      </c>
      <c r="BL171" s="22">
        <f t="shared" si="1258"/>
        <v>4594</v>
      </c>
      <c r="BM171" s="22">
        <f t="shared" si="1258"/>
        <v>4555.8169576059854</v>
      </c>
      <c r="BN171" s="22">
        <f t="shared" si="1258"/>
        <v>4820</v>
      </c>
      <c r="BO171" s="22">
        <f t="shared" si="1258"/>
        <v>4935.7656731757452</v>
      </c>
      <c r="BP171" s="22">
        <f t="shared" si="1258"/>
        <v>4989</v>
      </c>
      <c r="BQ171" s="22">
        <f t="shared" si="1258"/>
        <v>4963.8150718889437</v>
      </c>
      <c r="BR171" s="22">
        <f t="shared" si="1258"/>
        <v>3412</v>
      </c>
      <c r="BS171" s="22">
        <f t="shared" si="1258"/>
        <v>3622.2214765100671</v>
      </c>
      <c r="BT171" s="22">
        <f t="shared" si="1258"/>
        <v>3043</v>
      </c>
      <c r="BU171" s="22">
        <f t="shared" si="1258"/>
        <v>3018.7903603182031</v>
      </c>
      <c r="BV171" s="22">
        <f t="shared" si="1258"/>
        <v>2935</v>
      </c>
      <c r="BW171" s="22">
        <f t="shared" si="1258"/>
        <v>3104.6780854059125</v>
      </c>
      <c r="BX171" s="22">
        <f t="shared" si="1258"/>
        <v>2806</v>
      </c>
      <c r="BY171" s="22">
        <f t="shared" si="1258"/>
        <v>2934.9393278044522</v>
      </c>
      <c r="BZ171" s="22">
        <f t="shared" si="1258"/>
        <v>3115</v>
      </c>
      <c r="CA171" s="22">
        <f t="shared" si="1258"/>
        <v>3182.4026495383378</v>
      </c>
      <c r="CB171" s="22">
        <f t="shared" si="1258"/>
        <v>3061</v>
      </c>
      <c r="CC171" s="22">
        <f t="shared" si="1258"/>
        <v>3105.9593984962403</v>
      </c>
      <c r="CD171" s="22">
        <f t="shared" si="1258"/>
        <v>3611</v>
      </c>
      <c r="CE171" s="22">
        <f t="shared" si="1258"/>
        <v>3697.7562841530057</v>
      </c>
      <c r="CF171" s="22">
        <f t="shared" ref="CF171:CG171" si="1260">SUM(CF164:CF170)</f>
        <v>3743</v>
      </c>
      <c r="CG171" s="22">
        <f t="shared" si="1260"/>
        <v>3682.4115610938043</v>
      </c>
      <c r="CH171" s="22">
        <f t="shared" ref="CH171:CI171" si="1261">SUM(CH164:CH170)</f>
        <v>3544.24</v>
      </c>
      <c r="CI171" s="22">
        <f t="shared" si="1261"/>
        <v>3806.5544846231833</v>
      </c>
      <c r="CJ171" s="22">
        <f t="shared" ref="CJ171:DB171" si="1262">SUM(CJ164:CJ170)</f>
        <v>3691</v>
      </c>
      <c r="CK171" s="22">
        <f t="shared" si="1262"/>
        <v>3692.1178073894612</v>
      </c>
      <c r="CL171" s="22">
        <f t="shared" ref="CL171" si="1263">SUM(CL164:CL170)</f>
        <v>6259</v>
      </c>
      <c r="CM171" s="21">
        <f t="shared" si="1262"/>
        <v>5605.3619705538522</v>
      </c>
      <c r="CN171" s="21">
        <f t="shared" si="1262"/>
        <v>5849.1693623042356</v>
      </c>
      <c r="CO171" s="21">
        <f t="shared" si="1262"/>
        <v>5858.3760295605744</v>
      </c>
      <c r="CP171" s="21">
        <f t="shared" si="1262"/>
        <v>7424.5476289825665</v>
      </c>
      <c r="CQ171" s="21">
        <f t="shared" si="1262"/>
        <v>6575.9432921519037</v>
      </c>
      <c r="CR171" s="21">
        <f t="shared" si="1262"/>
        <v>6858.4036592920165</v>
      </c>
      <c r="CS171" s="21">
        <f t="shared" si="1262"/>
        <v>6858.3890470875594</v>
      </c>
      <c r="CT171" s="21">
        <f t="shared" si="1262"/>
        <v>8675.2062138369874</v>
      </c>
      <c r="CU171" s="21">
        <f t="shared" si="1262"/>
        <v>7070.5238379803714</v>
      </c>
      <c r="CV171" s="21">
        <f t="shared" si="1262"/>
        <v>7173.1307203366741</v>
      </c>
      <c r="CW171" s="21">
        <f t="shared" si="1262"/>
        <v>7077.0752503668846</v>
      </c>
      <c r="CX171" s="21">
        <f t="shared" si="1262"/>
        <v>8891.8798964502093</v>
      </c>
      <c r="CY171" s="21">
        <f t="shared" si="1262"/>
        <v>7234.0947027584753</v>
      </c>
      <c r="CZ171" s="21">
        <f t="shared" si="1262"/>
        <v>7348.8547868088481</v>
      </c>
      <c r="DA171" s="21">
        <f t="shared" si="1262"/>
        <v>7253.980257846144</v>
      </c>
      <c r="DB171" s="21">
        <f t="shared" si="1262"/>
        <v>9115.9962231615973</v>
      </c>
      <c r="DE171" s="126"/>
      <c r="DF171" s="22">
        <v>3841.7735227396515</v>
      </c>
    </row>
    <row r="172" spans="1:110" s="22" customFormat="1" x14ac:dyDescent="0.2">
      <c r="A172" s="22" t="s">
        <v>74</v>
      </c>
      <c r="B172" s="22">
        <f>B163-B171</f>
        <v>80.598100000000017</v>
      </c>
      <c r="C172" s="22">
        <f t="shared" ref="C172:V172" si="1264">C163-C171</f>
        <v>55.534900000000022</v>
      </c>
      <c r="D172" s="22">
        <f t="shared" si="1264"/>
        <v>52.820499999999981</v>
      </c>
      <c r="E172" s="22">
        <f t="shared" si="1264"/>
        <v>75.289000000000001</v>
      </c>
      <c r="F172" s="22">
        <f t="shared" si="1264"/>
        <v>109.59489999999997</v>
      </c>
      <c r="G172" s="22">
        <f t="shared" si="1264"/>
        <v>170.00990000000002</v>
      </c>
      <c r="H172" s="22">
        <f t="shared" si="1264"/>
        <v>276.48739999999998</v>
      </c>
      <c r="I172" s="22">
        <f t="shared" si="1264"/>
        <v>206.66950000000003</v>
      </c>
      <c r="J172" s="22">
        <f t="shared" si="1264"/>
        <v>257.73480000000012</v>
      </c>
      <c r="K172" s="22">
        <f t="shared" si="1264"/>
        <v>222.80130000000008</v>
      </c>
      <c r="L172" s="22">
        <f t="shared" si="1264"/>
        <v>203.82950000000005</v>
      </c>
      <c r="M172" s="22">
        <f t="shared" si="1264"/>
        <v>113.52999999999997</v>
      </c>
      <c r="N172" s="22">
        <f t="shared" si="1264"/>
        <v>348.48</v>
      </c>
      <c r="O172" s="22">
        <f t="shared" si="1264"/>
        <v>651.89999999999964</v>
      </c>
      <c r="P172" s="22">
        <f t="shared" si="1264"/>
        <v>960.04000000000042</v>
      </c>
      <c r="Q172" s="22">
        <f t="shared" si="1264"/>
        <v>407.43000000000075</v>
      </c>
      <c r="R172" s="22">
        <f t="shared" si="1264"/>
        <v>746.98999999999978</v>
      </c>
      <c r="S172" s="22">
        <f t="shared" si="1264"/>
        <v>947.94</v>
      </c>
      <c r="T172" s="22">
        <f t="shared" si="1264"/>
        <v>865.79000000000087</v>
      </c>
      <c r="U172" s="22">
        <f t="shared" si="1264"/>
        <v>1316.2299999999996</v>
      </c>
      <c r="V172" s="22">
        <f t="shared" si="1264"/>
        <v>1502.3199999999993</v>
      </c>
      <c r="W172" s="22">
        <f t="shared" ref="W172" si="1265">W163-W171</f>
        <v>1988.7700000000013</v>
      </c>
      <c r="X172" s="22">
        <f t="shared" ref="X172:Y172" si="1266">X163-X171</f>
        <v>1696.54</v>
      </c>
      <c r="Y172" s="22">
        <f t="shared" si="1266"/>
        <v>1383.9899999999993</v>
      </c>
      <c r="Z172" s="22">
        <f t="shared" ref="Z172:AA172" si="1267">Z163-Z171</f>
        <v>1691.0699999999997</v>
      </c>
      <c r="AA172" s="22">
        <f t="shared" si="1267"/>
        <v>1408.9800000000005</v>
      </c>
      <c r="AB172" s="21">
        <f t="shared" ref="AA172:AD172" si="1268">AB163-AB171</f>
        <v>2455.474291738924</v>
      </c>
      <c r="AC172" s="21">
        <f t="shared" si="1268"/>
        <v>2869.0967986327814</v>
      </c>
      <c r="AD172" s="21">
        <f t="shared" si="1268"/>
        <v>2940.7559331605589</v>
      </c>
      <c r="AE172" s="21">
        <f t="shared" ref="AE172" si="1269">AE163-AE171</f>
        <v>3014.8765269123687</v>
      </c>
      <c r="AJ172" s="22">
        <f t="shared" ref="AJ172" si="1270">AJ163-AJ171</f>
        <v>281.43000000000006</v>
      </c>
      <c r="AK172" s="22">
        <f t="shared" ref="AK172" si="1271">AK163-AK171</f>
        <v>311.37331193838259</v>
      </c>
      <c r="AL172" s="22">
        <f t="shared" ref="AL172:AM172" si="1272">AL163-AL171</f>
        <v>236</v>
      </c>
      <c r="AM172" s="22">
        <f t="shared" si="1272"/>
        <v>298.50000000000023</v>
      </c>
      <c r="AN172" s="22">
        <f t="shared" ref="AN172:AO172" si="1273">AN163-AN171</f>
        <v>212</v>
      </c>
      <c r="AO172" s="22">
        <f t="shared" si="1273"/>
        <v>232.88065843621371</v>
      </c>
      <c r="AP172" s="22">
        <f t="shared" ref="AP172:CE172" si="1274">AP163-AP171</f>
        <v>475</v>
      </c>
      <c r="AQ172" s="22">
        <f t="shared" si="1274"/>
        <v>413.74612244897958</v>
      </c>
      <c r="AR172" s="22">
        <f t="shared" si="1274"/>
        <v>395</v>
      </c>
      <c r="AS172" s="22">
        <f t="shared" si="1274"/>
        <v>375.8751027115859</v>
      </c>
      <c r="AT172" s="22">
        <f t="shared" si="1274"/>
        <v>724</v>
      </c>
      <c r="AU172" s="22">
        <f t="shared" si="1274"/>
        <v>1292.2937608318894</v>
      </c>
      <c r="AV172" s="22">
        <f t="shared" si="1274"/>
        <v>219</v>
      </c>
      <c r="AW172" s="22">
        <f t="shared" si="1274"/>
        <v>160.22327229769598</v>
      </c>
      <c r="AX172" s="22">
        <f t="shared" si="1274"/>
        <v>-92</v>
      </c>
      <c r="AY172" s="22">
        <f t="shared" si="1274"/>
        <v>-74.754491017964483</v>
      </c>
      <c r="AZ172" s="22">
        <f t="shared" si="1274"/>
        <v>-12</v>
      </c>
      <c r="BA172" s="22">
        <f t="shared" si="1274"/>
        <v>-7.0916724982512278</v>
      </c>
      <c r="BB172" s="22">
        <f t="shared" si="1274"/>
        <v>477</v>
      </c>
      <c r="BC172" s="22">
        <f t="shared" si="1274"/>
        <v>438.79079497907969</v>
      </c>
      <c r="BD172" s="22">
        <f t="shared" si="1274"/>
        <v>309</v>
      </c>
      <c r="BE172" s="22">
        <f t="shared" si="1274"/>
        <v>335.32745236414894</v>
      </c>
      <c r="BF172" s="22">
        <f t="shared" si="1274"/>
        <v>223</v>
      </c>
      <c r="BG172" s="22">
        <f t="shared" si="1274"/>
        <v>335.53395784543363</v>
      </c>
      <c r="BH172" s="22">
        <f t="shared" ref="BH172" si="1275">BH163-BH171</f>
        <v>-17</v>
      </c>
      <c r="BI172" s="22">
        <f t="shared" si="1274"/>
        <v>96.149419218583716</v>
      </c>
      <c r="BJ172" s="22">
        <f t="shared" si="1274"/>
        <v>-326</v>
      </c>
      <c r="BK172" s="22">
        <f t="shared" si="1274"/>
        <v>-212.14331896551812</v>
      </c>
      <c r="BL172" s="22">
        <f t="shared" si="1274"/>
        <v>-224</v>
      </c>
      <c r="BM172" s="22">
        <f t="shared" si="1274"/>
        <v>-253.46882793017539</v>
      </c>
      <c r="BN172" s="22">
        <f t="shared" si="1274"/>
        <v>-21</v>
      </c>
      <c r="BO172" s="22">
        <f t="shared" si="1274"/>
        <v>77.864337101746969</v>
      </c>
      <c r="BP172" s="22">
        <f t="shared" si="1274"/>
        <v>102</v>
      </c>
      <c r="BQ172" s="22">
        <f t="shared" si="1274"/>
        <v>82.497768963808085</v>
      </c>
      <c r="BR172" s="22">
        <f t="shared" si="1274"/>
        <v>1629</v>
      </c>
      <c r="BS172" s="22">
        <f t="shared" si="1274"/>
        <v>1846.340733092411</v>
      </c>
      <c r="BT172" s="22">
        <f t="shared" si="1274"/>
        <v>1908</v>
      </c>
      <c r="BU172" s="22">
        <f t="shared" si="1274"/>
        <v>1875.5802526906882</v>
      </c>
      <c r="BV172" s="22">
        <f t="shared" si="1274"/>
        <v>2118</v>
      </c>
      <c r="BW172" s="22">
        <f t="shared" si="1274"/>
        <v>2363.3946503988736</v>
      </c>
      <c r="BX172" s="22">
        <f t="shared" si="1274"/>
        <v>2072</v>
      </c>
      <c r="BY172" s="22">
        <f t="shared" si="1274"/>
        <v>2299.4116106503711</v>
      </c>
      <c r="BZ172" s="22">
        <f t="shared" si="1274"/>
        <v>1841</v>
      </c>
      <c r="CA172" s="22">
        <f t="shared" si="1274"/>
        <v>1941.1605780810924</v>
      </c>
      <c r="CB172" s="22">
        <f t="shared" si="1274"/>
        <v>1788</v>
      </c>
      <c r="CC172" s="22">
        <f t="shared" si="1274"/>
        <v>1850.4992481203008</v>
      </c>
      <c r="CD172" s="22">
        <f t="shared" si="1274"/>
        <v>1542</v>
      </c>
      <c r="CE172" s="22">
        <f t="shared" si="1274"/>
        <v>1626.47213114754</v>
      </c>
      <c r="CF172" s="22">
        <f t="shared" ref="CF172:CG172" si="1276">CF163-CF171</f>
        <v>1335</v>
      </c>
      <c r="CG172" s="22">
        <f t="shared" si="1276"/>
        <v>1283.3281412253373</v>
      </c>
      <c r="CH172" s="22">
        <f t="shared" ref="CH172:CI172" si="1277">CH163-CH171</f>
        <v>1691.0699999999997</v>
      </c>
      <c r="CI172" s="22">
        <f t="shared" si="1277"/>
        <v>1816.2286110172354</v>
      </c>
      <c r="CJ172" s="22">
        <f t="shared" ref="CJ172:DB172" si="1278">CJ163-CJ171</f>
        <v>2297</v>
      </c>
      <c r="CK172" s="22">
        <f t="shared" si="1278"/>
        <v>2297.6956390066621</v>
      </c>
      <c r="CL172" s="22">
        <f t="shared" ref="CL172" si="1279">CL163-CL171</f>
        <v>2070</v>
      </c>
      <c r="CM172" s="21">
        <f t="shared" si="1278"/>
        <v>1853.8263746679149</v>
      </c>
      <c r="CN172" s="21">
        <f t="shared" si="1278"/>
        <v>1934.4592714442833</v>
      </c>
      <c r="CO172" s="21">
        <f t="shared" si="1278"/>
        <v>1937.5041350360107</v>
      </c>
      <c r="CP172" s="21">
        <f t="shared" si="1278"/>
        <v>2455.474291738924</v>
      </c>
      <c r="CQ172" s="21">
        <f t="shared" si="1278"/>
        <v>2174.820676586427</v>
      </c>
      <c r="CR172" s="21">
        <f t="shared" si="1278"/>
        <v>2268.2370306334051</v>
      </c>
      <c r="CS172" s="21">
        <f t="shared" si="1278"/>
        <v>2268.2321980302404</v>
      </c>
      <c r="CT172" s="21">
        <f t="shared" si="1278"/>
        <v>2869.0967986327814</v>
      </c>
      <c r="CU172" s="21">
        <f t="shared" si="1278"/>
        <v>2338.3902132320463</v>
      </c>
      <c r="CV172" s="21">
        <f t="shared" si="1278"/>
        <v>2372.3247469399139</v>
      </c>
      <c r="CW172" s="21">
        <f t="shared" si="1278"/>
        <v>2340.5569209553396</v>
      </c>
      <c r="CX172" s="21">
        <f t="shared" si="1278"/>
        <v>2940.7559331605589</v>
      </c>
      <c r="CY172" s="21">
        <f t="shared" si="1278"/>
        <v>2392.4869842962235</v>
      </c>
      <c r="CZ172" s="21">
        <f t="shared" si="1278"/>
        <v>2430.4408705375172</v>
      </c>
      <c r="DA172" s="21">
        <f t="shared" si="1278"/>
        <v>2399.0636098005325</v>
      </c>
      <c r="DB172" s="21">
        <f t="shared" si="1278"/>
        <v>3014.8765269123687</v>
      </c>
      <c r="DE172" s="126"/>
      <c r="DF172" s="22">
        <v>2390.8300682018362</v>
      </c>
    </row>
    <row r="173" spans="1:110" s="23" customFormat="1" x14ac:dyDescent="0.2">
      <c r="AB173" s="24"/>
      <c r="AC173" s="24"/>
      <c r="AD173" s="24"/>
      <c r="AE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3" customFormat="1" outlineLevel="1" x14ac:dyDescent="0.2">
      <c r="A174" s="23" t="s">
        <v>75</v>
      </c>
      <c r="B174" s="23">
        <f>'Annual Raw'!C75</f>
        <v>0.44130000000000003</v>
      </c>
      <c r="C174" s="23">
        <f>'Annual Raw'!D75</f>
        <v>13.175800000000001</v>
      </c>
      <c r="D174" s="23">
        <f>'Annual Raw'!E75</f>
        <v>12.9481</v>
      </c>
      <c r="E174" s="23">
        <f>'Annual Raw'!F75</f>
        <v>21.521799999999999</v>
      </c>
      <c r="F174" s="23">
        <f>'Annual Raw'!G75</f>
        <v>146.95339999999999</v>
      </c>
      <c r="G174" s="23">
        <f>'Annual Raw'!H75</f>
        <v>0</v>
      </c>
      <c r="H174" s="23">
        <f>'Annual Raw'!I75</f>
        <v>0</v>
      </c>
      <c r="I174" s="23">
        <f>'Annual Raw'!J75</f>
        <v>35.497100000000003</v>
      </c>
      <c r="J174" s="23">
        <f>'Annual Raw'!K75</f>
        <v>120.4406</v>
      </c>
      <c r="K174" s="23">
        <f>'Annual Raw'!L75</f>
        <v>122.1296</v>
      </c>
      <c r="L174" s="23">
        <f>'Annual Raw'!M75</f>
        <v>125.98779999999999</v>
      </c>
      <c r="M174" s="23">
        <f>'Annual Raw'!N75</f>
        <v>86.52</v>
      </c>
      <c r="N174" s="23">
        <f>'Annual Raw'!O75</f>
        <v>60.44</v>
      </c>
      <c r="O174" s="23">
        <f>'Annual Raw'!P75</f>
        <v>185.63</v>
      </c>
      <c r="P174" s="23">
        <f>'Annual Raw'!Q75</f>
        <v>297.58999999999997</v>
      </c>
      <c r="Q174" s="23">
        <f>'Annual Raw'!R75</f>
        <v>779.59</v>
      </c>
      <c r="R174" s="23">
        <f>'Annual Raw'!S75</f>
        <v>803.55</v>
      </c>
      <c r="S174" s="23">
        <f>'Annual Raw'!T75</f>
        <v>492.27</v>
      </c>
      <c r="T174" s="23">
        <f>'Annual Raw'!U75</f>
        <v>351.35</v>
      </c>
      <c r="U174" s="23">
        <f>'Annual Raw'!V75</f>
        <v>0.02</v>
      </c>
      <c r="V174" s="23">
        <f>'Annual Raw'!W75</f>
        <v>139.05000000000001</v>
      </c>
      <c r="W174" s="23">
        <f>'Annual Raw'!X75</f>
        <v>183.98</v>
      </c>
      <c r="X174" s="23">
        <f>'Annual Raw'!Y75</f>
        <v>156.09</v>
      </c>
      <c r="Y174" s="23">
        <f>'Annual Raw'!Z75</f>
        <v>141.04</v>
      </c>
      <c r="Z174" s="23">
        <f>'Annual Raw'!AA75</f>
        <v>112.21</v>
      </c>
      <c r="AA174" s="23">
        <f>'Annual Raw'!AB75</f>
        <v>865.74</v>
      </c>
      <c r="AB174" s="24">
        <f t="shared" ref="AB174:AB175" si="1280">+CP174</f>
        <v>0</v>
      </c>
      <c r="AC174" s="24">
        <f t="shared" ref="AC174:AC175" si="1281">+CT174</f>
        <v>0</v>
      </c>
      <c r="AD174" s="24">
        <f t="shared" ref="AD174:AD175" si="1282">+CX174</f>
        <v>0</v>
      </c>
      <c r="AE174" s="24">
        <f t="shared" ref="AE174:AE175" si="1283">+DB174</f>
        <v>0</v>
      </c>
      <c r="AJ174" s="23">
        <f>+'QTR Raw'!D80</f>
        <v>81.25</v>
      </c>
      <c r="AL174" s="23">
        <f>+'QTR Raw'!F80</f>
        <v>60</v>
      </c>
      <c r="AN174" s="23">
        <f>+'QTR Raw'!H80</f>
        <v>122</v>
      </c>
      <c r="AP174" s="23">
        <f>+'QTR Raw'!J80</f>
        <v>186</v>
      </c>
      <c r="AR174" s="23">
        <f>+'QTR Raw'!L80</f>
        <v>180</v>
      </c>
      <c r="AT174" s="23">
        <f>+'QTR Raw'!N80</f>
        <v>298</v>
      </c>
      <c r="AV174" s="23">
        <f>+'QTR Raw'!P80</f>
        <v>968</v>
      </c>
      <c r="AX174" s="23">
        <f>+'QTR Raw'!R80</f>
        <v>780</v>
      </c>
      <c r="AZ174" s="23">
        <f>+'QTR Raw'!T80</f>
        <v>1083</v>
      </c>
      <c r="BB174" s="23">
        <f>+'QTR Raw'!V80</f>
        <v>804</v>
      </c>
      <c r="BD174" s="23">
        <f>+'QTR Raw'!X80</f>
        <v>1014</v>
      </c>
      <c r="BF174" s="23">
        <f>+'QTR Raw'!Z80</f>
        <v>492</v>
      </c>
      <c r="BH174" s="23">
        <f>+'QTR Raw'!AB80</f>
        <v>708</v>
      </c>
      <c r="BJ174" s="23">
        <f>+'QTR Raw'!AD80</f>
        <v>351</v>
      </c>
      <c r="BL174" s="23">
        <f>+'QTR Raw'!AF80</f>
        <v>449</v>
      </c>
      <c r="BN174" s="23">
        <f>+'QTR Raw'!AH80</f>
        <v>0</v>
      </c>
      <c r="BP174" s="23">
        <f>+'QTR Raw'!AJ80</f>
        <v>560</v>
      </c>
      <c r="BR174" s="23">
        <f>+'QTR Raw'!AL80</f>
        <v>139</v>
      </c>
      <c r="BT174" s="23">
        <f>+'QTR Raw'!AN80</f>
        <v>304</v>
      </c>
      <c r="BV174" s="23">
        <f>+'QTR Raw'!AP80</f>
        <v>184</v>
      </c>
      <c r="BX174" s="23">
        <f>+'QTR Raw'!AR80</f>
        <v>463</v>
      </c>
      <c r="BZ174" s="23">
        <f>+'QTR Raw'!AT80</f>
        <v>156</v>
      </c>
      <c r="CB174" s="23">
        <f>+'QTR Raw'!AV80</f>
        <v>234</v>
      </c>
      <c r="CD174" s="23">
        <f>+'QTR Raw'!AX80</f>
        <v>141</v>
      </c>
      <c r="CF174" s="23">
        <f>+'QTR Raw'!AZ80</f>
        <v>85</v>
      </c>
      <c r="CH174" s="23">
        <f t="shared" ref="CH174:CH175" si="1284">Z174</f>
        <v>112.21</v>
      </c>
      <c r="CJ174" s="23">
        <f>+'QTR Raw'!BD80</f>
        <v>89</v>
      </c>
      <c r="CL174" s="23">
        <f>+'QTR Raw'!BF80</f>
        <v>866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866</v>
      </c>
    </row>
    <row r="175" spans="1:110" s="23" customFormat="1" outlineLevel="1" x14ac:dyDescent="0.2">
      <c r="A175" s="23" t="s">
        <v>76</v>
      </c>
      <c r="B175" s="23">
        <f>'Annual Raw'!C78</f>
        <v>8.2987000000000002</v>
      </c>
      <c r="C175" s="23">
        <f>'Annual Raw'!D78</f>
        <v>38.792700000000004</v>
      </c>
      <c r="D175" s="23">
        <f>'Annual Raw'!E78</f>
        <v>35.305399999999999</v>
      </c>
      <c r="E175" s="23">
        <f>'Annual Raw'!F78</f>
        <v>13.710100000000001</v>
      </c>
      <c r="F175" s="23">
        <f>'Annual Raw'!G78</f>
        <v>10.668699999999999</v>
      </c>
      <c r="G175" s="23">
        <f>'Annual Raw'!H78</f>
        <v>85.0107</v>
      </c>
      <c r="H175" s="23">
        <f>'Annual Raw'!I78</f>
        <v>20.769100000000002</v>
      </c>
      <c r="I175" s="23">
        <f>'Annual Raw'!J78</f>
        <v>118.3434</v>
      </c>
      <c r="J175" s="23">
        <f>'Annual Raw'!K78</f>
        <v>229.9923</v>
      </c>
      <c r="K175" s="23">
        <f>'Annual Raw'!L78</f>
        <v>388.32530000000003</v>
      </c>
      <c r="L175" s="23">
        <f>'Annual Raw'!M78</f>
        <v>478.80279999999999</v>
      </c>
      <c r="M175" s="23">
        <f>'Annual Raw'!N78</f>
        <v>674.28</v>
      </c>
      <c r="N175" s="23">
        <f>'Annual Raw'!O78</f>
        <v>626.97</v>
      </c>
      <c r="O175" s="23">
        <f>'Annual Raw'!P78</f>
        <v>769.42</v>
      </c>
      <c r="P175" s="23">
        <f>'Annual Raw'!Q78</f>
        <v>567.36</v>
      </c>
      <c r="Q175" s="23">
        <f>'Annual Raw'!R78</f>
        <v>647.03</v>
      </c>
      <c r="R175" s="23">
        <f>'Annual Raw'!S78</f>
        <v>893.72</v>
      </c>
      <c r="S175" s="23">
        <f>'Annual Raw'!T78</f>
        <v>867.23</v>
      </c>
      <c r="T175" s="23">
        <f>'Annual Raw'!U78</f>
        <v>816.04</v>
      </c>
      <c r="U175" s="23">
        <f>'Annual Raw'!V78</f>
        <v>666.65</v>
      </c>
      <c r="V175" s="23">
        <f>'Annual Raw'!W78</f>
        <v>603.5</v>
      </c>
      <c r="W175" s="23">
        <f>'Annual Raw'!X78</f>
        <v>403.41</v>
      </c>
      <c r="X175" s="23">
        <f>'Annual Raw'!Y78</f>
        <v>571.46</v>
      </c>
      <c r="Y175" s="23">
        <f>'Annual Raw'!Z78</f>
        <v>839.04</v>
      </c>
      <c r="Z175" s="23">
        <f>'Annual Raw'!AA78</f>
        <v>579.46</v>
      </c>
      <c r="AA175" s="23">
        <f>'Annual Raw'!AB78</f>
        <v>1165.2</v>
      </c>
      <c r="AB175" s="24">
        <f t="shared" si="1280"/>
        <v>3840.2143790321861</v>
      </c>
      <c r="AC175" s="24">
        <f t="shared" si="1281"/>
        <v>6570.8298670009835</v>
      </c>
      <c r="AD175" s="24">
        <f t="shared" si="1282"/>
        <v>10200.490811419601</v>
      </c>
      <c r="AE175" s="24">
        <f t="shared" si="1283"/>
        <v>14050.130596360386</v>
      </c>
      <c r="AJ175" s="23">
        <f>+'QTR Raw'!D83</f>
        <v>381.32</v>
      </c>
      <c r="AK175" s="23">
        <f t="shared" ref="AK175:AM175" si="1285">+AK225</f>
        <v>544.62668806161741</v>
      </c>
      <c r="AL175" s="23">
        <f>+'QTR Raw'!F83</f>
        <v>627</v>
      </c>
      <c r="AM175" s="23">
        <f t="shared" si="1285"/>
        <v>773.49999999999977</v>
      </c>
      <c r="AN175" s="23">
        <f>+'QTR Raw'!H83</f>
        <v>817</v>
      </c>
      <c r="AO175" s="23">
        <f t="shared" ref="AO175" si="1286">+AO225</f>
        <v>1076.1193415637863</v>
      </c>
      <c r="AP175" s="23">
        <f>+'QTR Raw'!J83</f>
        <v>769</v>
      </c>
      <c r="AQ175" s="23">
        <f t="shared" ref="AQ175" si="1287">+AQ225</f>
        <v>1272.2538775510204</v>
      </c>
      <c r="AR175" s="23">
        <f>+'QTR Raw'!L83</f>
        <v>581</v>
      </c>
      <c r="AS175" s="23">
        <f t="shared" ref="AS175" si="1288">+AS225</f>
        <v>947.1248972884141</v>
      </c>
      <c r="AT175" s="23">
        <f>+'QTR Raw'!N83</f>
        <v>567</v>
      </c>
      <c r="AU175" s="23">
        <f t="shared" ref="AU175" si="1289">+AU225</f>
        <v>946.70623916811064</v>
      </c>
      <c r="AV175" s="23">
        <f>+'QTR Raw'!P83</f>
        <v>669</v>
      </c>
      <c r="AW175" s="23">
        <f t="shared" ref="AW175" si="1290">+AW225</f>
        <v>1985.776727702304</v>
      </c>
      <c r="AX175" s="23">
        <f>+'QTR Raw'!R83</f>
        <v>647</v>
      </c>
      <c r="AY175" s="23">
        <f t="shared" ref="AY175" si="1291">+AY225</f>
        <v>1701.7544910179645</v>
      </c>
      <c r="AZ175" s="23">
        <f>+'QTR Raw'!T83</f>
        <v>766</v>
      </c>
      <c r="BA175" s="23">
        <f t="shared" ref="BA175" si="1292">+BA225</f>
        <v>2073.0916724982512</v>
      </c>
      <c r="BB175" s="23">
        <f>+'QTR Raw'!V83</f>
        <v>894</v>
      </c>
      <c r="BC175" s="23">
        <f t="shared" ref="BC175" si="1293">+BC225</f>
        <v>1924.2092050209203</v>
      </c>
      <c r="BD175" s="23">
        <f>+'QTR Raw'!X83</f>
        <v>933</v>
      </c>
      <c r="BE175" s="23">
        <f t="shared" ref="BE175" si="1294">+BE225</f>
        <v>1978.6725476358511</v>
      </c>
      <c r="BF175" s="23">
        <f>+'QTR Raw'!Z83</f>
        <v>867</v>
      </c>
      <c r="BG175" s="23">
        <f t="shared" ref="BG175" si="1295">+BG225</f>
        <v>1409.4660421545664</v>
      </c>
      <c r="BH175" s="23">
        <f>+'QTR Raw'!AB83</f>
        <v>969</v>
      </c>
      <c r="BI175" s="23">
        <f t="shared" ref="BI175" si="1296">+BI225</f>
        <v>1809.8505807814163</v>
      </c>
      <c r="BJ175" s="23">
        <f>+'QTR Raw'!AD83</f>
        <v>816</v>
      </c>
      <c r="BK175" s="23">
        <f t="shared" ref="BK175" si="1297">+BK225</f>
        <v>1269.1433189655181</v>
      </c>
      <c r="BL175" s="23">
        <f>+'QTR Raw'!AF83</f>
        <v>586</v>
      </c>
      <c r="BM175" s="23">
        <f t="shared" ref="BM175" si="1298">+BM225</f>
        <v>1315.4688279301754</v>
      </c>
      <c r="BN175" s="23">
        <f>+'QTR Raw'!AH83</f>
        <v>666</v>
      </c>
      <c r="BO175" s="23">
        <f t="shared" ref="BO175" si="1299">+BO225</f>
        <v>888.13566289825303</v>
      </c>
      <c r="BP175" s="23">
        <f>+'QTR Raw'!AJ83</f>
        <v>472</v>
      </c>
      <c r="BQ175" s="23">
        <f t="shared" ref="BQ175" si="1300">+BQ225</f>
        <v>1348.5022310361919</v>
      </c>
      <c r="BR175" s="23">
        <f>+'QTR Raw'!AL83</f>
        <v>604</v>
      </c>
      <c r="BS175" s="23">
        <f t="shared" ref="BS175" si="1301">+BS225</f>
        <v>855.65926690758897</v>
      </c>
      <c r="BT175" s="23">
        <f>+'QTR Raw'!AN83</f>
        <v>345</v>
      </c>
      <c r="BU175" s="23">
        <f t="shared" ref="BU175" si="1302">+BU225</f>
        <v>930.41974730931179</v>
      </c>
      <c r="BV175" s="23">
        <f>+'QTR Raw'!AP83</f>
        <v>403</v>
      </c>
      <c r="BW175" s="23">
        <f t="shared" ref="BW175" si="1303">+BW225</f>
        <v>695.60534960112636</v>
      </c>
      <c r="BX175" s="23">
        <f>+'QTR Raw'!AR83</f>
        <v>348</v>
      </c>
      <c r="BY175" s="23">
        <f t="shared" ref="BY175" si="1304">+BY225</f>
        <v>875.58838934962887</v>
      </c>
      <c r="BZ175" s="23">
        <f>+'QTR Raw'!AT83</f>
        <v>571</v>
      </c>
      <c r="CA175" s="23">
        <f t="shared" ref="CA175" si="1305">+CA225</f>
        <v>1004.8394219189076</v>
      </c>
      <c r="CB175" s="23">
        <f>+'QTR Raw'!AV83</f>
        <v>556</v>
      </c>
      <c r="CC175" s="23">
        <f t="shared" ref="CC175" si="1306">+CC225</f>
        <v>1170.5007518796992</v>
      </c>
      <c r="CD175" s="23">
        <f>+'QTR Raw'!AX83</f>
        <v>839</v>
      </c>
      <c r="CE175" s="23">
        <f t="shared" ref="CE175" si="1307">+CE225</f>
        <v>1352.52786885246</v>
      </c>
      <c r="CF175" s="23">
        <f>+'QTR Raw'!AZ83</f>
        <v>1150</v>
      </c>
      <c r="CG175" s="23">
        <f t="shared" ref="CG175:CI175" si="1308">+CG225</f>
        <v>1789.6718587746627</v>
      </c>
      <c r="CH175" s="23">
        <f t="shared" si="1284"/>
        <v>579.46</v>
      </c>
      <c r="CI175" s="23">
        <f t="shared" si="1308"/>
        <v>1315.5113889827644</v>
      </c>
      <c r="CJ175" s="23">
        <f>+'QTR Raw'!BD83</f>
        <v>705</v>
      </c>
      <c r="CK175" s="23">
        <f t="shared" ref="CK175:DB175" si="1309">+CK225</f>
        <v>1534.3043609933388</v>
      </c>
      <c r="CL175" s="23">
        <f>+'QTR Raw'!BF83</f>
        <v>1165</v>
      </c>
      <c r="CM175" s="24">
        <f t="shared" si="1309"/>
        <v>2683.1688953602115</v>
      </c>
      <c r="CN175" s="24">
        <f t="shared" si="1309"/>
        <v>3091.4128590717764</v>
      </c>
      <c r="CO175" s="24">
        <f t="shared" si="1309"/>
        <v>3587.8090631649102</v>
      </c>
      <c r="CP175" s="24">
        <f t="shared" si="1309"/>
        <v>3840.2143790321861</v>
      </c>
      <c r="CQ175" s="24">
        <f t="shared" si="1309"/>
        <v>4768.6068019585409</v>
      </c>
      <c r="CR175" s="24">
        <f t="shared" si="1309"/>
        <v>5386.2146492977918</v>
      </c>
      <c r="CS175" s="24">
        <f t="shared" si="1309"/>
        <v>6109.9459999289702</v>
      </c>
      <c r="CT175" s="24">
        <f t="shared" si="1309"/>
        <v>6570.8298670009835</v>
      </c>
      <c r="CU175" s="24">
        <f t="shared" si="1309"/>
        <v>7906.5595078316746</v>
      </c>
      <c r="CV175" s="24">
        <f t="shared" si="1309"/>
        <v>8716.3177865701364</v>
      </c>
      <c r="CW175" s="24">
        <f t="shared" si="1309"/>
        <v>9592.7507955729816</v>
      </c>
      <c r="CX175" s="24">
        <f t="shared" si="1309"/>
        <v>10200.490811419601</v>
      </c>
      <c r="CY175" s="24">
        <f t="shared" si="1309"/>
        <v>11622.05505277161</v>
      </c>
      <c r="CZ175" s="24">
        <f t="shared" si="1309"/>
        <v>12490.306458282239</v>
      </c>
      <c r="DA175" s="24">
        <f t="shared" si="1309"/>
        <v>13417.417175589275</v>
      </c>
      <c r="DB175" s="24">
        <f t="shared" si="1309"/>
        <v>14050.130596360386</v>
      </c>
      <c r="DE175" s="123"/>
      <c r="DF175" s="23">
        <v>2050.32849718336</v>
      </c>
    </row>
    <row r="176" spans="1:110" s="22" customFormat="1" x14ac:dyDescent="0.2">
      <c r="A176" s="22" t="s">
        <v>77</v>
      </c>
      <c r="B176" s="22">
        <f>B174+B175</f>
        <v>8.74</v>
      </c>
      <c r="C176" s="22">
        <f t="shared" ref="C176:V176" si="1310">C174+C175</f>
        <v>51.968500000000006</v>
      </c>
      <c r="D176" s="22">
        <f t="shared" si="1310"/>
        <v>48.253500000000003</v>
      </c>
      <c r="E176" s="22">
        <f t="shared" si="1310"/>
        <v>35.231899999999996</v>
      </c>
      <c r="F176" s="22">
        <f t="shared" si="1310"/>
        <v>157.62209999999999</v>
      </c>
      <c r="G176" s="22">
        <f t="shared" si="1310"/>
        <v>85.0107</v>
      </c>
      <c r="H176" s="22">
        <f t="shared" si="1310"/>
        <v>20.769100000000002</v>
      </c>
      <c r="I176" s="22">
        <f t="shared" si="1310"/>
        <v>153.84050000000002</v>
      </c>
      <c r="J176" s="22">
        <f t="shared" si="1310"/>
        <v>350.43290000000002</v>
      </c>
      <c r="K176" s="22">
        <f t="shared" si="1310"/>
        <v>510.45490000000001</v>
      </c>
      <c r="L176" s="22">
        <f t="shared" si="1310"/>
        <v>604.79060000000004</v>
      </c>
      <c r="M176" s="22">
        <f t="shared" si="1310"/>
        <v>760.8</v>
      </c>
      <c r="N176" s="22">
        <f t="shared" si="1310"/>
        <v>687.41000000000008</v>
      </c>
      <c r="O176" s="22">
        <f t="shared" si="1310"/>
        <v>955.05</v>
      </c>
      <c r="P176" s="22">
        <f t="shared" si="1310"/>
        <v>864.95</v>
      </c>
      <c r="Q176" s="22">
        <f t="shared" si="1310"/>
        <v>1426.62</v>
      </c>
      <c r="R176" s="22">
        <f t="shared" si="1310"/>
        <v>1697.27</v>
      </c>
      <c r="S176" s="22">
        <f t="shared" si="1310"/>
        <v>1359.5</v>
      </c>
      <c r="T176" s="22">
        <f t="shared" si="1310"/>
        <v>1167.3899999999999</v>
      </c>
      <c r="U176" s="22">
        <f t="shared" si="1310"/>
        <v>666.67</v>
      </c>
      <c r="V176" s="22">
        <f t="shared" si="1310"/>
        <v>742.55</v>
      </c>
      <c r="W176" s="22">
        <f t="shared" ref="W176" si="1311">W174+W175</f>
        <v>587.39</v>
      </c>
      <c r="X176" s="22">
        <f t="shared" ref="X176:Y176" si="1312">X174+X175</f>
        <v>727.55000000000007</v>
      </c>
      <c r="Y176" s="22">
        <f t="shared" si="1312"/>
        <v>980.07999999999993</v>
      </c>
      <c r="Z176" s="22">
        <f t="shared" ref="Z176:AA176" si="1313">Z174+Z175</f>
        <v>691.67000000000007</v>
      </c>
      <c r="AA176" s="22">
        <f t="shared" si="1313"/>
        <v>2030.94</v>
      </c>
      <c r="AB176" s="21">
        <f t="shared" ref="AA176:AD176" si="1314">AB174+AB175</f>
        <v>3840.2143790321861</v>
      </c>
      <c r="AC176" s="21">
        <f t="shared" si="1314"/>
        <v>6570.8298670009835</v>
      </c>
      <c r="AD176" s="21">
        <f t="shared" si="1314"/>
        <v>10200.490811419601</v>
      </c>
      <c r="AE176" s="21">
        <f t="shared" ref="AE176" si="1315">AE174+AE175</f>
        <v>14050.130596360386</v>
      </c>
      <c r="AJ176" s="22">
        <f t="shared" ref="AJ176" si="1316">AJ174+AJ175</f>
        <v>462.57</v>
      </c>
      <c r="AK176" s="22">
        <f t="shared" ref="AK176" si="1317">AK174+AK175</f>
        <v>544.62668806161741</v>
      </c>
      <c r="AL176" s="22">
        <f t="shared" ref="AL176:AM176" si="1318">AL174+AL175</f>
        <v>687</v>
      </c>
      <c r="AM176" s="22">
        <f t="shared" si="1318"/>
        <v>773.49999999999977</v>
      </c>
      <c r="AN176" s="22">
        <f t="shared" ref="AN176:AO176" si="1319">AN174+AN175</f>
        <v>939</v>
      </c>
      <c r="AO176" s="22">
        <f t="shared" si="1319"/>
        <v>1076.1193415637863</v>
      </c>
      <c r="AP176" s="22">
        <f t="shared" ref="AP176:CE176" si="1320">AP174+AP175</f>
        <v>955</v>
      </c>
      <c r="AQ176" s="22">
        <f t="shared" si="1320"/>
        <v>1272.2538775510204</v>
      </c>
      <c r="AR176" s="22">
        <f t="shared" si="1320"/>
        <v>761</v>
      </c>
      <c r="AS176" s="22">
        <f t="shared" si="1320"/>
        <v>947.1248972884141</v>
      </c>
      <c r="AT176" s="22">
        <f t="shared" si="1320"/>
        <v>865</v>
      </c>
      <c r="AU176" s="22">
        <f t="shared" si="1320"/>
        <v>946.70623916811064</v>
      </c>
      <c r="AV176" s="22">
        <f t="shared" si="1320"/>
        <v>1637</v>
      </c>
      <c r="AW176" s="22">
        <f t="shared" si="1320"/>
        <v>1985.776727702304</v>
      </c>
      <c r="AX176" s="22">
        <f t="shared" si="1320"/>
        <v>1427</v>
      </c>
      <c r="AY176" s="22">
        <f t="shared" si="1320"/>
        <v>1701.7544910179645</v>
      </c>
      <c r="AZ176" s="22">
        <f t="shared" si="1320"/>
        <v>1849</v>
      </c>
      <c r="BA176" s="22">
        <f t="shared" si="1320"/>
        <v>2073.0916724982512</v>
      </c>
      <c r="BB176" s="22">
        <f t="shared" si="1320"/>
        <v>1698</v>
      </c>
      <c r="BC176" s="22">
        <f t="shared" si="1320"/>
        <v>1924.2092050209203</v>
      </c>
      <c r="BD176" s="22">
        <f t="shared" si="1320"/>
        <v>1947</v>
      </c>
      <c r="BE176" s="22">
        <f t="shared" si="1320"/>
        <v>1978.6725476358511</v>
      </c>
      <c r="BF176" s="22">
        <f t="shared" si="1320"/>
        <v>1359</v>
      </c>
      <c r="BG176" s="22">
        <f t="shared" si="1320"/>
        <v>1409.4660421545664</v>
      </c>
      <c r="BH176" s="22">
        <f t="shared" si="1320"/>
        <v>1677</v>
      </c>
      <c r="BI176" s="22">
        <f t="shared" si="1320"/>
        <v>1809.8505807814163</v>
      </c>
      <c r="BJ176" s="22">
        <f t="shared" si="1320"/>
        <v>1167</v>
      </c>
      <c r="BK176" s="22">
        <f t="shared" si="1320"/>
        <v>1269.1433189655181</v>
      </c>
      <c r="BL176" s="22">
        <f t="shared" si="1320"/>
        <v>1035</v>
      </c>
      <c r="BM176" s="22">
        <f t="shared" si="1320"/>
        <v>1315.4688279301754</v>
      </c>
      <c r="BN176" s="22">
        <f t="shared" si="1320"/>
        <v>666</v>
      </c>
      <c r="BO176" s="22">
        <f t="shared" si="1320"/>
        <v>888.13566289825303</v>
      </c>
      <c r="BP176" s="22">
        <f t="shared" si="1320"/>
        <v>1032</v>
      </c>
      <c r="BQ176" s="22">
        <f t="shared" si="1320"/>
        <v>1348.5022310361919</v>
      </c>
      <c r="BR176" s="22">
        <f t="shared" si="1320"/>
        <v>743</v>
      </c>
      <c r="BS176" s="22">
        <f t="shared" si="1320"/>
        <v>855.65926690758897</v>
      </c>
      <c r="BT176" s="22">
        <f t="shared" si="1320"/>
        <v>649</v>
      </c>
      <c r="BU176" s="22">
        <f t="shared" si="1320"/>
        <v>930.41974730931179</v>
      </c>
      <c r="BV176" s="22">
        <f t="shared" si="1320"/>
        <v>587</v>
      </c>
      <c r="BW176" s="22">
        <f t="shared" si="1320"/>
        <v>695.60534960112636</v>
      </c>
      <c r="BX176" s="22">
        <f t="shared" si="1320"/>
        <v>811</v>
      </c>
      <c r="BY176" s="22">
        <f t="shared" si="1320"/>
        <v>875.58838934962887</v>
      </c>
      <c r="BZ176" s="22">
        <f t="shared" si="1320"/>
        <v>727</v>
      </c>
      <c r="CA176" s="22">
        <f t="shared" si="1320"/>
        <v>1004.8394219189076</v>
      </c>
      <c r="CB176" s="22">
        <f t="shared" si="1320"/>
        <v>790</v>
      </c>
      <c r="CC176" s="22">
        <f t="shared" si="1320"/>
        <v>1170.5007518796992</v>
      </c>
      <c r="CD176" s="22">
        <f t="shared" si="1320"/>
        <v>980</v>
      </c>
      <c r="CE176" s="22">
        <f t="shared" si="1320"/>
        <v>1352.52786885246</v>
      </c>
      <c r="CF176" s="22">
        <f t="shared" ref="CF176:CG176" si="1321">CF174+CF175</f>
        <v>1235</v>
      </c>
      <c r="CG176" s="22">
        <f t="shared" si="1321"/>
        <v>1789.6718587746627</v>
      </c>
      <c r="CH176" s="22">
        <f t="shared" ref="CH176:CI176" si="1322">CH174+CH175</f>
        <v>691.67000000000007</v>
      </c>
      <c r="CI176" s="22">
        <f t="shared" si="1322"/>
        <v>1315.5113889827644</v>
      </c>
      <c r="CJ176" s="22">
        <f t="shared" ref="CJ176:DB176" si="1323">CJ174+CJ175</f>
        <v>794</v>
      </c>
      <c r="CK176" s="22">
        <f t="shared" si="1323"/>
        <v>1534.3043609933388</v>
      </c>
      <c r="CL176" s="22">
        <f t="shared" ref="CL176" si="1324">CL174+CL175</f>
        <v>2031</v>
      </c>
      <c r="CM176" s="21">
        <f t="shared" si="1323"/>
        <v>2683.1688953602115</v>
      </c>
      <c r="CN176" s="21">
        <f t="shared" si="1323"/>
        <v>3091.4128590717764</v>
      </c>
      <c r="CO176" s="21">
        <f t="shared" si="1323"/>
        <v>3587.8090631649102</v>
      </c>
      <c r="CP176" s="21">
        <f t="shared" si="1323"/>
        <v>3840.2143790321861</v>
      </c>
      <c r="CQ176" s="21">
        <f t="shared" si="1323"/>
        <v>4768.6068019585409</v>
      </c>
      <c r="CR176" s="21">
        <f t="shared" si="1323"/>
        <v>5386.2146492977918</v>
      </c>
      <c r="CS176" s="21">
        <f t="shared" si="1323"/>
        <v>6109.9459999289702</v>
      </c>
      <c r="CT176" s="21">
        <f t="shared" si="1323"/>
        <v>6570.8298670009835</v>
      </c>
      <c r="CU176" s="21">
        <f t="shared" si="1323"/>
        <v>7906.5595078316746</v>
      </c>
      <c r="CV176" s="21">
        <f t="shared" si="1323"/>
        <v>8716.3177865701364</v>
      </c>
      <c r="CW176" s="21">
        <f t="shared" si="1323"/>
        <v>9592.7507955729816</v>
      </c>
      <c r="CX176" s="21">
        <f t="shared" si="1323"/>
        <v>10200.490811419601</v>
      </c>
      <c r="CY176" s="21">
        <f t="shared" si="1323"/>
        <v>11622.05505277161</v>
      </c>
      <c r="CZ176" s="21">
        <f t="shared" si="1323"/>
        <v>12490.306458282239</v>
      </c>
      <c r="DA176" s="21">
        <f t="shared" si="1323"/>
        <v>13417.417175589275</v>
      </c>
      <c r="DB176" s="21">
        <f t="shared" si="1323"/>
        <v>14050.130596360386</v>
      </c>
      <c r="DE176" s="126"/>
      <c r="DF176" s="22">
        <v>2050.32849718336</v>
      </c>
    </row>
    <row r="177" spans="1:110" s="23" customFormat="1" x14ac:dyDescent="0.2">
      <c r="AB177" s="24"/>
      <c r="AC177" s="24"/>
      <c r="AD177" s="24"/>
      <c r="AE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x14ac:dyDescent="0.2">
      <c r="A178" s="23" t="s">
        <v>78</v>
      </c>
      <c r="B178" s="23">
        <f>-'Annual Raw'!C49</f>
        <v>0</v>
      </c>
      <c r="C178" s="23">
        <f>-'Annual Raw'!D49</f>
        <v>-38.591799999999999</v>
      </c>
      <c r="D178" s="23">
        <f>-'Annual Raw'!E49</f>
        <v>-33.468299999999999</v>
      </c>
      <c r="E178" s="23">
        <f>-'Annual Raw'!F49</f>
        <v>-35.620800000000003</v>
      </c>
      <c r="F178" s="23">
        <f>-'Annual Raw'!G49</f>
        <v>-37.813400000000001</v>
      </c>
      <c r="G178" s="23">
        <f>-'Annual Raw'!H49</f>
        <v>-47.828600000000002</v>
      </c>
      <c r="H178" s="23">
        <f>-'Annual Raw'!I49</f>
        <v>-56.198900000000002</v>
      </c>
      <c r="I178" s="23">
        <f>-'Annual Raw'!J49</f>
        <v>-62.303100000000001</v>
      </c>
      <c r="J178" s="23">
        <f>-'Annual Raw'!K49</f>
        <v>-58.396799999999999</v>
      </c>
      <c r="K178" s="23">
        <f>-'Annual Raw'!L49</f>
        <v>-49.898000000000003</v>
      </c>
      <c r="L178" s="23">
        <f>-'Annual Raw'!M49</f>
        <v>-47.985700000000001</v>
      </c>
      <c r="M178" s="23">
        <f>-'Annual Raw'!N49</f>
        <v>-51.43</v>
      </c>
      <c r="N178" s="23">
        <f>-'Annual Raw'!O49</f>
        <v>-25.75</v>
      </c>
      <c r="O178" s="23">
        <f>-'Annual Raw'!P49</f>
        <v>18.16</v>
      </c>
      <c r="P178" s="23">
        <f>-'Annual Raw'!Q49</f>
        <v>-104.7</v>
      </c>
      <c r="Q178" s="23">
        <f>-'Annual Raw'!R49</f>
        <v>111.44</v>
      </c>
      <c r="R178" s="23">
        <f>-'Annual Raw'!S49</f>
        <v>208.47</v>
      </c>
      <c r="S178" s="23">
        <f>-'Annual Raw'!T49</f>
        <v>275.88</v>
      </c>
      <c r="T178" s="23">
        <f>-'Annual Raw'!U49</f>
        <v>362.35</v>
      </c>
      <c r="U178" s="23">
        <f>-'Annual Raw'!V49</f>
        <v>433.21</v>
      </c>
      <c r="V178" s="23">
        <f>-'Annual Raw'!W49</f>
        <v>421.66</v>
      </c>
      <c r="W178" s="23">
        <f>-'Annual Raw'!X49</f>
        <v>300.08999999999997</v>
      </c>
      <c r="X178" s="23">
        <f>-'Annual Raw'!Y49</f>
        <v>141.72999999999999</v>
      </c>
      <c r="Y178" s="23">
        <f>-'Annual Raw'!Z49</f>
        <v>-100.92</v>
      </c>
      <c r="Z178" s="23">
        <f>-'Annual Raw'!AA49</f>
        <v>-234.57</v>
      </c>
      <c r="AA178" s="23">
        <f>-'Annual Raw'!AB49</f>
        <v>-4971.7700000000004</v>
      </c>
      <c r="AB178" s="24">
        <f t="shared" ref="AB178:AB179" si="1325">+CP178</f>
        <v>-4972</v>
      </c>
      <c r="AC178" s="24">
        <f t="shared" ref="AC178:AC179" si="1326">+CT178</f>
        <v>-4972</v>
      </c>
      <c r="AD178" s="24">
        <f t="shared" ref="AD178:AD179" si="1327">+CX178</f>
        <v>-4972</v>
      </c>
      <c r="AE178" s="24">
        <f t="shared" ref="AE178:AE179" si="1328">+DB178</f>
        <v>-4972</v>
      </c>
      <c r="AJ178" s="23">
        <f>+'QTR Raw'!D96</f>
        <v>-49.33</v>
      </c>
      <c r="AK178" s="23">
        <f t="shared" ref="AK178:CE178" si="1329">+AJ178</f>
        <v>-49.33</v>
      </c>
      <c r="AL178" s="23">
        <f>+'QTR Raw'!F96</f>
        <v>-26</v>
      </c>
      <c r="AM178" s="23">
        <f t="shared" si="1329"/>
        <v>-26</v>
      </c>
      <c r="AN178" s="23">
        <f>+'QTR Raw'!H96</f>
        <v>-13</v>
      </c>
      <c r="AO178" s="23">
        <f t="shared" si="1329"/>
        <v>-13</v>
      </c>
      <c r="AP178" s="23">
        <f>+'QTR Raw'!J96</f>
        <v>19</v>
      </c>
      <c r="AQ178" s="23">
        <f t="shared" si="1329"/>
        <v>19</v>
      </c>
      <c r="AR178" s="23">
        <f>+'QTR Raw'!L96</f>
        <v>-22</v>
      </c>
      <c r="AS178" s="23">
        <f t="shared" si="1329"/>
        <v>-22</v>
      </c>
      <c r="AT178" s="23">
        <f>+'QTR Raw'!N96</f>
        <v>-105</v>
      </c>
      <c r="AU178" s="23">
        <f t="shared" si="1329"/>
        <v>-105</v>
      </c>
      <c r="AV178" s="23">
        <f>+'QTR Raw'!P96</f>
        <v>-114</v>
      </c>
      <c r="AW178" s="23">
        <f t="shared" si="1329"/>
        <v>-114</v>
      </c>
      <c r="AX178" s="23">
        <f>+'QTR Raw'!R96</f>
        <v>111</v>
      </c>
      <c r="AY178" s="23">
        <f t="shared" si="1329"/>
        <v>111</v>
      </c>
      <c r="AZ178" s="23">
        <f>+'QTR Raw'!T96</f>
        <v>162</v>
      </c>
      <c r="BA178" s="23">
        <f t="shared" si="1329"/>
        <v>162</v>
      </c>
      <c r="BB178" s="23">
        <f>+'QTR Raw'!V96</f>
        <v>209</v>
      </c>
      <c r="BC178" s="23">
        <f t="shared" si="1329"/>
        <v>209</v>
      </c>
      <c r="BD178" s="23">
        <f>+'QTR Raw'!X96</f>
        <v>216</v>
      </c>
      <c r="BE178" s="23">
        <f t="shared" si="1329"/>
        <v>216</v>
      </c>
      <c r="BF178" s="23">
        <f>+'QTR Raw'!Z96</f>
        <v>276</v>
      </c>
      <c r="BG178" s="23">
        <f t="shared" si="1329"/>
        <v>276</v>
      </c>
      <c r="BH178" s="23">
        <f>+'QTR Raw'!AB96</f>
        <v>378</v>
      </c>
      <c r="BI178" s="23">
        <f t="shared" si="1329"/>
        <v>378</v>
      </c>
      <c r="BJ178" s="23">
        <f>+'QTR Raw'!AD96</f>
        <v>363</v>
      </c>
      <c r="BK178" s="23">
        <f t="shared" si="1329"/>
        <v>363</v>
      </c>
      <c r="BL178" s="23">
        <f>+'QTR Raw'!AF96</f>
        <v>407</v>
      </c>
      <c r="BM178" s="23">
        <f t="shared" si="1329"/>
        <v>407</v>
      </c>
      <c r="BN178" s="23">
        <f>+'QTR Raw'!AH96</f>
        <v>433</v>
      </c>
      <c r="BO178" s="23">
        <f t="shared" si="1329"/>
        <v>433</v>
      </c>
      <c r="BP178" s="23">
        <f>+'QTR Raw'!AJ96</f>
        <v>386</v>
      </c>
      <c r="BQ178" s="23">
        <f t="shared" si="1329"/>
        <v>386</v>
      </c>
      <c r="BR178" s="23">
        <f>+'QTR Raw'!AL96</f>
        <v>421</v>
      </c>
      <c r="BS178" s="23">
        <f t="shared" si="1329"/>
        <v>421</v>
      </c>
      <c r="BT178" s="23">
        <f>+'QTR Raw'!AN96</f>
        <v>319</v>
      </c>
      <c r="BU178" s="23">
        <f t="shared" si="1329"/>
        <v>319</v>
      </c>
      <c r="BV178" s="23">
        <f>+'QTR Raw'!AP96</f>
        <v>300</v>
      </c>
      <c r="BW178" s="23">
        <f t="shared" si="1329"/>
        <v>300</v>
      </c>
      <c r="BX178" s="23">
        <f>+'QTR Raw'!AR96</f>
        <v>217</v>
      </c>
      <c r="BY178" s="23">
        <f t="shared" si="1329"/>
        <v>217</v>
      </c>
      <c r="BZ178" s="23">
        <f>+'QTR Raw'!AT96</f>
        <v>142</v>
      </c>
      <c r="CA178" s="23">
        <f t="shared" si="1329"/>
        <v>142</v>
      </c>
      <c r="CB178" s="23">
        <f>+'QTR Raw'!AV96</f>
        <v>16</v>
      </c>
      <c r="CC178" s="23">
        <f t="shared" si="1329"/>
        <v>16</v>
      </c>
      <c r="CD178" s="23">
        <f>+'QTR Raw'!AX96</f>
        <v>-101</v>
      </c>
      <c r="CE178" s="23">
        <f t="shared" si="1329"/>
        <v>-101</v>
      </c>
      <c r="CF178" s="23">
        <f>+'QTR Raw'!AZ96</f>
        <v>-212</v>
      </c>
      <c r="CG178" s="23">
        <f t="shared" ref="CG178:CI179" si="1330">+CF178</f>
        <v>-212</v>
      </c>
      <c r="CH178" s="23">
        <f t="shared" ref="CH178:CH179" si="1331">Z178</f>
        <v>-234.57</v>
      </c>
      <c r="CI178" s="23">
        <f t="shared" si="1330"/>
        <v>-234.57</v>
      </c>
      <c r="CJ178" s="23">
        <f>+'QTR Raw'!BD96</f>
        <v>-132</v>
      </c>
      <c r="CK178" s="23">
        <f t="shared" ref="CK178:CK179" si="1332">+CJ178</f>
        <v>-132</v>
      </c>
      <c r="CL178" s="23">
        <f>+'QTR Raw'!BF96</f>
        <v>-4972</v>
      </c>
      <c r="CM178" s="24">
        <f t="shared" ref="CM178:CM179" si="1333">+CL178</f>
        <v>-4972</v>
      </c>
      <c r="CN178" s="24">
        <f t="shared" ref="CN178:CN179" si="1334">+CM178</f>
        <v>-4972</v>
      </c>
      <c r="CO178" s="24">
        <f t="shared" ref="CO178:CO179" si="1335">+CN178</f>
        <v>-4972</v>
      </c>
      <c r="CP178" s="24">
        <f t="shared" ref="CP178:CP179" si="1336">+CO178</f>
        <v>-4972</v>
      </c>
      <c r="CQ178" s="24">
        <f t="shared" ref="CQ178:CQ179" si="1337">+CP178</f>
        <v>-4972</v>
      </c>
      <c r="CR178" s="24">
        <f t="shared" ref="CR178:CR179" si="1338">+CQ178</f>
        <v>-4972</v>
      </c>
      <c r="CS178" s="24">
        <f t="shared" ref="CS178:CS179" si="1339">+CR178</f>
        <v>-4972</v>
      </c>
      <c r="CT178" s="24">
        <f t="shared" ref="CT178:CT179" si="1340">+CS178</f>
        <v>-4972</v>
      </c>
      <c r="CU178" s="24">
        <f t="shared" ref="CU178:CU179" si="1341">+CT178</f>
        <v>-4972</v>
      </c>
      <c r="CV178" s="24">
        <f t="shared" ref="CV178:CV179" si="1342">+CU178</f>
        <v>-4972</v>
      </c>
      <c r="CW178" s="24">
        <f t="shared" ref="CW178:CW179" si="1343">+CV178</f>
        <v>-4972</v>
      </c>
      <c r="CX178" s="24">
        <f t="shared" ref="CX178:CX179" si="1344">+CW178</f>
        <v>-4972</v>
      </c>
      <c r="CY178" s="24">
        <f t="shared" ref="CY178:CY179" si="1345">+CX178</f>
        <v>-4972</v>
      </c>
      <c r="CZ178" s="24">
        <f t="shared" ref="CZ178:CZ179" si="1346">+CY178</f>
        <v>-4972</v>
      </c>
      <c r="DA178" s="24">
        <f t="shared" ref="DA178:DA179" si="1347">+CZ178</f>
        <v>-4972</v>
      </c>
      <c r="DB178" s="24">
        <f t="shared" ref="DB178:DB179" si="1348">+DA178</f>
        <v>-4972</v>
      </c>
      <c r="DE178" s="123"/>
      <c r="DF178" s="23">
        <v>-132</v>
      </c>
    </row>
    <row r="179" spans="1:110" s="23" customFormat="1" x14ac:dyDescent="0.2">
      <c r="A179" s="23" t="s">
        <v>79</v>
      </c>
      <c r="B179" s="23">
        <f>'Annual Raw'!C83</f>
        <v>18.323899999999998</v>
      </c>
      <c r="C179" s="23">
        <f>'Annual Raw'!D83</f>
        <v>1.47E-2</v>
      </c>
      <c r="D179" s="23">
        <f>'Annual Raw'!E83</f>
        <v>1.11E-2</v>
      </c>
      <c r="E179" s="23">
        <f>'Annual Raw'!F83</f>
        <v>7.3000000000000001E-3</v>
      </c>
      <c r="F179" s="23">
        <f>'Annual Raw'!G83</f>
        <v>0</v>
      </c>
      <c r="G179" s="23">
        <f>'Annual Raw'!H83</f>
        <v>0</v>
      </c>
      <c r="H179" s="23">
        <f>'Annual Raw'!I83</f>
        <v>0</v>
      </c>
      <c r="I179" s="23">
        <f>'Annual Raw'!J83</f>
        <v>0</v>
      </c>
      <c r="J179" s="23">
        <f>'Annual Raw'!K83</f>
        <v>0</v>
      </c>
      <c r="K179" s="23">
        <f>'Annual Raw'!L83</f>
        <v>0</v>
      </c>
      <c r="L179" s="23">
        <f>'Annual Raw'!M83</f>
        <v>0</v>
      </c>
      <c r="M179" s="23">
        <f>'Annual Raw'!N83</f>
        <v>0</v>
      </c>
      <c r="N179" s="23">
        <f>'Annual Raw'!O83</f>
        <v>0</v>
      </c>
      <c r="O179" s="23">
        <f>'Annual Raw'!P83</f>
        <v>0</v>
      </c>
      <c r="P179" s="23">
        <f>'Annual Raw'!Q83</f>
        <v>0</v>
      </c>
      <c r="Q179" s="23">
        <f>'Annual Raw'!R83</f>
        <v>0</v>
      </c>
      <c r="R179" s="23">
        <f>'Annual Raw'!S83</f>
        <v>0</v>
      </c>
      <c r="S179" s="23">
        <f>'Annual Raw'!T83</f>
        <v>0</v>
      </c>
      <c r="T179" s="23">
        <f>'Annual Raw'!U83</f>
        <v>0</v>
      </c>
      <c r="U179" s="23">
        <f>'Annual Raw'!V83</f>
        <v>0</v>
      </c>
      <c r="V179" s="23">
        <f>'Annual Raw'!W83</f>
        <v>0</v>
      </c>
      <c r="W179" s="23">
        <f>'Annual Raw'!X83</f>
        <v>0</v>
      </c>
      <c r="X179" s="23">
        <f>'Annual Raw'!Y83</f>
        <v>0</v>
      </c>
      <c r="Y179" s="23">
        <f>'Annual Raw'!Z83</f>
        <v>0</v>
      </c>
      <c r="Z179" s="23">
        <f>'Annual Raw'!AA83</f>
        <v>0</v>
      </c>
      <c r="AA179" s="23">
        <f>'Annual Raw'!AB83</f>
        <v>0</v>
      </c>
      <c r="AB179" s="24">
        <f t="shared" si="1325"/>
        <v>0</v>
      </c>
      <c r="AC179" s="24">
        <f t="shared" si="1326"/>
        <v>0</v>
      </c>
      <c r="AD179" s="24">
        <f t="shared" si="1327"/>
        <v>0</v>
      </c>
      <c r="AE179" s="24">
        <f t="shared" si="1328"/>
        <v>0</v>
      </c>
      <c r="AJ179" s="23">
        <f>+'QTR Raw'!D95</f>
        <v>0</v>
      </c>
      <c r="AK179" s="23">
        <f t="shared" ref="AK179:CE179" si="1349">+AJ179</f>
        <v>0</v>
      </c>
      <c r="AL179" s="23">
        <f>+'QTR Raw'!F95</f>
        <v>0</v>
      </c>
      <c r="AM179" s="23">
        <f t="shared" si="1349"/>
        <v>0</v>
      </c>
      <c r="AN179" s="23">
        <f>+'QTR Raw'!H95</f>
        <v>0</v>
      </c>
      <c r="AO179" s="23">
        <f t="shared" si="1349"/>
        <v>0</v>
      </c>
      <c r="AP179" s="23">
        <f>+'QTR Raw'!J95</f>
        <v>0</v>
      </c>
      <c r="AQ179" s="23">
        <f t="shared" si="1349"/>
        <v>0</v>
      </c>
      <c r="AR179" s="23">
        <f>+'QTR Raw'!L95</f>
        <v>0</v>
      </c>
      <c r="AS179" s="23">
        <f t="shared" si="1349"/>
        <v>0</v>
      </c>
      <c r="AT179" s="23">
        <f>+'QTR Raw'!N95</f>
        <v>0</v>
      </c>
      <c r="AU179" s="23">
        <f t="shared" si="1349"/>
        <v>0</v>
      </c>
      <c r="AV179" s="23">
        <f>+'QTR Raw'!P95</f>
        <v>0</v>
      </c>
      <c r="AW179" s="23">
        <f t="shared" si="1349"/>
        <v>0</v>
      </c>
      <c r="AX179" s="23">
        <f>+'QTR Raw'!R95</f>
        <v>0</v>
      </c>
      <c r="AY179" s="23">
        <f t="shared" si="1349"/>
        <v>0</v>
      </c>
      <c r="AZ179" s="23">
        <f>+'QTR Raw'!T95</f>
        <v>0</v>
      </c>
      <c r="BA179" s="23">
        <f t="shared" si="1349"/>
        <v>0</v>
      </c>
      <c r="BB179" s="23">
        <f>+'QTR Raw'!V95</f>
        <v>0</v>
      </c>
      <c r="BC179" s="23">
        <f t="shared" si="1349"/>
        <v>0</v>
      </c>
      <c r="BD179" s="23">
        <f>+'QTR Raw'!X95</f>
        <v>0</v>
      </c>
      <c r="BE179" s="23">
        <f t="shared" si="1349"/>
        <v>0</v>
      </c>
      <c r="BF179" s="23">
        <f>+'QTR Raw'!Z95</f>
        <v>0</v>
      </c>
      <c r="BG179" s="23">
        <f t="shared" si="1349"/>
        <v>0</v>
      </c>
      <c r="BH179" s="23">
        <f>+'QTR Raw'!AB95</f>
        <v>0</v>
      </c>
      <c r="BI179" s="23">
        <f t="shared" si="1349"/>
        <v>0</v>
      </c>
      <c r="BJ179" s="23">
        <f>+'QTR Raw'!AD95</f>
        <v>0</v>
      </c>
      <c r="BK179" s="23">
        <f t="shared" si="1349"/>
        <v>0</v>
      </c>
      <c r="BL179" s="23">
        <f>+'QTR Raw'!AF95</f>
        <v>0</v>
      </c>
      <c r="BM179" s="23">
        <f t="shared" si="1349"/>
        <v>0</v>
      </c>
      <c r="BN179" s="23">
        <f>+'QTR Raw'!AH95</f>
        <v>0</v>
      </c>
      <c r="BO179" s="23">
        <f t="shared" si="1349"/>
        <v>0</v>
      </c>
      <c r="BP179" s="23">
        <f>+'QTR Raw'!AJ95</f>
        <v>0</v>
      </c>
      <c r="BQ179" s="23">
        <f t="shared" si="1349"/>
        <v>0</v>
      </c>
      <c r="BR179" s="23">
        <f>+'QTR Raw'!AL95</f>
        <v>0</v>
      </c>
      <c r="BS179" s="23">
        <f t="shared" si="1349"/>
        <v>0</v>
      </c>
      <c r="BT179" s="23">
        <f>+'QTR Raw'!AN95</f>
        <v>0</v>
      </c>
      <c r="BU179" s="23">
        <f t="shared" si="1349"/>
        <v>0</v>
      </c>
      <c r="BV179" s="23">
        <f>+'QTR Raw'!AP95</f>
        <v>0</v>
      </c>
      <c r="BW179" s="23">
        <f t="shared" si="1349"/>
        <v>0</v>
      </c>
      <c r="BX179" s="23">
        <f>+'QTR Raw'!AR95</f>
        <v>0</v>
      </c>
      <c r="BY179" s="23">
        <f t="shared" si="1349"/>
        <v>0</v>
      </c>
      <c r="BZ179" s="23">
        <f>+'QTR Raw'!AT95</f>
        <v>0</v>
      </c>
      <c r="CA179" s="23">
        <f t="shared" si="1349"/>
        <v>0</v>
      </c>
      <c r="CB179" s="23">
        <f>+'QTR Raw'!AV95</f>
        <v>0</v>
      </c>
      <c r="CC179" s="23">
        <f t="shared" si="1349"/>
        <v>0</v>
      </c>
      <c r="CD179" s="23">
        <f>+'QTR Raw'!AX95</f>
        <v>0</v>
      </c>
      <c r="CE179" s="23">
        <f t="shared" si="1349"/>
        <v>0</v>
      </c>
      <c r="CF179" s="23">
        <f>+'QTR Raw'!AZ95</f>
        <v>0</v>
      </c>
      <c r="CG179" s="23">
        <f t="shared" si="1330"/>
        <v>0</v>
      </c>
      <c r="CH179" s="23">
        <f t="shared" si="1331"/>
        <v>0</v>
      </c>
      <c r="CI179" s="23">
        <f t="shared" si="1330"/>
        <v>0</v>
      </c>
      <c r="CJ179" s="23">
        <f>+'QTR Raw'!BD95</f>
        <v>0</v>
      </c>
      <c r="CK179" s="23">
        <f t="shared" si="1332"/>
        <v>0</v>
      </c>
      <c r="CL179" s="23">
        <f>+'QTR Raw'!BF95</f>
        <v>0</v>
      </c>
      <c r="CM179" s="24">
        <f t="shared" si="1333"/>
        <v>0</v>
      </c>
      <c r="CN179" s="24">
        <f t="shared" si="1334"/>
        <v>0</v>
      </c>
      <c r="CO179" s="24">
        <f t="shared" si="1335"/>
        <v>0</v>
      </c>
      <c r="CP179" s="24">
        <f t="shared" si="1336"/>
        <v>0</v>
      </c>
      <c r="CQ179" s="24">
        <f t="shared" si="1337"/>
        <v>0</v>
      </c>
      <c r="CR179" s="24">
        <f t="shared" si="1338"/>
        <v>0</v>
      </c>
      <c r="CS179" s="24">
        <f t="shared" si="1339"/>
        <v>0</v>
      </c>
      <c r="CT179" s="24">
        <f t="shared" si="1340"/>
        <v>0</v>
      </c>
      <c r="CU179" s="24">
        <f t="shared" si="1341"/>
        <v>0</v>
      </c>
      <c r="CV179" s="24">
        <f t="shared" si="1342"/>
        <v>0</v>
      </c>
      <c r="CW179" s="24">
        <f t="shared" si="1343"/>
        <v>0</v>
      </c>
      <c r="CX179" s="24">
        <f t="shared" si="1344"/>
        <v>0</v>
      </c>
      <c r="CY179" s="24">
        <f t="shared" si="1345"/>
        <v>0</v>
      </c>
      <c r="CZ179" s="24">
        <f t="shared" si="1346"/>
        <v>0</v>
      </c>
      <c r="DA179" s="24">
        <f t="shared" si="1347"/>
        <v>0</v>
      </c>
      <c r="DB179" s="24">
        <f t="shared" si="1348"/>
        <v>0</v>
      </c>
      <c r="DE179" s="123"/>
      <c r="DF179" s="23">
        <v>0</v>
      </c>
    </row>
    <row r="180" spans="1:110" s="26" customFormat="1" x14ac:dyDescent="0.2">
      <c r="A180" s="26" t="s">
        <v>438</v>
      </c>
      <c r="B180" s="26">
        <f t="shared" ref="B180:W180" si="1350">B178+B176+B172+B155+B153+B179</f>
        <v>326.84130000000005</v>
      </c>
      <c r="C180" s="26">
        <f t="shared" si="1350"/>
        <v>247.73270000000002</v>
      </c>
      <c r="D180" s="26">
        <f t="shared" si="1350"/>
        <v>254.73719999999997</v>
      </c>
      <c r="E180" s="26">
        <f t="shared" si="1350"/>
        <v>286.07629999999995</v>
      </c>
      <c r="F180" s="26">
        <f t="shared" si="1350"/>
        <v>527.91300000000001</v>
      </c>
      <c r="G180" s="26">
        <f t="shared" si="1350"/>
        <v>613.27089999999998</v>
      </c>
      <c r="H180" s="26">
        <f t="shared" si="1350"/>
        <v>709.17599999999993</v>
      </c>
      <c r="I180" s="26">
        <f t="shared" si="1350"/>
        <v>869.34960000000001</v>
      </c>
      <c r="J180" s="26">
        <f t="shared" si="1350"/>
        <v>1133.4943000000003</v>
      </c>
      <c r="K180" s="26">
        <f t="shared" si="1350"/>
        <v>1353.3742000000002</v>
      </c>
      <c r="L180" s="26">
        <f t="shared" si="1350"/>
        <v>1596.0603000000001</v>
      </c>
      <c r="M180" s="26">
        <f t="shared" si="1350"/>
        <v>1776.06</v>
      </c>
      <c r="N180" s="26">
        <f t="shared" si="1350"/>
        <v>2115.2700000000004</v>
      </c>
      <c r="O180" s="26">
        <f t="shared" si="1350"/>
        <v>3034.5899999999992</v>
      </c>
      <c r="P180" s="26">
        <f t="shared" si="1350"/>
        <v>5231.34</v>
      </c>
      <c r="Q180" s="26">
        <f t="shared" si="1350"/>
        <v>5846.2400000000007</v>
      </c>
      <c r="R180" s="26">
        <f t="shared" si="1350"/>
        <v>6860.75</v>
      </c>
      <c r="S180" s="26">
        <f t="shared" si="1350"/>
        <v>11085.029999999999</v>
      </c>
      <c r="T180" s="26">
        <f t="shared" si="1350"/>
        <v>10762.450000000003</v>
      </c>
      <c r="U180" s="26">
        <f t="shared" si="1350"/>
        <v>10663.249999999996</v>
      </c>
      <c r="V180" s="26">
        <f t="shared" si="1350"/>
        <v>10662.63</v>
      </c>
      <c r="W180" s="26">
        <f t="shared" si="1350"/>
        <v>9971.0500000000029</v>
      </c>
      <c r="X180" s="26">
        <f t="shared" ref="X180:Y180" si="1351">X178+X176+X172+X155+X153+X179</f>
        <v>11495.37</v>
      </c>
      <c r="Y180" s="26">
        <f t="shared" si="1351"/>
        <v>10793.569999999998</v>
      </c>
      <c r="Z180" s="26">
        <f t="shared" ref="Z180:AA180" si="1352">Z178+Z176+Z172+Z155+Z153+Z179</f>
        <v>10616.78</v>
      </c>
      <c r="AA180" s="26">
        <f t="shared" si="1352"/>
        <v>32383.070000000003</v>
      </c>
      <c r="AB180" s="27">
        <f t="shared" ref="AA180:AD180" si="1353">AB178+AB176+AB172+AB155+AB153+AB179</f>
        <v>35126.828189751206</v>
      </c>
      <c r="AC180" s="27">
        <f t="shared" si="1353"/>
        <v>38785.895291566914</v>
      </c>
      <c r="AD180" s="27">
        <f t="shared" si="1353"/>
        <v>42969.877790909399</v>
      </c>
      <c r="AE180" s="27">
        <f t="shared" ref="AE180" si="1354">AE178+AE176+AE172+AE155+AE153+AE179</f>
        <v>47346.143688261131</v>
      </c>
      <c r="AJ180" s="26">
        <f t="shared" ref="AJ180" si="1355">AJ178+AJ176+AJ172+AJ155+AJ153+AJ179</f>
        <v>1753.65</v>
      </c>
      <c r="AK180" s="26">
        <f t="shared" ref="AK180:AL180" si="1356">AK178+AK176+AK172+AK155+AK153+AK179</f>
        <v>1865.65</v>
      </c>
      <c r="AL180" s="26">
        <f t="shared" si="1356"/>
        <v>2002</v>
      </c>
      <c r="AM180" s="26">
        <f t="shared" ref="AM180:AO180" si="1357">AM178+AM176+AM172+AM155+AM153+AM179</f>
        <v>2151</v>
      </c>
      <c r="AN180" s="26">
        <f t="shared" si="1357"/>
        <v>2414</v>
      </c>
      <c r="AO180" s="26">
        <f t="shared" si="1357"/>
        <v>2572</v>
      </c>
      <c r="AP180" s="26">
        <f t="shared" ref="AP180:CE180" si="1358">AP178+AP176+AP172+AP155+AP153+AP179</f>
        <v>2858</v>
      </c>
      <c r="AQ180" s="26">
        <f t="shared" si="1358"/>
        <v>3114</v>
      </c>
      <c r="AR180" s="26">
        <f t="shared" si="1358"/>
        <v>4618</v>
      </c>
      <c r="AS180" s="26">
        <f t="shared" si="1358"/>
        <v>4785</v>
      </c>
      <c r="AT180" s="26">
        <f t="shared" si="1358"/>
        <v>4995</v>
      </c>
      <c r="AU180" s="26">
        <f t="shared" si="1358"/>
        <v>5645</v>
      </c>
      <c r="AV180" s="26">
        <f t="shared" si="1358"/>
        <v>5658</v>
      </c>
      <c r="AW180" s="26">
        <f t="shared" si="1358"/>
        <v>5948</v>
      </c>
      <c r="AX180" s="26">
        <f t="shared" si="1358"/>
        <v>5347</v>
      </c>
      <c r="AY180" s="26">
        <f t="shared" si="1358"/>
        <v>5639</v>
      </c>
      <c r="AZ180" s="26">
        <f t="shared" si="1358"/>
        <v>6090</v>
      </c>
      <c r="BA180" s="26">
        <f t="shared" si="1358"/>
        <v>6319</v>
      </c>
      <c r="BB180" s="26">
        <f t="shared" si="1358"/>
        <v>6592</v>
      </c>
      <c r="BC180" s="26">
        <f t="shared" si="1358"/>
        <v>6780</v>
      </c>
      <c r="BD180" s="26">
        <f t="shared" si="1358"/>
        <v>6892</v>
      </c>
      <c r="BE180" s="26">
        <f t="shared" si="1358"/>
        <v>6950</v>
      </c>
      <c r="BF180" s="26">
        <f t="shared" si="1358"/>
        <v>10360</v>
      </c>
      <c r="BG180" s="26">
        <f t="shared" si="1358"/>
        <v>10523</v>
      </c>
      <c r="BH180" s="26">
        <f t="shared" ref="BH180" si="1359">BH178+BH176+BH172+BH155+BH153+BH179</f>
        <v>10432</v>
      </c>
      <c r="BI180" s="26">
        <f t="shared" si="1358"/>
        <v>10678</v>
      </c>
      <c r="BJ180" s="26">
        <f t="shared" si="1358"/>
        <v>9571</v>
      </c>
      <c r="BK180" s="26">
        <f t="shared" si="1358"/>
        <v>9787</v>
      </c>
      <c r="BL180" s="26">
        <f t="shared" si="1358"/>
        <v>9382</v>
      </c>
      <c r="BM180" s="26">
        <f t="shared" si="1358"/>
        <v>9633</v>
      </c>
      <c r="BN180" s="26">
        <f t="shared" si="1358"/>
        <v>9190</v>
      </c>
      <c r="BO180" s="26">
        <f t="shared" si="1358"/>
        <v>9511</v>
      </c>
      <c r="BP180" s="26">
        <f t="shared" si="1358"/>
        <v>9483</v>
      </c>
      <c r="BQ180" s="26">
        <f t="shared" si="1358"/>
        <v>9780</v>
      </c>
      <c r="BR180" s="26">
        <f t="shared" si="1358"/>
        <v>10663</v>
      </c>
      <c r="BS180" s="26">
        <f t="shared" si="1358"/>
        <v>10993</v>
      </c>
      <c r="BT180" s="26">
        <f t="shared" si="1358"/>
        <v>10557</v>
      </c>
      <c r="BU180" s="26">
        <f t="shared" si="1358"/>
        <v>10806</v>
      </c>
      <c r="BV180" s="26">
        <f t="shared" si="1358"/>
        <v>9971</v>
      </c>
      <c r="BW180" s="26">
        <f t="shared" si="1358"/>
        <v>10325</v>
      </c>
      <c r="BX180" s="26">
        <f t="shared" si="1358"/>
        <v>10109</v>
      </c>
      <c r="BY180" s="26">
        <f t="shared" si="1358"/>
        <v>10401</v>
      </c>
      <c r="BZ180" s="26">
        <f t="shared" si="1358"/>
        <v>11495</v>
      </c>
      <c r="CA180" s="26">
        <f t="shared" si="1358"/>
        <v>11873</v>
      </c>
      <c r="CB180" s="26">
        <f t="shared" si="1358"/>
        <v>11123</v>
      </c>
      <c r="CC180" s="26">
        <f t="shared" si="1358"/>
        <v>11566</v>
      </c>
      <c r="CD180" s="26">
        <f t="shared" si="1358"/>
        <v>10794</v>
      </c>
      <c r="CE180" s="26">
        <f t="shared" si="1358"/>
        <v>11251</v>
      </c>
      <c r="CF180" s="26">
        <f t="shared" ref="CF180:CG180" si="1360">CF178+CF176+CF172+CF155+CF153+CF179</f>
        <v>10552</v>
      </c>
      <c r="CG180" s="26">
        <f t="shared" si="1360"/>
        <v>11055</v>
      </c>
      <c r="CH180" s="26">
        <f t="shared" ref="CH180:CI180" si="1361">CH178+CH176+CH172+CH155+CH153+CH179</f>
        <v>10616.78</v>
      </c>
      <c r="CI180" s="26">
        <f t="shared" si="1361"/>
        <v>11164.78</v>
      </c>
      <c r="CJ180" s="26">
        <f t="shared" ref="CJ180:DB180" si="1362">CJ178+CJ176+CJ172+CJ155+CJ153+CJ179</f>
        <v>11039</v>
      </c>
      <c r="CK180" s="26">
        <f t="shared" si="1362"/>
        <v>11674</v>
      </c>
      <c r="CL180" s="26">
        <f t="shared" ref="CL180" si="1363">CL178+CL176+CL172+CL155+CL153+CL179</f>
        <v>32383</v>
      </c>
      <c r="CM180" s="27">
        <f t="shared" si="1362"/>
        <v>32959.619270028132</v>
      </c>
      <c r="CN180" s="27">
        <f t="shared" si="1362"/>
        <v>33586.870146516056</v>
      </c>
      <c r="CO180" s="27">
        <f t="shared" si="1362"/>
        <v>34222.471245944922</v>
      </c>
      <c r="CP180" s="27">
        <f t="shared" si="1362"/>
        <v>35126.828189751206</v>
      </c>
      <c r="CQ180" s="27">
        <f t="shared" si="1362"/>
        <v>35906.404765221385</v>
      </c>
      <c r="CR180" s="27">
        <f t="shared" si="1362"/>
        <v>36747.157330020797</v>
      </c>
      <c r="CS180" s="27">
        <f t="shared" si="1362"/>
        <v>37598.536557647378</v>
      </c>
      <c r="CT180" s="27">
        <f t="shared" si="1362"/>
        <v>38785.895291566914</v>
      </c>
      <c r="CU180" s="27">
        <f t="shared" si="1362"/>
        <v>39714.518848981941</v>
      </c>
      <c r="CV180" s="27">
        <f t="shared" si="1362"/>
        <v>40679.834555381582</v>
      </c>
      <c r="CW180" s="27">
        <f t="shared" si="1362"/>
        <v>41644.176666049912</v>
      </c>
      <c r="CX180" s="27">
        <f t="shared" si="1362"/>
        <v>42969.877790909399</v>
      </c>
      <c r="CY180" s="27">
        <f t="shared" si="1362"/>
        <v>43959.050986655806</v>
      </c>
      <c r="CZ180" s="27">
        <f t="shared" si="1362"/>
        <v>44979.280135214321</v>
      </c>
      <c r="DA180" s="27">
        <f t="shared" si="1362"/>
        <v>45987.213066882061</v>
      </c>
      <c r="DB180" s="27">
        <f t="shared" si="1362"/>
        <v>47346.143688261131</v>
      </c>
      <c r="DE180" s="121"/>
      <c r="DF180" s="26">
        <v>12380.187977149901</v>
      </c>
    </row>
    <row r="181" spans="1:110" s="23" customFormat="1" x14ac:dyDescent="0.2">
      <c r="A181" s="28" t="s">
        <v>439</v>
      </c>
      <c r="B181" s="23">
        <f t="shared" ref="B181:W181" si="1364">B180-B144</f>
        <v>0</v>
      </c>
      <c r="C181" s="23">
        <f t="shared" si="1364"/>
        <v>0</v>
      </c>
      <c r="D181" s="23">
        <f t="shared" si="1364"/>
        <v>0</v>
      </c>
      <c r="E181" s="23">
        <f t="shared" si="1364"/>
        <v>0</v>
      </c>
      <c r="F181" s="23">
        <f t="shared" si="1364"/>
        <v>0</v>
      </c>
      <c r="G181" s="23">
        <f t="shared" si="1364"/>
        <v>0</v>
      </c>
      <c r="H181" s="23">
        <f t="shared" si="1364"/>
        <v>0</v>
      </c>
      <c r="I181" s="23">
        <f t="shared" si="1364"/>
        <v>0</v>
      </c>
      <c r="J181" s="23">
        <f t="shared" si="1364"/>
        <v>0</v>
      </c>
      <c r="K181" s="23">
        <f t="shared" si="1364"/>
        <v>0</v>
      </c>
      <c r="L181" s="23">
        <f t="shared" si="1364"/>
        <v>0</v>
      </c>
      <c r="M181" s="23">
        <f t="shared" si="1364"/>
        <v>0</v>
      </c>
      <c r="N181" s="23">
        <f t="shared" si="1364"/>
        <v>0</v>
      </c>
      <c r="O181" s="23">
        <f t="shared" si="1364"/>
        <v>0</v>
      </c>
      <c r="P181" s="23">
        <f t="shared" si="1364"/>
        <v>0</v>
      </c>
      <c r="Q181" s="23">
        <f t="shared" si="1364"/>
        <v>0</v>
      </c>
      <c r="R181" s="23">
        <f t="shared" si="1364"/>
        <v>0</v>
      </c>
      <c r="S181" s="23">
        <f t="shared" si="1364"/>
        <v>0</v>
      </c>
      <c r="T181" s="23">
        <f t="shared" si="1364"/>
        <v>0</v>
      </c>
      <c r="U181" s="23">
        <f t="shared" si="1364"/>
        <v>0</v>
      </c>
      <c r="V181" s="23">
        <f t="shared" si="1364"/>
        <v>0</v>
      </c>
      <c r="W181" s="23">
        <f t="shared" si="1364"/>
        <v>0</v>
      </c>
      <c r="X181" s="23">
        <f t="shared" ref="X181:Y181" si="1365">X180-X144</f>
        <v>0</v>
      </c>
      <c r="Y181" s="23">
        <f t="shared" si="1365"/>
        <v>0</v>
      </c>
      <c r="Z181" s="23">
        <f t="shared" ref="Z181:AA181" si="1366">Z180-Z144</f>
        <v>0</v>
      </c>
      <c r="AA181" s="23">
        <f t="shared" si="1366"/>
        <v>0</v>
      </c>
      <c r="AB181" s="24">
        <f t="shared" ref="AA181:AD181" si="1367">AB180-AB144</f>
        <v>0</v>
      </c>
      <c r="AC181" s="24">
        <f t="shared" si="1367"/>
        <v>0</v>
      </c>
      <c r="AD181" s="24">
        <f t="shared" si="1367"/>
        <v>0</v>
      </c>
      <c r="AE181" s="24">
        <f t="shared" ref="AE181" si="1368">AE180-AE144</f>
        <v>0</v>
      </c>
      <c r="AJ181" s="23">
        <f t="shared" ref="AJ181" si="1369">AJ180-AJ144</f>
        <v>0</v>
      </c>
      <c r="AK181" s="23">
        <f t="shared" ref="AK181" si="1370">AK180-AK144</f>
        <v>0</v>
      </c>
      <c r="AL181" s="23">
        <f t="shared" ref="AL181:AM181" si="1371">AL180-AL144</f>
        <v>0</v>
      </c>
      <c r="AM181" s="23">
        <f t="shared" si="1371"/>
        <v>0</v>
      </c>
      <c r="AN181" s="23">
        <f t="shared" ref="AN181:AO181" si="1372">AN180-AN144</f>
        <v>0</v>
      </c>
      <c r="AO181" s="23">
        <f t="shared" si="1372"/>
        <v>0</v>
      </c>
      <c r="AP181" s="23">
        <f t="shared" ref="AP181:CE181" si="1373">AP180-AP144</f>
        <v>0</v>
      </c>
      <c r="AQ181" s="23">
        <f t="shared" si="1373"/>
        <v>0</v>
      </c>
      <c r="AR181" s="23">
        <f t="shared" si="1373"/>
        <v>0</v>
      </c>
      <c r="AS181" s="23">
        <f t="shared" si="1373"/>
        <v>0</v>
      </c>
      <c r="AT181" s="23">
        <f t="shared" si="1373"/>
        <v>0</v>
      </c>
      <c r="AU181" s="23">
        <f t="shared" si="1373"/>
        <v>0</v>
      </c>
      <c r="AV181" s="23">
        <f t="shared" si="1373"/>
        <v>0</v>
      </c>
      <c r="AW181" s="23">
        <f t="shared" si="1373"/>
        <v>0</v>
      </c>
      <c r="AX181" s="23">
        <f t="shared" si="1373"/>
        <v>0</v>
      </c>
      <c r="AY181" s="23">
        <f t="shared" si="1373"/>
        <v>0</v>
      </c>
      <c r="AZ181" s="23">
        <f t="shared" si="1373"/>
        <v>0</v>
      </c>
      <c r="BA181" s="23">
        <f t="shared" si="1373"/>
        <v>0</v>
      </c>
      <c r="BB181" s="23">
        <f t="shared" si="1373"/>
        <v>0</v>
      </c>
      <c r="BC181" s="23">
        <f t="shared" si="1373"/>
        <v>0</v>
      </c>
      <c r="BD181" s="23">
        <f t="shared" si="1373"/>
        <v>0</v>
      </c>
      <c r="BE181" s="23">
        <f t="shared" si="1373"/>
        <v>0</v>
      </c>
      <c r="BF181" s="23">
        <f t="shared" si="1373"/>
        <v>0</v>
      </c>
      <c r="BG181" s="23">
        <f t="shared" si="1373"/>
        <v>0</v>
      </c>
      <c r="BH181" s="23">
        <f t="shared" ref="BH181" si="1374">BH180-BH144</f>
        <v>0</v>
      </c>
      <c r="BI181" s="23">
        <f t="shared" si="1373"/>
        <v>0</v>
      </c>
      <c r="BJ181" s="23">
        <f t="shared" si="1373"/>
        <v>0</v>
      </c>
      <c r="BK181" s="23">
        <f t="shared" si="1373"/>
        <v>0</v>
      </c>
      <c r="BL181" s="23">
        <f t="shared" si="1373"/>
        <v>0</v>
      </c>
      <c r="BM181" s="23">
        <f t="shared" si="1373"/>
        <v>0</v>
      </c>
      <c r="BN181" s="23">
        <f t="shared" si="1373"/>
        <v>0</v>
      </c>
      <c r="BO181" s="23">
        <f t="shared" si="1373"/>
        <v>0</v>
      </c>
      <c r="BP181" s="23">
        <f t="shared" si="1373"/>
        <v>0</v>
      </c>
      <c r="BQ181" s="23">
        <f t="shared" si="1373"/>
        <v>0</v>
      </c>
      <c r="BR181" s="23">
        <f t="shared" si="1373"/>
        <v>0</v>
      </c>
      <c r="BS181" s="23">
        <f t="shared" si="1373"/>
        <v>0</v>
      </c>
      <c r="BT181" s="23">
        <f t="shared" si="1373"/>
        <v>0</v>
      </c>
      <c r="BU181" s="23">
        <f t="shared" si="1373"/>
        <v>0</v>
      </c>
      <c r="BV181" s="23">
        <f t="shared" si="1373"/>
        <v>0</v>
      </c>
      <c r="BW181" s="23">
        <f t="shared" si="1373"/>
        <v>0</v>
      </c>
      <c r="BX181" s="23">
        <f t="shared" si="1373"/>
        <v>0</v>
      </c>
      <c r="BY181" s="23">
        <f t="shared" si="1373"/>
        <v>0</v>
      </c>
      <c r="BZ181" s="23">
        <f t="shared" si="1373"/>
        <v>0</v>
      </c>
      <c r="CA181" s="23">
        <f t="shared" si="1373"/>
        <v>0</v>
      </c>
      <c r="CB181" s="23">
        <f t="shared" si="1373"/>
        <v>0</v>
      </c>
      <c r="CC181" s="23">
        <f t="shared" si="1373"/>
        <v>0</v>
      </c>
      <c r="CD181" s="23">
        <f t="shared" si="1373"/>
        <v>0</v>
      </c>
      <c r="CE181" s="23">
        <f t="shared" si="1373"/>
        <v>0</v>
      </c>
      <c r="CF181" s="23">
        <f t="shared" ref="CF181:CG181" si="1375">CF180-CF144</f>
        <v>0</v>
      </c>
      <c r="CG181" s="23">
        <f t="shared" si="1375"/>
        <v>0</v>
      </c>
      <c r="CH181" s="23">
        <f t="shared" ref="CH181:CI181" si="1376">CH180-CH144</f>
        <v>0</v>
      </c>
      <c r="CI181" s="23">
        <f t="shared" si="1376"/>
        <v>0</v>
      </c>
      <c r="CJ181" s="23">
        <f t="shared" ref="CJ181:DB181" si="1377">CJ180-CJ144</f>
        <v>0</v>
      </c>
      <c r="CK181" s="23">
        <f t="shared" si="1377"/>
        <v>0</v>
      </c>
      <c r="CL181" s="23">
        <f t="shared" ref="CL181" si="1378">CL180-CL144</f>
        <v>0</v>
      </c>
      <c r="CM181" s="24">
        <f t="shared" si="1377"/>
        <v>0</v>
      </c>
      <c r="CN181" s="24">
        <f t="shared" si="1377"/>
        <v>0</v>
      </c>
      <c r="CO181" s="24">
        <f t="shared" si="1377"/>
        <v>0</v>
      </c>
      <c r="CP181" s="24">
        <f t="shared" si="1377"/>
        <v>0</v>
      </c>
      <c r="CQ181" s="24">
        <f t="shared" si="1377"/>
        <v>0</v>
      </c>
      <c r="CR181" s="24">
        <f t="shared" si="1377"/>
        <v>0</v>
      </c>
      <c r="CS181" s="24">
        <f t="shared" si="1377"/>
        <v>0</v>
      </c>
      <c r="CT181" s="24">
        <f t="shared" si="1377"/>
        <v>0</v>
      </c>
      <c r="CU181" s="24">
        <f t="shared" si="1377"/>
        <v>0</v>
      </c>
      <c r="CV181" s="24">
        <f t="shared" si="1377"/>
        <v>0</v>
      </c>
      <c r="CW181" s="24">
        <f t="shared" si="1377"/>
        <v>0</v>
      </c>
      <c r="CX181" s="24">
        <f t="shared" si="1377"/>
        <v>0</v>
      </c>
      <c r="CY181" s="24">
        <f t="shared" si="1377"/>
        <v>0</v>
      </c>
      <c r="CZ181" s="24">
        <f t="shared" si="1377"/>
        <v>0</v>
      </c>
      <c r="DA181" s="24">
        <f t="shared" si="1377"/>
        <v>0</v>
      </c>
      <c r="DB181" s="24">
        <f t="shared" si="1377"/>
        <v>0</v>
      </c>
      <c r="DE181" s="123"/>
      <c r="DF181" s="23">
        <v>0</v>
      </c>
    </row>
    <row r="182" spans="1:110" s="23" customFormat="1" x14ac:dyDescent="0.2">
      <c r="A182" s="28"/>
      <c r="AB182" s="24"/>
      <c r="AC182" s="24"/>
      <c r="AD182" s="24"/>
      <c r="AE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2" customFormat="1" x14ac:dyDescent="0.2">
      <c r="A183" s="22" t="s">
        <v>80</v>
      </c>
      <c r="B183" s="22">
        <f t="shared" ref="B183:W183" si="1379">B143-B176</f>
        <v>77.025000000000006</v>
      </c>
      <c r="C183" s="22">
        <f t="shared" si="1379"/>
        <v>-29.707700000000006</v>
      </c>
      <c r="D183" s="22">
        <f t="shared" si="1379"/>
        <v>-44.201500000000003</v>
      </c>
      <c r="E183" s="22">
        <f t="shared" si="1379"/>
        <v>-35.231899999999996</v>
      </c>
      <c r="F183" s="22">
        <f t="shared" si="1379"/>
        <v>54.748400000000032</v>
      </c>
      <c r="G183" s="22">
        <f t="shared" si="1379"/>
        <v>180.41989999999998</v>
      </c>
      <c r="H183" s="22">
        <f t="shared" si="1379"/>
        <v>278.15520000000004</v>
      </c>
      <c r="I183" s="22">
        <f t="shared" si="1379"/>
        <v>205.94810000000001</v>
      </c>
      <c r="J183" s="22">
        <f t="shared" si="1379"/>
        <v>132.16970000000003</v>
      </c>
      <c r="K183" s="22">
        <f t="shared" si="1379"/>
        <v>11.940800000000024</v>
      </c>
      <c r="L183" s="22">
        <f t="shared" si="1379"/>
        <v>-32.736000000000104</v>
      </c>
      <c r="M183" s="22">
        <f t="shared" si="1379"/>
        <v>-182.06999999999994</v>
      </c>
      <c r="N183" s="22">
        <f t="shared" si="1379"/>
        <v>5.5599999999999454</v>
      </c>
      <c r="O183" s="22">
        <f t="shared" si="1379"/>
        <v>176.71000000000004</v>
      </c>
      <c r="P183" s="22">
        <f t="shared" si="1379"/>
        <v>1875.3999999999999</v>
      </c>
      <c r="Q183" s="22">
        <f t="shared" si="1379"/>
        <v>925.06</v>
      </c>
      <c r="R183" s="22">
        <f t="shared" si="1379"/>
        <v>812.86000000000058</v>
      </c>
      <c r="S183" s="22">
        <f t="shared" si="1379"/>
        <v>5102.82</v>
      </c>
      <c r="T183" s="22">
        <f t="shared" si="1379"/>
        <v>4870.7099999999991</v>
      </c>
      <c r="U183" s="22">
        <f t="shared" si="1379"/>
        <v>5173.3600000000006</v>
      </c>
      <c r="V183" s="22">
        <f t="shared" si="1379"/>
        <v>4082.91</v>
      </c>
      <c r="W183" s="22">
        <f t="shared" si="1379"/>
        <v>3430.71</v>
      </c>
      <c r="X183" s="22">
        <f t="shared" ref="X183:Y183" si="1380">X143-X176</f>
        <v>4569.7499999999991</v>
      </c>
      <c r="Y183" s="22">
        <f t="shared" si="1380"/>
        <v>2957.34</v>
      </c>
      <c r="Z183" s="22">
        <f t="shared" ref="Z183:AA183" si="1381">Z143-Z176</f>
        <v>2334.42</v>
      </c>
      <c r="AA183" s="22">
        <f t="shared" si="1381"/>
        <v>12767.3</v>
      </c>
      <c r="AB183" s="21">
        <f t="shared" ref="AA183:AD183" si="1382">AB143-AB176</f>
        <v>10957.785620967814</v>
      </c>
      <c r="AC183" s="21">
        <f t="shared" si="1382"/>
        <v>8227.1701329990174</v>
      </c>
      <c r="AD183" s="21">
        <f t="shared" si="1382"/>
        <v>4597.5091885803995</v>
      </c>
      <c r="AE183" s="21">
        <f t="shared" ref="AE183" si="1383">AE143-AE176</f>
        <v>747.86940363961367</v>
      </c>
      <c r="AJ183" s="22">
        <f t="shared" ref="AJ183:AM183" si="1384">AJ143-AJ176</f>
        <v>-157.88999999999999</v>
      </c>
      <c r="AK183" s="22">
        <f t="shared" si="1384"/>
        <v>-239.94668806161741</v>
      </c>
      <c r="AL183" s="22">
        <f t="shared" si="1384"/>
        <v>-107</v>
      </c>
      <c r="AM183" s="22">
        <f t="shared" si="1384"/>
        <v>-193.49999999999977</v>
      </c>
      <c r="AN183" s="22">
        <f t="shared" ref="AN183:AO183" si="1385">AN143-AN176</f>
        <v>-26</v>
      </c>
      <c r="AO183" s="22">
        <f t="shared" si="1385"/>
        <v>-163.11934156378629</v>
      </c>
      <c r="AP183" s="22">
        <f t="shared" ref="AP183:CE183" si="1386">AP143-AP176</f>
        <v>0</v>
      </c>
      <c r="AQ183" s="22">
        <f t="shared" si="1386"/>
        <v>-317.25387755102042</v>
      </c>
      <c r="AR183" s="22">
        <f t="shared" si="1386"/>
        <v>1480</v>
      </c>
      <c r="AS183" s="22">
        <f t="shared" si="1386"/>
        <v>1293.8751027115859</v>
      </c>
      <c r="AT183" s="22">
        <f t="shared" si="1386"/>
        <v>1639</v>
      </c>
      <c r="AU183" s="22">
        <f t="shared" si="1386"/>
        <v>1557.2937608318894</v>
      </c>
      <c r="AV183" s="22">
        <f t="shared" si="1386"/>
        <v>637</v>
      </c>
      <c r="AW183" s="22">
        <f t="shared" si="1386"/>
        <v>288.22327229769598</v>
      </c>
      <c r="AX183" s="22">
        <f t="shared" si="1386"/>
        <v>426</v>
      </c>
      <c r="AY183" s="22">
        <f t="shared" si="1386"/>
        <v>151.24550898203552</v>
      </c>
      <c r="AZ183" s="22">
        <f t="shared" si="1386"/>
        <v>218</v>
      </c>
      <c r="BA183" s="22">
        <f t="shared" si="1386"/>
        <v>-6.0916724982512278</v>
      </c>
      <c r="BB183" s="22">
        <f t="shared" si="1386"/>
        <v>543</v>
      </c>
      <c r="BC183" s="22">
        <f t="shared" si="1386"/>
        <v>316.79079497907969</v>
      </c>
      <c r="BD183" s="22">
        <f t="shared" si="1386"/>
        <v>402</v>
      </c>
      <c r="BE183" s="22">
        <f t="shared" si="1386"/>
        <v>370.32745236414894</v>
      </c>
      <c r="BF183" s="22">
        <f t="shared" si="1386"/>
        <v>4378</v>
      </c>
      <c r="BG183" s="22">
        <f t="shared" si="1386"/>
        <v>4327.5339578454332</v>
      </c>
      <c r="BH183" s="22">
        <f t="shared" si="1386"/>
        <v>4019</v>
      </c>
      <c r="BI183" s="22">
        <f t="shared" si="1386"/>
        <v>3886.1494192185837</v>
      </c>
      <c r="BJ183" s="22">
        <f t="shared" si="1386"/>
        <v>3680</v>
      </c>
      <c r="BK183" s="22">
        <f t="shared" si="1386"/>
        <v>3577.8566810344819</v>
      </c>
      <c r="BL183" s="22">
        <f t="shared" si="1386"/>
        <v>3274</v>
      </c>
      <c r="BM183" s="22">
        <f t="shared" si="1386"/>
        <v>2993.5311720698246</v>
      </c>
      <c r="BN183" s="22">
        <f t="shared" si="1386"/>
        <v>3700</v>
      </c>
      <c r="BO183" s="22">
        <f t="shared" si="1386"/>
        <v>3477.864337101747</v>
      </c>
      <c r="BP183" s="22">
        <f t="shared" si="1386"/>
        <v>2920</v>
      </c>
      <c r="BQ183" s="22">
        <f t="shared" si="1386"/>
        <v>2603.4977689638081</v>
      </c>
      <c r="BR183" s="22">
        <f t="shared" si="1386"/>
        <v>4082</v>
      </c>
      <c r="BS183" s="22">
        <f t="shared" si="1386"/>
        <v>3969.340733092411</v>
      </c>
      <c r="BT183" s="22">
        <f t="shared" si="1386"/>
        <v>3689</v>
      </c>
      <c r="BU183" s="22">
        <f t="shared" si="1386"/>
        <v>3407.5802526906882</v>
      </c>
      <c r="BV183" s="22">
        <f t="shared" si="1386"/>
        <v>3431</v>
      </c>
      <c r="BW183" s="22">
        <f t="shared" si="1386"/>
        <v>3322.3946503988736</v>
      </c>
      <c r="BX183" s="22">
        <f t="shared" si="1386"/>
        <v>3207</v>
      </c>
      <c r="BY183" s="22">
        <f t="shared" si="1386"/>
        <v>3142.4116106503711</v>
      </c>
      <c r="BZ183" s="22">
        <f t="shared" si="1386"/>
        <v>4570</v>
      </c>
      <c r="CA183" s="22">
        <f t="shared" si="1386"/>
        <v>4292.1605780810924</v>
      </c>
      <c r="CB183" s="22">
        <f t="shared" si="1386"/>
        <v>3626</v>
      </c>
      <c r="CC183" s="22">
        <f t="shared" si="1386"/>
        <v>3245.4992481203008</v>
      </c>
      <c r="CD183" s="22">
        <f t="shared" si="1386"/>
        <v>2958</v>
      </c>
      <c r="CE183" s="22">
        <f t="shared" si="1386"/>
        <v>2585.47213114754</v>
      </c>
      <c r="CF183" s="22">
        <f t="shared" ref="CF183:CG183" si="1387">CF143-CF176</f>
        <v>1813</v>
      </c>
      <c r="CG183" s="22">
        <f t="shared" si="1387"/>
        <v>1258.3281412253373</v>
      </c>
      <c r="CH183" s="22">
        <f t="shared" ref="CH183:CI183" si="1388">CH143-CH176</f>
        <v>2334.42</v>
      </c>
      <c r="CI183" s="22">
        <f t="shared" si="1388"/>
        <v>1710.5786110172357</v>
      </c>
      <c r="CJ183" s="22">
        <f t="shared" ref="CJ183:DB183" si="1389">CJ143-CJ176</f>
        <v>1796</v>
      </c>
      <c r="CK183" s="22">
        <f t="shared" si="1389"/>
        <v>1055.6956390066612</v>
      </c>
      <c r="CL183" s="22">
        <f t="shared" ref="CL183" si="1390">CL143-CL176</f>
        <v>12767</v>
      </c>
      <c r="CM183" s="21">
        <f t="shared" si="1389"/>
        <v>12114.831104639788</v>
      </c>
      <c r="CN183" s="21">
        <f t="shared" si="1389"/>
        <v>11706.587140928223</v>
      </c>
      <c r="CO183" s="21">
        <f t="shared" si="1389"/>
        <v>11210.19093683509</v>
      </c>
      <c r="CP183" s="21">
        <f t="shared" si="1389"/>
        <v>10957.785620967814</v>
      </c>
      <c r="CQ183" s="21">
        <f t="shared" si="1389"/>
        <v>10029.39319804146</v>
      </c>
      <c r="CR183" s="21">
        <f t="shared" si="1389"/>
        <v>9411.7853507022082</v>
      </c>
      <c r="CS183" s="21">
        <f t="shared" si="1389"/>
        <v>8688.0540000710298</v>
      </c>
      <c r="CT183" s="21">
        <f t="shared" si="1389"/>
        <v>8227.1701329990174</v>
      </c>
      <c r="CU183" s="21">
        <f t="shared" si="1389"/>
        <v>6891.4404921683254</v>
      </c>
      <c r="CV183" s="21">
        <f t="shared" si="1389"/>
        <v>6081.6822134298636</v>
      </c>
      <c r="CW183" s="21">
        <f t="shared" si="1389"/>
        <v>5205.2492044270184</v>
      </c>
      <c r="CX183" s="21">
        <f t="shared" si="1389"/>
        <v>4597.5091885803995</v>
      </c>
      <c r="CY183" s="21">
        <f t="shared" si="1389"/>
        <v>3175.9449472283904</v>
      </c>
      <c r="CZ183" s="21">
        <f t="shared" si="1389"/>
        <v>2307.693541717761</v>
      </c>
      <c r="DA183" s="21">
        <f t="shared" si="1389"/>
        <v>1380.5828244107252</v>
      </c>
      <c r="DB183" s="21">
        <f t="shared" si="1389"/>
        <v>747.86940363961367</v>
      </c>
      <c r="DE183" s="126"/>
      <c r="DF183" s="22">
        <v>539.67150281663999</v>
      </c>
    </row>
    <row r="184" spans="1:110" x14ac:dyDescent="0.2">
      <c r="AA184" s="2"/>
      <c r="CE184" s="111"/>
      <c r="CG184" s="111"/>
      <c r="CL184" s="2"/>
    </row>
    <row r="185" spans="1:110" s="49" customFormat="1" x14ac:dyDescent="0.2">
      <c r="A185" s="49" t="s">
        <v>81</v>
      </c>
      <c r="B185" s="49">
        <f>'Annual Raw'!C85</f>
        <v>1.3106</v>
      </c>
      <c r="C185" s="49">
        <f>'Annual Raw'!D85</f>
        <v>11.9336</v>
      </c>
      <c r="D185" s="49">
        <f>'Annual Raw'!E85</f>
        <v>16.156099999999999</v>
      </c>
      <c r="E185" s="49">
        <f>'Annual Raw'!F85</f>
        <v>14.075100000000001</v>
      </c>
      <c r="F185" s="49">
        <f>'Annual Raw'!G85</f>
        <v>18.769300000000001</v>
      </c>
      <c r="G185" s="49">
        <f>'Annual Raw'!H85</f>
        <v>10.264699999999999</v>
      </c>
      <c r="H185" s="49">
        <f>'Annual Raw'!I85</f>
        <v>14.546900000000001</v>
      </c>
      <c r="I185" s="49">
        <f>'Annual Raw'!J85</f>
        <v>9.5877999999999997</v>
      </c>
      <c r="J185" s="49">
        <f>'Annual Raw'!K85</f>
        <v>11.4384</v>
      </c>
      <c r="K185" s="49">
        <f>'Annual Raw'!L85</f>
        <v>8.0132999999999992</v>
      </c>
      <c r="L185" s="49">
        <f>'Annual Raw'!M85</f>
        <v>9.3857999999999997</v>
      </c>
      <c r="M185" s="49">
        <f>'Annual Raw'!N85</f>
        <v>12.83</v>
      </c>
      <c r="N185" s="49">
        <f>'Annual Raw'!O85</f>
        <v>93.36</v>
      </c>
      <c r="O185" s="49">
        <f>'Annual Raw'!P85</f>
        <v>48.41</v>
      </c>
      <c r="P185" s="49">
        <f>'Annual Raw'!Q85</f>
        <v>33.68</v>
      </c>
      <c r="Q185" s="49">
        <f>'Annual Raw'!R85</f>
        <v>95.42</v>
      </c>
      <c r="R185" s="49">
        <f>'Annual Raw'!S85</f>
        <v>109.17</v>
      </c>
      <c r="S185" s="49">
        <f>'Annual Raw'!T85</f>
        <v>122.55</v>
      </c>
      <c r="T185" s="49">
        <f>'Annual Raw'!U85</f>
        <v>125.7</v>
      </c>
      <c r="U185" s="49">
        <f>'Annual Raw'!V85</f>
        <v>129.82</v>
      </c>
      <c r="V185" s="49">
        <f>'Annual Raw'!W85</f>
        <v>122.89</v>
      </c>
      <c r="W185" s="49">
        <f>'Annual Raw'!X85</f>
        <v>128.74</v>
      </c>
      <c r="X185" s="49">
        <f>'Annual Raw'!Y85</f>
        <v>150.83000000000001</v>
      </c>
      <c r="Y185" s="49">
        <f>'Annual Raw'!Z85</f>
        <v>157.44</v>
      </c>
      <c r="Z185" s="49">
        <f>'Annual Raw'!AA85</f>
        <v>156.12</v>
      </c>
      <c r="AA185" s="49">
        <f>'Annual Raw'!AB85</f>
        <v>379.25</v>
      </c>
      <c r="AB185" s="50"/>
      <c r="AC185" s="50"/>
      <c r="AD185" s="50"/>
      <c r="AE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E185" s="138"/>
    </row>
    <row r="186" spans="1:110" s="29" customFormat="1" x14ac:dyDescent="0.2">
      <c r="A186" s="29" t="s">
        <v>82</v>
      </c>
      <c r="B186" s="29">
        <f>'Annual Raw'!C95</f>
        <v>0</v>
      </c>
      <c r="C186" s="29">
        <f>'Annual Raw'!D95</f>
        <v>0</v>
      </c>
      <c r="D186" s="29">
        <f>'Annual Raw'!E95</f>
        <v>0</v>
      </c>
      <c r="E186" s="29">
        <f>'Annual Raw'!F95</f>
        <v>0</v>
      </c>
      <c r="F186" s="29">
        <f>'Annual Raw'!G95</f>
        <v>0</v>
      </c>
      <c r="G186" s="29">
        <f>'Annual Raw'!H95</f>
        <v>0</v>
      </c>
      <c r="H186" s="29">
        <f>'Annual Raw'!I95</f>
        <v>0</v>
      </c>
      <c r="I186" s="29">
        <f>'Annual Raw'!J95</f>
        <v>0</v>
      </c>
      <c r="J186" s="29">
        <f>'Annual Raw'!K95</f>
        <v>0</v>
      </c>
      <c r="K186" s="29">
        <f>'Annual Raw'!L95</f>
        <v>0</v>
      </c>
      <c r="L186" s="29">
        <f>'Annual Raw'!M95</f>
        <v>1.625</v>
      </c>
      <c r="M186" s="29">
        <f>'Annual Raw'!N95</f>
        <v>1.63</v>
      </c>
      <c r="N186" s="29">
        <f>'Annual Raw'!O95</f>
        <v>0</v>
      </c>
      <c r="O186" s="29">
        <f>'Annual Raw'!P95</f>
        <v>0</v>
      </c>
      <c r="P186" s="29">
        <f>'Annual Raw'!Q95</f>
        <v>0</v>
      </c>
      <c r="Q186" s="29">
        <f>'Annual Raw'!R95</f>
        <v>0</v>
      </c>
      <c r="R186" s="29">
        <f>'Annual Raw'!S95</f>
        <v>0</v>
      </c>
      <c r="S186" s="29">
        <f>'Annual Raw'!T95</f>
        <v>0</v>
      </c>
      <c r="T186" s="29">
        <f>'Annual Raw'!U95</f>
        <v>0</v>
      </c>
      <c r="U186" s="29">
        <f>'Annual Raw'!V95</f>
        <v>0</v>
      </c>
      <c r="V186" s="29">
        <f>'Annual Raw'!W95</f>
        <v>0</v>
      </c>
      <c r="W186" s="29">
        <f>'Annual Raw'!X95</f>
        <v>0</v>
      </c>
      <c r="X186" s="29">
        <f>'Annual Raw'!Y95</f>
        <v>0</v>
      </c>
      <c r="Y186" s="29">
        <f>'Annual Raw'!Z95</f>
        <v>0</v>
      </c>
      <c r="Z186" s="29">
        <f>'Annual Raw'!AA95</f>
        <v>0</v>
      </c>
      <c r="AA186" s="29">
        <f>'Annual Raw'!AB95</f>
        <v>0</v>
      </c>
      <c r="AB186" s="30"/>
      <c r="AC186" s="30"/>
      <c r="AD186" s="30"/>
      <c r="AE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29" customFormat="1" x14ac:dyDescent="0.2">
      <c r="A187" s="29" t="s">
        <v>83</v>
      </c>
      <c r="B187" s="29">
        <f>'Annual Raw'!C93</f>
        <v>1.3106</v>
      </c>
      <c r="C187" s="29">
        <f>'Annual Raw'!D93</f>
        <v>11.9336</v>
      </c>
      <c r="D187" s="29">
        <f>'Annual Raw'!E93</f>
        <v>16.156099999999999</v>
      </c>
      <c r="E187" s="29">
        <f>'Annual Raw'!F93</f>
        <v>14.075100000000001</v>
      </c>
      <c r="F187" s="29">
        <f>'Annual Raw'!G93</f>
        <v>18.769300000000001</v>
      </c>
      <c r="G187" s="29">
        <f>'Annual Raw'!H93</f>
        <v>10.264699999999999</v>
      </c>
      <c r="H187" s="29">
        <f>'Annual Raw'!I93</f>
        <v>14.546900000000001</v>
      </c>
      <c r="I187" s="29">
        <f>'Annual Raw'!J93</f>
        <v>9.5877999999999997</v>
      </c>
      <c r="J187" s="29">
        <f>'Annual Raw'!K93</f>
        <v>11.4384</v>
      </c>
      <c r="K187" s="29">
        <f>'Annual Raw'!L93</f>
        <v>8.0132999999999992</v>
      </c>
      <c r="L187" s="29">
        <f>'Annual Raw'!M93</f>
        <v>7.7607999999999997</v>
      </c>
      <c r="M187" s="29">
        <f>'Annual Raw'!N93</f>
        <v>11.2</v>
      </c>
      <c r="N187" s="29">
        <f>'Annual Raw'!O93</f>
        <v>93.36</v>
      </c>
      <c r="O187" s="29">
        <f>'Annual Raw'!P93</f>
        <v>48.41</v>
      </c>
      <c r="P187" s="29">
        <f>'Annual Raw'!Q93</f>
        <v>33.68</v>
      </c>
      <c r="Q187" s="29">
        <f>'Annual Raw'!R93</f>
        <v>95.42</v>
      </c>
      <c r="R187" s="29">
        <f>'Annual Raw'!S93</f>
        <v>109.17</v>
      </c>
      <c r="S187" s="29">
        <f>'Annual Raw'!T93</f>
        <v>122.55</v>
      </c>
      <c r="T187" s="29">
        <f>'Annual Raw'!U93</f>
        <v>125.7</v>
      </c>
      <c r="U187" s="29">
        <f>'Annual Raw'!V93</f>
        <v>129.82</v>
      </c>
      <c r="V187" s="29">
        <f>'Annual Raw'!W93</f>
        <v>122.89</v>
      </c>
      <c r="W187" s="29">
        <f>'Annual Raw'!X93</f>
        <v>128.74</v>
      </c>
      <c r="X187" s="29">
        <f>'Annual Raw'!Y93</f>
        <v>150.83000000000001</v>
      </c>
      <c r="Y187" s="29">
        <f>'Annual Raw'!Z93</f>
        <v>157.44</v>
      </c>
      <c r="Z187" s="29">
        <f>'Annual Raw'!AA93</f>
        <v>156.12</v>
      </c>
      <c r="AA187" s="29">
        <f>'Annual Raw'!AB93</f>
        <v>379.25</v>
      </c>
      <c r="AB187" s="30"/>
      <c r="AC187" s="30"/>
      <c r="AD187" s="30"/>
      <c r="AE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84</v>
      </c>
      <c r="B188" s="29">
        <f t="shared" ref="B188:V188" si="1391">B185-B186-B187</f>
        <v>0</v>
      </c>
      <c r="C188" s="29">
        <f t="shared" si="1391"/>
        <v>0</v>
      </c>
      <c r="D188" s="29">
        <f t="shared" si="1391"/>
        <v>0</v>
      </c>
      <c r="E188" s="29">
        <f t="shared" si="1391"/>
        <v>0</v>
      </c>
      <c r="F188" s="29">
        <f t="shared" si="1391"/>
        <v>0</v>
      </c>
      <c r="G188" s="29">
        <f t="shared" si="1391"/>
        <v>0</v>
      </c>
      <c r="H188" s="29">
        <f t="shared" si="1391"/>
        <v>0</v>
      </c>
      <c r="I188" s="29">
        <f t="shared" si="1391"/>
        <v>0</v>
      </c>
      <c r="J188" s="29">
        <f t="shared" si="1391"/>
        <v>0</v>
      </c>
      <c r="K188" s="29">
        <f t="shared" si="1391"/>
        <v>0</v>
      </c>
      <c r="L188" s="29">
        <f t="shared" si="1391"/>
        <v>0</v>
      </c>
      <c r="M188" s="29">
        <f t="shared" si="1391"/>
        <v>0</v>
      </c>
      <c r="N188" s="29">
        <f t="shared" si="1391"/>
        <v>0</v>
      </c>
      <c r="O188" s="29">
        <f t="shared" si="1391"/>
        <v>0</v>
      </c>
      <c r="P188" s="29">
        <f t="shared" si="1391"/>
        <v>0</v>
      </c>
      <c r="Q188" s="29">
        <f t="shared" si="1391"/>
        <v>0</v>
      </c>
      <c r="R188" s="29">
        <f t="shared" si="1391"/>
        <v>0</v>
      </c>
      <c r="S188" s="29">
        <f t="shared" si="1391"/>
        <v>0</v>
      </c>
      <c r="T188" s="29">
        <f t="shared" si="1391"/>
        <v>0</v>
      </c>
      <c r="U188" s="29">
        <f t="shared" si="1391"/>
        <v>0</v>
      </c>
      <c r="V188" s="29">
        <f t="shared" si="1391"/>
        <v>0</v>
      </c>
      <c r="W188" s="29">
        <f t="shared" ref="W188" si="1392">W185-W186-W187</f>
        <v>0</v>
      </c>
      <c r="X188" s="29">
        <f t="shared" ref="X188:Y188" si="1393">X185-X186-X187</f>
        <v>0</v>
      </c>
      <c r="Y188" s="29">
        <f t="shared" si="1393"/>
        <v>0</v>
      </c>
      <c r="Z188" s="29">
        <f t="shared" ref="Z188:AA188" si="1394">Z185-Z186-Z187</f>
        <v>0</v>
      </c>
      <c r="AA188" s="29">
        <f t="shared" si="1394"/>
        <v>0</v>
      </c>
      <c r="AB188" s="30">
        <f t="shared" ref="AA188:AD188" si="1395">AB185-AB186-AB187</f>
        <v>0</v>
      </c>
      <c r="AC188" s="30">
        <f t="shared" si="1395"/>
        <v>0</v>
      </c>
      <c r="AD188" s="30">
        <f t="shared" si="1395"/>
        <v>0</v>
      </c>
      <c r="AE188" s="30">
        <f t="shared" ref="AE188" si="1396">AE185-AE186-AE187</f>
        <v>0</v>
      </c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  <c r="DF188" s="29">
        <v>0</v>
      </c>
    </row>
    <row r="189" spans="1:110" s="5" customFormat="1" x14ac:dyDescent="0.2">
      <c r="AB189" s="63"/>
      <c r="AC189" s="63"/>
      <c r="AD189" s="63"/>
      <c r="AE189" s="63"/>
      <c r="CE189" s="112"/>
      <c r="CG189" s="112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</row>
    <row r="190" spans="1:110" s="95" customFormat="1" x14ac:dyDescent="0.2">
      <c r="A190" s="95" t="s">
        <v>85</v>
      </c>
      <c r="B190" s="95">
        <f t="shared" ref="B190:W190" si="1397">B185/B135</f>
        <v>5.4364531063401927E-3</v>
      </c>
      <c r="C190" s="95">
        <f t="shared" si="1397"/>
        <v>5.2927216207429843E-2</v>
      </c>
      <c r="D190" s="95">
        <f t="shared" si="1397"/>
        <v>6.4447761575075035E-2</v>
      </c>
      <c r="E190" s="95">
        <f t="shared" si="1397"/>
        <v>4.9200510493179618E-2</v>
      </c>
      <c r="F190" s="95">
        <f t="shared" si="1397"/>
        <v>5.9482637045722854E-2</v>
      </c>
      <c r="G190" s="95">
        <f t="shared" si="1397"/>
        <v>2.950980665552554E-2</v>
      </c>
      <c r="H190" s="95">
        <f t="shared" si="1397"/>
        <v>3.5458475857625946E-2</v>
      </c>
      <c r="I190" s="95">
        <f t="shared" si="1397"/>
        <v>1.8815804192236062E-2</v>
      </c>
      <c r="J190" s="95">
        <f t="shared" si="1397"/>
        <v>1.7573430418608808E-2</v>
      </c>
      <c r="K190" s="95">
        <f t="shared" si="1397"/>
        <v>9.6432097822025456E-3</v>
      </c>
      <c r="L190" s="95">
        <f t="shared" si="1397"/>
        <v>9.1801212200881676E-3</v>
      </c>
      <c r="M190" s="95">
        <f t="shared" si="1397"/>
        <v>1.0746923766365397E-2</v>
      </c>
      <c r="N190" s="95">
        <f t="shared" si="1397"/>
        <v>6.5657240511136278E-2</v>
      </c>
      <c r="O190" s="95">
        <f t="shared" si="1397"/>
        <v>2.5446402758577187E-2</v>
      </c>
      <c r="P190" s="95">
        <f t="shared" si="1397"/>
        <v>1.3523063086213543E-2</v>
      </c>
      <c r="Q190" s="95">
        <f t="shared" si="1397"/>
        <v>2.7308892132451849E-2</v>
      </c>
      <c r="R190" s="95">
        <f t="shared" si="1397"/>
        <v>2.5095801734660802E-2</v>
      </c>
      <c r="S190" s="95">
        <f t="shared" si="1397"/>
        <v>2.6513405982878248E-2</v>
      </c>
      <c r="T190" s="95">
        <f t="shared" si="1397"/>
        <v>2.6606834802671269E-2</v>
      </c>
      <c r="U190" s="95">
        <f t="shared" si="1397"/>
        <v>2.6915628978151522E-2</v>
      </c>
      <c r="V190" s="95">
        <f t="shared" si="1397"/>
        <v>2.1053010277240512E-2</v>
      </c>
      <c r="W190" s="95">
        <f t="shared" si="1397"/>
        <v>2.162625253025811E-2</v>
      </c>
      <c r="X190" s="95">
        <f t="shared" ref="X190:Y190" si="1398">X185/X135</f>
        <v>2.433499460315873E-2</v>
      </c>
      <c r="Y190" s="95">
        <f t="shared" si="1398"/>
        <v>2.2963324898084201E-2</v>
      </c>
      <c r="Z190" s="95">
        <f t="shared" ref="Z190:AA190" si="1399">Z185/Z135</f>
        <v>2.0567300205910136E-2</v>
      </c>
      <c r="AA190" s="95">
        <f t="shared" si="1399"/>
        <v>4.5211082407554212E-2</v>
      </c>
      <c r="AB190" s="87">
        <f t="shared" ref="AA190:AD190" si="1400">AB185/AB135</f>
        <v>0</v>
      </c>
      <c r="AC190" s="87">
        <f t="shared" si="1400"/>
        <v>0</v>
      </c>
      <c r="AD190" s="87">
        <f t="shared" si="1400"/>
        <v>0</v>
      </c>
      <c r="AE190" s="87">
        <f t="shared" ref="AE190" si="1401">AE185/AE135</f>
        <v>0</v>
      </c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E190" s="140"/>
      <c r="DF190" s="95">
        <v>0</v>
      </c>
    </row>
    <row r="191" spans="1:110" x14ac:dyDescent="0.2">
      <c r="A191" s="152" t="s">
        <v>492</v>
      </c>
      <c r="AA191" s="2"/>
      <c r="CE191" s="111"/>
      <c r="CG191" s="111"/>
      <c r="CL191" s="2"/>
    </row>
    <row r="192" spans="1:110" s="6" customFormat="1" x14ac:dyDescent="0.2">
      <c r="AB192" s="19"/>
      <c r="AC192" s="19"/>
      <c r="AD192" s="19"/>
      <c r="AE192" s="19"/>
      <c r="CE192" s="113"/>
      <c r="CG192" s="113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</row>
    <row r="193" spans="1:110" s="62" customFormat="1" x14ac:dyDescent="0.2">
      <c r="A193" s="153" t="s">
        <v>493</v>
      </c>
      <c r="AB193" s="63"/>
      <c r="AC193" s="63"/>
      <c r="AD193" s="63"/>
      <c r="AE193" s="63"/>
      <c r="CE193" s="114"/>
      <c r="CG193" s="114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62" customFormat="1" outlineLevel="1" x14ac:dyDescent="0.2">
      <c r="A194" s="68" t="s">
        <v>464</v>
      </c>
      <c r="B194" s="67">
        <f t="shared" ref="B194:AE194" si="1402">B159/B23*365</f>
        <v>70.527874830602428</v>
      </c>
      <c r="C194" s="67">
        <f t="shared" si="1402"/>
        <v>68.160532796251346</v>
      </c>
      <c r="D194" s="67">
        <f t="shared" si="1402"/>
        <v>64.825887934941989</v>
      </c>
      <c r="E194" s="67">
        <f t="shared" si="1402"/>
        <v>69.535652547874605</v>
      </c>
      <c r="F194" s="67">
        <f t="shared" si="1402"/>
        <v>90.637424363974347</v>
      </c>
      <c r="G194" s="67">
        <f t="shared" si="1402"/>
        <v>79.7401114781633</v>
      </c>
      <c r="H194" s="67">
        <f t="shared" si="1402"/>
        <v>70.996310487255926</v>
      </c>
      <c r="I194" s="67">
        <f t="shared" si="1402"/>
        <v>61.140650667766707</v>
      </c>
      <c r="J194" s="67">
        <f t="shared" si="1402"/>
        <v>58.130189077041742</v>
      </c>
      <c r="K194" s="67">
        <f t="shared" si="1402"/>
        <v>60.563923752578617</v>
      </c>
      <c r="L194" s="67">
        <f t="shared" si="1402"/>
        <v>83.715775699917231</v>
      </c>
      <c r="M194" s="67">
        <f t="shared" si="1402"/>
        <v>71.839879735774161</v>
      </c>
      <c r="N194" s="67">
        <f t="shared" si="1402"/>
        <v>104.78053221636672</v>
      </c>
      <c r="O194" s="67">
        <f t="shared" si="1402"/>
        <v>87.596168984518485</v>
      </c>
      <c r="P194" s="67">
        <f t="shared" si="1402"/>
        <v>83.563500116919428</v>
      </c>
      <c r="Q194" s="67">
        <f t="shared" si="1402"/>
        <v>74.124104783510518</v>
      </c>
      <c r="R194" s="67">
        <f t="shared" si="1402"/>
        <v>97.165361657663084</v>
      </c>
      <c r="S194" s="67">
        <f t="shared" si="1402"/>
        <v>63.762581280245492</v>
      </c>
      <c r="T194" s="67">
        <f t="shared" si="1402"/>
        <v>48.620754811792672</v>
      </c>
      <c r="U194" s="67">
        <f t="shared" si="1402"/>
        <v>52.43597476975259</v>
      </c>
      <c r="V194" s="67">
        <f t="shared" si="1402"/>
        <v>65.775976502770803</v>
      </c>
      <c r="W194" s="67">
        <f t="shared" si="1402"/>
        <v>59.084814869112293</v>
      </c>
      <c r="X194" s="67">
        <f t="shared" si="1402"/>
        <v>49.864349765481158</v>
      </c>
      <c r="Y194" s="67">
        <f t="shared" si="1402"/>
        <v>49.795937119696106</v>
      </c>
      <c r="Z194" s="67">
        <f t="shared" si="1402"/>
        <v>55.035371802950309</v>
      </c>
      <c r="AA194" s="67">
        <f t="shared" ref="AA194" si="1403">AA159/AA23*365</f>
        <v>58.201148841250564</v>
      </c>
      <c r="AB194" s="18">
        <f t="shared" si="1402"/>
        <v>81.907150071294083</v>
      </c>
      <c r="AC194" s="18">
        <f t="shared" si="1402"/>
        <v>81.727647111233949</v>
      </c>
      <c r="AD194" s="18">
        <f t="shared" si="1402"/>
        <v>80.317869905449683</v>
      </c>
      <c r="AE194" s="18">
        <f t="shared" si="1402"/>
        <v>80.372830287462776</v>
      </c>
      <c r="AI194" s="67">
        <f>AJ159/AI23*90</f>
        <v>86.246284224250317</v>
      </c>
      <c r="AJ194" s="67">
        <f>AJ159/AJ23*90</f>
        <v>84.917715019255454</v>
      </c>
      <c r="AK194" s="67">
        <f t="shared" ref="AK194:CE194" si="1404">+AJ194</f>
        <v>84.917715019255454</v>
      </c>
      <c r="AL194" s="67">
        <f>AL159/AL23*90</f>
        <v>95.366972477064223</v>
      </c>
      <c r="AM194" s="67">
        <f t="shared" ref="AM194:AM195" si="1405">+AL194</f>
        <v>95.366972477064223</v>
      </c>
      <c r="AN194" s="67">
        <f>AN159/AN23*90</f>
        <v>92.407407407407405</v>
      </c>
      <c r="AO194" s="67">
        <f t="shared" ref="AO194:AO195" si="1406">+AN194</f>
        <v>92.407407407407405</v>
      </c>
      <c r="AP194" s="67">
        <f>AP159/AP23*90</f>
        <v>73.910204081632656</v>
      </c>
      <c r="AQ194" s="67">
        <f t="shared" ref="AQ194:AQ195" si="1407">+AP194</f>
        <v>73.910204081632656</v>
      </c>
      <c r="AR194" s="67">
        <f>AR159/AR23*90</f>
        <v>75.727198027937547</v>
      </c>
      <c r="AS194" s="67">
        <f t="shared" ref="AS194:AS195" si="1408">+AR194</f>
        <v>75.727198027937547</v>
      </c>
      <c r="AT194" s="67">
        <f>AT159/AT23*90</f>
        <v>83.214904679376076</v>
      </c>
      <c r="AU194" s="67">
        <f t="shared" ref="AU194:AU195" si="1409">+AT194</f>
        <v>83.214904679376076</v>
      </c>
      <c r="AV194" s="67">
        <f>AV159/AV23*90</f>
        <v>64.376845835794441</v>
      </c>
      <c r="AW194" s="67">
        <f t="shared" ref="AW194:AW195" si="1410">+AV194</f>
        <v>64.376845835794441</v>
      </c>
      <c r="AX194" s="67">
        <f>AX159/AX23*90</f>
        <v>81.317365269461078</v>
      </c>
      <c r="AY194" s="67">
        <f t="shared" ref="AY194:AY195" si="1411">+AX194</f>
        <v>81.317365269461078</v>
      </c>
      <c r="AZ194" s="67">
        <f>AZ159/AZ23*90</f>
        <v>99.636109167249813</v>
      </c>
      <c r="BA194" s="67">
        <f t="shared" ref="BA194:BA195" si="1412">+AZ194</f>
        <v>99.636109167249813</v>
      </c>
      <c r="BB194" s="67">
        <f>BB159/BB23*90</f>
        <v>97.845188284518827</v>
      </c>
      <c r="BC194" s="67">
        <f t="shared" ref="BC194:BC195" si="1413">+BB194</f>
        <v>97.845188284518827</v>
      </c>
      <c r="BD194" s="67">
        <f>BD159/BD23*90</f>
        <v>98.002822865208174</v>
      </c>
      <c r="BE194" s="67">
        <f t="shared" ref="BE194:BE195" si="1414">+BD194</f>
        <v>98.002822865208174</v>
      </c>
      <c r="BF194" s="67">
        <f>BF159/BF23*90</f>
        <v>103.59484777517565</v>
      </c>
      <c r="BG194" s="67">
        <f t="shared" ref="BG194:BG195" si="1415">+BF194</f>
        <v>103.59484777517565</v>
      </c>
      <c r="BH194" s="67">
        <f>BH159/BH23*90</f>
        <v>96.605068637803583</v>
      </c>
      <c r="BI194" s="67">
        <f t="shared" ref="BI194:BI195" si="1416">+BH194</f>
        <v>96.605068637803583</v>
      </c>
      <c r="BJ194" s="67">
        <f>BJ159/BJ23*90</f>
        <v>93.830818965517238</v>
      </c>
      <c r="BK194" s="67">
        <f t="shared" ref="BK194:BK195" si="1417">+BJ194</f>
        <v>93.830818965517238</v>
      </c>
      <c r="BL194" s="67">
        <f>BL159/BL23*90</f>
        <v>87.980049875311721</v>
      </c>
      <c r="BM194" s="67">
        <f t="shared" ref="BM194:BM195" si="1418">+BL194</f>
        <v>87.980049875311721</v>
      </c>
      <c r="BN194" s="67">
        <f>BN159/BN23*90</f>
        <v>99.342240493319622</v>
      </c>
      <c r="BO194" s="67">
        <f t="shared" ref="BO194:BO195" si="1419">+BN194</f>
        <v>99.342240493319622</v>
      </c>
      <c r="BP194" s="67">
        <f>BP159/BP23*90</f>
        <v>113.38125929598414</v>
      </c>
      <c r="BQ194" s="67">
        <f t="shared" ref="BQ194:BQ195" si="1420">+BP194</f>
        <v>113.38125929598414</v>
      </c>
      <c r="BR194" s="67">
        <f>BR159/BR23*90</f>
        <v>124.56892101187402</v>
      </c>
      <c r="BS194" s="67">
        <f t="shared" ref="BS194:BS195" si="1421">+BR194</f>
        <v>124.56892101187402</v>
      </c>
      <c r="BT194" s="67">
        <f>BT159/BT23*90</f>
        <v>110.00467945718297</v>
      </c>
      <c r="BU194" s="67">
        <f t="shared" ref="BU194:BU195" si="1422">+BT194</f>
        <v>110.00467945718297</v>
      </c>
      <c r="BV194" s="67">
        <f>BV159/BV23*90</f>
        <v>103.97935241670577</v>
      </c>
      <c r="BW194" s="67">
        <f t="shared" ref="BW194:BW195" si="1423">+BV194</f>
        <v>103.97935241670577</v>
      </c>
      <c r="BX194" s="67">
        <f>BX159/BX23*90</f>
        <v>91.453513749454387</v>
      </c>
      <c r="BY194" s="67">
        <f t="shared" ref="BY194:BY195" si="1424">+BX194</f>
        <v>91.453513749454387</v>
      </c>
      <c r="BZ194" s="67">
        <f>BZ159/BZ23*90</f>
        <v>80.570052187876357</v>
      </c>
      <c r="CA194" s="67">
        <f t="shared" ref="CA194:CA195" si="1425">+BZ194</f>
        <v>80.570052187876357</v>
      </c>
      <c r="CB194" s="67">
        <f>CB159/CB23*90</f>
        <v>75.045112781954884</v>
      </c>
      <c r="CC194" s="67">
        <f t="shared" ref="CC194:CC195" si="1426">+CB194</f>
        <v>75.045112781954884</v>
      </c>
      <c r="CD194" s="67">
        <f>CD159/CD23*90</f>
        <v>74.721311475409834</v>
      </c>
      <c r="CE194" s="67">
        <f t="shared" si="1404"/>
        <v>74.721311475409834</v>
      </c>
      <c r="CF194" s="67">
        <f>CF159/CF23*90</f>
        <v>70.747663551401871</v>
      </c>
      <c r="CG194" s="67">
        <f t="shared" ref="CG194:CI195" si="1427">+CF194</f>
        <v>70.747663551401871</v>
      </c>
      <c r="CH194" s="67">
        <f>CH159/CH23*90</f>
        <v>77.293849273403183</v>
      </c>
      <c r="CI194" s="67">
        <f t="shared" si="1427"/>
        <v>77.293849273403183</v>
      </c>
      <c r="CJ194" s="67">
        <f>CJ159/CJ23*90</f>
        <v>67.241066020593578</v>
      </c>
      <c r="CK194" s="67">
        <f t="shared" ref="CK194:CK195" si="1428">+CJ194</f>
        <v>67.241066020593578</v>
      </c>
      <c r="CL194" s="67">
        <f>CL159/CL23*90</f>
        <v>67.290922087205146</v>
      </c>
      <c r="CM194" s="30">
        <f t="shared" ref="CM194:CM195" si="1429">+CL194</f>
        <v>67.290922087205146</v>
      </c>
      <c r="CN194" s="30">
        <f t="shared" ref="CN194:CN195" si="1430">+CM194</f>
        <v>67.290922087205146</v>
      </c>
      <c r="CO194" s="30">
        <f t="shared" ref="CO194:CO195" si="1431">+CN194</f>
        <v>67.290922087205146</v>
      </c>
      <c r="CP194" s="30">
        <f t="shared" ref="CP194:CP195" si="1432">+CO194</f>
        <v>67.290922087205146</v>
      </c>
      <c r="CQ194" s="30">
        <f t="shared" ref="CQ194:CQ195" si="1433">+CP194</f>
        <v>67.290922087205146</v>
      </c>
      <c r="CR194" s="30">
        <f t="shared" ref="CR194:CR195" si="1434">+CQ194</f>
        <v>67.290922087205146</v>
      </c>
      <c r="CS194" s="30">
        <f t="shared" ref="CS194:CS195" si="1435">+CR194</f>
        <v>67.290922087205146</v>
      </c>
      <c r="CT194" s="30">
        <f t="shared" ref="CT194:CT195" si="1436">+CS194</f>
        <v>67.290922087205146</v>
      </c>
      <c r="CU194" s="30">
        <f t="shared" ref="CU194:CU195" si="1437">+CT194</f>
        <v>67.290922087205146</v>
      </c>
      <c r="CV194" s="30">
        <f t="shared" ref="CV194:CV195" si="1438">+CU194</f>
        <v>67.290922087205146</v>
      </c>
      <c r="CW194" s="30">
        <f t="shared" ref="CW194:CW195" si="1439">+CV194</f>
        <v>67.290922087205146</v>
      </c>
      <c r="CX194" s="30">
        <f t="shared" ref="CX194:CX195" si="1440">+CW194</f>
        <v>67.290922087205146</v>
      </c>
      <c r="CY194" s="30">
        <f t="shared" ref="CY194:CY195" si="1441">+CX194</f>
        <v>67.290922087205146</v>
      </c>
      <c r="CZ194" s="30">
        <f t="shared" ref="CZ194:CZ195" si="1442">+CY194</f>
        <v>67.290922087205146</v>
      </c>
      <c r="DA194" s="30">
        <f t="shared" ref="DA194:DA195" si="1443">+CZ194</f>
        <v>67.290922087205146</v>
      </c>
      <c r="DB194" s="30">
        <f t="shared" ref="DB194:DB195" si="1444">+DA194</f>
        <v>67.290922087205146</v>
      </c>
      <c r="DE194" s="139"/>
      <c r="DF194" s="62">
        <v>67.241066020593578</v>
      </c>
    </row>
    <row r="195" spans="1:110" s="62" customFormat="1" outlineLevel="1" x14ac:dyDescent="0.2">
      <c r="A195" s="68" t="s">
        <v>465</v>
      </c>
      <c r="B195" s="67">
        <f t="shared" ref="B195:AE195" si="1445">B160/B23*365</f>
        <v>34.267101145743503</v>
      </c>
      <c r="C195" s="67">
        <f t="shared" si="1445"/>
        <v>30.094229277746489</v>
      </c>
      <c r="D195" s="67">
        <f t="shared" si="1445"/>
        <v>20.898425130148851</v>
      </c>
      <c r="E195" s="67">
        <f t="shared" si="1445"/>
        <v>30.103078018439426</v>
      </c>
      <c r="F195" s="67">
        <f t="shared" si="1445"/>
        <v>38.430765078990937</v>
      </c>
      <c r="G195" s="67">
        <f t="shared" si="1445"/>
        <v>61.050537374929803</v>
      </c>
      <c r="H195" s="67">
        <f t="shared" si="1445"/>
        <v>62.72140467491505</v>
      </c>
      <c r="I195" s="67">
        <f t="shared" si="1445"/>
        <v>55.891598064571305</v>
      </c>
      <c r="J195" s="67">
        <f t="shared" si="1445"/>
        <v>58.578573074702959</v>
      </c>
      <c r="K195" s="67">
        <f t="shared" si="1445"/>
        <v>55.797547802042999</v>
      </c>
      <c r="L195" s="67">
        <f t="shared" si="1445"/>
        <v>56.447727811827832</v>
      </c>
      <c r="M195" s="67">
        <f t="shared" si="1445"/>
        <v>70.65597322195562</v>
      </c>
      <c r="N195" s="67">
        <f t="shared" si="1445"/>
        <v>78.009812816943437</v>
      </c>
      <c r="O195" s="67">
        <f t="shared" si="1445"/>
        <v>95.724887287994093</v>
      </c>
      <c r="P195" s="67">
        <f t="shared" si="1445"/>
        <v>124.28853996606119</v>
      </c>
      <c r="Q195" s="67">
        <f t="shared" si="1445"/>
        <v>78.878925007439875</v>
      </c>
      <c r="R195" s="67">
        <f t="shared" si="1445"/>
        <v>59.258936437581525</v>
      </c>
      <c r="S195" s="67">
        <f t="shared" si="1445"/>
        <v>40.646497231207711</v>
      </c>
      <c r="T195" s="67">
        <f t="shared" si="1445"/>
        <v>36.072296148018943</v>
      </c>
      <c r="U195" s="67">
        <f t="shared" si="1445"/>
        <v>40.258795945826655</v>
      </c>
      <c r="V195" s="67">
        <f t="shared" si="1445"/>
        <v>37.371754932502597</v>
      </c>
      <c r="W195" s="67">
        <f t="shared" si="1445"/>
        <v>39.17231658660468</v>
      </c>
      <c r="X195" s="67">
        <f t="shared" si="1445"/>
        <v>43.472184012278923</v>
      </c>
      <c r="Y195" s="67">
        <f t="shared" si="1445"/>
        <v>40.296545007329968</v>
      </c>
      <c r="Z195" s="67">
        <f t="shared" si="1445"/>
        <v>40.421355514654842</v>
      </c>
      <c r="AA195" s="67">
        <f t="shared" ref="AA195" si="1446">AA160/AA23*365</f>
        <v>56.210597184043252</v>
      </c>
      <c r="AB195" s="18">
        <f t="shared" si="1445"/>
        <v>79.114267643751532</v>
      </c>
      <c r="AC195" s="18">
        <f t="shared" si="1445"/>
        <v>78.940885402852174</v>
      </c>
      <c r="AD195" s="18">
        <f t="shared" si="1445"/>
        <v>77.57917899407839</v>
      </c>
      <c r="AE195" s="18">
        <f t="shared" si="1445"/>
        <v>77.632265328648714</v>
      </c>
      <c r="AI195" s="67">
        <f>AJ160/AI23*90</f>
        <v>65.81264667535855</v>
      </c>
      <c r="AJ195" s="67">
        <f>AJ160/AJ23*90</f>
        <v>64.798844672657253</v>
      </c>
      <c r="AK195" s="67">
        <f>+AJ195</f>
        <v>64.798844672657253</v>
      </c>
      <c r="AL195" s="67">
        <f>AL160/AL23*90</f>
        <v>71.009174311926614</v>
      </c>
      <c r="AM195" s="67">
        <f t="shared" si="1405"/>
        <v>71.009174311926614</v>
      </c>
      <c r="AN195" s="67">
        <f>AN160/AN23*90</f>
        <v>77.129629629629619</v>
      </c>
      <c r="AO195" s="67">
        <f t="shared" si="1406"/>
        <v>77.129629629629619</v>
      </c>
      <c r="AP195" s="67">
        <f>AP160/AP23*90</f>
        <v>80.742857142857147</v>
      </c>
      <c r="AQ195" s="67">
        <f t="shared" si="1407"/>
        <v>80.742857142857147</v>
      </c>
      <c r="AR195" s="67">
        <f>AR160/AR23*90</f>
        <v>90.443714050944934</v>
      </c>
      <c r="AS195" s="67">
        <f t="shared" si="1408"/>
        <v>90.443714050944934</v>
      </c>
      <c r="AT195" s="67">
        <f>AT160/AT23*90</f>
        <v>123.8474870017331</v>
      </c>
      <c r="AU195" s="67">
        <f t="shared" si="1409"/>
        <v>123.8474870017331</v>
      </c>
      <c r="AV195" s="67">
        <f>AV160/AV23*90</f>
        <v>96.963969285292379</v>
      </c>
      <c r="AW195" s="67">
        <f t="shared" si="1410"/>
        <v>96.963969285292379</v>
      </c>
      <c r="AX195" s="67">
        <f>AX160/AX23*90</f>
        <v>86.526946107784426</v>
      </c>
      <c r="AY195" s="67">
        <f t="shared" si="1411"/>
        <v>86.526946107784426</v>
      </c>
      <c r="AZ195" s="67">
        <f>AZ160/AZ23*90</f>
        <v>86.976906927921632</v>
      </c>
      <c r="BA195" s="67">
        <f t="shared" si="1412"/>
        <v>86.976906927921632</v>
      </c>
      <c r="BB195" s="67">
        <f>BB160/BB23*90</f>
        <v>59.686192468619254</v>
      </c>
      <c r="BC195" s="67">
        <f t="shared" si="1413"/>
        <v>59.686192468619254</v>
      </c>
      <c r="BD195" s="67">
        <f>BD160/BD23*90</f>
        <v>69.040225829216652</v>
      </c>
      <c r="BE195" s="67">
        <f t="shared" si="1414"/>
        <v>69.040225829216652</v>
      </c>
      <c r="BF195" s="67">
        <f>BF160/BF23*90</f>
        <v>66.077283372365343</v>
      </c>
      <c r="BG195" s="67">
        <f t="shared" si="1415"/>
        <v>66.077283372365343</v>
      </c>
      <c r="BH195" s="67">
        <f>BH160/BH23*90</f>
        <v>74.889123548046456</v>
      </c>
      <c r="BI195" s="67">
        <f t="shared" si="1416"/>
        <v>74.889123548046456</v>
      </c>
      <c r="BJ195" s="67">
        <f>BJ160/BJ23*90</f>
        <v>69.633620689655174</v>
      </c>
      <c r="BK195" s="67">
        <f t="shared" si="1417"/>
        <v>69.633620689655174</v>
      </c>
      <c r="BL195" s="67">
        <f>BL160/BL23*90</f>
        <v>68.139650872817953</v>
      </c>
      <c r="BM195" s="67">
        <f t="shared" si="1418"/>
        <v>68.139650872817953</v>
      </c>
      <c r="BN195" s="67">
        <f>BN160/BN23*90</f>
        <v>76.264131551901329</v>
      </c>
      <c r="BO195" s="67">
        <f t="shared" si="1419"/>
        <v>76.264131551901329</v>
      </c>
      <c r="BP195" s="67">
        <f>BP160/BP23*90</f>
        <v>69.429846306395646</v>
      </c>
      <c r="BQ195" s="67">
        <f t="shared" si="1420"/>
        <v>69.429846306395646</v>
      </c>
      <c r="BR195" s="67">
        <f>BR160/BR23*90</f>
        <v>70.764068146618484</v>
      </c>
      <c r="BS195" s="67">
        <f t="shared" si="1421"/>
        <v>70.764068146618484</v>
      </c>
      <c r="BT195" s="67">
        <f>BT160/BT23*90</f>
        <v>65.741693963500225</v>
      </c>
      <c r="BU195" s="67">
        <f t="shared" si="1422"/>
        <v>65.741693963500225</v>
      </c>
      <c r="BV195" s="67">
        <f>BV160/BV23*90</f>
        <v>68.967620835288599</v>
      </c>
      <c r="BW195" s="67">
        <f t="shared" si="1423"/>
        <v>68.967620835288599</v>
      </c>
      <c r="BX195" s="67">
        <f>BX160/BX23*90</f>
        <v>68.904408555216065</v>
      </c>
      <c r="BY195" s="67">
        <f t="shared" si="1424"/>
        <v>68.904408555216065</v>
      </c>
      <c r="BZ195" s="67">
        <f>BZ160/BZ23*90</f>
        <v>70.236852669610599</v>
      </c>
      <c r="CA195" s="67">
        <f t="shared" si="1425"/>
        <v>70.236852669610599</v>
      </c>
      <c r="CB195" s="67">
        <f>CB160/CB23*90</f>
        <v>59.278195488721806</v>
      </c>
      <c r="CC195" s="67">
        <f t="shared" si="1426"/>
        <v>59.278195488721806</v>
      </c>
      <c r="CD195" s="67">
        <f>CD160/CD23*90</f>
        <v>60.459016393442617</v>
      </c>
      <c r="CE195" s="114">
        <f t="shared" ref="CE195" si="1447">+CD195</f>
        <v>60.459016393442617</v>
      </c>
      <c r="CF195" s="67">
        <f>CF160/CF23*90</f>
        <v>55.545171339563865</v>
      </c>
      <c r="CG195" s="67">
        <f t="shared" si="1427"/>
        <v>55.545171339563865</v>
      </c>
      <c r="CH195" s="67">
        <f>CH160/CH23*90</f>
        <v>56.769347752619133</v>
      </c>
      <c r="CI195" s="67">
        <f t="shared" si="1427"/>
        <v>56.769347752619133</v>
      </c>
      <c r="CJ195" s="67">
        <f>CJ160/CJ23*90</f>
        <v>59.554815263476684</v>
      </c>
      <c r="CK195" s="67">
        <f t="shared" si="1428"/>
        <v>59.554815263476684</v>
      </c>
      <c r="CL195" s="67">
        <f>CL160/CL23*90</f>
        <v>64.9964260185847</v>
      </c>
      <c r="CM195" s="30">
        <f t="shared" si="1429"/>
        <v>64.9964260185847</v>
      </c>
      <c r="CN195" s="30">
        <f t="shared" si="1430"/>
        <v>64.9964260185847</v>
      </c>
      <c r="CO195" s="30">
        <f t="shared" si="1431"/>
        <v>64.9964260185847</v>
      </c>
      <c r="CP195" s="30">
        <f t="shared" si="1432"/>
        <v>64.9964260185847</v>
      </c>
      <c r="CQ195" s="30">
        <f t="shared" si="1433"/>
        <v>64.9964260185847</v>
      </c>
      <c r="CR195" s="30">
        <f t="shared" si="1434"/>
        <v>64.9964260185847</v>
      </c>
      <c r="CS195" s="30">
        <f t="shared" si="1435"/>
        <v>64.9964260185847</v>
      </c>
      <c r="CT195" s="30">
        <f t="shared" si="1436"/>
        <v>64.9964260185847</v>
      </c>
      <c r="CU195" s="30">
        <f t="shared" si="1437"/>
        <v>64.9964260185847</v>
      </c>
      <c r="CV195" s="30">
        <f t="shared" si="1438"/>
        <v>64.9964260185847</v>
      </c>
      <c r="CW195" s="30">
        <f t="shared" si="1439"/>
        <v>64.9964260185847</v>
      </c>
      <c r="CX195" s="30">
        <f t="shared" si="1440"/>
        <v>64.9964260185847</v>
      </c>
      <c r="CY195" s="30">
        <f t="shared" si="1441"/>
        <v>64.9964260185847</v>
      </c>
      <c r="CZ195" s="30">
        <f t="shared" si="1442"/>
        <v>64.9964260185847</v>
      </c>
      <c r="DA195" s="30">
        <f t="shared" si="1443"/>
        <v>64.9964260185847</v>
      </c>
      <c r="DB195" s="30">
        <f t="shared" si="1444"/>
        <v>64.9964260185847</v>
      </c>
      <c r="DE195" s="139"/>
      <c r="DF195" s="62">
        <v>59.554815263476684</v>
      </c>
    </row>
    <row r="196" spans="1:110" s="62" customFormat="1" outlineLevel="1" x14ac:dyDescent="0.2">
      <c r="A196" s="68" t="s">
        <v>466</v>
      </c>
      <c r="B196" s="67">
        <f>B197-B195-B194</f>
        <v>84.026084760379462</v>
      </c>
      <c r="C196" s="67">
        <f t="shared" ref="C196:U196" si="1448">C197-C195-C194</f>
        <v>29.655892861320226</v>
      </c>
      <c r="D196" s="67">
        <f t="shared" si="1448"/>
        <v>25.429426901539244</v>
      </c>
      <c r="E196" s="67">
        <f t="shared" si="1448"/>
        <v>22.13518486219283</v>
      </c>
      <c r="F196" s="67">
        <f t="shared" si="1448"/>
        <v>26.452451926425127</v>
      </c>
      <c r="G196" s="67">
        <f t="shared" si="1448"/>
        <v>18.744460485808702</v>
      </c>
      <c r="H196" s="67">
        <f t="shared" si="1448"/>
        <v>19.236444708626379</v>
      </c>
      <c r="I196" s="67">
        <f t="shared" si="1448"/>
        <v>26.141787116041669</v>
      </c>
      <c r="J196" s="67">
        <f t="shared" si="1448"/>
        <v>42.247748876424971</v>
      </c>
      <c r="K196" s="67">
        <f t="shared" si="1448"/>
        <v>28.18295505030089</v>
      </c>
      <c r="L196" s="67">
        <f t="shared" si="1448"/>
        <v>41.498535453448341</v>
      </c>
      <c r="M196" s="67">
        <f t="shared" si="1448"/>
        <v>37.784998074587534</v>
      </c>
      <c r="N196" s="67">
        <f t="shared" si="1448"/>
        <v>39.530022621059928</v>
      </c>
      <c r="O196" s="67">
        <f t="shared" si="1448"/>
        <v>46.508527945421136</v>
      </c>
      <c r="P196" s="67">
        <f t="shared" si="1448"/>
        <v>61.799733123378942</v>
      </c>
      <c r="Q196" s="67">
        <f t="shared" si="1448"/>
        <v>35.165801047715462</v>
      </c>
      <c r="R196" s="67">
        <f t="shared" si="1448"/>
        <v>60.878618796227357</v>
      </c>
      <c r="S196" s="67">
        <f t="shared" si="1448"/>
        <v>28.741965260607621</v>
      </c>
      <c r="T196" s="67">
        <f t="shared" si="1448"/>
        <v>21.253286047745881</v>
      </c>
      <c r="U196" s="67">
        <f t="shared" si="1448"/>
        <v>21.117719754866414</v>
      </c>
      <c r="V196" s="67">
        <f>V197-V195-V194</f>
        <v>17.412283620159471</v>
      </c>
      <c r="W196" s="67">
        <f t="shared" ref="W196" si="1449">W197-W195-W194</f>
        <v>19.897141106545035</v>
      </c>
      <c r="X196" s="67">
        <f t="shared" ref="X196:Y196" si="1450">X197-X195-X194</f>
        <v>14.259928372950817</v>
      </c>
      <c r="Y196" s="67">
        <f t="shared" si="1450"/>
        <v>19.043356665124236</v>
      </c>
      <c r="Z196" s="67">
        <f t="shared" ref="Z196:AA196" si="1451">Z197-Z195-Z194</f>
        <v>17.923393628269437</v>
      </c>
      <c r="AA196" s="67">
        <f t="shared" si="1451"/>
        <v>27.796506221831542</v>
      </c>
      <c r="AB196" s="18">
        <f t="shared" ref="AA196:AD196" si="1452">AB197-AB195-AB194</f>
        <v>56.37968264945674</v>
      </c>
      <c r="AC196" s="18">
        <f t="shared" si="1452"/>
        <v>56.256124206585554</v>
      </c>
      <c r="AD196" s="18">
        <f t="shared" si="1452"/>
        <v>55.28572307067283</v>
      </c>
      <c r="AE196" s="18">
        <f t="shared" ref="AE196" si="1453">AE197-AE195-AE194</f>
        <v>55.323554308769772</v>
      </c>
      <c r="AI196" s="67">
        <f t="shared" ref="AI196:AK196" si="1454">AI197-AI195-AI194</f>
        <v>-152.05893089960887</v>
      </c>
      <c r="AJ196" s="67">
        <f t="shared" ref="AJ196:AM196" si="1455">AJ197-AJ195-AJ194</f>
        <v>31.237740693196415</v>
      </c>
      <c r="AK196" s="67">
        <f t="shared" si="1454"/>
        <v>30.532245922208304</v>
      </c>
      <c r="AL196" s="67">
        <f t="shared" si="1455"/>
        <v>36.020642201834846</v>
      </c>
      <c r="AM196" s="67">
        <f t="shared" si="1455"/>
        <v>32.31481481481481</v>
      </c>
      <c r="AN196" s="67">
        <f t="shared" ref="AN196:AY196" si="1456">AN197-AN195-AN194</f>
        <v>40.462962962962976</v>
      </c>
      <c r="AO196" s="67">
        <f t="shared" si="1456"/>
        <v>38.748768472906406</v>
      </c>
      <c r="AP196" s="67">
        <f t="shared" si="1456"/>
        <v>39.232653061224497</v>
      </c>
      <c r="AQ196" s="67">
        <f t="shared" si="1456"/>
        <v>43.141831238779176</v>
      </c>
      <c r="AR196" s="67">
        <f t="shared" si="1456"/>
        <v>45.628594905505366</v>
      </c>
      <c r="AS196" s="67">
        <f t="shared" si="1456"/>
        <v>47.542808219178113</v>
      </c>
      <c r="AT196" s="67">
        <f t="shared" si="1456"/>
        <v>61.53379549393415</v>
      </c>
      <c r="AU196" s="67">
        <f t="shared" si="1456"/>
        <v>36.471494607087806</v>
      </c>
      <c r="AV196" s="67">
        <f t="shared" si="1456"/>
        <v>40.295333727111654</v>
      </c>
      <c r="AW196" s="67">
        <f t="shared" si="1456"/>
        <v>44.241245136186762</v>
      </c>
      <c r="AX196" s="67">
        <f t="shared" si="1456"/>
        <v>38.622754491017986</v>
      </c>
      <c r="AY196" s="67">
        <f t="shared" si="1456"/>
        <v>37.427466150870401</v>
      </c>
      <c r="AZ196" s="67">
        <f t="shared" ref="AZ196:BC196" si="1457">AZ197-AZ195-AZ194</f>
        <v>52.652204338698411</v>
      </c>
      <c r="BA196" s="67">
        <f t="shared" si="1457"/>
        <v>52.141372141372116</v>
      </c>
      <c r="BB196" s="67">
        <f t="shared" si="1457"/>
        <v>61.255230125522985</v>
      </c>
      <c r="BC196" s="67">
        <f t="shared" si="1457"/>
        <v>64.493392070484589</v>
      </c>
      <c r="BD196" s="67">
        <f t="shared" ref="BD196:CE196" si="1458">BD197-BD195-BD194</f>
        <v>50.112914608327486</v>
      </c>
      <c r="BE196" s="67">
        <f t="shared" si="1458"/>
        <v>48.537252221462751</v>
      </c>
      <c r="BF196" s="67">
        <f t="shared" si="1458"/>
        <v>46.686182669789218</v>
      </c>
      <c r="BG196" s="67">
        <f t="shared" si="1458"/>
        <v>42.59615384615384</v>
      </c>
      <c r="BH196" s="67">
        <f t="shared" si="1458"/>
        <v>47.185850052798344</v>
      </c>
      <c r="BI196" s="67">
        <f t="shared" si="1458"/>
        <v>43.573866406630913</v>
      </c>
      <c r="BJ196" s="67">
        <f t="shared" si="1458"/>
        <v>41.023706896551744</v>
      </c>
      <c r="BK196" s="67">
        <f t="shared" si="1458"/>
        <v>37.655786350148361</v>
      </c>
      <c r="BL196" s="67">
        <f t="shared" si="1458"/>
        <v>40.039900249376558</v>
      </c>
      <c r="BM196" s="67">
        <f t="shared" si="1458"/>
        <v>40.834181078331596</v>
      </c>
      <c r="BN196" s="67">
        <f t="shared" si="1458"/>
        <v>46.341212744090456</v>
      </c>
      <c r="BO196" s="67">
        <f t="shared" si="1458"/>
        <v>43.861867704280144</v>
      </c>
      <c r="BP196" s="67">
        <f t="shared" si="1458"/>
        <v>44.352999504214154</v>
      </c>
      <c r="BQ196" s="67">
        <f t="shared" si="1458"/>
        <v>44.842105263157862</v>
      </c>
      <c r="BR196" s="67">
        <f t="shared" si="1458"/>
        <v>38.890036138358298</v>
      </c>
      <c r="BS196" s="67">
        <f t="shared" si="1458"/>
        <v>35.299906279287754</v>
      </c>
      <c r="BT196" s="67">
        <f t="shared" si="1458"/>
        <v>32.765559195133406</v>
      </c>
      <c r="BU196" s="67">
        <f t="shared" si="1458"/>
        <v>33.216318785578736</v>
      </c>
      <c r="BV196" s="67">
        <f t="shared" si="1458"/>
        <v>40.459877991553284</v>
      </c>
      <c r="BW196" s="67">
        <f t="shared" si="1458"/>
        <v>36.736259054111642</v>
      </c>
      <c r="BX196" s="67">
        <f t="shared" si="1458"/>
        <v>31.270187690964619</v>
      </c>
      <c r="BY196" s="67">
        <f t="shared" si="1458"/>
        <v>28.759534323564836</v>
      </c>
      <c r="BZ196" s="67">
        <f t="shared" si="1458"/>
        <v>28.253713368125233</v>
      </c>
      <c r="CA196" s="67">
        <f t="shared" si="1458"/>
        <v>27.163257429563885</v>
      </c>
      <c r="CB196" s="67">
        <f t="shared" si="1458"/>
        <v>29.740601503759407</v>
      </c>
      <c r="CC196" s="67">
        <f t="shared" si="1458"/>
        <v>28.956808199121511</v>
      </c>
      <c r="CD196" s="67">
        <f t="shared" si="1458"/>
        <v>33.770491803278674</v>
      </c>
      <c r="CE196" s="114">
        <f t="shared" si="1458"/>
        <v>32.423924449108057</v>
      </c>
      <c r="CF196" s="67">
        <f t="shared" ref="CF196:CG196" si="1459">CF197-CF195-CF194</f>
        <v>31.900311526479754</v>
      </c>
      <c r="CG196" s="67">
        <f t="shared" si="1459"/>
        <v>32.808828764684932</v>
      </c>
      <c r="CH196" s="67">
        <f t="shared" ref="CH196" si="1460">CH197-CH195-CH194</f>
        <v>25.172321730314266</v>
      </c>
      <c r="CI196" s="67">
        <f>CH196</f>
        <v>25.172321730314266</v>
      </c>
      <c r="CJ196" s="67">
        <f t="shared" ref="CJ196:CL196" si="1461">CJ197-CJ195-CJ194</f>
        <v>36.41429436705026</v>
      </c>
      <c r="CK196" s="67">
        <f t="shared" ref="CK196:DB196" si="1462">CJ196</f>
        <v>36.41429436705026</v>
      </c>
      <c r="CL196" s="67">
        <f t="shared" si="1461"/>
        <v>46.318799142244472</v>
      </c>
      <c r="CM196" s="30">
        <f t="shared" si="1462"/>
        <v>46.318799142244472</v>
      </c>
      <c r="CN196" s="30">
        <f t="shared" si="1462"/>
        <v>46.318799142244472</v>
      </c>
      <c r="CO196" s="30">
        <f t="shared" si="1462"/>
        <v>46.318799142244472</v>
      </c>
      <c r="CP196" s="30">
        <f t="shared" si="1462"/>
        <v>46.318799142244472</v>
      </c>
      <c r="CQ196" s="30">
        <f t="shared" si="1462"/>
        <v>46.318799142244472</v>
      </c>
      <c r="CR196" s="30">
        <f t="shared" si="1462"/>
        <v>46.318799142244472</v>
      </c>
      <c r="CS196" s="30">
        <f t="shared" si="1462"/>
        <v>46.318799142244472</v>
      </c>
      <c r="CT196" s="30">
        <f t="shared" si="1462"/>
        <v>46.318799142244472</v>
      </c>
      <c r="CU196" s="30">
        <f t="shared" si="1462"/>
        <v>46.318799142244472</v>
      </c>
      <c r="CV196" s="30">
        <f t="shared" si="1462"/>
        <v>46.318799142244472</v>
      </c>
      <c r="CW196" s="30">
        <f t="shared" si="1462"/>
        <v>46.318799142244472</v>
      </c>
      <c r="CX196" s="30">
        <f t="shared" si="1462"/>
        <v>46.318799142244472</v>
      </c>
      <c r="CY196" s="30">
        <f t="shared" si="1462"/>
        <v>46.318799142244472</v>
      </c>
      <c r="CZ196" s="30">
        <f t="shared" si="1462"/>
        <v>46.318799142244472</v>
      </c>
      <c r="DA196" s="30">
        <f t="shared" si="1462"/>
        <v>46.318799142244472</v>
      </c>
      <c r="DB196" s="30">
        <f t="shared" si="1462"/>
        <v>46.318799142244472</v>
      </c>
      <c r="DE196" s="139"/>
      <c r="DF196" s="62">
        <v>36.41429436705026</v>
      </c>
    </row>
    <row r="197" spans="1:110" s="7" customFormat="1" outlineLevel="1" x14ac:dyDescent="0.2">
      <c r="A197" s="69" t="s">
        <v>467</v>
      </c>
      <c r="B197" s="70">
        <f t="shared" ref="B197:AE197" si="1463">B163/B23*365</f>
        <v>188.8210607367254</v>
      </c>
      <c r="C197" s="70">
        <f t="shared" si="1463"/>
        <v>127.91065493531806</v>
      </c>
      <c r="D197" s="70">
        <f t="shared" si="1463"/>
        <v>111.15373996663008</v>
      </c>
      <c r="E197" s="70">
        <f t="shared" si="1463"/>
        <v>121.77391542850687</v>
      </c>
      <c r="F197" s="70">
        <f t="shared" si="1463"/>
        <v>155.5206413693904</v>
      </c>
      <c r="G197" s="70">
        <f t="shared" si="1463"/>
        <v>159.5351093389018</v>
      </c>
      <c r="H197" s="70">
        <f t="shared" si="1463"/>
        <v>152.95415987079735</v>
      </c>
      <c r="I197" s="70">
        <f t="shared" si="1463"/>
        <v>143.17403584837967</v>
      </c>
      <c r="J197" s="70">
        <f t="shared" si="1463"/>
        <v>158.95651102816967</v>
      </c>
      <c r="K197" s="70">
        <f t="shared" si="1463"/>
        <v>144.54442660492251</v>
      </c>
      <c r="L197" s="70">
        <f t="shared" si="1463"/>
        <v>181.6620389651934</v>
      </c>
      <c r="M197" s="70">
        <f t="shared" si="1463"/>
        <v>180.28085103231732</v>
      </c>
      <c r="N197" s="70">
        <f t="shared" si="1463"/>
        <v>222.3203676543701</v>
      </c>
      <c r="O197" s="70">
        <f t="shared" si="1463"/>
        <v>229.82958421793373</v>
      </c>
      <c r="P197" s="70">
        <f t="shared" si="1463"/>
        <v>269.65177320635956</v>
      </c>
      <c r="Q197" s="70">
        <f t="shared" si="1463"/>
        <v>188.16883083866585</v>
      </c>
      <c r="R197" s="70">
        <f t="shared" si="1463"/>
        <v>217.30291689147197</v>
      </c>
      <c r="S197" s="70">
        <f t="shared" si="1463"/>
        <v>133.15104377206083</v>
      </c>
      <c r="T197" s="70">
        <f t="shared" si="1463"/>
        <v>105.94633700755749</v>
      </c>
      <c r="U197" s="70">
        <f t="shared" si="1463"/>
        <v>113.81249047044567</v>
      </c>
      <c r="V197" s="70">
        <f t="shared" si="1463"/>
        <v>120.56001505543287</v>
      </c>
      <c r="W197" s="70">
        <f t="shared" si="1463"/>
        <v>118.15427256226201</v>
      </c>
      <c r="X197" s="70">
        <f t="shared" si="1463"/>
        <v>107.59646215071091</v>
      </c>
      <c r="Y197" s="70">
        <f t="shared" si="1463"/>
        <v>109.13583879215031</v>
      </c>
      <c r="Z197" s="70">
        <f t="shared" si="1463"/>
        <v>113.38012094587458</v>
      </c>
      <c r="AA197" s="70">
        <f t="shared" ref="AA197" si="1464">AA163/AA23*365</f>
        <v>142.20825224712536</v>
      </c>
      <c r="AB197" s="71">
        <f t="shared" si="1463"/>
        <v>217.40110036450235</v>
      </c>
      <c r="AC197" s="71">
        <f t="shared" si="1463"/>
        <v>216.92465672067166</v>
      </c>
      <c r="AD197" s="71">
        <f t="shared" si="1463"/>
        <v>213.18277197020089</v>
      </c>
      <c r="AE197" s="71">
        <f t="shared" si="1463"/>
        <v>213.32864992488126</v>
      </c>
      <c r="AI197" s="70">
        <f t="shared" ref="AI197:CD197" si="1465">AI163/AI23*90</f>
        <v>0</v>
      </c>
      <c r="AJ197" s="70">
        <f t="shared" si="1465"/>
        <v>180.95430038510912</v>
      </c>
      <c r="AK197" s="70">
        <f t="shared" si="1465"/>
        <v>180.24880561412101</v>
      </c>
      <c r="AL197" s="70">
        <f t="shared" si="1465"/>
        <v>202.39678899082568</v>
      </c>
      <c r="AM197" s="70">
        <f t="shared" si="1465"/>
        <v>198.69096160380565</v>
      </c>
      <c r="AN197" s="70">
        <f t="shared" si="1465"/>
        <v>210</v>
      </c>
      <c r="AO197" s="70">
        <f t="shared" si="1465"/>
        <v>208.28580550994343</v>
      </c>
      <c r="AP197" s="70">
        <f t="shared" si="1465"/>
        <v>193.8857142857143</v>
      </c>
      <c r="AQ197" s="70">
        <f t="shared" si="1465"/>
        <v>197.79489246326898</v>
      </c>
      <c r="AR197" s="70">
        <f t="shared" si="1465"/>
        <v>211.79950698438785</v>
      </c>
      <c r="AS197" s="70">
        <f t="shared" si="1465"/>
        <v>213.71372029806059</v>
      </c>
      <c r="AT197" s="70">
        <f t="shared" si="1465"/>
        <v>268.59618717504333</v>
      </c>
      <c r="AU197" s="70">
        <f t="shared" si="1465"/>
        <v>243.53388628819698</v>
      </c>
      <c r="AV197" s="70">
        <f t="shared" si="1465"/>
        <v>201.63614884819847</v>
      </c>
      <c r="AW197" s="70">
        <f t="shared" si="1465"/>
        <v>205.58206025727358</v>
      </c>
      <c r="AX197" s="70">
        <f t="shared" si="1465"/>
        <v>206.46706586826349</v>
      </c>
      <c r="AY197" s="70">
        <f t="shared" si="1465"/>
        <v>205.2717775281159</v>
      </c>
      <c r="AZ197" s="70">
        <f t="shared" si="1465"/>
        <v>239.26522043386984</v>
      </c>
      <c r="BA197" s="70">
        <f t="shared" si="1465"/>
        <v>238.75438823654358</v>
      </c>
      <c r="BB197" s="70">
        <f t="shared" si="1465"/>
        <v>218.78661087866107</v>
      </c>
      <c r="BC197" s="70">
        <f t="shared" si="1465"/>
        <v>222.02477282362267</v>
      </c>
      <c r="BD197" s="70">
        <f t="shared" si="1465"/>
        <v>217.1559633027523</v>
      </c>
      <c r="BE197" s="70">
        <f t="shared" si="1465"/>
        <v>215.58030091588756</v>
      </c>
      <c r="BF197" s="70">
        <f t="shared" si="1465"/>
        <v>216.35831381733021</v>
      </c>
      <c r="BG197" s="70">
        <f t="shared" si="1465"/>
        <v>212.26828499369483</v>
      </c>
      <c r="BH197" s="70">
        <f t="shared" si="1465"/>
        <v>218.68004223864838</v>
      </c>
      <c r="BI197" s="70">
        <f t="shared" si="1465"/>
        <v>215.06805859248095</v>
      </c>
      <c r="BJ197" s="70">
        <f t="shared" si="1465"/>
        <v>204.48814655172416</v>
      </c>
      <c r="BK197" s="70">
        <f t="shared" si="1465"/>
        <v>201.12022600532077</v>
      </c>
      <c r="BL197" s="70">
        <f t="shared" si="1465"/>
        <v>196.15960099750623</v>
      </c>
      <c r="BM197" s="70">
        <f t="shared" si="1465"/>
        <v>196.95388182646127</v>
      </c>
      <c r="BN197" s="70">
        <f t="shared" si="1465"/>
        <v>221.94758478931141</v>
      </c>
      <c r="BO197" s="70">
        <f t="shared" si="1465"/>
        <v>219.46823974950109</v>
      </c>
      <c r="BP197" s="70">
        <f t="shared" si="1465"/>
        <v>227.16410510659392</v>
      </c>
      <c r="BQ197" s="70">
        <f t="shared" si="1465"/>
        <v>227.65321086553766</v>
      </c>
      <c r="BR197" s="70">
        <f t="shared" si="1465"/>
        <v>234.22302529685081</v>
      </c>
      <c r="BS197" s="70">
        <f t="shared" si="1465"/>
        <v>230.63289543778026</v>
      </c>
      <c r="BT197" s="70">
        <f t="shared" si="1465"/>
        <v>208.51193261581659</v>
      </c>
      <c r="BU197" s="70">
        <f t="shared" si="1465"/>
        <v>208.96269220626195</v>
      </c>
      <c r="BV197" s="70">
        <f t="shared" si="1465"/>
        <v>213.40685124354764</v>
      </c>
      <c r="BW197" s="70">
        <f t="shared" si="1465"/>
        <v>209.68323230610599</v>
      </c>
      <c r="BX197" s="70">
        <f t="shared" si="1465"/>
        <v>191.62810999563507</v>
      </c>
      <c r="BY197" s="70">
        <f t="shared" si="1465"/>
        <v>189.11745662823529</v>
      </c>
      <c r="BZ197" s="70">
        <f t="shared" si="1465"/>
        <v>179.06061822561219</v>
      </c>
      <c r="CA197" s="70">
        <f t="shared" si="1465"/>
        <v>177.97016228705084</v>
      </c>
      <c r="CB197" s="70">
        <f t="shared" si="1465"/>
        <v>164.0639097744361</v>
      </c>
      <c r="CC197" s="70">
        <f t="shared" si="1465"/>
        <v>163.2801164697982</v>
      </c>
      <c r="CD197" s="70">
        <f t="shared" si="1465"/>
        <v>168.95081967213113</v>
      </c>
      <c r="CE197" s="115">
        <f>CE163/CE25*90</f>
        <v>167.60425231796052</v>
      </c>
      <c r="CF197" s="70">
        <f>CF163/CF23*90</f>
        <v>158.19314641744549</v>
      </c>
      <c r="CG197" s="70">
        <f>CG163/CG25*90</f>
        <v>159.10166365565067</v>
      </c>
      <c r="CH197" s="70">
        <f>CH163/CH23*90</f>
        <v>159.23551875633657</v>
      </c>
      <c r="CI197" s="70">
        <f>CI194+CI195+CI196</f>
        <v>159.2355187563366</v>
      </c>
      <c r="CJ197" s="70">
        <f>CJ163/CJ23*90</f>
        <v>163.21017565112052</v>
      </c>
      <c r="CK197" s="70">
        <f t="shared" ref="CK197:DB197" si="1466">CK194+CK195+CK196</f>
        <v>163.21017565112052</v>
      </c>
      <c r="CL197" s="70">
        <f>CL163/CL23*90</f>
        <v>178.60614724803432</v>
      </c>
      <c r="CM197" s="50">
        <f t="shared" si="1466"/>
        <v>178.60614724803432</v>
      </c>
      <c r="CN197" s="50">
        <f t="shared" si="1466"/>
        <v>178.60614724803432</v>
      </c>
      <c r="CO197" s="50">
        <f t="shared" si="1466"/>
        <v>178.60614724803432</v>
      </c>
      <c r="CP197" s="50">
        <f t="shared" si="1466"/>
        <v>178.60614724803432</v>
      </c>
      <c r="CQ197" s="50">
        <f t="shared" si="1466"/>
        <v>178.60614724803432</v>
      </c>
      <c r="CR197" s="50">
        <f t="shared" si="1466"/>
        <v>178.60614724803432</v>
      </c>
      <c r="CS197" s="50">
        <f t="shared" si="1466"/>
        <v>178.60614724803432</v>
      </c>
      <c r="CT197" s="50">
        <f t="shared" si="1466"/>
        <v>178.60614724803432</v>
      </c>
      <c r="CU197" s="50">
        <f t="shared" si="1466"/>
        <v>178.60614724803432</v>
      </c>
      <c r="CV197" s="50">
        <f t="shared" si="1466"/>
        <v>178.60614724803432</v>
      </c>
      <c r="CW197" s="50">
        <f t="shared" si="1466"/>
        <v>178.60614724803432</v>
      </c>
      <c r="CX197" s="50">
        <f t="shared" si="1466"/>
        <v>178.60614724803432</v>
      </c>
      <c r="CY197" s="50">
        <f t="shared" si="1466"/>
        <v>178.60614724803432</v>
      </c>
      <c r="CZ197" s="50">
        <f t="shared" si="1466"/>
        <v>178.60614724803432</v>
      </c>
      <c r="DA197" s="50">
        <f t="shared" si="1466"/>
        <v>178.60614724803432</v>
      </c>
      <c r="DB197" s="50">
        <f t="shared" si="1466"/>
        <v>178.60614724803432</v>
      </c>
      <c r="DE197" s="138"/>
      <c r="DF197" s="7">
        <v>163.21017565112052</v>
      </c>
    </row>
    <row r="198" spans="1:110" s="62" customFormat="1" outlineLevel="1" x14ac:dyDescent="0.2">
      <c r="A198" s="68" t="s">
        <v>468</v>
      </c>
      <c r="B198" s="67">
        <f t="shared" ref="B198:AE198" si="1467">B168/B23*365</f>
        <v>62.977676481458666</v>
      </c>
      <c r="C198" s="67">
        <f t="shared" si="1467"/>
        <v>59.638464988600354</v>
      </c>
      <c r="D198" s="67">
        <f t="shared" si="1467"/>
        <v>46.412759244360515</v>
      </c>
      <c r="E198" s="67">
        <f t="shared" si="1467"/>
        <v>47.268274575717193</v>
      </c>
      <c r="F198" s="67">
        <f t="shared" si="1467"/>
        <v>70.552031659318473</v>
      </c>
      <c r="G198" s="67">
        <f t="shared" si="1467"/>
        <v>82.445114829333676</v>
      </c>
      <c r="H198" s="67">
        <f t="shared" si="1467"/>
        <v>68.584974916949974</v>
      </c>
      <c r="I198" s="67">
        <f t="shared" si="1467"/>
        <v>66.589031366770143</v>
      </c>
      <c r="J198" s="67">
        <f t="shared" si="1467"/>
        <v>68.869892257680917</v>
      </c>
      <c r="K198" s="67">
        <f t="shared" si="1467"/>
        <v>71.786435799383057</v>
      </c>
      <c r="L198" s="67">
        <f t="shared" si="1467"/>
        <v>101.98515535742446</v>
      </c>
      <c r="M198" s="67">
        <f t="shared" si="1467"/>
        <v>116.69723258982791</v>
      </c>
      <c r="N198" s="67">
        <f t="shared" si="1467"/>
        <v>121.09883041662525</v>
      </c>
      <c r="O198" s="67">
        <f t="shared" si="1467"/>
        <v>124.43225352448653</v>
      </c>
      <c r="P198" s="67">
        <f t="shared" si="1467"/>
        <v>143.11747934602357</v>
      </c>
      <c r="Q198" s="67">
        <f t="shared" si="1467"/>
        <v>123.37205563689164</v>
      </c>
      <c r="R198" s="67">
        <f t="shared" si="1467"/>
        <v>109.01665038962457</v>
      </c>
      <c r="S198" s="67">
        <f t="shared" si="1467"/>
        <v>66.419706800310237</v>
      </c>
      <c r="T198" s="67">
        <f t="shared" si="1467"/>
        <v>52.680712835737872</v>
      </c>
      <c r="U198" s="67">
        <f t="shared" si="1467"/>
        <v>50.009472711368865</v>
      </c>
      <c r="V198" s="67">
        <f t="shared" si="1467"/>
        <v>50.703582722546521</v>
      </c>
      <c r="W198" s="67">
        <f t="shared" si="1467"/>
        <v>40.179171435652712</v>
      </c>
      <c r="X198" s="67">
        <f t="shared" si="1467"/>
        <v>37.545195810215894</v>
      </c>
      <c r="Y198" s="67">
        <f t="shared" si="1467"/>
        <v>45.650044686176145</v>
      </c>
      <c r="Z198" s="67">
        <f t="shared" si="1467"/>
        <v>39.415829764409494</v>
      </c>
      <c r="AA198" s="67">
        <f t="shared" ref="AA198" si="1468">AA168/AA23*365</f>
        <v>43.724443236267</v>
      </c>
      <c r="AB198" s="18">
        <f t="shared" si="1467"/>
        <v>61.54782022565692</v>
      </c>
      <c r="AC198" s="18">
        <f t="shared" si="1467"/>
        <v>61.412935592189172</v>
      </c>
      <c r="AD198" s="18">
        <f t="shared" si="1467"/>
        <v>60.353581018817835</v>
      </c>
      <c r="AE198" s="18">
        <f t="shared" si="1467"/>
        <v>60.394880120407016</v>
      </c>
      <c r="AI198" s="67">
        <f>AJ168/AI23*90</f>
        <v>0</v>
      </c>
      <c r="AJ198" s="67">
        <f>AJ168/AJ23*90</f>
        <v>0</v>
      </c>
      <c r="AK198" s="67">
        <f t="shared" ref="AK198:CE198" si="1469">+AJ198</f>
        <v>0</v>
      </c>
      <c r="AL198" s="67">
        <f>AL168/AL23*90</f>
        <v>110.12614678899082</v>
      </c>
      <c r="AM198" s="67">
        <f t="shared" ref="AM198" si="1470">+AL198</f>
        <v>110.12614678899082</v>
      </c>
      <c r="AN198" s="67">
        <f>AN168/AN23*90</f>
        <v>125.83333333333333</v>
      </c>
      <c r="AO198" s="67">
        <f t="shared" ref="AO198" si="1471">+AN198</f>
        <v>125.83333333333333</v>
      </c>
      <c r="AP198" s="67">
        <f>AP168/AP23*90</f>
        <v>104.98775510204082</v>
      </c>
      <c r="AQ198" s="67">
        <f t="shared" ref="AQ198" si="1472">+AP198</f>
        <v>104.98775510204082</v>
      </c>
      <c r="AR198" s="67">
        <f>AR168/AR23*90</f>
        <v>131.04354971240755</v>
      </c>
      <c r="AS198" s="67">
        <f t="shared" ref="AS198" si="1473">+AR198</f>
        <v>131.04354971240755</v>
      </c>
      <c r="AT198" s="67">
        <f>AT168/AT23*90</f>
        <v>142.56499133448872</v>
      </c>
      <c r="AU198" s="67">
        <f t="shared" ref="AU198" si="1474">+AT198</f>
        <v>142.56499133448872</v>
      </c>
      <c r="AV198" s="67">
        <f>AV168/AV23*90</f>
        <v>126.30832841110454</v>
      </c>
      <c r="AW198" s="67">
        <f t="shared" ref="AW198" si="1475">+AV198</f>
        <v>126.30832841110454</v>
      </c>
      <c r="AX198" s="67">
        <f>AX168/AX23*90</f>
        <v>135.50898203592814</v>
      </c>
      <c r="AY198" s="67">
        <f t="shared" ref="AY198" si="1476">+AX198</f>
        <v>135.50898203592814</v>
      </c>
      <c r="AZ198" s="67">
        <f>AZ168/AZ23*90</f>
        <v>155.05948215535341</v>
      </c>
      <c r="BA198" s="67">
        <f t="shared" ref="BA198" si="1477">+AZ198</f>
        <v>155.05948215535341</v>
      </c>
      <c r="BB198" s="67">
        <f>BB168/BB23*90</f>
        <v>109.76987447698745</v>
      </c>
      <c r="BC198" s="67">
        <f t="shared" ref="BC198" si="1478">+BB198</f>
        <v>109.76987447698745</v>
      </c>
      <c r="BD198" s="67">
        <f>BD168/BD23*90</f>
        <v>115.53281580804516</v>
      </c>
      <c r="BE198" s="67">
        <f t="shared" ref="BE198" si="1479">+BD198</f>
        <v>115.53281580804516</v>
      </c>
      <c r="BF198" s="67">
        <f>BF168/BF23*90</f>
        <v>107.91569086651054</v>
      </c>
      <c r="BG198" s="67">
        <f t="shared" ref="BG198" si="1480">+BF198</f>
        <v>107.91569086651054</v>
      </c>
      <c r="BH198" s="67">
        <f>BH168/BH23*90</f>
        <v>106.63146779303064</v>
      </c>
      <c r="BI198" s="67">
        <f t="shared" ref="BI198" si="1481">+BH198</f>
        <v>106.63146779303064</v>
      </c>
      <c r="BJ198" s="67">
        <f>BJ168/BJ23*90</f>
        <v>101.73491379310344</v>
      </c>
      <c r="BK198" s="67">
        <f t="shared" ref="BK198" si="1482">+BJ198</f>
        <v>101.73491379310344</v>
      </c>
      <c r="BL198" s="67">
        <f>BL168/BL23*90</f>
        <v>88.114713216957611</v>
      </c>
      <c r="BM198" s="67">
        <f t="shared" ref="BM198" si="1483">+BL198</f>
        <v>88.114713216957611</v>
      </c>
      <c r="BN198" s="67">
        <f>BN168/BN23*90</f>
        <v>94.717368961973278</v>
      </c>
      <c r="BO198" s="67">
        <f t="shared" ref="BO198" si="1484">+BN198</f>
        <v>94.717368961973278</v>
      </c>
      <c r="BP198" s="67">
        <f>BP168/BP23*90</f>
        <v>103.02925136341101</v>
      </c>
      <c r="BQ198" s="67">
        <f t="shared" ref="BQ198" si="1485">+BP198</f>
        <v>103.02925136341101</v>
      </c>
      <c r="BR198" s="67">
        <f>BR168/BR23*90</f>
        <v>96.040268456375827</v>
      </c>
      <c r="BS198" s="67">
        <f t="shared" ref="BS198" si="1486">+BR198</f>
        <v>96.040268456375827</v>
      </c>
      <c r="BT198" s="67">
        <f>BT168/BT23*90</f>
        <v>75.133364529714555</v>
      </c>
      <c r="BU198" s="67">
        <f t="shared" ref="BU198" si="1487">+BT198</f>
        <v>75.133364529714555</v>
      </c>
      <c r="BV198" s="67">
        <f>BV168/BV23*90</f>
        <v>70.699202252463635</v>
      </c>
      <c r="BW198" s="67">
        <f t="shared" ref="BW198" si="1488">+BV198</f>
        <v>70.699202252463635</v>
      </c>
      <c r="BX198" s="67">
        <f>BX168/BX23*90</f>
        <v>58.022697512003496</v>
      </c>
      <c r="BY198" s="67">
        <f t="shared" ref="BY198" si="1489">+BX198</f>
        <v>58.022697512003496</v>
      </c>
      <c r="BZ198" s="67">
        <f>BZ168/BZ23*90</f>
        <v>60.662384584504217</v>
      </c>
      <c r="CA198" s="67">
        <f t="shared" ref="CA198" si="1490">+BZ198</f>
        <v>60.662384584504217</v>
      </c>
      <c r="CB198" s="67">
        <f>CB168/CB23*90</f>
        <v>56.199248120300751</v>
      </c>
      <c r="CC198" s="67">
        <f t="shared" ref="CC198" si="1491">+CB198</f>
        <v>56.199248120300751</v>
      </c>
      <c r="CD198" s="67">
        <f>CD168/CD23*90</f>
        <v>68.491803278688522</v>
      </c>
      <c r="CE198" s="114">
        <f t="shared" si="1469"/>
        <v>68.491803278688522</v>
      </c>
      <c r="CF198" s="67">
        <f>CF168/CF23*90</f>
        <v>68.161993769470413</v>
      </c>
      <c r="CG198" s="67">
        <f t="shared" ref="CG198:CI198" si="1492">+CF198</f>
        <v>68.161993769470413</v>
      </c>
      <c r="CH198" s="67">
        <f>CH168/CH23*90</f>
        <v>55.357147685028721</v>
      </c>
      <c r="CI198" s="67">
        <f t="shared" si="1492"/>
        <v>55.357147685028721</v>
      </c>
      <c r="CJ198" s="67">
        <f>CJ168/CJ23*90</f>
        <v>45.654149000605692</v>
      </c>
      <c r="CK198" s="67">
        <f t="shared" ref="CK198" si="1493">+CJ198</f>
        <v>45.654149000605692</v>
      </c>
      <c r="CL198" s="67">
        <f>CL168/CL23*90</f>
        <v>50.564689063616868</v>
      </c>
      <c r="CM198" s="30">
        <f t="shared" ref="CM198" si="1494">+CL198</f>
        <v>50.564689063616868</v>
      </c>
      <c r="CN198" s="30">
        <f t="shared" ref="CN198" si="1495">+CM198</f>
        <v>50.564689063616868</v>
      </c>
      <c r="CO198" s="30">
        <f t="shared" ref="CO198" si="1496">+CN198</f>
        <v>50.564689063616868</v>
      </c>
      <c r="CP198" s="30">
        <f t="shared" ref="CP198" si="1497">+CO198</f>
        <v>50.564689063616868</v>
      </c>
      <c r="CQ198" s="30">
        <f t="shared" ref="CQ198" si="1498">+CP198</f>
        <v>50.564689063616868</v>
      </c>
      <c r="CR198" s="30">
        <f t="shared" ref="CR198" si="1499">+CQ198</f>
        <v>50.564689063616868</v>
      </c>
      <c r="CS198" s="30">
        <f t="shared" ref="CS198" si="1500">+CR198</f>
        <v>50.564689063616868</v>
      </c>
      <c r="CT198" s="30">
        <f t="shared" ref="CT198" si="1501">+CS198</f>
        <v>50.564689063616868</v>
      </c>
      <c r="CU198" s="30">
        <f t="shared" ref="CU198" si="1502">+CT198</f>
        <v>50.564689063616868</v>
      </c>
      <c r="CV198" s="30">
        <f t="shared" ref="CV198" si="1503">+CU198</f>
        <v>50.564689063616868</v>
      </c>
      <c r="CW198" s="30">
        <f t="shared" ref="CW198" si="1504">+CV198</f>
        <v>50.564689063616868</v>
      </c>
      <c r="CX198" s="30">
        <f t="shared" ref="CX198" si="1505">+CW198</f>
        <v>50.564689063616868</v>
      </c>
      <c r="CY198" s="30">
        <f t="shared" ref="CY198" si="1506">+CX198</f>
        <v>50.564689063616868</v>
      </c>
      <c r="CZ198" s="30">
        <f t="shared" ref="CZ198" si="1507">+CY198</f>
        <v>50.564689063616868</v>
      </c>
      <c r="DA198" s="30">
        <f t="shared" ref="DA198" si="1508">+CZ198</f>
        <v>50.564689063616868</v>
      </c>
      <c r="DB198" s="30">
        <f t="shared" ref="DB198" si="1509">+DA198</f>
        <v>50.564689063616868</v>
      </c>
      <c r="DE198" s="139"/>
      <c r="DF198" s="62">
        <v>45.654149000605692</v>
      </c>
    </row>
    <row r="199" spans="1:110" s="62" customFormat="1" outlineLevel="1" x14ac:dyDescent="0.2">
      <c r="A199" s="68" t="s">
        <v>466</v>
      </c>
      <c r="B199" s="67">
        <f>B200-B198</f>
        <v>53.357720832820014</v>
      </c>
      <c r="C199" s="67">
        <f t="shared" ref="C199:V199" si="1510">C200-C198</f>
        <v>22.677567259712198</v>
      </c>
      <c r="D199" s="67">
        <f t="shared" si="1510"/>
        <v>21.987487614903102</v>
      </c>
      <c r="E199" s="67">
        <f t="shared" si="1510"/>
        <v>20.590759725352875</v>
      </c>
      <c r="F199" s="67">
        <f t="shared" si="1510"/>
        <v>18.000863502922314</v>
      </c>
      <c r="G199" s="67">
        <f t="shared" si="1510"/>
        <v>16.927335496218973</v>
      </c>
      <c r="H199" s="67">
        <f t="shared" si="1510"/>
        <v>8.3213342470518654</v>
      </c>
      <c r="I199" s="67">
        <f t="shared" si="1510"/>
        <v>21.877118828757702</v>
      </c>
      <c r="J199" s="67">
        <f t="shared" si="1510"/>
        <v>33.451401931275242</v>
      </c>
      <c r="K199" s="67">
        <f t="shared" si="1510"/>
        <v>31.062999205040356</v>
      </c>
      <c r="L199" s="67">
        <f t="shared" si="1510"/>
        <v>45.875951764441126</v>
      </c>
      <c r="M199" s="67">
        <f t="shared" si="1510"/>
        <v>48.240135963743029</v>
      </c>
      <c r="N199" s="67">
        <f t="shared" si="1510"/>
        <v>61.698319578403101</v>
      </c>
      <c r="O199" s="67">
        <f t="shared" si="1510"/>
        <v>48.637353593664272</v>
      </c>
      <c r="P199" s="67">
        <f t="shared" si="1510"/>
        <v>51.359483237616729</v>
      </c>
      <c r="Q199" s="67">
        <f t="shared" si="1510"/>
        <v>42.557578739421501</v>
      </c>
      <c r="R199" s="67">
        <f t="shared" si="1510"/>
        <v>61.734264767147266</v>
      </c>
      <c r="S199" s="67">
        <f t="shared" si="1510"/>
        <v>35.991825554980068</v>
      </c>
      <c r="T199" s="67">
        <f t="shared" si="1510"/>
        <v>31.51260073255029</v>
      </c>
      <c r="U199" s="67">
        <f t="shared" si="1510"/>
        <v>31.675115090266608</v>
      </c>
      <c r="V199" s="67">
        <f t="shared" si="1510"/>
        <v>33.001082109239256</v>
      </c>
      <c r="W199" s="67">
        <f t="shared" ref="W199" si="1511">W200-W198</f>
        <v>30.253396690449684</v>
      </c>
      <c r="X199" s="67">
        <f t="shared" ref="X199:Y199" si="1512">X200-X198</f>
        <v>32.109327753490213</v>
      </c>
      <c r="Y199" s="67">
        <f t="shared" si="1512"/>
        <v>33.246670685329704</v>
      </c>
      <c r="Z199" s="67">
        <f t="shared" ref="Z199:AA199" si="1513">Z200-Z198</f>
        <v>37.341107238596351</v>
      </c>
      <c r="AA199" s="67">
        <f t="shared" si="1513"/>
        <v>72.352741518340309</v>
      </c>
      <c r="AB199" s="18">
        <f t="shared" ref="AA199:AD199" si="1514">AB200-AB198</f>
        <v>101.82275093311605</v>
      </c>
      <c r="AC199" s="18">
        <f t="shared" si="1514"/>
        <v>101.59960209717133</v>
      </c>
      <c r="AD199" s="18">
        <f t="shared" si="1514"/>
        <v>99.847039675321582</v>
      </c>
      <c r="AE199" s="18">
        <f t="shared" ref="AE199" si="1515">AE200-AE198</f>
        <v>99.915363591903201</v>
      </c>
      <c r="AI199" s="67">
        <f t="shared" ref="AI199:AK199" si="1516">AI200-AI198</f>
        <v>0</v>
      </c>
      <c r="AJ199" s="67">
        <f t="shared" ref="AJ199:AM199" si="1517">AJ200-AJ198</f>
        <v>148.43992297817715</v>
      </c>
      <c r="AK199" s="67">
        <f t="shared" si="1516"/>
        <v>145.08745294855709</v>
      </c>
      <c r="AL199" s="67">
        <f t="shared" si="1517"/>
        <v>67.912844036697251</v>
      </c>
      <c r="AM199" s="67">
        <f t="shared" si="1517"/>
        <v>60.92592592592591</v>
      </c>
      <c r="AN199" s="67">
        <f t="shared" ref="AN199:AY199" si="1518">AN200-AN198</f>
        <v>64.537037037037024</v>
      </c>
      <c r="AO199" s="67">
        <f t="shared" si="1518"/>
        <v>61.802955665024669</v>
      </c>
      <c r="AP199" s="67">
        <f t="shared" si="1518"/>
        <v>54.000000000000014</v>
      </c>
      <c r="AQ199" s="67">
        <f t="shared" si="1518"/>
        <v>59.380610412926373</v>
      </c>
      <c r="AR199" s="67">
        <f t="shared" si="1518"/>
        <v>51.544782251437994</v>
      </c>
      <c r="AS199" s="67">
        <f t="shared" si="1518"/>
        <v>53.707191780821915</v>
      </c>
      <c r="AT199" s="67">
        <f t="shared" si="1518"/>
        <v>69.566724436741794</v>
      </c>
      <c r="AU199" s="67">
        <f t="shared" si="1518"/>
        <v>41.232665639445315</v>
      </c>
      <c r="AV199" s="67">
        <f t="shared" si="1518"/>
        <v>63.685764914353214</v>
      </c>
      <c r="AW199" s="67">
        <f t="shared" si="1518"/>
        <v>69.922178988326849</v>
      </c>
      <c r="AX199" s="67">
        <f t="shared" si="1518"/>
        <v>76.467065868263489</v>
      </c>
      <c r="AY199" s="67">
        <f t="shared" si="1518"/>
        <v>74.100580270793046</v>
      </c>
      <c r="AZ199" s="67">
        <f t="shared" ref="AZ199:BC199" si="1519">AZ200-AZ198</f>
        <v>84.96151154653603</v>
      </c>
      <c r="BA199" s="67">
        <f t="shared" si="1519"/>
        <v>84.137214137214158</v>
      </c>
      <c r="BB199" s="67">
        <f t="shared" si="1519"/>
        <v>79.079497907949772</v>
      </c>
      <c r="BC199" s="67">
        <f t="shared" si="1519"/>
        <v>83.259911894273117</v>
      </c>
      <c r="BD199" s="67">
        <f t="shared" ref="BD199:CE199" si="1520">BD200-BD198</f>
        <v>81.997177134791812</v>
      </c>
      <c r="BE199" s="67">
        <f t="shared" si="1520"/>
        <v>79.419002050581</v>
      </c>
      <c r="BF199" s="67">
        <f t="shared" si="1520"/>
        <v>96.692037470725978</v>
      </c>
      <c r="BG199" s="67">
        <f t="shared" si="1520"/>
        <v>88.221153846153868</v>
      </c>
      <c r="BH199" s="67">
        <f t="shared" si="1520"/>
        <v>112.85638859556492</v>
      </c>
      <c r="BI199" s="67">
        <f t="shared" si="1520"/>
        <v>104.21745490004879</v>
      </c>
      <c r="BJ199" s="67">
        <f t="shared" si="1520"/>
        <v>118.56142241379312</v>
      </c>
      <c r="BK199" s="67">
        <f t="shared" si="1520"/>
        <v>108.82789317507421</v>
      </c>
      <c r="BL199" s="67">
        <f t="shared" si="1520"/>
        <v>118.09975062344138</v>
      </c>
      <c r="BM199" s="67">
        <f t="shared" si="1520"/>
        <v>120.44252288911495</v>
      </c>
      <c r="BN199" s="67">
        <f t="shared" si="1520"/>
        <v>128.20143884892084</v>
      </c>
      <c r="BO199" s="67">
        <f t="shared" si="1520"/>
        <v>121.34241245136187</v>
      </c>
      <c r="BP199" s="67">
        <f t="shared" si="1520"/>
        <v>119.58353991075857</v>
      </c>
      <c r="BQ199" s="67">
        <f t="shared" si="1520"/>
        <v>120.90225563909773</v>
      </c>
      <c r="BR199" s="67">
        <f t="shared" si="1520"/>
        <v>62.493546721734646</v>
      </c>
      <c r="BS199" s="67">
        <f t="shared" si="1520"/>
        <v>56.724461105904396</v>
      </c>
      <c r="BT199" s="67">
        <f t="shared" si="1520"/>
        <v>53.022929340196526</v>
      </c>
      <c r="BU199" s="67">
        <f t="shared" si="1520"/>
        <v>53.752371916508537</v>
      </c>
      <c r="BV199" s="67">
        <f t="shared" si="1520"/>
        <v>53.256687001407784</v>
      </c>
      <c r="BW199" s="67">
        <f t="shared" si="1520"/>
        <v>48.355347251810812</v>
      </c>
      <c r="BX199" s="67">
        <f t="shared" si="1520"/>
        <v>52.208642514185932</v>
      </c>
      <c r="BY199" s="67">
        <f t="shared" si="1520"/>
        <v>48.016860698514655</v>
      </c>
      <c r="BZ199" s="67">
        <f t="shared" si="1520"/>
        <v>51.882778000802894</v>
      </c>
      <c r="CA199" s="67">
        <f t="shared" si="1520"/>
        <v>49.880355075260503</v>
      </c>
      <c r="CB199" s="67">
        <f t="shared" si="1520"/>
        <v>47.368421052631589</v>
      </c>
      <c r="CC199" s="67">
        <f t="shared" si="1520"/>
        <v>46.120058565153727</v>
      </c>
      <c r="CD199" s="67">
        <f t="shared" si="1520"/>
        <v>49.901639344262307</v>
      </c>
      <c r="CE199" s="114">
        <f t="shared" si="1520"/>
        <v>47.911857292759706</v>
      </c>
      <c r="CF199" s="67">
        <f t="shared" ref="CF199:CG199" si="1521">CF200-CF198</f>
        <v>48.442367601246104</v>
      </c>
      <c r="CG199" s="67">
        <f t="shared" si="1521"/>
        <v>49.822000711997148</v>
      </c>
      <c r="CH199" s="67">
        <f t="shared" ref="CH199" si="1522">CH200-CH198</f>
        <v>52.443325447786407</v>
      </c>
      <c r="CI199" s="67">
        <f>CH199</f>
        <v>52.443325447786407</v>
      </c>
      <c r="CJ199" s="67">
        <f t="shared" ref="CJ199:CL199" si="1523">CJ200-CJ198</f>
        <v>54.948516050878261</v>
      </c>
      <c r="CK199" s="67">
        <f t="shared" ref="CK199:DB199" si="1524">CJ199</f>
        <v>54.948516050878261</v>
      </c>
      <c r="CL199" s="67">
        <f t="shared" si="1523"/>
        <v>83.652609006433153</v>
      </c>
      <c r="CM199" s="30">
        <f t="shared" si="1524"/>
        <v>83.652609006433153</v>
      </c>
      <c r="CN199" s="30">
        <f t="shared" si="1524"/>
        <v>83.652609006433153</v>
      </c>
      <c r="CO199" s="30">
        <f t="shared" si="1524"/>
        <v>83.652609006433153</v>
      </c>
      <c r="CP199" s="30">
        <f t="shared" si="1524"/>
        <v>83.652609006433153</v>
      </c>
      <c r="CQ199" s="30">
        <f t="shared" si="1524"/>
        <v>83.652609006433153</v>
      </c>
      <c r="CR199" s="30">
        <f t="shared" si="1524"/>
        <v>83.652609006433153</v>
      </c>
      <c r="CS199" s="30">
        <f t="shared" si="1524"/>
        <v>83.652609006433153</v>
      </c>
      <c r="CT199" s="30">
        <f t="shared" si="1524"/>
        <v>83.652609006433153</v>
      </c>
      <c r="CU199" s="30">
        <f t="shared" si="1524"/>
        <v>83.652609006433153</v>
      </c>
      <c r="CV199" s="30">
        <f t="shared" si="1524"/>
        <v>83.652609006433153</v>
      </c>
      <c r="CW199" s="30">
        <f t="shared" si="1524"/>
        <v>83.652609006433153</v>
      </c>
      <c r="CX199" s="30">
        <f t="shared" si="1524"/>
        <v>83.652609006433153</v>
      </c>
      <c r="CY199" s="30">
        <f t="shared" si="1524"/>
        <v>83.652609006433153</v>
      </c>
      <c r="CZ199" s="30">
        <f t="shared" si="1524"/>
        <v>83.652609006433153</v>
      </c>
      <c r="DA199" s="30">
        <f t="shared" si="1524"/>
        <v>83.652609006433153</v>
      </c>
      <c r="DB199" s="30">
        <f t="shared" si="1524"/>
        <v>83.652609006433153</v>
      </c>
      <c r="DE199" s="139"/>
      <c r="DF199" s="62">
        <v>54.948516050878261</v>
      </c>
    </row>
    <row r="200" spans="1:110" s="7" customFormat="1" outlineLevel="1" x14ac:dyDescent="0.2">
      <c r="A200" s="69" t="s">
        <v>469</v>
      </c>
      <c r="B200" s="70">
        <f t="shared" ref="B200:AE200" si="1525">B171/B23*365</f>
        <v>116.33539731427868</v>
      </c>
      <c r="C200" s="70">
        <f t="shared" si="1525"/>
        <v>82.316032248312553</v>
      </c>
      <c r="D200" s="70">
        <f t="shared" si="1525"/>
        <v>68.400246859263618</v>
      </c>
      <c r="E200" s="70">
        <f t="shared" si="1525"/>
        <v>67.859034301070068</v>
      </c>
      <c r="F200" s="70">
        <f t="shared" si="1525"/>
        <v>88.552895162240787</v>
      </c>
      <c r="G200" s="70">
        <f t="shared" si="1525"/>
        <v>99.372450325552649</v>
      </c>
      <c r="H200" s="70">
        <f t="shared" si="1525"/>
        <v>76.90630916400184</v>
      </c>
      <c r="I200" s="70">
        <f t="shared" si="1525"/>
        <v>88.466150195527845</v>
      </c>
      <c r="J200" s="70">
        <f t="shared" si="1525"/>
        <v>102.32129418895616</v>
      </c>
      <c r="K200" s="70">
        <f t="shared" si="1525"/>
        <v>102.84943500442341</v>
      </c>
      <c r="L200" s="70">
        <f t="shared" si="1525"/>
        <v>147.86110712186559</v>
      </c>
      <c r="M200" s="70">
        <f t="shared" si="1525"/>
        <v>164.93736855357093</v>
      </c>
      <c r="N200" s="70">
        <f t="shared" si="1525"/>
        <v>182.79714999502835</v>
      </c>
      <c r="O200" s="70">
        <f t="shared" si="1525"/>
        <v>173.0696071181508</v>
      </c>
      <c r="P200" s="70">
        <f t="shared" si="1525"/>
        <v>194.4769625836403</v>
      </c>
      <c r="Q200" s="70">
        <f t="shared" si="1525"/>
        <v>165.92963437631315</v>
      </c>
      <c r="R200" s="70">
        <f t="shared" si="1525"/>
        <v>170.75091515677184</v>
      </c>
      <c r="S200" s="70">
        <f t="shared" si="1525"/>
        <v>102.4115323552903</v>
      </c>
      <c r="T200" s="70">
        <f t="shared" si="1525"/>
        <v>84.193313568288161</v>
      </c>
      <c r="U200" s="70">
        <f t="shared" si="1525"/>
        <v>81.684587801635473</v>
      </c>
      <c r="V200" s="70">
        <f t="shared" si="1525"/>
        <v>83.704664831785777</v>
      </c>
      <c r="W200" s="70">
        <f t="shared" si="1525"/>
        <v>70.432568126102396</v>
      </c>
      <c r="X200" s="70">
        <f t="shared" si="1525"/>
        <v>69.654523563706107</v>
      </c>
      <c r="Y200" s="70">
        <f t="shared" si="1525"/>
        <v>78.896715371505849</v>
      </c>
      <c r="Z200" s="70">
        <f t="shared" si="1525"/>
        <v>76.756937003005845</v>
      </c>
      <c r="AA200" s="70">
        <f t="shared" ref="AA200" si="1526">AA171/AA23*365</f>
        <v>116.07718475460732</v>
      </c>
      <c r="AB200" s="71">
        <f t="shared" si="1525"/>
        <v>163.37057115877298</v>
      </c>
      <c r="AC200" s="71">
        <f t="shared" si="1525"/>
        <v>163.0125376893605</v>
      </c>
      <c r="AD200" s="71">
        <f t="shared" si="1525"/>
        <v>160.20062069413942</v>
      </c>
      <c r="AE200" s="71">
        <f t="shared" si="1525"/>
        <v>160.31024371231021</v>
      </c>
      <c r="AI200" s="70">
        <f t="shared" ref="AI200:CD200" si="1527">AI171/AI23*90</f>
        <v>0</v>
      </c>
      <c r="AJ200" s="70">
        <f t="shared" si="1527"/>
        <v>148.43992297817715</v>
      </c>
      <c r="AK200" s="70">
        <f>AK171/AK23*90</f>
        <v>145.08745294855709</v>
      </c>
      <c r="AL200" s="70">
        <f t="shared" si="1527"/>
        <v>178.03899082568807</v>
      </c>
      <c r="AM200" s="70">
        <f t="shared" si="1527"/>
        <v>171.05207271491673</v>
      </c>
      <c r="AN200" s="70">
        <f t="shared" si="1527"/>
        <v>190.37037037037035</v>
      </c>
      <c r="AO200" s="70">
        <f t="shared" si="1527"/>
        <v>187.636288998358</v>
      </c>
      <c r="AP200" s="70">
        <f t="shared" si="1527"/>
        <v>158.98775510204084</v>
      </c>
      <c r="AQ200" s="70">
        <f t="shared" si="1527"/>
        <v>164.36836551496719</v>
      </c>
      <c r="AR200" s="70">
        <f t="shared" si="1527"/>
        <v>182.58833196384555</v>
      </c>
      <c r="AS200" s="70">
        <f t="shared" si="1527"/>
        <v>184.75074149322947</v>
      </c>
      <c r="AT200" s="70">
        <f t="shared" si="1527"/>
        <v>212.13171577123052</v>
      </c>
      <c r="AU200" s="70">
        <f t="shared" si="1527"/>
        <v>183.79765697393404</v>
      </c>
      <c r="AV200" s="70">
        <f t="shared" si="1527"/>
        <v>189.99409332545775</v>
      </c>
      <c r="AW200" s="70">
        <f t="shared" si="1527"/>
        <v>196.23050739943139</v>
      </c>
      <c r="AX200" s="70">
        <f t="shared" si="1527"/>
        <v>211.97604790419163</v>
      </c>
      <c r="AY200" s="70">
        <f t="shared" si="1527"/>
        <v>209.60956230672119</v>
      </c>
      <c r="AZ200" s="70">
        <f t="shared" si="1527"/>
        <v>240.02099370188944</v>
      </c>
      <c r="BA200" s="70">
        <f t="shared" si="1527"/>
        <v>239.19669629256757</v>
      </c>
      <c r="BB200" s="70">
        <f t="shared" si="1527"/>
        <v>188.84937238493723</v>
      </c>
      <c r="BC200" s="70">
        <f t="shared" si="1527"/>
        <v>193.02978637126057</v>
      </c>
      <c r="BD200" s="70">
        <f t="shared" si="1527"/>
        <v>197.52999294283697</v>
      </c>
      <c r="BE200" s="70">
        <f t="shared" si="1527"/>
        <v>194.95181785862616</v>
      </c>
      <c r="BF200" s="70">
        <f t="shared" si="1527"/>
        <v>204.60772833723652</v>
      </c>
      <c r="BG200" s="70">
        <f t="shared" si="1527"/>
        <v>196.13684471266441</v>
      </c>
      <c r="BH200" s="70">
        <f t="shared" si="1527"/>
        <v>219.48785638859556</v>
      </c>
      <c r="BI200" s="70">
        <f t="shared" si="1527"/>
        <v>210.84892269307943</v>
      </c>
      <c r="BJ200" s="70">
        <f t="shared" si="1527"/>
        <v>220.29633620689657</v>
      </c>
      <c r="BK200" s="70">
        <f t="shared" si="1527"/>
        <v>210.56280696817765</v>
      </c>
      <c r="BL200" s="70">
        <f t="shared" si="1527"/>
        <v>206.21446384039899</v>
      </c>
      <c r="BM200" s="70">
        <f t="shared" si="1527"/>
        <v>208.55723610607257</v>
      </c>
      <c r="BN200" s="70">
        <f t="shared" si="1527"/>
        <v>222.91880781089412</v>
      </c>
      <c r="BO200" s="70">
        <f t="shared" si="1527"/>
        <v>216.05978141333514</v>
      </c>
      <c r="BP200" s="70">
        <f t="shared" si="1527"/>
        <v>222.61279127416958</v>
      </c>
      <c r="BQ200" s="70">
        <f t="shared" si="1527"/>
        <v>223.93150700250874</v>
      </c>
      <c r="BR200" s="70">
        <f t="shared" si="1527"/>
        <v>158.53381517811047</v>
      </c>
      <c r="BS200" s="70">
        <f t="shared" si="1527"/>
        <v>152.76472956228022</v>
      </c>
      <c r="BT200" s="70">
        <f t="shared" si="1527"/>
        <v>128.15629386991108</v>
      </c>
      <c r="BU200" s="70">
        <f t="shared" si="1527"/>
        <v>128.88573644622309</v>
      </c>
      <c r="BV200" s="70">
        <f t="shared" si="1527"/>
        <v>123.95588925387142</v>
      </c>
      <c r="BW200" s="70">
        <f t="shared" si="1527"/>
        <v>119.05454950427445</v>
      </c>
      <c r="BX200" s="70">
        <f t="shared" si="1527"/>
        <v>110.23134002618943</v>
      </c>
      <c r="BY200" s="70">
        <f t="shared" si="1527"/>
        <v>106.03955821051815</v>
      </c>
      <c r="BZ200" s="70">
        <f t="shared" si="1527"/>
        <v>112.54516258530711</v>
      </c>
      <c r="CA200" s="70">
        <f t="shared" si="1527"/>
        <v>110.54273965976472</v>
      </c>
      <c r="CB200" s="70">
        <f t="shared" si="1527"/>
        <v>103.56766917293234</v>
      </c>
      <c r="CC200" s="70">
        <f t="shared" si="1527"/>
        <v>102.31930668545448</v>
      </c>
      <c r="CD200" s="70">
        <f t="shared" si="1527"/>
        <v>118.39344262295083</v>
      </c>
      <c r="CE200" s="115">
        <f>CE171/CE25*90</f>
        <v>116.40366057144823</v>
      </c>
      <c r="CF200" s="70">
        <f>CF171/CF23*90</f>
        <v>116.60436137071652</v>
      </c>
      <c r="CG200" s="70">
        <f>CG171/CG25*90</f>
        <v>117.98399448146756</v>
      </c>
      <c r="CH200" s="70">
        <f>CH171/CH23*90</f>
        <v>107.80047313281513</v>
      </c>
      <c r="CI200" s="70">
        <f>CI198+CI199</f>
        <v>107.80047313281513</v>
      </c>
      <c r="CJ200" s="70">
        <f>CJ171/CJ23*90</f>
        <v>100.60266505148395</v>
      </c>
      <c r="CK200" s="70">
        <f t="shared" ref="CK200:DB200" si="1528">CK198+CK199</f>
        <v>100.60266505148395</v>
      </c>
      <c r="CL200" s="70">
        <f>CL171/CL23*90</f>
        <v>134.21729807005002</v>
      </c>
      <c r="CM200" s="50">
        <f t="shared" si="1528"/>
        <v>134.21729807005002</v>
      </c>
      <c r="CN200" s="50">
        <f t="shared" si="1528"/>
        <v>134.21729807005002</v>
      </c>
      <c r="CO200" s="50">
        <f t="shared" si="1528"/>
        <v>134.21729807005002</v>
      </c>
      <c r="CP200" s="50">
        <f t="shared" si="1528"/>
        <v>134.21729807005002</v>
      </c>
      <c r="CQ200" s="50">
        <f t="shared" si="1528"/>
        <v>134.21729807005002</v>
      </c>
      <c r="CR200" s="50">
        <f t="shared" si="1528"/>
        <v>134.21729807005002</v>
      </c>
      <c r="CS200" s="50">
        <f t="shared" si="1528"/>
        <v>134.21729807005002</v>
      </c>
      <c r="CT200" s="50">
        <f t="shared" si="1528"/>
        <v>134.21729807005002</v>
      </c>
      <c r="CU200" s="50">
        <f t="shared" si="1528"/>
        <v>134.21729807005002</v>
      </c>
      <c r="CV200" s="50">
        <f t="shared" si="1528"/>
        <v>134.21729807005002</v>
      </c>
      <c r="CW200" s="50">
        <f t="shared" si="1528"/>
        <v>134.21729807005002</v>
      </c>
      <c r="CX200" s="50">
        <f t="shared" si="1528"/>
        <v>134.21729807005002</v>
      </c>
      <c r="CY200" s="50">
        <f t="shared" si="1528"/>
        <v>134.21729807005002</v>
      </c>
      <c r="CZ200" s="50">
        <f t="shared" si="1528"/>
        <v>134.21729807005002</v>
      </c>
      <c r="DA200" s="50">
        <f t="shared" si="1528"/>
        <v>134.21729807005002</v>
      </c>
      <c r="DB200" s="50">
        <f t="shared" si="1528"/>
        <v>134.21729807005002</v>
      </c>
      <c r="DE200" s="138"/>
      <c r="DF200" s="7">
        <v>100.60266505148395</v>
      </c>
    </row>
    <row r="201" spans="1:110" s="7" customFormat="1" x14ac:dyDescent="0.2">
      <c r="A201" s="69" t="s">
        <v>470</v>
      </c>
      <c r="B201" s="70">
        <f>B197-B200</f>
        <v>72.48566342244672</v>
      </c>
      <c r="C201" s="70">
        <f t="shared" ref="C201:V201" si="1529">C197-C200</f>
        <v>45.594622687005511</v>
      </c>
      <c r="D201" s="70">
        <f t="shared" si="1529"/>
        <v>42.753493107366467</v>
      </c>
      <c r="E201" s="70">
        <f t="shared" si="1529"/>
        <v>53.9148811274368</v>
      </c>
      <c r="F201" s="70">
        <f t="shared" si="1529"/>
        <v>66.967746207149617</v>
      </c>
      <c r="G201" s="70">
        <f t="shared" si="1529"/>
        <v>60.162659013349156</v>
      </c>
      <c r="H201" s="70">
        <f t="shared" si="1529"/>
        <v>76.047850706795515</v>
      </c>
      <c r="I201" s="70">
        <f t="shared" si="1529"/>
        <v>54.707885652851829</v>
      </c>
      <c r="J201" s="70">
        <f t="shared" si="1529"/>
        <v>56.635216839213513</v>
      </c>
      <c r="K201" s="70">
        <f t="shared" si="1529"/>
        <v>41.694991600499094</v>
      </c>
      <c r="L201" s="70">
        <f t="shared" si="1529"/>
        <v>33.800931843327817</v>
      </c>
      <c r="M201" s="70">
        <f t="shared" si="1529"/>
        <v>15.343482478746381</v>
      </c>
      <c r="N201" s="70">
        <f t="shared" si="1529"/>
        <v>39.523217659341753</v>
      </c>
      <c r="O201" s="70">
        <f t="shared" si="1529"/>
        <v>56.75997709978293</v>
      </c>
      <c r="P201" s="70">
        <f t="shared" si="1529"/>
        <v>75.174810622719264</v>
      </c>
      <c r="Q201" s="70">
        <f t="shared" si="1529"/>
        <v>22.239196462352709</v>
      </c>
      <c r="R201" s="70">
        <f t="shared" si="1529"/>
        <v>46.552001734700127</v>
      </c>
      <c r="S201" s="70">
        <f t="shared" si="1529"/>
        <v>30.739511416770526</v>
      </c>
      <c r="T201" s="70">
        <f t="shared" si="1529"/>
        <v>21.753023439269327</v>
      </c>
      <c r="U201" s="70">
        <f t="shared" si="1529"/>
        <v>32.127902668810194</v>
      </c>
      <c r="V201" s="70">
        <f t="shared" si="1529"/>
        <v>36.855350223647093</v>
      </c>
      <c r="W201" s="70">
        <f t="shared" ref="W201" si="1530">W197-W200</f>
        <v>47.721704436159612</v>
      </c>
      <c r="X201" s="70">
        <f t="shared" ref="X201:Y201" si="1531">X197-X200</f>
        <v>37.941938587004799</v>
      </c>
      <c r="Y201" s="70">
        <f t="shared" si="1531"/>
        <v>30.239123420644461</v>
      </c>
      <c r="Z201" s="70">
        <f t="shared" ref="Z201:AA201" si="1532">Z197-Z200</f>
        <v>36.623183942868735</v>
      </c>
      <c r="AA201" s="70">
        <f t="shared" si="1532"/>
        <v>26.131067492518042</v>
      </c>
      <c r="AB201" s="71">
        <f t="shared" ref="AA201:AD201" si="1533">AB197-AB200</f>
        <v>54.03052920572938</v>
      </c>
      <c r="AC201" s="71">
        <f t="shared" si="1533"/>
        <v>53.912119031311164</v>
      </c>
      <c r="AD201" s="71">
        <f t="shared" si="1533"/>
        <v>52.982151276061472</v>
      </c>
      <c r="AE201" s="71">
        <f t="shared" ref="AE201" si="1534">AE197-AE200</f>
        <v>53.018406212571051</v>
      </c>
      <c r="AI201" s="70">
        <f t="shared" ref="AI201:AK201" si="1535">AI197-AI200</f>
        <v>0</v>
      </c>
      <c r="AJ201" s="70">
        <f t="shared" ref="AJ201:AM201" si="1536">AJ197-AJ200</f>
        <v>32.51437740693197</v>
      </c>
      <c r="AK201" s="70">
        <f t="shared" si="1535"/>
        <v>35.161352665563925</v>
      </c>
      <c r="AL201" s="70">
        <f t="shared" si="1536"/>
        <v>24.357798165137609</v>
      </c>
      <c r="AM201" s="70">
        <f t="shared" si="1536"/>
        <v>27.638888888888914</v>
      </c>
      <c r="AN201" s="70">
        <f t="shared" ref="AN201:AY201" si="1537">AN197-AN200</f>
        <v>19.629629629629648</v>
      </c>
      <c r="AO201" s="70">
        <f t="shared" si="1537"/>
        <v>20.649516511585432</v>
      </c>
      <c r="AP201" s="70">
        <f t="shared" si="1537"/>
        <v>34.897959183673464</v>
      </c>
      <c r="AQ201" s="70">
        <f t="shared" si="1537"/>
        <v>33.426526948301785</v>
      </c>
      <c r="AR201" s="70">
        <f t="shared" si="1537"/>
        <v>29.211175020542299</v>
      </c>
      <c r="AS201" s="70">
        <f t="shared" si="1537"/>
        <v>28.962978804831124</v>
      </c>
      <c r="AT201" s="70">
        <f t="shared" si="1537"/>
        <v>56.464471403812809</v>
      </c>
      <c r="AU201" s="70">
        <f t="shared" si="1537"/>
        <v>59.736229314262943</v>
      </c>
      <c r="AV201" s="70">
        <f t="shared" si="1537"/>
        <v>11.642055522740719</v>
      </c>
      <c r="AW201" s="70">
        <f t="shared" si="1537"/>
        <v>9.3515528578421936</v>
      </c>
      <c r="AX201" s="70">
        <f t="shared" si="1537"/>
        <v>-5.5089820359281418</v>
      </c>
      <c r="AY201" s="70">
        <f t="shared" si="1537"/>
        <v>-4.3377847786052826</v>
      </c>
      <c r="AZ201" s="70">
        <f t="shared" ref="AZ201:BC201" si="1538">AZ197-AZ200</f>
        <v>-0.75577326801959543</v>
      </c>
      <c r="BA201" s="70">
        <f t="shared" si="1538"/>
        <v>-0.44230805602398959</v>
      </c>
      <c r="BB201" s="70">
        <f t="shared" si="1538"/>
        <v>29.937238493723839</v>
      </c>
      <c r="BC201" s="70">
        <f t="shared" si="1538"/>
        <v>28.994986452362099</v>
      </c>
      <c r="BD201" s="70">
        <f t="shared" ref="BD201:CE201" si="1539">BD197-BD200</f>
        <v>19.625970359915328</v>
      </c>
      <c r="BE201" s="70">
        <f t="shared" si="1539"/>
        <v>20.628483057261406</v>
      </c>
      <c r="BF201" s="70">
        <f t="shared" si="1539"/>
        <v>11.75058548009369</v>
      </c>
      <c r="BG201" s="70">
        <f t="shared" si="1539"/>
        <v>16.131440281030422</v>
      </c>
      <c r="BH201" s="70">
        <f t="shared" si="1539"/>
        <v>-0.80781414994717693</v>
      </c>
      <c r="BI201" s="70">
        <f t="shared" si="1539"/>
        <v>4.2191358994015218</v>
      </c>
      <c r="BJ201" s="70">
        <f t="shared" si="1539"/>
        <v>-15.808189655172413</v>
      </c>
      <c r="BK201" s="70">
        <f t="shared" si="1539"/>
        <v>-9.44258096285688</v>
      </c>
      <c r="BL201" s="70">
        <f t="shared" si="1539"/>
        <v>-10.05486284289276</v>
      </c>
      <c r="BM201" s="70">
        <f t="shared" si="1539"/>
        <v>-11.603354279611295</v>
      </c>
      <c r="BN201" s="70">
        <f t="shared" si="1539"/>
        <v>-0.97122302158271623</v>
      </c>
      <c r="BO201" s="70">
        <f t="shared" si="1539"/>
        <v>3.4084583361659497</v>
      </c>
      <c r="BP201" s="70">
        <f t="shared" si="1539"/>
        <v>4.5513138324243414</v>
      </c>
      <c r="BQ201" s="70">
        <f t="shared" si="1539"/>
        <v>3.721703863028921</v>
      </c>
      <c r="BR201" s="70">
        <f t="shared" si="1539"/>
        <v>75.689210118740334</v>
      </c>
      <c r="BS201" s="70">
        <f t="shared" si="1539"/>
        <v>77.86816587550004</v>
      </c>
      <c r="BT201" s="70">
        <f t="shared" si="1539"/>
        <v>80.355638745905509</v>
      </c>
      <c r="BU201" s="70">
        <f t="shared" si="1539"/>
        <v>80.076955760038857</v>
      </c>
      <c r="BV201" s="70">
        <f t="shared" si="1539"/>
        <v>89.450961989676216</v>
      </c>
      <c r="BW201" s="70">
        <f t="shared" si="1539"/>
        <v>90.628682801831545</v>
      </c>
      <c r="BX201" s="70">
        <f t="shared" si="1539"/>
        <v>81.396769969445643</v>
      </c>
      <c r="BY201" s="70">
        <f t="shared" si="1539"/>
        <v>83.077898417717137</v>
      </c>
      <c r="BZ201" s="70">
        <f t="shared" si="1539"/>
        <v>66.515455640305078</v>
      </c>
      <c r="CA201" s="70">
        <f t="shared" si="1539"/>
        <v>67.42742262728612</v>
      </c>
      <c r="CB201" s="70">
        <f t="shared" si="1539"/>
        <v>60.496240601503757</v>
      </c>
      <c r="CC201" s="70">
        <f t="shared" si="1539"/>
        <v>60.960809784343724</v>
      </c>
      <c r="CD201" s="70">
        <f t="shared" si="1539"/>
        <v>50.557377049180303</v>
      </c>
      <c r="CE201" s="115">
        <f t="shared" si="1539"/>
        <v>51.200591746512288</v>
      </c>
      <c r="CF201" s="70">
        <f t="shared" ref="CF201:CG201" si="1540">CF197-CF200</f>
        <v>41.588785046728972</v>
      </c>
      <c r="CG201" s="70">
        <f t="shared" si="1540"/>
        <v>41.117669174183106</v>
      </c>
      <c r="CH201" s="70">
        <f t="shared" ref="CH201:CI201" si="1541">CH197-CH200</f>
        <v>51.435045623521447</v>
      </c>
      <c r="CI201" s="70">
        <f t="shared" si="1541"/>
        <v>51.435045623521475</v>
      </c>
      <c r="CJ201" s="70">
        <f t="shared" ref="CJ201:DB201" si="1542">CJ197-CJ200</f>
        <v>62.607510599636569</v>
      </c>
      <c r="CK201" s="70">
        <f t="shared" si="1542"/>
        <v>62.607510599636569</v>
      </c>
      <c r="CL201" s="70">
        <f t="shared" ref="CL201" si="1543">CL197-CL200</f>
        <v>44.388849177984298</v>
      </c>
      <c r="CM201" s="50">
        <f t="shared" si="1542"/>
        <v>44.388849177984298</v>
      </c>
      <c r="CN201" s="50">
        <f t="shared" si="1542"/>
        <v>44.388849177984298</v>
      </c>
      <c r="CO201" s="50">
        <f t="shared" si="1542"/>
        <v>44.388849177984298</v>
      </c>
      <c r="CP201" s="50">
        <f t="shared" si="1542"/>
        <v>44.388849177984298</v>
      </c>
      <c r="CQ201" s="50">
        <f t="shared" si="1542"/>
        <v>44.388849177984298</v>
      </c>
      <c r="CR201" s="50">
        <f t="shared" si="1542"/>
        <v>44.388849177984298</v>
      </c>
      <c r="CS201" s="50">
        <f t="shared" si="1542"/>
        <v>44.388849177984298</v>
      </c>
      <c r="CT201" s="50">
        <f t="shared" si="1542"/>
        <v>44.388849177984298</v>
      </c>
      <c r="CU201" s="50">
        <f t="shared" si="1542"/>
        <v>44.388849177984298</v>
      </c>
      <c r="CV201" s="50">
        <f t="shared" si="1542"/>
        <v>44.388849177984298</v>
      </c>
      <c r="CW201" s="50">
        <f t="shared" si="1542"/>
        <v>44.388849177984298</v>
      </c>
      <c r="CX201" s="50">
        <f t="shared" si="1542"/>
        <v>44.388849177984298</v>
      </c>
      <c r="CY201" s="50">
        <f t="shared" si="1542"/>
        <v>44.388849177984298</v>
      </c>
      <c r="CZ201" s="50">
        <f t="shared" si="1542"/>
        <v>44.388849177984298</v>
      </c>
      <c r="DA201" s="50">
        <f t="shared" si="1542"/>
        <v>44.388849177984298</v>
      </c>
      <c r="DB201" s="50">
        <f t="shared" si="1542"/>
        <v>44.388849177984298</v>
      </c>
      <c r="DE201" s="138"/>
      <c r="DF201" s="7">
        <v>62.607510599636569</v>
      </c>
    </row>
    <row r="202" spans="1:110" s="7" customFormat="1" x14ac:dyDescent="0.2">
      <c r="A202" s="69" t="s">
        <v>86</v>
      </c>
      <c r="AB202" s="77"/>
      <c r="AC202" s="77"/>
      <c r="AD202" s="77"/>
      <c r="AE202" s="77"/>
      <c r="CE202" s="115"/>
      <c r="CG202" s="115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E202" s="138"/>
    </row>
    <row r="203" spans="1:110" s="86" customFormat="1" x14ac:dyDescent="0.2">
      <c r="A203" s="86" t="s">
        <v>440</v>
      </c>
      <c r="C203" s="86">
        <f t="shared" ref="C203:Y203" si="1544">C25/B25-1</f>
        <v>0.10106457592373475</v>
      </c>
      <c r="D203" s="86">
        <f t="shared" si="1544"/>
        <v>7.2582215308447662E-3</v>
      </c>
      <c r="E203" s="86">
        <f t="shared" si="1544"/>
        <v>0.13248640091361596</v>
      </c>
      <c r="F203" s="86">
        <f t="shared" si="1544"/>
        <v>0.192495338895599</v>
      </c>
      <c r="G203" s="86">
        <f t="shared" si="1544"/>
        <v>0.76569170722481128</v>
      </c>
      <c r="H203" s="86">
        <f t="shared" si="1544"/>
        <v>0.34288243628991366</v>
      </c>
      <c r="I203" s="86">
        <f t="shared" si="1544"/>
        <v>4.3165637679634994E-2</v>
      </c>
      <c r="J203" s="86">
        <f t="shared" si="1544"/>
        <v>0.20357208995280152</v>
      </c>
      <c r="K203" s="86">
        <f t="shared" si="1544"/>
        <v>0.1750092723328307</v>
      </c>
      <c r="L203" s="86">
        <f t="shared" si="1544"/>
        <v>0.14705075233901965</v>
      </c>
      <c r="M203" s="86">
        <f t="shared" si="1544"/>
        <v>0.22664895677599395</v>
      </c>
      <c r="N203" s="86">
        <f t="shared" si="1544"/>
        <v>0.19111101219620763</v>
      </c>
      <c r="O203" s="86">
        <f t="shared" si="1544"/>
        <v>0.30318827581481989</v>
      </c>
      <c r="P203" s="86">
        <f t="shared" si="1544"/>
        <v>0.11200988357643982</v>
      </c>
      <c r="Q203" s="86">
        <f t="shared" si="1544"/>
        <v>0.43266823539524446</v>
      </c>
      <c r="R203" s="86">
        <f t="shared" si="1544"/>
        <v>-0.12767048906155076</v>
      </c>
      <c r="S203" s="86">
        <f t="shared" si="1544"/>
        <v>2.3065190888785336E-2</v>
      </c>
      <c r="T203" s="86">
        <f t="shared" si="1544"/>
        <v>0.28958306371778697</v>
      </c>
      <c r="U203" s="86">
        <f t="shared" si="1544"/>
        <v>3.4734386403920237E-2</v>
      </c>
      <c r="V203" s="86">
        <f t="shared" si="1544"/>
        <v>8.2198578969709946E-3</v>
      </c>
      <c r="W203" s="86">
        <f t="shared" si="1544"/>
        <v>6.289781962054164E-2</v>
      </c>
      <c r="X203" s="86">
        <f t="shared" si="1544"/>
        <v>0.13071283162749592</v>
      </c>
      <c r="Y203" s="86">
        <f t="shared" si="1544"/>
        <v>0.11514269528021925</v>
      </c>
      <c r="Z203" s="86">
        <f>Z25/Y25-1</f>
        <v>7.3477046637533849E-2</v>
      </c>
      <c r="AA203" s="86">
        <f>AA25/Z25-1</f>
        <v>0.21393024889524126</v>
      </c>
      <c r="AB203" s="87">
        <f t="shared" ref="AA203:AE203" si="1545">AB25/AA25-1</f>
        <v>0.18656149513545661</v>
      </c>
      <c r="AC203" s="87">
        <f t="shared" si="1545"/>
        <v>0.17101545904531235</v>
      </c>
      <c r="AD203" s="87">
        <f t="shared" si="1545"/>
        <v>4.2967066270735543E-2</v>
      </c>
      <c r="AE203" s="87">
        <f t="shared" si="1545"/>
        <v>2.4503552412922458E-2</v>
      </c>
      <c r="AN203" s="86">
        <f t="shared" ref="AN203:CI203" si="1546">+(AN25+AM25)/(AJ25+AI25)-1</f>
        <v>0.2590673575129534</v>
      </c>
      <c r="AO203" s="86">
        <f t="shared" si="1546"/>
        <v>0.26238881829733174</v>
      </c>
      <c r="AP203" s="86">
        <f t="shared" si="1546"/>
        <v>0.34292565947242215</v>
      </c>
      <c r="AQ203" s="86">
        <f t="shared" si="1546"/>
        <v>0.26912642430819322</v>
      </c>
      <c r="AR203" s="86">
        <f t="shared" si="1546"/>
        <v>0.19907407407407418</v>
      </c>
      <c r="AS203" s="86">
        <f t="shared" si="1546"/>
        <v>0.20030196275792655</v>
      </c>
      <c r="AT203" s="86">
        <f t="shared" si="1546"/>
        <v>3.6607142857142838E-2</v>
      </c>
      <c r="AU203" s="86">
        <f t="shared" si="1546"/>
        <v>0.32578024796921756</v>
      </c>
      <c r="AV203" s="86">
        <f t="shared" si="1546"/>
        <v>0.56156156156156145</v>
      </c>
      <c r="AW203" s="86">
        <f t="shared" si="1546"/>
        <v>0.35639412997903563</v>
      </c>
      <c r="AX203" s="86">
        <f t="shared" si="1546"/>
        <v>0.31136950904392768</v>
      </c>
      <c r="AY203" s="86">
        <f t="shared" si="1546"/>
        <v>-1.5156401160915878E-2</v>
      </c>
      <c r="AZ203" s="86">
        <f t="shared" si="1546"/>
        <v>-0.18131868131868134</v>
      </c>
      <c r="BA203" s="86">
        <f t="shared" si="1546"/>
        <v>-0.11221020092735701</v>
      </c>
      <c r="BB203" s="86">
        <f t="shared" si="1546"/>
        <v>-5.5172413793103448E-2</v>
      </c>
      <c r="BC203" s="86">
        <f t="shared" si="1546"/>
        <v>-8.4479371316306451E-2</v>
      </c>
      <c r="BD203" s="86">
        <f t="shared" si="1546"/>
        <v>-6.7449664429530154E-2</v>
      </c>
      <c r="BE203" s="86">
        <f t="shared" si="1546"/>
        <v>2.7855153203342198E-3</v>
      </c>
      <c r="BF203" s="86">
        <f t="shared" si="1546"/>
        <v>0.10218978102189791</v>
      </c>
      <c r="BG203" s="86">
        <f t="shared" si="1546"/>
        <v>0.28040057224606585</v>
      </c>
      <c r="BH203" s="86">
        <f t="shared" si="1546"/>
        <v>0.35516372795969775</v>
      </c>
      <c r="BI203" s="86">
        <f t="shared" si="1546"/>
        <v>0.36979166666666674</v>
      </c>
      <c r="BJ203" s="86">
        <f t="shared" si="1546"/>
        <v>0.23210343740145056</v>
      </c>
      <c r="BK203" s="86">
        <f t="shared" si="1546"/>
        <v>8.3240223463687091E-2</v>
      </c>
      <c r="BL203" s="86">
        <f t="shared" si="1546"/>
        <v>6.9304301646309074E-2</v>
      </c>
      <c r="BM203" s="86">
        <f t="shared" si="1546"/>
        <v>6.590621039290312E-3</v>
      </c>
      <c r="BN203" s="86">
        <f t="shared" si="1546"/>
        <v>1.2797542871769707E-3</v>
      </c>
      <c r="BO203" s="86">
        <f t="shared" si="1546"/>
        <v>3.1975244971634842E-2</v>
      </c>
      <c r="BP203" s="86">
        <f t="shared" si="1546"/>
        <v>1.1422895455674098E-2</v>
      </c>
      <c r="BQ203" s="86">
        <f t="shared" si="1546"/>
        <v>1.0324855200201544E-2</v>
      </c>
      <c r="BR203" s="86">
        <f t="shared" si="1546"/>
        <v>5.1124744376278564E-3</v>
      </c>
      <c r="BS203" s="86">
        <f t="shared" si="1546"/>
        <v>1.7241379310344751E-2</v>
      </c>
      <c r="BT203" s="86">
        <f t="shared" si="1546"/>
        <v>4.8612816106064383E-2</v>
      </c>
      <c r="BU203" s="86">
        <f t="shared" si="1546"/>
        <v>5.8075772681954074E-2</v>
      </c>
      <c r="BV203" s="86">
        <f t="shared" si="1546"/>
        <v>7.807731434384535E-2</v>
      </c>
      <c r="BW203" s="86">
        <f t="shared" si="1546"/>
        <v>9.997543601080805E-2</v>
      </c>
      <c r="BX203" s="86">
        <f t="shared" si="1546"/>
        <v>8.5928354015452957E-2</v>
      </c>
      <c r="BY203" s="86">
        <f t="shared" si="1546"/>
        <v>0.12650176678445235</v>
      </c>
      <c r="BZ203" s="86">
        <f t="shared" si="1546"/>
        <v>0.17527718801604153</v>
      </c>
      <c r="CA203" s="86">
        <f t="shared" si="1546"/>
        <v>0.13488164359088883</v>
      </c>
      <c r="CB203" s="86">
        <f t="shared" si="1546"/>
        <v>0.13216903837861138</v>
      </c>
      <c r="CC203" s="86">
        <f t="shared" si="1546"/>
        <v>0.12756168966959436</v>
      </c>
      <c r="CD203" s="86">
        <f t="shared" si="1546"/>
        <v>9.9357687675632356E-2</v>
      </c>
      <c r="CE203" s="86">
        <f t="shared" si="1546"/>
        <v>0.10271546635182993</v>
      </c>
      <c r="CF203" s="86">
        <f t="shared" si="1546"/>
        <v>9.4648638354599024E-2</v>
      </c>
      <c r="CG203" s="86">
        <f t="shared" si="1546"/>
        <v>5.6750741839762586E-2</v>
      </c>
      <c r="CH203" s="86">
        <f t="shared" si="1546"/>
        <v>5.313127624612024E-2</v>
      </c>
      <c r="CI203" s="86">
        <f t="shared" si="1546"/>
        <v>9.5110635260528209E-2</v>
      </c>
      <c r="CJ203" s="86">
        <f>+(CJ25+CI25)/(CF25+CE25)-1</f>
        <v>0.12734864300626314</v>
      </c>
      <c r="CL203" s="86">
        <f>+(CL25+CK25)/(CH25+CG25)-1</f>
        <v>0.30027739251040231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0.21395369435285749</v>
      </c>
    </row>
    <row r="204" spans="1:110" s="86" customFormat="1" x14ac:dyDescent="0.2">
      <c r="A204" s="86" t="s">
        <v>441</v>
      </c>
      <c r="C204" s="86">
        <f t="shared" ref="C204" si="1547">C201/B201-1</f>
        <v>-0.37098426731255973</v>
      </c>
      <c r="D204" s="86">
        <f t="shared" ref="D204" si="1548">D201/C201-1</f>
        <v>-6.2312821385596573E-2</v>
      </c>
      <c r="E204" s="86">
        <f>E201/D201-1</f>
        <v>0.26106376833445721</v>
      </c>
      <c r="F204" s="86">
        <f t="shared" ref="F204" si="1549">F201/E201-1</f>
        <v>0.2421013420925513</v>
      </c>
      <c r="G204" s="86">
        <f t="shared" ref="G204" si="1550">G201/F201-1</f>
        <v>-0.10161738417701049</v>
      </c>
      <c r="H204" s="86">
        <f t="shared" ref="H204" si="1551">H201/G201-1</f>
        <v>0.26403739385790259</v>
      </c>
      <c r="I204" s="86">
        <f t="shared" ref="I204" si="1552">I201/H201-1</f>
        <v>-0.28061233625418924</v>
      </c>
      <c r="J204" s="86">
        <f t="shared" ref="J204" si="1553">J201/I201-1</f>
        <v>3.522949504193118E-2</v>
      </c>
      <c r="K204" s="86">
        <f>K201/J201-1</f>
        <v>-0.26379744040054587</v>
      </c>
      <c r="L204" s="86">
        <f t="shared" ref="L204" si="1554">L201/K201-1</f>
        <v>-0.18932872880292861</v>
      </c>
      <c r="M204" s="86">
        <f t="shared" ref="M204" si="1555">M201/L201-1</f>
        <v>-0.54606332896780385</v>
      </c>
      <c r="N204" s="86">
        <f t="shared" ref="N204" si="1556">N201/M201-1</f>
        <v>1.5758961639959423</v>
      </c>
      <c r="O204" s="86">
        <f t="shared" ref="O204" si="1557">O201/N201-1</f>
        <v>0.43611731182941971</v>
      </c>
      <c r="P204" s="86">
        <f t="shared" ref="P204" si="1558">P201/O201-1</f>
        <v>0.32443342058724611</v>
      </c>
      <c r="Q204" s="86">
        <f t="shared" ref="Q204" si="1559">Q201/P201-1</f>
        <v>-0.70416691072273085</v>
      </c>
      <c r="R204" s="86">
        <f t="shared" ref="R204" si="1560">R201/Q201-1</f>
        <v>1.0932411750354825</v>
      </c>
      <c r="S204" s="86">
        <f t="shared" ref="S204" si="1561">S201/R201-1</f>
        <v>-0.33967369240199352</v>
      </c>
      <c r="T204" s="86">
        <f t="shared" ref="T204" si="1562">T201/S201-1</f>
        <v>-0.29234322743979757</v>
      </c>
      <c r="U204" s="86">
        <f t="shared" ref="U204" si="1563">U201/T201-1</f>
        <v>0.47693964282738599</v>
      </c>
      <c r="V204" s="86">
        <f t="shared" ref="V204" si="1564">V201/U201-1</f>
        <v>0.14714460522274653</v>
      </c>
      <c r="W204" s="86">
        <f t="shared" ref="W204:AA204" si="1565">W201/V201-1</f>
        <v>0.29483790403761945</v>
      </c>
      <c r="X204" s="86">
        <f t="shared" si="1565"/>
        <v>-0.20493328904959451</v>
      </c>
      <c r="Y204" s="86">
        <f t="shared" si="1565"/>
        <v>-0.2030158566805168</v>
      </c>
      <c r="Z204" s="86">
        <f t="shared" si="1565"/>
        <v>0.21111923230770091</v>
      </c>
      <c r="AA204" s="86">
        <f t="shared" si="1565"/>
        <v>-0.28648837486981293</v>
      </c>
      <c r="AB204" s="87">
        <f t="shared" ref="AB204" si="1566">AB201/AA201-1</f>
        <v>1.067674013746267</v>
      </c>
      <c r="AC204" s="87">
        <f t="shared" ref="AC204" si="1567">AC201/AB201-1</f>
        <v>-2.1915420070632852E-3</v>
      </c>
      <c r="AD204" s="87">
        <f t="shared" ref="AD204" si="1568">AD201/AC201-1</f>
        <v>-1.7249697692453547E-2</v>
      </c>
      <c r="AE204" s="87">
        <f t="shared" ref="AE204" si="1569">AE201/AD201-1</f>
        <v>6.8428585167623623E-4</v>
      </c>
      <c r="AN204" s="86">
        <f t="shared" ref="AN204:CI204" si="1570">+AN201/AJ201-1</f>
        <v>-0.39627847139878902</v>
      </c>
      <c r="AO204" s="86">
        <f t="shared" si="1570"/>
        <v>-0.41272121388523808</v>
      </c>
      <c r="AP204" s="86">
        <f t="shared" si="1570"/>
        <v>0.43272224143894866</v>
      </c>
      <c r="AQ204" s="86">
        <f t="shared" si="1570"/>
        <v>0.20940198003905852</v>
      </c>
      <c r="AR204" s="86">
        <f t="shared" si="1570"/>
        <v>0.48811646331064407</v>
      </c>
      <c r="AS204" s="86">
        <f t="shared" si="1570"/>
        <v>0.40259839926912644</v>
      </c>
      <c r="AT204" s="86">
        <f t="shared" si="1570"/>
        <v>0.61798777706832042</v>
      </c>
      <c r="AU204" s="86">
        <f t="shared" si="1570"/>
        <v>0.78709051666218066</v>
      </c>
      <c r="AV204" s="86">
        <f t="shared" si="1570"/>
        <v>-0.60145199518493775</v>
      </c>
      <c r="AW204" s="86">
        <f t="shared" si="1570"/>
        <v>-0.67712047435250955</v>
      </c>
      <c r="AX204" s="86">
        <f t="shared" si="1570"/>
        <v>-1.0975654584017969</v>
      </c>
      <c r="AY204" s="86">
        <f t="shared" si="1570"/>
        <v>-1.0726156442815444</v>
      </c>
      <c r="AZ204" s="86">
        <f t="shared" si="1570"/>
        <v>-1.0649175110480553</v>
      </c>
      <c r="BA204" s="86">
        <f t="shared" si="1570"/>
        <v>-1.0472978191694731</v>
      </c>
      <c r="BB204" s="86">
        <f t="shared" si="1570"/>
        <v>-6.4342595961433506</v>
      </c>
      <c r="BC204" s="86">
        <f t="shared" si="1570"/>
        <v>-7.6842842446611161</v>
      </c>
      <c r="BD204" s="86">
        <f t="shared" si="1570"/>
        <v>-26.968066337332367</v>
      </c>
      <c r="BE204" s="86">
        <f t="shared" si="1570"/>
        <v>-47.638271169409975</v>
      </c>
      <c r="BF204" s="86">
        <f t="shared" si="1570"/>
        <v>-0.60749267229316661</v>
      </c>
      <c r="BG204" s="86">
        <f t="shared" si="1570"/>
        <v>-0.44364725579251785</v>
      </c>
      <c r="BH204" s="86">
        <f t="shared" si="1570"/>
        <v>-1.041160469272749</v>
      </c>
      <c r="BI204" s="86">
        <f t="shared" si="1570"/>
        <v>-0.79547037522391406</v>
      </c>
      <c r="BJ204" s="86">
        <f t="shared" si="1570"/>
        <v>-2.345310808721198</v>
      </c>
      <c r="BK204" s="86">
        <f t="shared" si="1570"/>
        <v>-1.5853526280576926</v>
      </c>
      <c r="BL204" s="86">
        <f t="shared" si="1570"/>
        <v>11.447000146692465</v>
      </c>
      <c r="BM204" s="86">
        <f t="shared" si="1570"/>
        <v>-3.7501731530518403</v>
      </c>
      <c r="BN204" s="86">
        <f t="shared" si="1570"/>
        <v>-0.93856203380853709</v>
      </c>
      <c r="BO204" s="86">
        <f t="shared" si="1570"/>
        <v>-1.3609668108299398</v>
      </c>
      <c r="BP204" s="86">
        <f t="shared" si="1570"/>
        <v>-1.452648027480695</v>
      </c>
      <c r="BQ204" s="86">
        <f t="shared" si="1570"/>
        <v>-1.3207437929882457</v>
      </c>
      <c r="BR204" s="86">
        <f t="shared" si="1570"/>
        <v>-78.931853381519232</v>
      </c>
      <c r="BS204" s="86">
        <f t="shared" si="1570"/>
        <v>21.845567759848606</v>
      </c>
      <c r="BT204" s="86">
        <f t="shared" si="1570"/>
        <v>16.655481846458958</v>
      </c>
      <c r="BU204" s="86">
        <f t="shared" si="1570"/>
        <v>20.516208357015262</v>
      </c>
      <c r="BV204" s="86">
        <f t="shared" si="1570"/>
        <v>0.18181920315123667</v>
      </c>
      <c r="BW204" s="86">
        <f t="shared" si="1570"/>
        <v>0.16387334648068808</v>
      </c>
      <c r="BX204" s="86">
        <f t="shared" si="1570"/>
        <v>1.2956542189059395E-2</v>
      </c>
      <c r="BY204" s="86">
        <f t="shared" si="1570"/>
        <v>3.7475733551497692E-2</v>
      </c>
      <c r="BZ204" s="86">
        <f t="shared" si="1570"/>
        <v>-0.25640312679944333</v>
      </c>
      <c r="CA204" s="86">
        <f t="shared" si="1570"/>
        <v>-0.25600350195177435</v>
      </c>
      <c r="CB204" s="86">
        <f t="shared" si="1570"/>
        <v>-0.25677344906668209</v>
      </c>
      <c r="CC204" s="86">
        <f t="shared" si="1570"/>
        <v>-0.2662210895389806</v>
      </c>
      <c r="CD204" s="86">
        <f t="shared" si="1570"/>
        <v>-0.23991534655375601</v>
      </c>
      <c r="CE204" s="86">
        <f t="shared" si="1570"/>
        <v>-0.24065625302734406</v>
      </c>
      <c r="CF204" s="86">
        <f t="shared" si="1570"/>
        <v>-0.31253934735086331</v>
      </c>
      <c r="CG204" s="86">
        <f t="shared" si="1570"/>
        <v>-0.32550651279663345</v>
      </c>
      <c r="CH204" s="86">
        <f t="shared" si="1570"/>
        <v>1.735985182711075E-2</v>
      </c>
      <c r="CI204" s="86">
        <f t="shared" si="1570"/>
        <v>4.5791243618811261E-3</v>
      </c>
      <c r="CJ204" s="86">
        <f>+CJ201/CF201-1</f>
        <v>0.50539407509238488</v>
      </c>
      <c r="CL204" s="86">
        <f>+CL201/CH201-1</f>
        <v>-0.13699212978465591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0.47570633023036413</v>
      </c>
    </row>
    <row r="205" spans="1:110" s="103" customFormat="1" x14ac:dyDescent="0.2">
      <c r="A205" s="147" t="s">
        <v>87</v>
      </c>
      <c r="C205" s="103">
        <f>IF(C204&gt;C203,"RF",0)</f>
        <v>0</v>
      </c>
      <c r="D205" s="103">
        <f>IF(D204&gt;D203,"RF",0)</f>
        <v>0</v>
      </c>
      <c r="E205" s="103" t="str">
        <f t="shared" ref="E205:U205" si="1571">IF(E204&gt;E203,"RF",0)</f>
        <v>RF</v>
      </c>
      <c r="F205" s="103" t="str">
        <f t="shared" si="1571"/>
        <v>RF</v>
      </c>
      <c r="G205" s="103">
        <f t="shared" si="1571"/>
        <v>0</v>
      </c>
      <c r="H205" s="103">
        <f t="shared" si="1571"/>
        <v>0</v>
      </c>
      <c r="I205" s="103">
        <f t="shared" si="1571"/>
        <v>0</v>
      </c>
      <c r="J205" s="103">
        <f t="shared" si="1571"/>
        <v>0</v>
      </c>
      <c r="K205" s="103">
        <f t="shared" si="1571"/>
        <v>0</v>
      </c>
      <c r="L205" s="103">
        <f t="shared" si="1571"/>
        <v>0</v>
      </c>
      <c r="M205" s="103">
        <f t="shared" si="1571"/>
        <v>0</v>
      </c>
      <c r="N205" s="103" t="str">
        <f t="shared" si="1571"/>
        <v>RF</v>
      </c>
      <c r="O205" s="103" t="str">
        <f t="shared" si="1571"/>
        <v>RF</v>
      </c>
      <c r="P205" s="103" t="str">
        <f t="shared" si="1571"/>
        <v>RF</v>
      </c>
      <c r="Q205" s="103">
        <f t="shared" si="1571"/>
        <v>0</v>
      </c>
      <c r="R205" s="103" t="str">
        <f t="shared" si="1571"/>
        <v>RF</v>
      </c>
      <c r="S205" s="103">
        <f t="shared" si="1571"/>
        <v>0</v>
      </c>
      <c r="T205" s="103">
        <f t="shared" si="1571"/>
        <v>0</v>
      </c>
      <c r="U205" s="103" t="str">
        <f t="shared" si="1571"/>
        <v>RF</v>
      </c>
      <c r="V205" s="103" t="str">
        <f>IF(V204&gt;V203,"RF",0)</f>
        <v>RF</v>
      </c>
      <c r="W205" s="103" t="str">
        <f t="shared" ref="W205" si="1572">IF(W204&gt;W203,"RF",0)</f>
        <v>RF</v>
      </c>
      <c r="X205" s="103">
        <f t="shared" ref="X205:Y205" si="1573">IF(X204&gt;X203,"RF",0)</f>
        <v>0</v>
      </c>
      <c r="Y205" s="103">
        <f t="shared" si="1573"/>
        <v>0</v>
      </c>
      <c r="Z205" s="103" t="str">
        <f t="shared" ref="Z205:AA205" si="1574">IF(Z204&gt;Z203,"RF",0)</f>
        <v>RF</v>
      </c>
      <c r="AA205" s="103">
        <f t="shared" si="1574"/>
        <v>0</v>
      </c>
      <c r="AB205" s="73" t="str">
        <f t="shared" ref="AA205:AD205" si="1575">IF(AB204&gt;AB203,"RF",0)</f>
        <v>RF</v>
      </c>
      <c r="AC205" s="73">
        <f t="shared" si="1575"/>
        <v>0</v>
      </c>
      <c r="AD205" s="73">
        <f t="shared" si="1575"/>
        <v>0</v>
      </c>
      <c r="AE205" s="73">
        <f t="shared" ref="AE205" si="1576">IF(AE204&gt;AE203,"RF",0)</f>
        <v>0</v>
      </c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E205" s="142"/>
      <c r="DF205" s="103" t="s">
        <v>538</v>
      </c>
    </row>
    <row r="206" spans="1:110" x14ac:dyDescent="0.2">
      <c r="A206" s="153" t="s">
        <v>494</v>
      </c>
      <c r="AA206" s="2"/>
      <c r="CL206" s="2"/>
    </row>
    <row r="207" spans="1:110" x14ac:dyDescent="0.2">
      <c r="A207" s="152" t="s">
        <v>495</v>
      </c>
      <c r="AA207" s="2"/>
      <c r="CL207" s="2"/>
    </row>
    <row r="208" spans="1:110" s="23" customFormat="1" x14ac:dyDescent="0.2">
      <c r="A208" s="23" t="s">
        <v>22</v>
      </c>
      <c r="C208" s="23">
        <f t="shared" ref="C208:AE208" si="1577">C63</f>
        <v>46.039499999999983</v>
      </c>
      <c r="D208" s="23">
        <f t="shared" si="1577"/>
        <v>44.288699999999963</v>
      </c>
      <c r="E208" s="23">
        <f t="shared" si="1577"/>
        <v>54.554400000000058</v>
      </c>
      <c r="F208" s="23">
        <f t="shared" si="1577"/>
        <v>48.761899999999955</v>
      </c>
      <c r="G208" s="23">
        <f t="shared" si="1577"/>
        <v>50.86269999999984</v>
      </c>
      <c r="H208" s="23">
        <f t="shared" si="1577"/>
        <v>93.513200000000282</v>
      </c>
      <c r="I208" s="23">
        <f t="shared" si="1577"/>
        <v>134.67669999999993</v>
      </c>
      <c r="J208" s="23">
        <f t="shared" si="1577"/>
        <v>184.36959999999982</v>
      </c>
      <c r="K208" s="23">
        <f t="shared" si="1577"/>
        <v>231.1953000000002</v>
      </c>
      <c r="L208" s="23">
        <f t="shared" si="1577"/>
        <v>270.16950000000054</v>
      </c>
      <c r="M208" s="23">
        <f t="shared" si="1577"/>
        <v>284.03999999999957</v>
      </c>
      <c r="N208" s="23">
        <f t="shared" si="1577"/>
        <v>432.76000000000005</v>
      </c>
      <c r="O208" s="23">
        <f t="shared" si="1577"/>
        <v>663.88000000000056</v>
      </c>
      <c r="P208" s="23">
        <f t="shared" si="1577"/>
        <v>750.93999999999983</v>
      </c>
      <c r="Q208" s="23">
        <f t="shared" si="1577"/>
        <v>1733.2400000000011</v>
      </c>
      <c r="R208" s="23">
        <f t="shared" si="1577"/>
        <v>933.5499999999995</v>
      </c>
      <c r="S208" s="23">
        <f t="shared" si="1577"/>
        <v>678.11000000000024</v>
      </c>
      <c r="T208" s="23">
        <f t="shared" si="1577"/>
        <v>436.28000000000054</v>
      </c>
      <c r="U208" s="23">
        <f t="shared" si="1577"/>
        <v>1024.7199999999996</v>
      </c>
      <c r="V208" s="23">
        <f t="shared" si="1577"/>
        <v>1251.8800000000006</v>
      </c>
      <c r="W208" s="23">
        <f t="shared" si="1577"/>
        <v>777.17999999999915</v>
      </c>
      <c r="X208" s="23">
        <f t="shared" si="1577"/>
        <v>1245.2299999999991</v>
      </c>
      <c r="Y208" s="23">
        <f t="shared" si="1577"/>
        <v>1656.38</v>
      </c>
      <c r="Z208" s="23">
        <f t="shared" si="1577"/>
        <v>1911.2499999999986</v>
      </c>
      <c r="AA208" s="23">
        <f t="shared" ref="AA208" si="1578">AA63</f>
        <v>2163.3699999999985</v>
      </c>
      <c r="AB208" s="24">
        <f t="shared" si="1577"/>
        <v>2743.8281897512047</v>
      </c>
      <c r="AC208" s="24">
        <f t="shared" si="1577"/>
        <v>3659.0671018157041</v>
      </c>
      <c r="AD208" s="24">
        <f t="shared" si="1577"/>
        <v>4183.9824993424827</v>
      </c>
      <c r="AE208" s="24">
        <f t="shared" si="1577"/>
        <v>4376.26589735173</v>
      </c>
      <c r="AI208" s="23">
        <f t="shared" ref="AI208:BN208" si="1579">AI63</f>
        <v>102</v>
      </c>
      <c r="AJ208" s="23">
        <f t="shared" si="1579"/>
        <v>107</v>
      </c>
      <c r="AK208" s="23">
        <f t="shared" si="1579"/>
        <v>112</v>
      </c>
      <c r="AL208" s="23">
        <f t="shared" si="1579"/>
        <v>111</v>
      </c>
      <c r="AM208" s="23">
        <f t="shared" si="1579"/>
        <v>149</v>
      </c>
      <c r="AN208" s="23">
        <f t="shared" si="1579"/>
        <v>113</v>
      </c>
      <c r="AO208" s="23">
        <f t="shared" si="1579"/>
        <v>158</v>
      </c>
      <c r="AP208" s="23">
        <f t="shared" si="1579"/>
        <v>244</v>
      </c>
      <c r="AQ208" s="23">
        <f t="shared" si="1579"/>
        <v>256</v>
      </c>
      <c r="AR208" s="23">
        <f t="shared" si="1579"/>
        <v>198</v>
      </c>
      <c r="AS208" s="23">
        <f t="shared" si="1579"/>
        <v>167</v>
      </c>
      <c r="AT208" s="23">
        <f t="shared" si="1579"/>
        <v>130</v>
      </c>
      <c r="AU208" s="23">
        <f t="shared" si="1579"/>
        <v>650</v>
      </c>
      <c r="AV208" s="23">
        <f t="shared" si="1579"/>
        <v>509</v>
      </c>
      <c r="AW208" s="23">
        <f t="shared" si="1579"/>
        <v>290</v>
      </c>
      <c r="AX208" s="23">
        <f t="shared" si="1579"/>
        <v>284</v>
      </c>
      <c r="AY208" s="23">
        <f t="shared" si="1579"/>
        <v>292</v>
      </c>
      <c r="AZ208" s="23">
        <f t="shared" si="1579"/>
        <v>207</v>
      </c>
      <c r="BA208" s="23">
        <f t="shared" si="1579"/>
        <v>229</v>
      </c>
      <c r="BB208" s="23">
        <f t="shared" si="1579"/>
        <v>206</v>
      </c>
      <c r="BC208" s="23">
        <f t="shared" si="1579"/>
        <v>188</v>
      </c>
      <c r="BD208" s="23">
        <f t="shared" si="1579"/>
        <v>204</v>
      </c>
      <c r="BE208" s="23">
        <f t="shared" si="1579"/>
        <v>58</v>
      </c>
      <c r="BF208" s="23">
        <f t="shared" si="1579"/>
        <v>228</v>
      </c>
      <c r="BG208" s="23">
        <f t="shared" si="1579"/>
        <v>163</v>
      </c>
      <c r="BH208" s="23">
        <f t="shared" si="1579"/>
        <v>179</v>
      </c>
      <c r="BI208" s="23">
        <f t="shared" si="1579"/>
        <v>246</v>
      </c>
      <c r="BJ208" s="23">
        <f t="shared" si="1579"/>
        <v>-152</v>
      </c>
      <c r="BK208" s="23">
        <f t="shared" si="1579"/>
        <v>216</v>
      </c>
      <c r="BL208" s="23">
        <f t="shared" si="1579"/>
        <v>244</v>
      </c>
      <c r="BM208" s="23">
        <f t="shared" si="1579"/>
        <v>251</v>
      </c>
      <c r="BN208" s="23">
        <f t="shared" si="1579"/>
        <v>314</v>
      </c>
      <c r="BO208" s="23">
        <f t="shared" ref="BO208:CT208" si="1580">BO63</f>
        <v>321</v>
      </c>
      <c r="BP208" s="23">
        <f t="shared" si="1580"/>
        <v>310</v>
      </c>
      <c r="BQ208" s="23">
        <f t="shared" si="1580"/>
        <v>297</v>
      </c>
      <c r="BR208" s="23">
        <f t="shared" si="1580"/>
        <v>324</v>
      </c>
      <c r="BS208" s="23">
        <f t="shared" si="1580"/>
        <v>330</v>
      </c>
      <c r="BT208" s="23">
        <f t="shared" si="1580"/>
        <v>316</v>
      </c>
      <c r="BU208" s="23">
        <f t="shared" si="1580"/>
        <v>249</v>
      </c>
      <c r="BV208" s="23">
        <f t="shared" si="1580"/>
        <v>-118</v>
      </c>
      <c r="BW208" s="23">
        <f t="shared" si="1580"/>
        <v>354</v>
      </c>
      <c r="BX208" s="23">
        <f t="shared" si="1580"/>
        <v>312</v>
      </c>
      <c r="BY208" s="23">
        <f t="shared" si="1580"/>
        <v>292</v>
      </c>
      <c r="BZ208" s="23">
        <f t="shared" si="1580"/>
        <v>287</v>
      </c>
      <c r="CA208" s="23">
        <f t="shared" si="1580"/>
        <v>378</v>
      </c>
      <c r="CB208" s="23">
        <f t="shared" si="1580"/>
        <v>386</v>
      </c>
      <c r="CC208" s="23">
        <f t="shared" si="1580"/>
        <v>443</v>
      </c>
      <c r="CD208" s="23">
        <f t="shared" si="1580"/>
        <v>449</v>
      </c>
      <c r="CE208" s="23">
        <f t="shared" si="1580"/>
        <v>457</v>
      </c>
      <c r="CF208" s="23">
        <f t="shared" si="1580"/>
        <v>453</v>
      </c>
      <c r="CG208" s="23">
        <f t="shared" si="1580"/>
        <v>503</v>
      </c>
      <c r="CH208" s="23">
        <f t="shared" si="1580"/>
        <v>498</v>
      </c>
      <c r="CI208" s="23">
        <f t="shared" si="1580"/>
        <v>548</v>
      </c>
      <c r="CJ208" s="23">
        <f t="shared" si="1580"/>
        <v>591</v>
      </c>
      <c r="CK208" s="23">
        <f t="shared" si="1580"/>
        <v>635</v>
      </c>
      <c r="CL208" s="23">
        <f t="shared" ref="CL208" si="1581">CL63</f>
        <v>389</v>
      </c>
      <c r="CM208" s="24">
        <f t="shared" si="1580"/>
        <v>576.61927002813036</v>
      </c>
      <c r="CN208" s="24">
        <f t="shared" si="1580"/>
        <v>627.25087648792612</v>
      </c>
      <c r="CO208" s="24">
        <f t="shared" si="1580"/>
        <v>635.60109942886106</v>
      </c>
      <c r="CP208" s="24">
        <f t="shared" si="1580"/>
        <v>904.35694380628547</v>
      </c>
      <c r="CQ208" s="24">
        <f t="shared" si="1580"/>
        <v>779.57657547017652</v>
      </c>
      <c r="CR208" s="24">
        <f t="shared" si="1580"/>
        <v>840.75256479941299</v>
      </c>
      <c r="CS208" s="24">
        <f t="shared" si="1580"/>
        <v>851.37922762658047</v>
      </c>
      <c r="CT208" s="24">
        <f t="shared" si="1580"/>
        <v>1187.3587339195362</v>
      </c>
      <c r="CU208" s="24">
        <f t="shared" ref="CU208:DB208" si="1582">CU63</f>
        <v>928.62355741502529</v>
      </c>
      <c r="CV208" s="24">
        <f t="shared" si="1582"/>
        <v>965.31570639963684</v>
      </c>
      <c r="CW208" s="24">
        <f t="shared" si="1582"/>
        <v>964.34211066832711</v>
      </c>
      <c r="CX208" s="24">
        <f t="shared" si="1582"/>
        <v>1325.7011248594936</v>
      </c>
      <c r="CY208" s="24">
        <f t="shared" si="1582"/>
        <v>989.17319574640555</v>
      </c>
      <c r="CZ208" s="24">
        <f t="shared" si="1582"/>
        <v>1020.2291485585158</v>
      </c>
      <c r="DA208" s="24">
        <f t="shared" si="1582"/>
        <v>1007.9329316677382</v>
      </c>
      <c r="DB208" s="24">
        <f t="shared" si="1582"/>
        <v>1358.9306213790717</v>
      </c>
      <c r="DE208" s="123"/>
      <c r="DF208" s="23">
        <v>706.18797714990103</v>
      </c>
    </row>
    <row r="209" spans="1:110" s="23" customFormat="1" x14ac:dyDescent="0.2">
      <c r="A209" s="23" t="s">
        <v>88</v>
      </c>
      <c r="C209" s="23">
        <f t="shared" ref="C209:AE209" si="1583">C47</f>
        <v>14.499000000000001</v>
      </c>
      <c r="D209" s="23">
        <f t="shared" si="1583"/>
        <v>15.248900000000001</v>
      </c>
      <c r="E209" s="23">
        <f t="shared" si="1583"/>
        <v>16.024100000000001</v>
      </c>
      <c r="F209" s="23">
        <f t="shared" si="1583"/>
        <v>18.7149</v>
      </c>
      <c r="G209" s="23">
        <f t="shared" si="1583"/>
        <v>25.518000000000001</v>
      </c>
      <c r="H209" s="23">
        <f t="shared" si="1583"/>
        <v>32.871299999999998</v>
      </c>
      <c r="I209" s="23">
        <f t="shared" si="1583"/>
        <v>38.831200000000003</v>
      </c>
      <c r="J209" s="23">
        <f t="shared" si="1583"/>
        <v>42.279699999999998</v>
      </c>
      <c r="K209" s="23">
        <f t="shared" si="1583"/>
        <v>66.086100000000002</v>
      </c>
      <c r="L209" s="23">
        <f t="shared" si="1583"/>
        <v>62.558399999999999</v>
      </c>
      <c r="M209" s="23">
        <f t="shared" si="1583"/>
        <v>81.73</v>
      </c>
      <c r="N209" s="23">
        <f t="shared" si="1583"/>
        <v>82.69</v>
      </c>
      <c r="O209" s="23">
        <f t="shared" si="1583"/>
        <v>87</v>
      </c>
      <c r="P209" s="23">
        <f t="shared" si="1583"/>
        <v>190.74</v>
      </c>
      <c r="Q209" s="23">
        <f t="shared" si="1583"/>
        <v>237.55</v>
      </c>
      <c r="R209" s="23">
        <f t="shared" si="1583"/>
        <v>306.92</v>
      </c>
      <c r="S209" s="23">
        <f t="shared" si="1583"/>
        <v>408.6</v>
      </c>
      <c r="T209" s="23">
        <f t="shared" si="1583"/>
        <v>617.69000000000005</v>
      </c>
      <c r="U209" s="23">
        <f t="shared" si="1583"/>
        <v>654.38</v>
      </c>
      <c r="V209" s="23">
        <f t="shared" si="1583"/>
        <v>657.79</v>
      </c>
      <c r="W209" s="23">
        <f t="shared" si="1583"/>
        <v>662.16</v>
      </c>
      <c r="X209" s="23">
        <f t="shared" si="1583"/>
        <v>706.59</v>
      </c>
      <c r="Y209" s="23">
        <f t="shared" si="1583"/>
        <v>808.27</v>
      </c>
      <c r="Z209" s="23">
        <f t="shared" si="1583"/>
        <v>794.93</v>
      </c>
      <c r="AA209" s="23">
        <f t="shared" ref="AA209" si="1584">AA47</f>
        <v>1118.8699999999999</v>
      </c>
      <c r="AB209" s="24">
        <f t="shared" si="1583"/>
        <v>1850.8604810199042</v>
      </c>
      <c r="AC209" s="24">
        <f t="shared" si="1583"/>
        <v>1885.1708930469485</v>
      </c>
      <c r="AD209" s="24">
        <f t="shared" si="1583"/>
        <v>1917.337579603912</v>
      </c>
      <c r="AE209" s="24">
        <f t="shared" si="1583"/>
        <v>1947.4944813408645</v>
      </c>
      <c r="AI209" s="23">
        <f t="shared" ref="AI209:BN209" si="1585">AI47</f>
        <v>20</v>
      </c>
      <c r="AJ209" s="23">
        <f t="shared" si="1585"/>
        <v>20</v>
      </c>
      <c r="AK209" s="23">
        <f t="shared" si="1585"/>
        <v>21</v>
      </c>
      <c r="AL209" s="23">
        <f t="shared" si="1585"/>
        <v>22</v>
      </c>
      <c r="AM209" s="23">
        <f t="shared" si="1585"/>
        <v>21</v>
      </c>
      <c r="AN209" s="23">
        <f t="shared" si="1585"/>
        <v>22</v>
      </c>
      <c r="AO209" s="23">
        <f t="shared" si="1585"/>
        <v>21</v>
      </c>
      <c r="AP209" s="23">
        <f t="shared" si="1585"/>
        <v>23</v>
      </c>
      <c r="AQ209" s="23">
        <f t="shared" si="1585"/>
        <v>21</v>
      </c>
      <c r="AR209" s="23">
        <f t="shared" si="1585"/>
        <v>56</v>
      </c>
      <c r="AS209" s="23">
        <f t="shared" si="1585"/>
        <v>54</v>
      </c>
      <c r="AT209" s="23">
        <f t="shared" si="1585"/>
        <v>60</v>
      </c>
      <c r="AU209" s="23">
        <f t="shared" si="1585"/>
        <v>57</v>
      </c>
      <c r="AV209" s="23">
        <f t="shared" si="1585"/>
        <v>59</v>
      </c>
      <c r="AW209" s="23">
        <f t="shared" si="1585"/>
        <v>59</v>
      </c>
      <c r="AX209" s="23">
        <f t="shared" si="1585"/>
        <v>63</v>
      </c>
      <c r="AY209" s="23">
        <f t="shared" si="1585"/>
        <v>68</v>
      </c>
      <c r="AZ209" s="23">
        <f t="shared" si="1585"/>
        <v>69</v>
      </c>
      <c r="BA209" s="23">
        <f t="shared" si="1585"/>
        <v>73</v>
      </c>
      <c r="BB209" s="23">
        <f t="shared" si="1585"/>
        <v>97</v>
      </c>
      <c r="BC209" s="23">
        <f t="shared" si="1585"/>
        <v>80</v>
      </c>
      <c r="BD209" s="23">
        <f t="shared" si="1585"/>
        <v>84</v>
      </c>
      <c r="BE209" s="23">
        <f t="shared" si="1585"/>
        <v>94</v>
      </c>
      <c r="BF209" s="23">
        <f t="shared" si="1585"/>
        <v>151</v>
      </c>
      <c r="BG209" s="23">
        <f t="shared" si="1585"/>
        <v>150</v>
      </c>
      <c r="BH209" s="23">
        <f t="shared" si="1585"/>
        <v>152</v>
      </c>
      <c r="BI209" s="23">
        <f t="shared" si="1585"/>
        <v>156</v>
      </c>
      <c r="BJ209" s="23">
        <f t="shared" si="1585"/>
        <v>160</v>
      </c>
      <c r="BK209" s="23">
        <f t="shared" si="1585"/>
        <v>160</v>
      </c>
      <c r="BL209" s="23">
        <f t="shared" si="1585"/>
        <v>163</v>
      </c>
      <c r="BM209" s="23">
        <f t="shared" si="1585"/>
        <v>163</v>
      </c>
      <c r="BN209" s="23">
        <f t="shared" si="1585"/>
        <v>168</v>
      </c>
      <c r="BO209" s="23">
        <f t="shared" ref="BO209:CT209" si="1586">BO47</f>
        <v>161</v>
      </c>
      <c r="BP209" s="23">
        <f t="shared" si="1586"/>
        <v>165</v>
      </c>
      <c r="BQ209" s="23">
        <f t="shared" si="1586"/>
        <v>167</v>
      </c>
      <c r="BR209" s="23">
        <f t="shared" si="1586"/>
        <v>165</v>
      </c>
      <c r="BS209" s="23">
        <f t="shared" si="1586"/>
        <v>165</v>
      </c>
      <c r="BT209" s="23">
        <f t="shared" si="1586"/>
        <v>168</v>
      </c>
      <c r="BU209" s="23">
        <f t="shared" si="1586"/>
        <v>167</v>
      </c>
      <c r="BV209" s="23">
        <f t="shared" si="1586"/>
        <v>162</v>
      </c>
      <c r="BW209" s="23">
        <f t="shared" si="1586"/>
        <v>155</v>
      </c>
      <c r="BX209" s="23">
        <f t="shared" si="1586"/>
        <v>163</v>
      </c>
      <c r="BY209" s="23">
        <f t="shared" si="1586"/>
        <v>193</v>
      </c>
      <c r="BZ209" s="23">
        <f t="shared" si="1586"/>
        <v>196</v>
      </c>
      <c r="CA209" s="23">
        <f t="shared" si="1586"/>
        <v>191</v>
      </c>
      <c r="CB209" s="23">
        <f t="shared" si="1586"/>
        <v>201</v>
      </c>
      <c r="CC209" s="23">
        <f t="shared" si="1586"/>
        <v>213</v>
      </c>
      <c r="CD209" s="23">
        <f t="shared" si="1586"/>
        <v>203</v>
      </c>
      <c r="CE209" s="23">
        <f t="shared" si="1586"/>
        <v>197</v>
      </c>
      <c r="CF209" s="23">
        <f t="shared" si="1586"/>
        <v>198</v>
      </c>
      <c r="CG209" s="23">
        <f t="shared" si="1586"/>
        <v>199</v>
      </c>
      <c r="CH209" s="23">
        <f t="shared" si="1586"/>
        <v>201</v>
      </c>
      <c r="CI209" s="23">
        <f t="shared" si="1586"/>
        <v>201</v>
      </c>
      <c r="CJ209" s="23">
        <f t="shared" si="1586"/>
        <v>204</v>
      </c>
      <c r="CK209" s="23">
        <f t="shared" si="1586"/>
        <v>206</v>
      </c>
      <c r="CL209" s="23">
        <f t="shared" ref="CL209" si="1587">CL47</f>
        <v>508</v>
      </c>
      <c r="CM209" s="24">
        <f t="shared" si="1586"/>
        <v>459.37600000000003</v>
      </c>
      <c r="CN209" s="24">
        <f t="shared" si="1586"/>
        <v>461.62598400000007</v>
      </c>
      <c r="CO209" s="24">
        <f t="shared" si="1586"/>
        <v>463.83996825600002</v>
      </c>
      <c r="CP209" s="24">
        <f t="shared" si="1586"/>
        <v>466.01852876390399</v>
      </c>
      <c r="CQ209" s="24">
        <f t="shared" si="1586"/>
        <v>468.16223230368155</v>
      </c>
      <c r="CR209" s="24">
        <f t="shared" si="1586"/>
        <v>470.27163658682269</v>
      </c>
      <c r="CS209" s="24">
        <f t="shared" si="1586"/>
        <v>472.34729040143355</v>
      </c>
      <c r="CT209" s="24">
        <f t="shared" si="1586"/>
        <v>474.38973375501058</v>
      </c>
      <c r="CU209" s="24">
        <f t="shared" ref="CU209:DB209" si="1588">CU47</f>
        <v>476.39949801493043</v>
      </c>
      <c r="CV209" s="24">
        <f t="shared" si="1588"/>
        <v>478.37710604669155</v>
      </c>
      <c r="CW209" s="24">
        <f t="shared" si="1588"/>
        <v>480.32307234994454</v>
      </c>
      <c r="CX209" s="24">
        <f t="shared" si="1588"/>
        <v>482.23790319234541</v>
      </c>
      <c r="CY209" s="24">
        <f t="shared" si="1588"/>
        <v>484.12209674126785</v>
      </c>
      <c r="CZ209" s="24">
        <f t="shared" si="1588"/>
        <v>485.97614319340755</v>
      </c>
      <c r="DA209" s="24">
        <f t="shared" si="1588"/>
        <v>487.80052490231304</v>
      </c>
      <c r="DB209" s="24">
        <f t="shared" si="1588"/>
        <v>489.59571650387602</v>
      </c>
      <c r="DE209" s="123"/>
      <c r="DF209" s="23">
        <v>202.97058823529409</v>
      </c>
    </row>
    <row r="210" spans="1:110" s="22" customFormat="1" x14ac:dyDescent="0.2">
      <c r="A210" s="22" t="s">
        <v>89</v>
      </c>
      <c r="C210" s="22">
        <f t="shared" ref="C210:W210" si="1589">C208+C209</f>
        <v>60.538499999999985</v>
      </c>
      <c r="D210" s="22">
        <f t="shared" si="1589"/>
        <v>59.537599999999962</v>
      </c>
      <c r="E210" s="22">
        <f t="shared" si="1589"/>
        <v>70.578500000000062</v>
      </c>
      <c r="F210" s="22">
        <f t="shared" si="1589"/>
        <v>67.476799999999955</v>
      </c>
      <c r="G210" s="22">
        <f t="shared" si="1589"/>
        <v>76.380699999999848</v>
      </c>
      <c r="H210" s="22">
        <f t="shared" si="1589"/>
        <v>126.38450000000029</v>
      </c>
      <c r="I210" s="22">
        <f t="shared" si="1589"/>
        <v>173.50789999999992</v>
      </c>
      <c r="J210" s="22">
        <f t="shared" si="1589"/>
        <v>226.64929999999981</v>
      </c>
      <c r="K210" s="22">
        <f t="shared" si="1589"/>
        <v>297.28140000000019</v>
      </c>
      <c r="L210" s="22">
        <f t="shared" si="1589"/>
        <v>332.72790000000055</v>
      </c>
      <c r="M210" s="22">
        <f t="shared" si="1589"/>
        <v>365.76999999999958</v>
      </c>
      <c r="N210" s="22">
        <f t="shared" si="1589"/>
        <v>515.45000000000005</v>
      </c>
      <c r="O210" s="22">
        <f t="shared" si="1589"/>
        <v>750.88000000000056</v>
      </c>
      <c r="P210" s="22">
        <f t="shared" si="1589"/>
        <v>941.67999999999984</v>
      </c>
      <c r="Q210" s="22">
        <f t="shared" si="1589"/>
        <v>1970.7900000000011</v>
      </c>
      <c r="R210" s="22">
        <f t="shared" si="1589"/>
        <v>1240.4699999999996</v>
      </c>
      <c r="S210" s="22">
        <f t="shared" si="1589"/>
        <v>1086.7100000000003</v>
      </c>
      <c r="T210" s="22">
        <f t="shared" si="1589"/>
        <v>1053.9700000000007</v>
      </c>
      <c r="U210" s="22">
        <f t="shared" si="1589"/>
        <v>1679.0999999999995</v>
      </c>
      <c r="V210" s="22">
        <f t="shared" si="1589"/>
        <v>1909.6700000000005</v>
      </c>
      <c r="W210" s="22">
        <f t="shared" si="1589"/>
        <v>1439.3399999999992</v>
      </c>
      <c r="X210" s="22">
        <f t="shared" ref="X210:Y210" si="1590">X208+X209</f>
        <v>1951.8199999999993</v>
      </c>
      <c r="Y210" s="22">
        <f t="shared" si="1590"/>
        <v>2464.65</v>
      </c>
      <c r="Z210" s="22">
        <f t="shared" ref="Z210:AA210" si="1591">Z208+Z209</f>
        <v>2706.1799999999985</v>
      </c>
      <c r="AA210" s="22">
        <f t="shared" si="1591"/>
        <v>3282.2399999999984</v>
      </c>
      <c r="AB210" s="21">
        <f t="shared" ref="AA210:AD210" si="1592">AB208+AB209</f>
        <v>4594.6886707711092</v>
      </c>
      <c r="AC210" s="21">
        <f t="shared" si="1592"/>
        <v>5544.2379948626531</v>
      </c>
      <c r="AD210" s="21">
        <f t="shared" si="1592"/>
        <v>6101.3200789463945</v>
      </c>
      <c r="AE210" s="21">
        <f t="shared" ref="AE210" si="1593">AE208+AE209</f>
        <v>6323.7603786925947</v>
      </c>
      <c r="AI210" s="22">
        <f t="shared" ref="AI210" si="1594">AI208+AI209</f>
        <v>122</v>
      </c>
      <c r="AJ210" s="22">
        <f t="shared" ref="AJ210:AL210" si="1595">AJ208+AJ209</f>
        <v>127</v>
      </c>
      <c r="AK210" s="22">
        <f t="shared" si="1595"/>
        <v>133</v>
      </c>
      <c r="AL210" s="22">
        <f t="shared" si="1595"/>
        <v>133</v>
      </c>
      <c r="AM210" s="22">
        <f t="shared" ref="AM210" si="1596">AM208+AM209</f>
        <v>170</v>
      </c>
      <c r="AN210" s="22">
        <f t="shared" ref="AN210:CD210" si="1597">AN208+AN209</f>
        <v>135</v>
      </c>
      <c r="AO210" s="22">
        <f t="shared" si="1597"/>
        <v>179</v>
      </c>
      <c r="AP210" s="22">
        <f t="shared" si="1597"/>
        <v>267</v>
      </c>
      <c r="AQ210" s="22">
        <f t="shared" si="1597"/>
        <v>277</v>
      </c>
      <c r="AR210" s="22">
        <f t="shared" si="1597"/>
        <v>254</v>
      </c>
      <c r="AS210" s="22">
        <f t="shared" si="1597"/>
        <v>221</v>
      </c>
      <c r="AT210" s="22">
        <f t="shared" si="1597"/>
        <v>190</v>
      </c>
      <c r="AU210" s="22">
        <f t="shared" si="1597"/>
        <v>707</v>
      </c>
      <c r="AV210" s="22">
        <f t="shared" si="1597"/>
        <v>568</v>
      </c>
      <c r="AW210" s="22">
        <f t="shared" si="1597"/>
        <v>349</v>
      </c>
      <c r="AX210" s="22">
        <f t="shared" si="1597"/>
        <v>347</v>
      </c>
      <c r="AY210" s="22">
        <f t="shared" si="1597"/>
        <v>360</v>
      </c>
      <c r="AZ210" s="22">
        <f t="shared" si="1597"/>
        <v>276</v>
      </c>
      <c r="BA210" s="22">
        <f t="shared" si="1597"/>
        <v>302</v>
      </c>
      <c r="BB210" s="22">
        <f t="shared" si="1597"/>
        <v>303</v>
      </c>
      <c r="BC210" s="22">
        <f t="shared" si="1597"/>
        <v>268</v>
      </c>
      <c r="BD210" s="22">
        <f t="shared" si="1597"/>
        <v>288</v>
      </c>
      <c r="BE210" s="22">
        <f t="shared" si="1597"/>
        <v>152</v>
      </c>
      <c r="BF210" s="22">
        <f t="shared" si="1597"/>
        <v>379</v>
      </c>
      <c r="BG210" s="22">
        <f t="shared" si="1597"/>
        <v>313</v>
      </c>
      <c r="BH210" s="22">
        <f t="shared" si="1597"/>
        <v>331</v>
      </c>
      <c r="BI210" s="22">
        <f t="shared" si="1597"/>
        <v>402</v>
      </c>
      <c r="BJ210" s="22">
        <f t="shared" si="1597"/>
        <v>8</v>
      </c>
      <c r="BK210" s="22">
        <f t="shared" si="1597"/>
        <v>376</v>
      </c>
      <c r="BL210" s="22">
        <f t="shared" si="1597"/>
        <v>407</v>
      </c>
      <c r="BM210" s="22">
        <f t="shared" si="1597"/>
        <v>414</v>
      </c>
      <c r="BN210" s="22">
        <f t="shared" si="1597"/>
        <v>482</v>
      </c>
      <c r="BO210" s="22">
        <f t="shared" si="1597"/>
        <v>482</v>
      </c>
      <c r="BP210" s="22">
        <f t="shared" si="1597"/>
        <v>475</v>
      </c>
      <c r="BQ210" s="22">
        <f t="shared" si="1597"/>
        <v>464</v>
      </c>
      <c r="BR210" s="22">
        <f t="shared" si="1597"/>
        <v>489</v>
      </c>
      <c r="BS210" s="22">
        <f t="shared" si="1597"/>
        <v>495</v>
      </c>
      <c r="BT210" s="22">
        <f t="shared" si="1597"/>
        <v>484</v>
      </c>
      <c r="BU210" s="22">
        <f t="shared" si="1597"/>
        <v>416</v>
      </c>
      <c r="BV210" s="22">
        <f t="shared" si="1597"/>
        <v>44</v>
      </c>
      <c r="BW210" s="22">
        <f t="shared" si="1597"/>
        <v>509</v>
      </c>
      <c r="BX210" s="22">
        <f t="shared" si="1597"/>
        <v>475</v>
      </c>
      <c r="BY210" s="22">
        <f t="shared" si="1597"/>
        <v>485</v>
      </c>
      <c r="BZ210" s="22">
        <f t="shared" si="1597"/>
        <v>483</v>
      </c>
      <c r="CA210" s="22">
        <f t="shared" si="1597"/>
        <v>569</v>
      </c>
      <c r="CB210" s="22">
        <f t="shared" si="1597"/>
        <v>587</v>
      </c>
      <c r="CC210" s="22">
        <f t="shared" si="1597"/>
        <v>656</v>
      </c>
      <c r="CD210" s="22">
        <f t="shared" si="1597"/>
        <v>652</v>
      </c>
      <c r="CE210" s="22">
        <f t="shared" ref="CE210:CF210" si="1598">CE208+CE209</f>
        <v>654</v>
      </c>
      <c r="CF210" s="22">
        <f t="shared" si="1598"/>
        <v>651</v>
      </c>
      <c r="CG210" s="22">
        <f t="shared" ref="CG210:CH210" si="1599">CG208+CG209</f>
        <v>702</v>
      </c>
      <c r="CH210" s="22">
        <f t="shared" si="1599"/>
        <v>699</v>
      </c>
      <c r="CI210" s="22">
        <f t="shared" ref="CI210:CJ210" si="1600">CI208+CI209</f>
        <v>749</v>
      </c>
      <c r="CJ210" s="22">
        <f t="shared" si="1600"/>
        <v>795</v>
      </c>
      <c r="CK210" s="22">
        <f t="shared" ref="CK210:DB210" si="1601">CK208+CK209</f>
        <v>841</v>
      </c>
      <c r="CL210" s="22">
        <f t="shared" si="1601"/>
        <v>897</v>
      </c>
      <c r="CM210" s="21">
        <f t="shared" si="1601"/>
        <v>1035.9952700281303</v>
      </c>
      <c r="CN210" s="21">
        <f t="shared" si="1601"/>
        <v>1088.8768604879263</v>
      </c>
      <c r="CO210" s="21">
        <f t="shared" si="1601"/>
        <v>1099.4410676848611</v>
      </c>
      <c r="CP210" s="21">
        <f t="shared" si="1601"/>
        <v>1370.3754725701895</v>
      </c>
      <c r="CQ210" s="21">
        <f t="shared" si="1601"/>
        <v>1247.7388077738581</v>
      </c>
      <c r="CR210" s="21">
        <f t="shared" si="1601"/>
        <v>1311.0242013862357</v>
      </c>
      <c r="CS210" s="21">
        <f t="shared" si="1601"/>
        <v>1323.726518028014</v>
      </c>
      <c r="CT210" s="21">
        <f t="shared" si="1601"/>
        <v>1661.7484676745469</v>
      </c>
      <c r="CU210" s="21">
        <f t="shared" si="1601"/>
        <v>1405.0230554299558</v>
      </c>
      <c r="CV210" s="21">
        <f t="shared" si="1601"/>
        <v>1443.6928124463284</v>
      </c>
      <c r="CW210" s="21">
        <f t="shared" si="1601"/>
        <v>1444.6651830182716</v>
      </c>
      <c r="CX210" s="21">
        <f t="shared" si="1601"/>
        <v>1807.9390280518389</v>
      </c>
      <c r="CY210" s="21">
        <f t="shared" si="1601"/>
        <v>1473.2952924876734</v>
      </c>
      <c r="CZ210" s="21">
        <f t="shared" si="1601"/>
        <v>1506.2052917519234</v>
      </c>
      <c r="DA210" s="21">
        <f t="shared" si="1601"/>
        <v>1495.7334565700512</v>
      </c>
      <c r="DB210" s="21">
        <f t="shared" si="1601"/>
        <v>1848.5263378829477</v>
      </c>
      <c r="DE210" s="126"/>
      <c r="DF210" s="22">
        <v>909.15856538519506</v>
      </c>
    </row>
    <row r="211" spans="1:110" s="23" customFormat="1" x14ac:dyDescent="0.2">
      <c r="A211" s="23" t="s">
        <v>65</v>
      </c>
      <c r="C211" s="23">
        <f t="shared" ref="C211:AA211" si="1602">B163-C163+B178+B179-C178-C179</f>
        <v>111.05749999999998</v>
      </c>
      <c r="D211" s="23">
        <f t="shared" si="1602"/>
        <v>13.350400000000038</v>
      </c>
      <c r="E211" s="23">
        <f>D163-E163+D178+D179-E178-E179</f>
        <v>-30.567200000000028</v>
      </c>
      <c r="F211" s="23">
        <f t="shared" si="1602"/>
        <v>-82.264499999999956</v>
      </c>
      <c r="G211" s="23">
        <f t="shared" si="1602"/>
        <v>-186.29050000000001</v>
      </c>
      <c r="H211" s="23">
        <f t="shared" si="1602"/>
        <v>-96.90530000000004</v>
      </c>
      <c r="I211" s="23">
        <f t="shared" si="1602"/>
        <v>21.332800000000027</v>
      </c>
      <c r="J211" s="23">
        <f>I163-J163+I178+I179-J178-J179</f>
        <v>-186.41620000000012</v>
      </c>
      <c r="K211" s="23">
        <f>J163-K163+J178+J179-K178-K179</f>
        <v>-57.508999999999936</v>
      </c>
      <c r="L211" s="23">
        <f t="shared" si="1602"/>
        <v>-325.00010000000003</v>
      </c>
      <c r="M211" s="23">
        <f t="shared" si="1602"/>
        <v>-235.02049999999997</v>
      </c>
      <c r="N211" s="23">
        <f t="shared" si="1602"/>
        <v>-651.95999999999992</v>
      </c>
      <c r="O211" s="23">
        <f t="shared" si="1602"/>
        <v>-723.32999999999981</v>
      </c>
      <c r="P211" s="23">
        <f t="shared" si="1602"/>
        <v>-681.16000000000042</v>
      </c>
      <c r="Q211" s="23">
        <f t="shared" si="1602"/>
        <v>-219.79999999999984</v>
      </c>
      <c r="R211" s="23">
        <f t="shared" si="1602"/>
        <v>-136.62999999999991</v>
      </c>
      <c r="S211" s="23">
        <f t="shared" si="1602"/>
        <v>-686.58</v>
      </c>
      <c r="T211" s="23">
        <f t="shared" si="1602"/>
        <v>-197.1400000000001</v>
      </c>
      <c r="U211" s="23">
        <f t="shared" si="1602"/>
        <v>-516.81999999999903</v>
      </c>
      <c r="V211" s="23">
        <f t="shared" si="1602"/>
        <v>-240.06999999999994</v>
      </c>
      <c r="W211" s="23">
        <f t="shared" si="1602"/>
        <v>111.90999999999838</v>
      </c>
      <c r="X211" s="23">
        <f t="shared" si="1602"/>
        <v>271.280000000001</v>
      </c>
      <c r="Y211" s="23">
        <f t="shared" si="1602"/>
        <v>58.780000000000101</v>
      </c>
      <c r="Z211" s="23">
        <f t="shared" si="1602"/>
        <v>-106.7099999999997</v>
      </c>
      <c r="AA211" s="23">
        <f t="shared" si="1602"/>
        <v>2304.6799999999989</v>
      </c>
      <c r="AB211" s="24">
        <f t="shared" ref="AB211" si="1603">AA163-AB163+AA178+AA179-AB178-AB179</f>
        <v>-2211.9619207214901</v>
      </c>
      <c r="AC211" s="24">
        <f t="shared" ref="AC211" si="1604">AB163-AC163+AB178+AB179-AC178-AC179</f>
        <v>-1664.2810917482784</v>
      </c>
      <c r="AD211" s="24">
        <f t="shared" ref="AD211" si="1605">AC163-AD163+AC178+AC179-AD178-AD179</f>
        <v>-288.3328171409994</v>
      </c>
      <c r="AE211" s="24">
        <f t="shared" ref="AE211" si="1606">AD163-AE163+AD178+AD179-AE178-AE179</f>
        <v>-298.23692046319775</v>
      </c>
      <c r="AI211" s="23">
        <f>AH163-AI163+AH178+AH179-AI178-AJ179</f>
        <v>0</v>
      </c>
      <c r="AJ211" s="23">
        <f t="shared" ref="AJ211:AL211" si="1607">AI163-AJ163+AI178+AI179-AJ178-AK179</f>
        <v>-1516.93</v>
      </c>
      <c r="AK211" s="23">
        <f t="shared" si="1607"/>
        <v>-29.943311938382521</v>
      </c>
      <c r="AL211" s="23">
        <f t="shared" si="1607"/>
        <v>-388.12668806161747</v>
      </c>
      <c r="AM211" s="23">
        <f t="shared" ref="AM211" si="1608">AL163-AM163+AL178+AL179-AM178-AM179</f>
        <v>-184.8623853211011</v>
      </c>
      <c r="AN211" s="23">
        <f t="shared" ref="AN211" si="1609">AM163-AN163+AM178+AM179-AN178-AN179</f>
        <v>-135.1376146788989</v>
      </c>
      <c r="AO211" s="23">
        <f t="shared" ref="AO211" si="1610">AN163-AO163+AN178+AN179-AO178-AO179</f>
        <v>-81.001028806584145</v>
      </c>
      <c r="AP211" s="23">
        <f t="shared" ref="AP211" si="1611">AO163-AP163+AO178+AO179-AP178-AP179</f>
        <v>-321.99897119341585</v>
      </c>
      <c r="AQ211" s="23">
        <f t="shared" ref="AQ211" si="1612">AP163-AQ163+AP178+AP179-AQ178-AQ179</f>
        <v>190.73877551020405</v>
      </c>
      <c r="AR211" s="23">
        <f t="shared" ref="AR211" si="1613">AQ163-AR163+AQ178+AQ179-AR178-AR179</f>
        <v>-374.73877551020405</v>
      </c>
      <c r="AS211" s="23">
        <f t="shared" ref="AS211" si="1614">AR163-AS163+AR178+AR179-AS178-AS179</f>
        <v>90.470829909613713</v>
      </c>
      <c r="AT211" s="23">
        <f t="shared" ref="AT211" si="1615">AS163-AT163+AS178+AS179-AT178-AT179</f>
        <v>-587.47082990961371</v>
      </c>
      <c r="AU211" s="23">
        <f t="shared" ref="AU211" si="1616">AT163-AU163+AT178+AT179-AU178-AU179</f>
        <v>-1824.4497400346618</v>
      </c>
      <c r="AV211" s="23">
        <f t="shared" ref="AV211" si="1617">AU163-AV163+AU178+AU179-AV178-AV179</f>
        <v>1484.4497400346618</v>
      </c>
      <c r="AW211" s="23">
        <f t="shared" ref="AW211" si="1618">AV163-AW163+AV178+AV179-AW178-AW179</f>
        <v>270.69403425871269</v>
      </c>
      <c r="AX211" s="23">
        <f t="shared" ref="AX211" si="1619">AW163-AX163+AW178+AW179-AX178-AX179</f>
        <v>-150.69403425871269</v>
      </c>
      <c r="AY211" s="23">
        <f t="shared" ref="AY211" si="1620">AX163-AY163+AX178+AX179-AY178-AY179</f>
        <v>-89.516966067863905</v>
      </c>
      <c r="AZ211" s="23">
        <f t="shared" ref="AZ211" si="1621">AY163-AZ163+AY178+AY179-AZ178-AZ179</f>
        <v>-312.4830339321361</v>
      </c>
      <c r="BA211" s="23">
        <f t="shared" ref="BA211" si="1622">AZ163-BA163+AZ178+AZ179-BA178-BA179</f>
        <v>-29.028691392582004</v>
      </c>
      <c r="BB211" s="23">
        <f t="shared" ref="BB211" si="1623">BA163-BB163+BA178+BA179-BB178-BB179</f>
        <v>295.028691392582</v>
      </c>
      <c r="BC211" s="23">
        <f t="shared" ref="BC211" si="1624">BB163-BC163+BB178+BB179-BC178-BC179</f>
        <v>126.02510460251051</v>
      </c>
      <c r="BD211" s="23">
        <f t="shared" ref="BD211" si="1625">BC163-BD163+BC178+BC179-BD178-BD179</f>
        <v>-66.02510460251051</v>
      </c>
      <c r="BE211" s="23">
        <f t="shared" ref="BE211" si="1626">BD163-BE163+BD178+BD179-BE178-BE179</f>
        <v>-85.377558221594427</v>
      </c>
      <c r="BF211" s="23">
        <f t="shared" ref="BF211" si="1627">BE163-BF163+BE178+BE179-BF178-BF179</f>
        <v>-661.62244177840557</v>
      </c>
      <c r="BG211" s="23">
        <f t="shared" ref="BG211" si="1628">BF163-BG163+BF178+BF179-BG178-BG179</f>
        <v>-309.18032786885306</v>
      </c>
      <c r="BH211" s="23">
        <f t="shared" ref="BH211" si="1629">BG163-BH163+BG178+BG179-BH178-BH179</f>
        <v>-288.81967213114694</v>
      </c>
      <c r="BI211" s="23">
        <f t="shared" ref="BI211" si="1630">BH163-BI163+BH178+BH179-BI178-BI179</f>
        <v>-299.16209081309353</v>
      </c>
      <c r="BJ211" s="23">
        <f t="shared" ref="BJ211" si="1631">BI163-BJ163+BI178+BI179-BJ178-BJ179</f>
        <v>699.16209081309353</v>
      </c>
      <c r="BK211" s="23">
        <f t="shared" ref="BK211" si="1632">BJ163-BK163+BJ178+BJ179-BK178-BK179</f>
        <v>-301.50107758620652</v>
      </c>
      <c r="BL211" s="23">
        <f t="shared" ref="BL211" si="1633">BK163-BL163+BK178+BK179-BL178-BL179</f>
        <v>104.50107758620652</v>
      </c>
      <c r="BM211" s="23">
        <f t="shared" ref="BM211" si="1634">BL163-BM163+BL178+BL179-BM178-BM179</f>
        <v>67.651870324189986</v>
      </c>
      <c r="BN211" s="23">
        <f t="shared" ref="BN211" si="1635">BM163-BN163+BM178+BM179-BN178-BN179</f>
        <v>-522.65187032418999</v>
      </c>
      <c r="BO211" s="23">
        <f t="shared" ref="BO211" si="1636">BN163-BO163+BN178+BN179-BO178-BO179</f>
        <v>-214.63001027749215</v>
      </c>
      <c r="BP211" s="23">
        <f t="shared" ref="BP211" si="1637">BO163-BP163+BO178+BO179-BP178-BP179</f>
        <v>-30.369989722507853</v>
      </c>
      <c r="BQ211" s="23">
        <f t="shared" ref="BQ211" si="1638">BP163-BQ163+BP178+BP179-BQ178-BQ179</f>
        <v>44.687159147248167</v>
      </c>
      <c r="BR211" s="23">
        <f t="shared" ref="BR211" si="1639">BQ163-BR163+BQ178+BQ179-BR178-BR179</f>
        <v>-29.687159147248167</v>
      </c>
      <c r="BS211" s="23">
        <f t="shared" ref="BS211" si="1640">BR163-BS163+BR178+BR179-BS178-BS179</f>
        <v>-427.56220960247811</v>
      </c>
      <c r="BT211" s="23">
        <f t="shared" ref="BT211" si="1641">BS163-BT163+BS178+BS179-BT178-BT179</f>
        <v>619.56220960247811</v>
      </c>
      <c r="BU211" s="23">
        <f t="shared" ref="BU211" si="1642">BT163-BU163+BT178+BT179-BU178-BU179</f>
        <v>56.629386991108731</v>
      </c>
      <c r="BV211" s="23">
        <f t="shared" ref="BV211" si="1643">BU163-BV163+BU178+BU179-BV178-BV179</f>
        <v>-139.62938699110873</v>
      </c>
      <c r="BW211" s="23">
        <f t="shared" ref="BW211" si="1644">BV163-BW163+BV178+BV179-BW178-BW179</f>
        <v>-415.07273580478613</v>
      </c>
      <c r="BX211" s="23">
        <f t="shared" ref="BX211" si="1645">BW163-BX163+BW178+BW179-BX178-BX179</f>
        <v>673.07273580478613</v>
      </c>
      <c r="BY211" s="23">
        <f t="shared" ref="BY211" si="1646">BX163-BY163+BX178+BX179-BY178-BY179</f>
        <v>-356.35093845482334</v>
      </c>
      <c r="BZ211" s="23">
        <f t="shared" ref="BZ211" si="1647">BY163-BZ163+BY178+BY179-BZ178-BZ179</f>
        <v>353.35093845482334</v>
      </c>
      <c r="CA211" s="23">
        <f t="shared" ref="CA211" si="1648">BZ163-CA163+BZ178+BZ179-CA178-CA179</f>
        <v>-167.56322761943011</v>
      </c>
      <c r="CB211" s="23">
        <f t="shared" ref="CB211" si="1649">CA163-CB163+CA178+CA179-CB178-CB179</f>
        <v>400.56322761943011</v>
      </c>
      <c r="CC211" s="23">
        <f t="shared" ref="CC211" si="1650">CB163-CC163+CB178+CB179-CC178-CC179</f>
        <v>-107.45864661654105</v>
      </c>
      <c r="CD211" s="23">
        <f t="shared" ref="CD211" si="1651">CC163-CD163+CC178+CC179-CD178-CD179</f>
        <v>-79.541353383458954</v>
      </c>
      <c r="CE211" s="23">
        <f t="shared" ref="CE211" si="1652">CD163-CE163+CD178+CD179-CE178-CE179</f>
        <v>-171.22841530054575</v>
      </c>
      <c r="CF211" s="23">
        <f t="shared" ref="CF211" si="1653">CE163-CF163+CE178+CE179-CF178-CF179</f>
        <v>357.22841530054575</v>
      </c>
      <c r="CG211" s="23">
        <f t="shared" ref="CG211" si="1654">CF163-CG163+CF178+CF179-CG178-CG179</f>
        <v>112.26029768085846</v>
      </c>
      <c r="CH211" s="23">
        <f t="shared" ref="CH211:CL211" si="1655">CG163-CH163+CG178+CG179-CH178-CH179</f>
        <v>-247.00029768085795</v>
      </c>
      <c r="CI211" s="23">
        <f t="shared" si="1655"/>
        <v>-387.4730956404191</v>
      </c>
      <c r="CJ211" s="23">
        <f t="shared" si="1655"/>
        <v>-467.78690435958129</v>
      </c>
      <c r="CK211" s="23">
        <f t="shared" ref="CK211" si="1656">CJ163-CK163+CJ178+CJ179-CK178-CK179</f>
        <v>-1.8134463961232541</v>
      </c>
      <c r="CL211" s="23">
        <f t="shared" si="1655"/>
        <v>2500.8134463961233</v>
      </c>
      <c r="CM211" s="24">
        <f t="shared" ref="CM211" si="1657">CL163-CM163+CL178+CL179-CM178-CM179</f>
        <v>869.81165477823288</v>
      </c>
      <c r="CN211" s="24">
        <f t="shared" ref="CN211" si="1658">CM163-CN163+CM178+CM179-CN178-CN179</f>
        <v>-324.44028852675183</v>
      </c>
      <c r="CO211" s="24">
        <f t="shared" ref="CO211" si="1659">CN163-CO163+CN178+CN179-CO178-CO179</f>
        <v>-12.251530848066068</v>
      </c>
      <c r="CP211" s="24">
        <f t="shared" ref="CP211" si="1660">CO163-CP163+CO178+CO179-CP178-CP179</f>
        <v>-2084.1417561249054</v>
      </c>
      <c r="CQ211" s="24">
        <f t="shared" ref="CQ211" si="1661">CP163-CQ163+CP178+CP179-CQ178-CQ179</f>
        <v>1129.2579519831597</v>
      </c>
      <c r="CR211" s="24">
        <f t="shared" ref="CR211" si="1662">CQ163-CR163+CQ178+CQ179-CR178-CR179</f>
        <v>-375.87672118709088</v>
      </c>
      <c r="CS211" s="24">
        <f t="shared" ref="CS211" si="1663">CR163-CS163+CR178+CR179-CS178-CS179</f>
        <v>1.9444807621766813E-2</v>
      </c>
      <c r="CT211" s="24">
        <f t="shared" ref="CT211" si="1664">CS163-CT163+CS178+CS179-CT178-CT179</f>
        <v>-2417.681767351969</v>
      </c>
      <c r="CU211" s="24">
        <f t="shared" ref="CU211" si="1665">CT163-CU163+CT178+CT179-CU178-CU179</f>
        <v>2135.3889612573512</v>
      </c>
      <c r="CV211" s="24">
        <f t="shared" ref="CV211" si="1666">CU163-CV163+CU178+CU179-CV178-CV179</f>
        <v>-136.54141606417033</v>
      </c>
      <c r="CW211" s="24">
        <f t="shared" ref="CW211" si="1667">CV163-CW163+CV178+CV179-CW178-CW179</f>
        <v>127.82329595436386</v>
      </c>
      <c r="CX211" s="24">
        <f t="shared" ref="CX211" si="1668">CW163-CX163+CW178+CW179-CX178-CX179</f>
        <v>-2415.0036582885441</v>
      </c>
      <c r="CY211" s="24">
        <f t="shared" ref="CY211" si="1669">CX163-CY163+CX178+CX179-CY178-CY179</f>
        <v>2206.0541425560696</v>
      </c>
      <c r="CZ211" s="24">
        <f t="shared" ref="CZ211" si="1670">CY163-CZ163+CY178+CY179-CZ178-CZ179</f>
        <v>-152.71397029166656</v>
      </c>
      <c r="DA211" s="24">
        <f t="shared" ref="DA211" si="1671">CZ163-DA163+CZ178+CZ179-DA178-DA179</f>
        <v>126.25178969968874</v>
      </c>
      <c r="DB211" s="24">
        <f t="shared" ref="DB211" si="1672">DA163-DB163+DA178+DA179-DB178-DB179</f>
        <v>-2477.8288824272895</v>
      </c>
      <c r="DE211" s="123"/>
      <c r="DF211" s="23">
        <v>-242.79014454536446</v>
      </c>
    </row>
    <row r="212" spans="1:110" s="23" customFormat="1" x14ac:dyDescent="0.2">
      <c r="A212" s="23" t="s">
        <v>73</v>
      </c>
      <c r="C212" s="23">
        <f t="shared" ref="C212:AA212" si="1673">B171-C171</f>
        <v>29.093299999999999</v>
      </c>
      <c r="D212" s="23">
        <f t="shared" si="1673"/>
        <v>15.755899999999997</v>
      </c>
      <c r="E212" s="23">
        <f>D171-E171</f>
        <v>-10.25500000000001</v>
      </c>
      <c r="F212" s="23">
        <f t="shared" si="1673"/>
        <v>-50.158499999999989</v>
      </c>
      <c r="G212" s="23">
        <f t="shared" si="1673"/>
        <v>-135.89069999999995</v>
      </c>
      <c r="H212" s="23">
        <f t="shared" si="1673"/>
        <v>1.2018999999999096</v>
      </c>
      <c r="I212" s="23">
        <f t="shared" si="1673"/>
        <v>-54.589299999999923</v>
      </c>
      <c r="J212" s="23">
        <f>I171-J171</f>
        <v>-131.44460000000004</v>
      </c>
      <c r="K212" s="23">
        <f>J171-K171</f>
        <v>-83.943699999999978</v>
      </c>
      <c r="L212" s="23">
        <f t="shared" si="1673"/>
        <v>-342.05960000000005</v>
      </c>
      <c r="M212" s="23">
        <f t="shared" si="1673"/>
        <v>-328.76430000000005</v>
      </c>
      <c r="N212" s="23">
        <f t="shared" si="1673"/>
        <v>-391.32999999999993</v>
      </c>
      <c r="O212" s="23">
        <f t="shared" si="1673"/>
        <v>-376.00000000000023</v>
      </c>
      <c r="P212" s="23">
        <f t="shared" si="1673"/>
        <v>-495.87999999999965</v>
      </c>
      <c r="Q212" s="23">
        <f t="shared" si="1673"/>
        <v>-556.26999999999953</v>
      </c>
      <c r="R212" s="23">
        <f t="shared" si="1673"/>
        <v>299.95999999999913</v>
      </c>
      <c r="S212" s="23">
        <f t="shared" si="1673"/>
        <v>-418.2199999999998</v>
      </c>
      <c r="T212" s="23">
        <f t="shared" si="1673"/>
        <v>-192.81999999999925</v>
      </c>
      <c r="U212" s="23">
        <f t="shared" si="1673"/>
        <v>4.4799999999995634</v>
      </c>
      <c r="V212" s="23">
        <f t="shared" si="1673"/>
        <v>-65.5300000000002</v>
      </c>
      <c r="W212" s="23">
        <f t="shared" si="1673"/>
        <v>476.79000000000042</v>
      </c>
      <c r="X212" s="23">
        <f t="shared" si="1673"/>
        <v>-179.3100000000004</v>
      </c>
      <c r="Y212" s="23">
        <f t="shared" si="1673"/>
        <v>-496.42000000000053</v>
      </c>
      <c r="Z212" s="23">
        <f t="shared" si="1673"/>
        <v>66.720000000000709</v>
      </c>
      <c r="AA212" s="23">
        <f t="shared" si="1673"/>
        <v>-2714.6100000000006</v>
      </c>
      <c r="AB212" s="24">
        <f t="shared" ref="AB212" si="1674">AA171-AB171</f>
        <v>-1165.6976289825661</v>
      </c>
      <c r="AC212" s="24">
        <f t="shared" ref="AC212" si="1675">AB171-AC171</f>
        <v>-1250.658584854421</v>
      </c>
      <c r="AD212" s="24">
        <f t="shared" ref="AD212" si="1676">AC171-AD171</f>
        <v>-216.6736826132219</v>
      </c>
      <c r="AE212" s="24">
        <f t="shared" ref="AE212" si="1677">AD171-AE171</f>
        <v>-224.11632671138796</v>
      </c>
      <c r="AI212" s="23">
        <f t="shared" ref="AI212" si="1678">AH171-AI171</f>
        <v>0</v>
      </c>
      <c r="AJ212" s="23">
        <f t="shared" ref="AJ212" si="1679">AI171-AJ171</f>
        <v>-1284.83</v>
      </c>
      <c r="AK212" s="23">
        <f t="shared" ref="AK212" si="1680">AJ171-AK171</f>
        <v>0</v>
      </c>
      <c r="AL212" s="23">
        <f t="shared" ref="AL212" si="1681">AK171-AL171</f>
        <v>-440.17000000000007</v>
      </c>
      <c r="AM212" s="23">
        <f t="shared" ref="AM212" si="1682">AL171-AM171</f>
        <v>-122.36238532110087</v>
      </c>
      <c r="AN212" s="23">
        <f t="shared" ref="AN212" si="1683">AM171-AN171</f>
        <v>-208.63761467889913</v>
      </c>
      <c r="AO212" s="23">
        <f t="shared" ref="AO212" si="1684">AN171-AO171</f>
        <v>-60.120370370370438</v>
      </c>
      <c r="AP212" s="23">
        <f t="shared" ref="AP212" si="1685">AO171-AP171</f>
        <v>-47.879629629629562</v>
      </c>
      <c r="AQ212" s="23">
        <f t="shared" ref="AQ212" si="1686">AP171-AQ171</f>
        <v>129.48489795918363</v>
      </c>
      <c r="AR212" s="23">
        <f t="shared" ref="AR212" si="1687">AQ171-AR171</f>
        <v>-434.48489795918363</v>
      </c>
      <c r="AS212" s="23">
        <f t="shared" ref="AS212" si="1688">AR171-AS171</f>
        <v>71.345932621199609</v>
      </c>
      <c r="AT212" s="23">
        <f t="shared" ref="AT212" si="1689">AS171-AT171</f>
        <v>-322.34593262119961</v>
      </c>
      <c r="AU212" s="23">
        <f t="shared" ref="AU212" si="1690">AT171-AU171</f>
        <v>-1256.1559792027724</v>
      </c>
      <c r="AV212" s="23">
        <f t="shared" ref="AV212" si="1691">AU171-AV171</f>
        <v>402.15597920277241</v>
      </c>
      <c r="AW212" s="23">
        <f t="shared" ref="AW212" si="1692">AV171-AW171</f>
        <v>211.91730655640868</v>
      </c>
      <c r="AX212" s="23">
        <f t="shared" ref="AX212" si="1693">AW171-AX171</f>
        <v>-177.91730655640868</v>
      </c>
      <c r="AY212" s="23">
        <f t="shared" ref="AY212" si="1694">AX171-AY171</f>
        <v>-72.271457085828388</v>
      </c>
      <c r="AZ212" s="23">
        <f t="shared" ref="AZ212" si="1695">AY171-AZ171</f>
        <v>-198.72854291417161</v>
      </c>
      <c r="BA212" s="23">
        <f t="shared" ref="BA212" si="1696">AZ171-BA171</f>
        <v>-24.120363890833232</v>
      </c>
      <c r="BB212" s="23">
        <f t="shared" ref="BB212" si="1697">BA171-BB171</f>
        <v>826.12036389083323</v>
      </c>
      <c r="BC212" s="23">
        <f t="shared" ref="BC212" si="1698">BB171-BC171</f>
        <v>87.815899581590202</v>
      </c>
      <c r="BD212" s="23">
        <f t="shared" ref="BD212" si="1699">BC171-BD171</f>
        <v>-188.8158995815902</v>
      </c>
      <c r="BE212" s="23">
        <f t="shared" ref="BE212" si="1700">BD171-BE171</f>
        <v>-59.050105857445487</v>
      </c>
      <c r="BF212" s="23">
        <f t="shared" ref="BF212" si="1701">BE171-BF171</f>
        <v>-713.94989414255451</v>
      </c>
      <c r="BG212" s="23">
        <f t="shared" ref="BG212" si="1702">BF171-BG171</f>
        <v>-196.64637002341942</v>
      </c>
      <c r="BH212" s="23">
        <f t="shared" ref="BH212" si="1703">BG171-BH171</f>
        <v>-539.35362997658058</v>
      </c>
      <c r="BI212" s="23">
        <f t="shared" ref="BI212" si="1704">BH171-BI171</f>
        <v>-186.01267159450981</v>
      </c>
      <c r="BJ212" s="23">
        <f t="shared" ref="BJ212" si="1705">BI171-BJ171</f>
        <v>262.01267159450981</v>
      </c>
      <c r="BK212" s="23">
        <f t="shared" ref="BK212" si="1706">BJ171-BK171</f>
        <v>-187.64439655172464</v>
      </c>
      <c r="BL212" s="23">
        <f t="shared" ref="BL212" si="1707">BK171-BL171</f>
        <v>136.64439655172464</v>
      </c>
      <c r="BM212" s="23">
        <f t="shared" ref="BM212" si="1708">BL171-BM171</f>
        <v>38.183042394014592</v>
      </c>
      <c r="BN212" s="23">
        <f t="shared" ref="BN212" si="1709">BM171-BN171</f>
        <v>-264.18304239401459</v>
      </c>
      <c r="BO212" s="23">
        <f t="shared" ref="BO212" si="1710">BN171-BO171</f>
        <v>-115.76567317574518</v>
      </c>
      <c r="BP212" s="23">
        <f t="shared" ref="BP212" si="1711">BO171-BP171</f>
        <v>-53.234326824254822</v>
      </c>
      <c r="BQ212" s="23">
        <f t="shared" ref="BQ212" si="1712">BP171-BQ171</f>
        <v>25.184928111056252</v>
      </c>
      <c r="BR212" s="23">
        <f t="shared" ref="BR212" si="1713">BQ171-BR171</f>
        <v>1551.8150718889437</v>
      </c>
      <c r="BS212" s="23">
        <f t="shared" ref="BS212" si="1714">BR171-BS171</f>
        <v>-210.22147651006708</v>
      </c>
      <c r="BT212" s="23">
        <f t="shared" ref="BT212" si="1715">BS171-BT171</f>
        <v>579.22147651006708</v>
      </c>
      <c r="BU212" s="23">
        <f t="shared" ref="BU212" si="1716">BT171-BU171</f>
        <v>24.209639681796943</v>
      </c>
      <c r="BV212" s="23">
        <f t="shared" ref="BV212" si="1717">BU171-BV171</f>
        <v>83.790360318203057</v>
      </c>
      <c r="BW212" s="23">
        <f t="shared" ref="BW212" si="1718">BV171-BW171</f>
        <v>-169.6780854059125</v>
      </c>
      <c r="BX212" s="23">
        <f t="shared" ref="BX212" si="1719">BW171-BX171</f>
        <v>298.6780854059125</v>
      </c>
      <c r="BY212" s="23">
        <f t="shared" ref="BY212" si="1720">BX171-BY171</f>
        <v>-128.9393278044522</v>
      </c>
      <c r="BZ212" s="23">
        <f t="shared" ref="BZ212" si="1721">BY171-BZ171</f>
        <v>-180.0606721955478</v>
      </c>
      <c r="CA212" s="23">
        <f t="shared" ref="CA212" si="1722">BZ171-CA171</f>
        <v>-67.402649538337755</v>
      </c>
      <c r="CB212" s="23">
        <f t="shared" ref="CB212" si="1723">CA171-CB171</f>
        <v>121.40264953833776</v>
      </c>
      <c r="CC212" s="23">
        <f t="shared" ref="CC212" si="1724">CB171-CC171</f>
        <v>-44.959398496240283</v>
      </c>
      <c r="CD212" s="23">
        <f t="shared" ref="CD212" si="1725">CC171-CD171</f>
        <v>-505.04060150375972</v>
      </c>
      <c r="CE212" s="23">
        <f t="shared" ref="CE212" si="1726">CD171-CE171</f>
        <v>-86.756284153005709</v>
      </c>
      <c r="CF212" s="23">
        <f t="shared" ref="CF212" si="1727">CE171-CF171</f>
        <v>-45.243715846994291</v>
      </c>
      <c r="CG212" s="23">
        <f t="shared" ref="CG212" si="1728">CF171-CG171</f>
        <v>60.588438906195734</v>
      </c>
      <c r="CH212" s="23">
        <f t="shared" ref="CH212:CL212" si="1729">CG171-CH171</f>
        <v>138.17156109380448</v>
      </c>
      <c r="CI212" s="23">
        <f t="shared" si="1729"/>
        <v>-262.31448462318349</v>
      </c>
      <c r="CJ212" s="23">
        <f t="shared" si="1729"/>
        <v>115.55448462318327</v>
      </c>
      <c r="CK212" s="23">
        <f t="shared" ref="CK212" si="1730">CJ171-CK171</f>
        <v>-1.1178073894611771</v>
      </c>
      <c r="CL212" s="23">
        <f t="shared" si="1729"/>
        <v>-2566.8821926105388</v>
      </c>
      <c r="CM212" s="24">
        <f t="shared" ref="CM212" si="1731">CL171-CM171</f>
        <v>653.63802944614781</v>
      </c>
      <c r="CN212" s="24">
        <f t="shared" ref="CN212" si="1732">CM171-CN171</f>
        <v>-243.80739175038343</v>
      </c>
      <c r="CO212" s="24">
        <f t="shared" ref="CO212" si="1733">CN171-CO171</f>
        <v>-9.2066672563387328</v>
      </c>
      <c r="CP212" s="24">
        <f t="shared" ref="CP212" si="1734">CO171-CP171</f>
        <v>-1566.1715994219921</v>
      </c>
      <c r="CQ212" s="24">
        <f t="shared" ref="CQ212" si="1735">CP171-CQ171</f>
        <v>848.60433683066276</v>
      </c>
      <c r="CR212" s="24">
        <f t="shared" ref="CR212" si="1736">CQ171-CR171</f>
        <v>-282.46036714011279</v>
      </c>
      <c r="CS212" s="24">
        <f t="shared" ref="CS212" si="1737">CR171-CS171</f>
        <v>1.4612204457080225E-2</v>
      </c>
      <c r="CT212" s="24">
        <f t="shared" ref="CT212" si="1738">CS171-CT171</f>
        <v>-1816.817166749428</v>
      </c>
      <c r="CU212" s="24">
        <f t="shared" ref="CU212" si="1739">CT171-CU171</f>
        <v>1604.6823758566161</v>
      </c>
      <c r="CV212" s="24">
        <f t="shared" ref="CV212" si="1740">CU171-CV171</f>
        <v>-102.60688235630278</v>
      </c>
      <c r="CW212" s="24">
        <f t="shared" ref="CW212" si="1741">CV171-CW171</f>
        <v>96.055469969789556</v>
      </c>
      <c r="CX212" s="24">
        <f t="shared" ref="CX212" si="1742">CW171-CX171</f>
        <v>-1814.8046460833248</v>
      </c>
      <c r="CY212" s="24">
        <f t="shared" ref="CY212" si="1743">CX171-CY171</f>
        <v>1657.7851936917341</v>
      </c>
      <c r="CZ212" s="24">
        <f t="shared" ref="CZ212" si="1744">CY171-CZ171</f>
        <v>-114.76008405037283</v>
      </c>
      <c r="DA212" s="24">
        <f t="shared" ref="DA212" si="1745">CZ171-DA171</f>
        <v>94.874528962704062</v>
      </c>
      <c r="DB212" s="24">
        <f t="shared" ref="DB212" si="1746">DA171-DB171</f>
        <v>-1862.0159653154533</v>
      </c>
      <c r="DE212" s="123"/>
      <c r="DF212" s="23">
        <v>-149.65571535019035</v>
      </c>
    </row>
    <row r="213" spans="1:110" s="22" customFormat="1" x14ac:dyDescent="0.2">
      <c r="A213" s="22" t="s">
        <v>90</v>
      </c>
      <c r="C213" s="22">
        <f t="shared" ref="C213:W213" si="1747">C211-C212</f>
        <v>81.964199999999977</v>
      </c>
      <c r="D213" s="22">
        <f t="shared" si="1747"/>
        <v>-2.4054999999999591</v>
      </c>
      <c r="E213" s="22">
        <f t="shared" si="1747"/>
        <v>-20.312200000000018</v>
      </c>
      <c r="F213" s="22">
        <f t="shared" si="1747"/>
        <v>-32.105999999999966</v>
      </c>
      <c r="G213" s="22">
        <f t="shared" si="1747"/>
        <v>-50.399800000000056</v>
      </c>
      <c r="H213" s="22">
        <f t="shared" si="1747"/>
        <v>-98.107199999999949</v>
      </c>
      <c r="I213" s="22">
        <f t="shared" si="1747"/>
        <v>75.922099999999944</v>
      </c>
      <c r="J213" s="22">
        <f>J211-J212</f>
        <v>-54.97160000000008</v>
      </c>
      <c r="K213" s="22">
        <f t="shared" si="1747"/>
        <v>26.434700000000042</v>
      </c>
      <c r="L213" s="22">
        <f t="shared" si="1747"/>
        <v>17.059500000000014</v>
      </c>
      <c r="M213" s="22">
        <f t="shared" si="1747"/>
        <v>93.743800000000078</v>
      </c>
      <c r="N213" s="22">
        <f t="shared" si="1747"/>
        <v>-260.63</v>
      </c>
      <c r="O213" s="22">
        <f t="shared" si="1747"/>
        <v>-347.32999999999959</v>
      </c>
      <c r="P213" s="22">
        <f t="shared" si="1747"/>
        <v>-185.28000000000077</v>
      </c>
      <c r="Q213" s="22">
        <f t="shared" si="1747"/>
        <v>336.46999999999969</v>
      </c>
      <c r="R213" s="22">
        <f t="shared" si="1747"/>
        <v>-436.58999999999901</v>
      </c>
      <c r="S213" s="22">
        <f t="shared" si="1747"/>
        <v>-268.36000000000024</v>
      </c>
      <c r="T213" s="22">
        <f t="shared" si="1747"/>
        <v>-4.3200000000008458</v>
      </c>
      <c r="U213" s="22">
        <f t="shared" si="1747"/>
        <v>-521.29999999999859</v>
      </c>
      <c r="V213" s="22">
        <f t="shared" si="1747"/>
        <v>-174.53999999999974</v>
      </c>
      <c r="W213" s="22">
        <f t="shared" si="1747"/>
        <v>-364.88000000000204</v>
      </c>
      <c r="X213" s="22">
        <f t="shared" ref="X213:Y213" si="1748">X211-X212</f>
        <v>450.5900000000014</v>
      </c>
      <c r="Y213" s="22">
        <f t="shared" si="1748"/>
        <v>555.20000000000061</v>
      </c>
      <c r="Z213" s="22">
        <f t="shared" ref="Z213:AA213" si="1749">Z211-Z212</f>
        <v>-173.4300000000004</v>
      </c>
      <c r="AA213" s="22">
        <f t="shared" si="1749"/>
        <v>5019.2899999999991</v>
      </c>
      <c r="AB213" s="21">
        <f t="shared" ref="AA213:AD213" si="1750">AB211-AB212</f>
        <v>-1046.2642917389239</v>
      </c>
      <c r="AC213" s="21">
        <f t="shared" si="1750"/>
        <v>-413.62250689385746</v>
      </c>
      <c r="AD213" s="21">
        <f t="shared" si="1750"/>
        <v>-71.659134527777496</v>
      </c>
      <c r="AE213" s="21">
        <f t="shared" ref="AE213" si="1751">AE211-AE212</f>
        <v>-74.120593751809793</v>
      </c>
      <c r="AI213" s="22">
        <f t="shared" ref="AI213" si="1752">AI211-AI212</f>
        <v>0</v>
      </c>
      <c r="AJ213" s="22">
        <f t="shared" ref="AJ213:AL213" si="1753">AJ211-AJ212</f>
        <v>-232.10000000000014</v>
      </c>
      <c r="AK213" s="22">
        <f t="shared" si="1753"/>
        <v>-29.943311938382521</v>
      </c>
      <c r="AL213" s="22">
        <f t="shared" si="1753"/>
        <v>52.043311938382601</v>
      </c>
      <c r="AM213" s="22">
        <f t="shared" ref="AM213" si="1754">AM211-AM212</f>
        <v>-62.500000000000227</v>
      </c>
      <c r="AN213" s="22">
        <f t="shared" ref="AN213:CD213" si="1755">AN211-AN212</f>
        <v>73.500000000000227</v>
      </c>
      <c r="AO213" s="22">
        <f t="shared" si="1755"/>
        <v>-20.880658436213707</v>
      </c>
      <c r="AP213" s="22">
        <f t="shared" si="1755"/>
        <v>-274.11934156378629</v>
      </c>
      <c r="AQ213" s="22">
        <f t="shared" si="1755"/>
        <v>61.253877551020423</v>
      </c>
      <c r="AR213" s="22">
        <f t="shared" si="1755"/>
        <v>59.746122448979577</v>
      </c>
      <c r="AS213" s="22">
        <f t="shared" si="1755"/>
        <v>19.124897288414104</v>
      </c>
      <c r="AT213" s="22">
        <f t="shared" si="1755"/>
        <v>-265.1248972884141</v>
      </c>
      <c r="AU213" s="22">
        <f t="shared" si="1755"/>
        <v>-568.29376083188936</v>
      </c>
      <c r="AV213" s="22">
        <f t="shared" si="1755"/>
        <v>1082.2937608318894</v>
      </c>
      <c r="AW213" s="22">
        <f t="shared" si="1755"/>
        <v>58.776727702304015</v>
      </c>
      <c r="AX213" s="22">
        <f t="shared" si="1755"/>
        <v>27.223272297695985</v>
      </c>
      <c r="AY213" s="22">
        <f t="shared" si="1755"/>
        <v>-17.245508982035517</v>
      </c>
      <c r="AZ213" s="22">
        <f t="shared" si="1755"/>
        <v>-113.75449101796448</v>
      </c>
      <c r="BA213" s="22">
        <f t="shared" si="1755"/>
        <v>-4.9083275017487722</v>
      </c>
      <c r="BB213" s="22">
        <f t="shared" si="1755"/>
        <v>-531.09167249825123</v>
      </c>
      <c r="BC213" s="22">
        <f t="shared" si="1755"/>
        <v>38.209205020920308</v>
      </c>
      <c r="BD213" s="22">
        <f t="shared" si="1755"/>
        <v>122.79079497907969</v>
      </c>
      <c r="BE213" s="22">
        <f t="shared" si="1755"/>
        <v>-26.32745236414894</v>
      </c>
      <c r="BF213" s="22">
        <f t="shared" si="1755"/>
        <v>52.32745236414894</v>
      </c>
      <c r="BG213" s="22">
        <f t="shared" si="1755"/>
        <v>-112.53395784543363</v>
      </c>
      <c r="BH213" s="22">
        <f t="shared" si="1755"/>
        <v>250.53395784543363</v>
      </c>
      <c r="BI213" s="22">
        <f t="shared" si="1755"/>
        <v>-113.14941921858372</v>
      </c>
      <c r="BJ213" s="22">
        <f t="shared" si="1755"/>
        <v>437.14941921858372</v>
      </c>
      <c r="BK213" s="22">
        <f t="shared" si="1755"/>
        <v>-113.85668103448188</v>
      </c>
      <c r="BL213" s="22">
        <f t="shared" si="1755"/>
        <v>-32.14331896551812</v>
      </c>
      <c r="BM213" s="22">
        <f t="shared" si="1755"/>
        <v>29.468827930175394</v>
      </c>
      <c r="BN213" s="22">
        <f t="shared" si="1755"/>
        <v>-258.46882793017539</v>
      </c>
      <c r="BO213" s="22">
        <f t="shared" si="1755"/>
        <v>-98.864337101746969</v>
      </c>
      <c r="BP213" s="22">
        <f t="shared" si="1755"/>
        <v>22.864337101746969</v>
      </c>
      <c r="BQ213" s="22">
        <f t="shared" si="1755"/>
        <v>19.502231036191915</v>
      </c>
      <c r="BR213" s="22">
        <f t="shared" si="1755"/>
        <v>-1581.5022310361919</v>
      </c>
      <c r="BS213" s="22">
        <f t="shared" si="1755"/>
        <v>-217.34073309241103</v>
      </c>
      <c r="BT213" s="22">
        <f t="shared" si="1755"/>
        <v>40.340733092411028</v>
      </c>
      <c r="BU213" s="22">
        <f t="shared" si="1755"/>
        <v>32.419747309311788</v>
      </c>
      <c r="BV213" s="22">
        <f t="shared" si="1755"/>
        <v>-223.41974730931179</v>
      </c>
      <c r="BW213" s="22">
        <f t="shared" si="1755"/>
        <v>-245.39465039887364</v>
      </c>
      <c r="BX213" s="22">
        <f t="shared" si="1755"/>
        <v>374.39465039887364</v>
      </c>
      <c r="BY213" s="22">
        <f t="shared" si="1755"/>
        <v>-227.41161065037113</v>
      </c>
      <c r="BZ213" s="22">
        <f t="shared" si="1755"/>
        <v>533.41161065037113</v>
      </c>
      <c r="CA213" s="22">
        <f t="shared" si="1755"/>
        <v>-100.16057808109235</v>
      </c>
      <c r="CB213" s="22">
        <f t="shared" si="1755"/>
        <v>279.16057808109235</v>
      </c>
      <c r="CC213" s="22">
        <f t="shared" si="1755"/>
        <v>-62.499248120300763</v>
      </c>
      <c r="CD213" s="22">
        <f t="shared" si="1755"/>
        <v>425.49924812030076</v>
      </c>
      <c r="CE213" s="22">
        <f t="shared" ref="CE213:CF213" si="1756">CE211-CE212</f>
        <v>-84.47213114754004</v>
      </c>
      <c r="CF213" s="22">
        <f t="shared" si="1756"/>
        <v>402.47213114754004</v>
      </c>
      <c r="CG213" s="22">
        <f t="shared" ref="CG213:CH213" si="1757">CG211-CG212</f>
        <v>51.671858774662724</v>
      </c>
      <c r="CH213" s="22">
        <f t="shared" si="1757"/>
        <v>-385.17185877466244</v>
      </c>
      <c r="CI213" s="22">
        <f t="shared" ref="CI213:CJ213" si="1758">CI211-CI212</f>
        <v>-125.15861101723561</v>
      </c>
      <c r="CJ213" s="22">
        <f t="shared" si="1758"/>
        <v>-583.34138898276456</v>
      </c>
      <c r="CK213" s="22">
        <f t="shared" ref="CK213:DB213" si="1759">CK211-CK212</f>
        <v>-0.69563900666207701</v>
      </c>
      <c r="CL213" s="22">
        <f t="shared" si="1759"/>
        <v>5067.6956390066625</v>
      </c>
      <c r="CM213" s="21">
        <f t="shared" si="1759"/>
        <v>216.17362533208507</v>
      </c>
      <c r="CN213" s="21">
        <f t="shared" si="1759"/>
        <v>-80.632896776368398</v>
      </c>
      <c r="CO213" s="21">
        <f t="shared" si="1759"/>
        <v>-3.044863591727335</v>
      </c>
      <c r="CP213" s="21">
        <f t="shared" si="1759"/>
        <v>-517.9701567029133</v>
      </c>
      <c r="CQ213" s="21">
        <f t="shared" si="1759"/>
        <v>280.65361515249697</v>
      </c>
      <c r="CR213" s="21">
        <f t="shared" si="1759"/>
        <v>-93.416354046978086</v>
      </c>
      <c r="CS213" s="21">
        <f t="shared" si="1759"/>
        <v>4.8326031646865886E-3</v>
      </c>
      <c r="CT213" s="21">
        <f t="shared" si="1759"/>
        <v>-600.86460060254103</v>
      </c>
      <c r="CU213" s="21">
        <f t="shared" si="1759"/>
        <v>530.70658540073509</v>
      </c>
      <c r="CV213" s="21">
        <f t="shared" si="1759"/>
        <v>-33.934533707867558</v>
      </c>
      <c r="CW213" s="21">
        <f t="shared" si="1759"/>
        <v>31.767825984574301</v>
      </c>
      <c r="CX213" s="21">
        <f t="shared" si="1759"/>
        <v>-600.19901220521933</v>
      </c>
      <c r="CY213" s="21">
        <f t="shared" si="1759"/>
        <v>548.26894886433547</v>
      </c>
      <c r="CZ213" s="21">
        <f t="shared" si="1759"/>
        <v>-37.953886241293731</v>
      </c>
      <c r="DA213" s="21">
        <f t="shared" si="1759"/>
        <v>31.377260736984681</v>
      </c>
      <c r="DB213" s="21">
        <f t="shared" si="1759"/>
        <v>-615.81291711183621</v>
      </c>
      <c r="DE213" s="126"/>
      <c r="DF213" s="22">
        <v>-93.134429195174107</v>
      </c>
    </row>
    <row r="214" spans="1:110" s="22" customFormat="1" x14ac:dyDescent="0.2">
      <c r="A214" s="22" t="s">
        <v>91</v>
      </c>
      <c r="C214" s="22">
        <f t="shared" ref="C214:W214" si="1760">C210+C213</f>
        <v>142.50269999999995</v>
      </c>
      <c r="D214" s="22">
        <f>D210+D213</f>
        <v>57.132100000000001</v>
      </c>
      <c r="E214" s="22">
        <f t="shared" si="1760"/>
        <v>50.266300000000044</v>
      </c>
      <c r="F214" s="22">
        <f t="shared" si="1760"/>
        <v>35.370799999999988</v>
      </c>
      <c r="G214" s="22">
        <f t="shared" si="1760"/>
        <v>25.980899999999792</v>
      </c>
      <c r="H214" s="22">
        <f t="shared" si="1760"/>
        <v>28.277300000000338</v>
      </c>
      <c r="I214" s="22">
        <f t="shared" si="1760"/>
        <v>249.42999999999986</v>
      </c>
      <c r="J214" s="22">
        <f>J210+J213</f>
        <v>171.67769999999973</v>
      </c>
      <c r="K214" s="22">
        <f t="shared" si="1760"/>
        <v>323.71610000000021</v>
      </c>
      <c r="L214" s="22">
        <f t="shared" si="1760"/>
        <v>349.78740000000056</v>
      </c>
      <c r="M214" s="22">
        <f t="shared" si="1760"/>
        <v>459.51379999999966</v>
      </c>
      <c r="N214" s="22">
        <f t="shared" si="1760"/>
        <v>254.82000000000005</v>
      </c>
      <c r="O214" s="22">
        <f t="shared" si="1760"/>
        <v>403.55000000000098</v>
      </c>
      <c r="P214" s="22">
        <f t="shared" si="1760"/>
        <v>756.39999999999907</v>
      </c>
      <c r="Q214" s="22">
        <f t="shared" si="1760"/>
        <v>2307.2600000000007</v>
      </c>
      <c r="R214" s="22">
        <f t="shared" si="1760"/>
        <v>803.88000000000056</v>
      </c>
      <c r="S214" s="22">
        <f t="shared" si="1760"/>
        <v>818.35</v>
      </c>
      <c r="T214" s="22">
        <f t="shared" si="1760"/>
        <v>1049.6499999999999</v>
      </c>
      <c r="U214" s="22">
        <f t="shared" si="1760"/>
        <v>1157.8000000000009</v>
      </c>
      <c r="V214" s="22">
        <f t="shared" si="1760"/>
        <v>1735.1300000000008</v>
      </c>
      <c r="W214" s="22">
        <f t="shared" si="1760"/>
        <v>1074.4599999999973</v>
      </c>
      <c r="X214" s="22">
        <f t="shared" ref="X214:Y214" si="1761">X210+X213</f>
        <v>2402.4100000000008</v>
      </c>
      <c r="Y214" s="22">
        <f t="shared" si="1761"/>
        <v>3019.8500000000008</v>
      </c>
      <c r="Z214" s="22">
        <f t="shared" ref="Z214:AA214" si="1762">Z210+Z213</f>
        <v>2532.7499999999982</v>
      </c>
      <c r="AA214" s="22">
        <f t="shared" si="1762"/>
        <v>8301.529999999997</v>
      </c>
      <c r="AB214" s="21">
        <f t="shared" ref="AA214:AD214" si="1763">AB210+AB213</f>
        <v>3548.4243790321852</v>
      </c>
      <c r="AC214" s="21">
        <f t="shared" si="1763"/>
        <v>5130.6154879687956</v>
      </c>
      <c r="AD214" s="21">
        <f t="shared" si="1763"/>
        <v>6029.660944418617</v>
      </c>
      <c r="AE214" s="21">
        <f t="shared" ref="AE214" si="1764">AE210+AE213</f>
        <v>6249.6397849407849</v>
      </c>
      <c r="AI214" s="22">
        <f t="shared" ref="AI214" si="1765">AI210+AI213</f>
        <v>122</v>
      </c>
      <c r="AJ214" s="22">
        <f t="shared" ref="AJ214:AL214" si="1766">AJ210+AJ213</f>
        <v>-105.10000000000014</v>
      </c>
      <c r="AK214" s="22">
        <f t="shared" si="1766"/>
        <v>103.05668806161748</v>
      </c>
      <c r="AL214" s="22">
        <f t="shared" si="1766"/>
        <v>185.0433119383826</v>
      </c>
      <c r="AM214" s="22">
        <f t="shared" ref="AM214" si="1767">AM210+AM213</f>
        <v>107.49999999999977</v>
      </c>
      <c r="AN214" s="22">
        <f t="shared" ref="AN214:CD214" si="1768">AN210+AN213</f>
        <v>208.50000000000023</v>
      </c>
      <c r="AO214" s="22">
        <f t="shared" si="1768"/>
        <v>158.11934156378629</v>
      </c>
      <c r="AP214" s="22">
        <f t="shared" si="1768"/>
        <v>-7.1193415637862927</v>
      </c>
      <c r="AQ214" s="22">
        <f t="shared" si="1768"/>
        <v>338.25387755102042</v>
      </c>
      <c r="AR214" s="22">
        <f t="shared" si="1768"/>
        <v>313.74612244897958</v>
      </c>
      <c r="AS214" s="22">
        <f t="shared" si="1768"/>
        <v>240.1248972884141</v>
      </c>
      <c r="AT214" s="22">
        <f t="shared" si="1768"/>
        <v>-75.124897288414104</v>
      </c>
      <c r="AU214" s="22">
        <f t="shared" si="1768"/>
        <v>138.70623916811064</v>
      </c>
      <c r="AV214" s="22">
        <f t="shared" si="1768"/>
        <v>1650.2937608318894</v>
      </c>
      <c r="AW214" s="22">
        <f t="shared" si="1768"/>
        <v>407.77672770230402</v>
      </c>
      <c r="AX214" s="22">
        <f t="shared" si="1768"/>
        <v>374.22327229769598</v>
      </c>
      <c r="AY214" s="22">
        <f t="shared" si="1768"/>
        <v>342.75449101796448</v>
      </c>
      <c r="AZ214" s="22">
        <f t="shared" si="1768"/>
        <v>162.24550898203552</v>
      </c>
      <c r="BA214" s="22">
        <f t="shared" si="1768"/>
        <v>297.09167249825123</v>
      </c>
      <c r="BB214" s="22">
        <f t="shared" si="1768"/>
        <v>-228.09167249825123</v>
      </c>
      <c r="BC214" s="22">
        <f t="shared" si="1768"/>
        <v>306.20920502092031</v>
      </c>
      <c r="BD214" s="22">
        <f t="shared" si="1768"/>
        <v>410.79079497907969</v>
      </c>
      <c r="BE214" s="22">
        <f t="shared" si="1768"/>
        <v>125.67254763585106</v>
      </c>
      <c r="BF214" s="22">
        <f t="shared" si="1768"/>
        <v>431.32745236414894</v>
      </c>
      <c r="BG214" s="22">
        <f t="shared" si="1768"/>
        <v>200.46604215456637</v>
      </c>
      <c r="BH214" s="22">
        <f t="shared" si="1768"/>
        <v>581.53395784543363</v>
      </c>
      <c r="BI214" s="22">
        <f t="shared" si="1768"/>
        <v>288.85058078141628</v>
      </c>
      <c r="BJ214" s="22">
        <f t="shared" si="1768"/>
        <v>445.14941921858372</v>
      </c>
      <c r="BK214" s="22">
        <f t="shared" si="1768"/>
        <v>262.14331896551812</v>
      </c>
      <c r="BL214" s="22">
        <f t="shared" si="1768"/>
        <v>374.85668103448188</v>
      </c>
      <c r="BM214" s="22">
        <f t="shared" si="1768"/>
        <v>443.46882793017539</v>
      </c>
      <c r="BN214" s="22">
        <f t="shared" si="1768"/>
        <v>223.53117206982461</v>
      </c>
      <c r="BO214" s="22">
        <f t="shared" si="1768"/>
        <v>383.13566289825303</v>
      </c>
      <c r="BP214" s="22">
        <f t="shared" si="1768"/>
        <v>497.86433710174697</v>
      </c>
      <c r="BQ214" s="22">
        <f t="shared" si="1768"/>
        <v>483.50223103619192</v>
      </c>
      <c r="BR214" s="22">
        <f t="shared" si="1768"/>
        <v>-1092.5022310361919</v>
      </c>
      <c r="BS214" s="22">
        <f t="shared" si="1768"/>
        <v>277.65926690758897</v>
      </c>
      <c r="BT214" s="22">
        <f t="shared" si="1768"/>
        <v>524.34073309241103</v>
      </c>
      <c r="BU214" s="22">
        <f t="shared" si="1768"/>
        <v>448.41974730931179</v>
      </c>
      <c r="BV214" s="22">
        <f t="shared" si="1768"/>
        <v>-179.41974730931179</v>
      </c>
      <c r="BW214" s="22">
        <f t="shared" si="1768"/>
        <v>263.60534960112636</v>
      </c>
      <c r="BX214" s="22">
        <f t="shared" si="1768"/>
        <v>849.39465039887364</v>
      </c>
      <c r="BY214" s="22">
        <f t="shared" si="1768"/>
        <v>257.58838934962887</v>
      </c>
      <c r="BZ214" s="22">
        <f t="shared" si="1768"/>
        <v>1016.4116106503711</v>
      </c>
      <c r="CA214" s="22">
        <f t="shared" si="1768"/>
        <v>468.83942191890765</v>
      </c>
      <c r="CB214" s="22">
        <f t="shared" si="1768"/>
        <v>866.16057808109235</v>
      </c>
      <c r="CC214" s="22">
        <f t="shared" si="1768"/>
        <v>593.50075187969924</v>
      </c>
      <c r="CD214" s="22">
        <f t="shared" si="1768"/>
        <v>1077.4992481203008</v>
      </c>
      <c r="CE214" s="22">
        <f t="shared" ref="CE214:CF214" si="1769">CE210+CE213</f>
        <v>569.52786885245996</v>
      </c>
      <c r="CF214" s="22">
        <f t="shared" si="1769"/>
        <v>1053.47213114754</v>
      </c>
      <c r="CG214" s="22">
        <f t="shared" ref="CG214:CH214" si="1770">CG210+CG213</f>
        <v>753.67185877466272</v>
      </c>
      <c r="CH214" s="22">
        <f t="shared" si="1770"/>
        <v>313.82814122533756</v>
      </c>
      <c r="CI214" s="22">
        <f t="shared" ref="CI214:CJ214" si="1771">CI210+CI213</f>
        <v>623.84138898276433</v>
      </c>
      <c r="CJ214" s="22">
        <f t="shared" si="1771"/>
        <v>211.65861101723544</v>
      </c>
      <c r="CK214" s="22">
        <f t="shared" ref="CK214:DB214" si="1772">CK210+CK213</f>
        <v>840.30436099333792</v>
      </c>
      <c r="CL214" s="22">
        <f t="shared" si="1772"/>
        <v>5964.6956390066625</v>
      </c>
      <c r="CM214" s="21">
        <f t="shared" si="1772"/>
        <v>1252.1688953602154</v>
      </c>
      <c r="CN214" s="21">
        <f t="shared" si="1772"/>
        <v>1008.2439637115579</v>
      </c>
      <c r="CO214" s="21">
        <f t="shared" si="1772"/>
        <v>1096.3962040931337</v>
      </c>
      <c r="CP214" s="21">
        <f t="shared" si="1772"/>
        <v>852.40531586727616</v>
      </c>
      <c r="CQ214" s="21">
        <f t="shared" si="1772"/>
        <v>1528.392422926355</v>
      </c>
      <c r="CR214" s="21">
        <f t="shared" si="1772"/>
        <v>1217.6078473392577</v>
      </c>
      <c r="CS214" s="21">
        <f t="shared" si="1772"/>
        <v>1323.7313506311787</v>
      </c>
      <c r="CT214" s="21">
        <f t="shared" si="1772"/>
        <v>1060.8838670720058</v>
      </c>
      <c r="CU214" s="21">
        <f t="shared" si="1772"/>
        <v>1935.7296408306909</v>
      </c>
      <c r="CV214" s="21">
        <f t="shared" si="1772"/>
        <v>1409.7582787384608</v>
      </c>
      <c r="CW214" s="21">
        <f t="shared" si="1772"/>
        <v>1476.4330090028459</v>
      </c>
      <c r="CX214" s="21">
        <f t="shared" si="1772"/>
        <v>1207.7400158466196</v>
      </c>
      <c r="CY214" s="21">
        <f t="shared" si="1772"/>
        <v>2021.5642413520088</v>
      </c>
      <c r="CZ214" s="21">
        <f t="shared" si="1772"/>
        <v>1468.2514055106296</v>
      </c>
      <c r="DA214" s="21">
        <f t="shared" si="1772"/>
        <v>1527.1107173070359</v>
      </c>
      <c r="DB214" s="21">
        <f t="shared" si="1772"/>
        <v>1232.7134207711115</v>
      </c>
      <c r="DE214" s="126"/>
      <c r="DF214" s="22">
        <v>816.02413619002095</v>
      </c>
    </row>
    <row r="215" spans="1:110" s="23" customFormat="1" x14ac:dyDescent="0.2"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92</v>
      </c>
      <c r="C216" s="22">
        <f t="shared" ref="C216:W216" si="1773">C217+C218</f>
        <v>25.873900000000049</v>
      </c>
      <c r="D216" s="22">
        <f>D217+D218</f>
        <v>-23.562899999999985</v>
      </c>
      <c r="E216" s="22">
        <f t="shared" si="1773"/>
        <v>-40.072600000000016</v>
      </c>
      <c r="F216" s="22">
        <f t="shared" si="1773"/>
        <v>-106.05539999999999</v>
      </c>
      <c r="G216" s="22">
        <f t="shared" si="1773"/>
        <v>-133.08750000000001</v>
      </c>
      <c r="H216" s="22">
        <f t="shared" si="1773"/>
        <v>-94.910800000000037</v>
      </c>
      <c r="I216" s="22">
        <f t="shared" si="1773"/>
        <v>-141.85549999999998</v>
      </c>
      <c r="J216" s="22">
        <f t="shared" si="1773"/>
        <v>-54.860400000000055</v>
      </c>
      <c r="K216" s="22">
        <f t="shared" si="1773"/>
        <v>-152.37869999999998</v>
      </c>
      <c r="L216" s="22">
        <f t="shared" si="1773"/>
        <v>-227.9683</v>
      </c>
      <c r="M216" s="22">
        <f t="shared" si="1773"/>
        <v>-199.46410000000014</v>
      </c>
      <c r="N216" s="22">
        <f t="shared" si="1773"/>
        <v>-234.66000000000008</v>
      </c>
      <c r="O216" s="22">
        <f t="shared" si="1773"/>
        <v>-391.34999999999968</v>
      </c>
      <c r="P216" s="22">
        <f t="shared" si="1773"/>
        <v>-2292.31</v>
      </c>
      <c r="Q216" s="22">
        <f t="shared" si="1773"/>
        <v>-627.25000000000023</v>
      </c>
      <c r="R216" s="22">
        <f t="shared" si="1773"/>
        <v>-614.19000000000051</v>
      </c>
      <c r="S216" s="22">
        <f t="shared" si="1773"/>
        <v>-4702.2899999999991</v>
      </c>
      <c r="T216" s="22">
        <f t="shared" si="1773"/>
        <v>-482.90000000000327</v>
      </c>
      <c r="U216" s="22">
        <f t="shared" si="1773"/>
        <v>-534.59999999999582</v>
      </c>
      <c r="V216" s="22">
        <f t="shared" si="1773"/>
        <v>-406.75000000000273</v>
      </c>
      <c r="W216" s="22">
        <f t="shared" si="1773"/>
        <v>239.13999999999919</v>
      </c>
      <c r="X216" s="22">
        <f t="shared" ref="X216:Y216" si="1774">X217+X218</f>
        <v>-2541.3399999999992</v>
      </c>
      <c r="Y216" s="22">
        <f t="shared" si="1774"/>
        <v>-409.13999999999908</v>
      </c>
      <c r="Z216" s="22">
        <f t="shared" ref="Z216:AA216" si="1775">Z217+Z218</f>
        <v>-733.12000000000216</v>
      </c>
      <c r="AA216" s="22">
        <f t="shared" si="1775"/>
        <v>-26565.18</v>
      </c>
      <c r="AB216" s="21">
        <f t="shared" ref="AA216:AD216" si="1776">AB217+AB218</f>
        <v>-1739.0799999999972</v>
      </c>
      <c r="AC216" s="21">
        <f t="shared" si="1776"/>
        <v>-2400</v>
      </c>
      <c r="AD216" s="21">
        <f t="shared" si="1776"/>
        <v>-2400</v>
      </c>
      <c r="AE216" s="21">
        <f t="shared" ref="AE216" si="1777">AE217+AE218</f>
        <v>-2400</v>
      </c>
      <c r="AI216" s="22">
        <f t="shared" ref="AI216" si="1778">AI217+AI218</f>
        <v>-20</v>
      </c>
      <c r="AJ216" s="22">
        <f t="shared" ref="AJ216:AL216" si="1779">AJ217+AJ218</f>
        <v>-1078.98</v>
      </c>
      <c r="AK216" s="22">
        <f t="shared" si="1779"/>
        <v>-21</v>
      </c>
      <c r="AL216" s="22">
        <f t="shared" si="1779"/>
        <v>-68.019999999999953</v>
      </c>
      <c r="AM216" s="22">
        <f t="shared" ref="AM216" si="1780">AM217+AM218</f>
        <v>-21</v>
      </c>
      <c r="AN216" s="22">
        <f t="shared" ref="AN216:CD216" si="1781">AN217+AN218</f>
        <v>-193</v>
      </c>
      <c r="AO216" s="22">
        <f t="shared" si="1781"/>
        <v>-21</v>
      </c>
      <c r="AP216" s="22">
        <f t="shared" si="1781"/>
        <v>-156</v>
      </c>
      <c r="AQ216" s="22">
        <f t="shared" si="1781"/>
        <v>-21</v>
      </c>
      <c r="AR216" s="22">
        <f t="shared" si="1781"/>
        <v>-2131</v>
      </c>
      <c r="AS216" s="22">
        <f t="shared" si="1781"/>
        <v>-54</v>
      </c>
      <c r="AT216" s="22">
        <f t="shared" si="1781"/>
        <v>-87</v>
      </c>
      <c r="AU216" s="22">
        <f t="shared" si="1781"/>
        <v>-57</v>
      </c>
      <c r="AV216" s="22">
        <f t="shared" si="1781"/>
        <v>-464</v>
      </c>
      <c r="AW216" s="22">
        <f t="shared" si="1781"/>
        <v>-59</v>
      </c>
      <c r="AX216" s="22">
        <f t="shared" si="1781"/>
        <v>-48</v>
      </c>
      <c r="AY216" s="22">
        <f t="shared" si="1781"/>
        <v>-68</v>
      </c>
      <c r="AZ216" s="22">
        <f t="shared" si="1781"/>
        <v>-259</v>
      </c>
      <c r="BA216" s="22">
        <f t="shared" si="1781"/>
        <v>-73</v>
      </c>
      <c r="BB216" s="22">
        <f t="shared" si="1781"/>
        <v>-214</v>
      </c>
      <c r="BC216" s="22">
        <f t="shared" si="1781"/>
        <v>-80</v>
      </c>
      <c r="BD216" s="22">
        <f t="shared" si="1781"/>
        <v>-296</v>
      </c>
      <c r="BE216" s="22">
        <f t="shared" si="1781"/>
        <v>-94</v>
      </c>
      <c r="BF216" s="22">
        <f t="shared" si="1781"/>
        <v>-4233</v>
      </c>
      <c r="BG216" s="22">
        <f t="shared" si="1781"/>
        <v>-150</v>
      </c>
      <c r="BH216" s="22">
        <f t="shared" si="1781"/>
        <v>-44</v>
      </c>
      <c r="BI216" s="22">
        <f t="shared" si="1781"/>
        <v>-156</v>
      </c>
      <c r="BJ216" s="22">
        <f t="shared" si="1781"/>
        <v>-133</v>
      </c>
      <c r="BK216" s="22">
        <f t="shared" si="1781"/>
        <v>-160</v>
      </c>
      <c r="BL216" s="22">
        <f t="shared" si="1781"/>
        <v>40</v>
      </c>
      <c r="BM216" s="22">
        <f t="shared" si="1781"/>
        <v>-163</v>
      </c>
      <c r="BN216" s="22">
        <f t="shared" si="1781"/>
        <v>-116</v>
      </c>
      <c r="BO216" s="22">
        <f t="shared" si="1781"/>
        <v>-161</v>
      </c>
      <c r="BP216" s="22">
        <f t="shared" si="1781"/>
        <v>-16</v>
      </c>
      <c r="BQ216" s="22">
        <f t="shared" si="1781"/>
        <v>-167</v>
      </c>
      <c r="BR216" s="22">
        <f t="shared" si="1781"/>
        <v>-72</v>
      </c>
      <c r="BS216" s="22">
        <f t="shared" si="1781"/>
        <v>-165</v>
      </c>
      <c r="BT216" s="22">
        <f t="shared" si="1781"/>
        <v>21</v>
      </c>
      <c r="BU216" s="22">
        <f t="shared" si="1781"/>
        <v>-167</v>
      </c>
      <c r="BV216" s="22">
        <f t="shared" si="1781"/>
        <v>553</v>
      </c>
      <c r="BW216" s="22">
        <f t="shared" si="1781"/>
        <v>-155</v>
      </c>
      <c r="BX216" s="22">
        <f t="shared" si="1781"/>
        <v>-206</v>
      </c>
      <c r="BY216" s="22">
        <f t="shared" si="1781"/>
        <v>-193</v>
      </c>
      <c r="BZ216" s="22">
        <f t="shared" si="1781"/>
        <v>-1972</v>
      </c>
      <c r="CA216" s="22">
        <f t="shared" si="1781"/>
        <v>-191</v>
      </c>
      <c r="CB216" s="22">
        <f t="shared" si="1781"/>
        <v>55</v>
      </c>
      <c r="CC216" s="22">
        <f t="shared" si="1781"/>
        <v>-213</v>
      </c>
      <c r="CD216" s="22">
        <f t="shared" si="1781"/>
        <v>-47</v>
      </c>
      <c r="CE216" s="22">
        <f t="shared" ref="CE216:CF216" si="1782">CE217+CE218</f>
        <v>-197</v>
      </c>
      <c r="CF216" s="22">
        <f t="shared" si="1782"/>
        <v>-19</v>
      </c>
      <c r="CG216" s="22">
        <f t="shared" ref="CG216:CH216" si="1783">CG217+CG218</f>
        <v>-199</v>
      </c>
      <c r="CH216" s="22">
        <f t="shared" si="1783"/>
        <v>-475.61000000000087</v>
      </c>
      <c r="CI216" s="22">
        <f t="shared" ref="CI216:CJ216" si="1784">CI217+CI218</f>
        <v>0</v>
      </c>
      <c r="CJ216" s="22">
        <f t="shared" si="1784"/>
        <v>-16.389999999999127</v>
      </c>
      <c r="CK216" s="22">
        <f t="shared" ref="CK216:DB216" si="1785">CK217+CK218</f>
        <v>-99.999999999999091</v>
      </c>
      <c r="CL216" s="22">
        <f t="shared" si="1785"/>
        <v>-25788</v>
      </c>
      <c r="CM216" s="21">
        <f t="shared" si="1785"/>
        <v>-600.00000000000364</v>
      </c>
      <c r="CN216" s="21">
        <f t="shared" si="1785"/>
        <v>-599.99999999999272</v>
      </c>
      <c r="CO216" s="21">
        <f t="shared" si="1785"/>
        <v>-600</v>
      </c>
      <c r="CP216" s="21">
        <f t="shared" si="1785"/>
        <v>-600</v>
      </c>
      <c r="CQ216" s="21">
        <f t="shared" si="1785"/>
        <v>-600</v>
      </c>
      <c r="CR216" s="21">
        <f t="shared" si="1785"/>
        <v>-600.00000000000728</v>
      </c>
      <c r="CS216" s="21">
        <f t="shared" si="1785"/>
        <v>-600</v>
      </c>
      <c r="CT216" s="21">
        <f t="shared" si="1785"/>
        <v>-599.99999999999272</v>
      </c>
      <c r="CU216" s="21">
        <f t="shared" si="1785"/>
        <v>-600</v>
      </c>
      <c r="CV216" s="21">
        <f t="shared" si="1785"/>
        <v>-600</v>
      </c>
      <c r="CW216" s="21">
        <f t="shared" si="1785"/>
        <v>-600</v>
      </c>
      <c r="CX216" s="21">
        <f t="shared" si="1785"/>
        <v>-600</v>
      </c>
      <c r="CY216" s="21">
        <f t="shared" si="1785"/>
        <v>-600</v>
      </c>
      <c r="CZ216" s="21">
        <f t="shared" si="1785"/>
        <v>-600</v>
      </c>
      <c r="DA216" s="21">
        <f t="shared" si="1785"/>
        <v>-600</v>
      </c>
      <c r="DB216" s="21">
        <f t="shared" si="1785"/>
        <v>-600</v>
      </c>
      <c r="DE216" s="126"/>
      <c r="DF216" s="22">
        <v>-300</v>
      </c>
    </row>
    <row r="217" spans="1:110" s="23" customFormat="1" x14ac:dyDescent="0.2">
      <c r="A217" s="23" t="s">
        <v>93</v>
      </c>
      <c r="C217" s="23">
        <f t="shared" ref="C217:AA217" si="1786">B155-C155</f>
        <v>44.124099999999999</v>
      </c>
      <c r="D217" s="23">
        <f t="shared" si="1786"/>
        <v>-0.46060000000000012</v>
      </c>
      <c r="E217" s="23">
        <f>D155-E155</f>
        <v>1.685499999999998</v>
      </c>
      <c r="F217" s="23">
        <f t="shared" si="1786"/>
        <v>-0.10849999999999001</v>
      </c>
      <c r="G217" s="23">
        <f t="shared" si="1786"/>
        <v>4.1999999999920157E-3</v>
      </c>
      <c r="H217" s="23">
        <f t="shared" si="1786"/>
        <v>2.360000000000001E-2</v>
      </c>
      <c r="I217" s="23">
        <f t="shared" si="1786"/>
        <v>-18.929900000000004</v>
      </c>
      <c r="J217" s="23">
        <f>I155-J155</f>
        <v>8.7500000000002132E-2</v>
      </c>
      <c r="K217" s="23">
        <f>J155-K155</f>
        <v>0</v>
      </c>
      <c r="L217" s="23">
        <f t="shared" si="1786"/>
        <v>-0.9532999999999987</v>
      </c>
      <c r="M217" s="23">
        <f t="shared" si="1786"/>
        <v>-17.520800000000005</v>
      </c>
      <c r="N217" s="23">
        <f t="shared" si="1786"/>
        <v>37.49</v>
      </c>
      <c r="O217" s="23">
        <f t="shared" si="1786"/>
        <v>0</v>
      </c>
      <c r="P217" s="23">
        <f t="shared" si="1786"/>
        <v>-0.03</v>
      </c>
      <c r="Q217" s="23">
        <f t="shared" si="1786"/>
        <v>-0.03</v>
      </c>
      <c r="R217" s="23">
        <f t="shared" si="1786"/>
        <v>0</v>
      </c>
      <c r="S217" s="23">
        <f t="shared" si="1786"/>
        <v>0</v>
      </c>
      <c r="T217" s="23">
        <f t="shared" si="1786"/>
        <v>-1.9999999999999998</v>
      </c>
      <c r="U217" s="23">
        <f t="shared" si="1786"/>
        <v>0</v>
      </c>
      <c r="V217" s="23">
        <f t="shared" si="1786"/>
        <v>-40</v>
      </c>
      <c r="W217" s="23">
        <f t="shared" si="1786"/>
        <v>-0.23999999999999488</v>
      </c>
      <c r="X217" s="23">
        <f t="shared" si="1786"/>
        <v>-0.37000000000000455</v>
      </c>
      <c r="Y217" s="23">
        <f t="shared" si="1786"/>
        <v>10.900000000000002</v>
      </c>
      <c r="Z217" s="23">
        <f t="shared" si="1786"/>
        <v>-11.77</v>
      </c>
      <c r="AA217" s="23">
        <f t="shared" si="1786"/>
        <v>-39.050000000000004</v>
      </c>
      <c r="AB217" s="24">
        <f t="shared" ref="AB217" si="1787">AA155-AB155</f>
        <v>-13.379999999999995</v>
      </c>
      <c r="AC217" s="24">
        <f t="shared" ref="AC217" si="1788">AB155-AC155</f>
        <v>0</v>
      </c>
      <c r="AD217" s="24">
        <f t="shared" ref="AD217" si="1789">AC155-AD155</f>
        <v>0</v>
      </c>
      <c r="AE217" s="24">
        <f t="shared" ref="AE217" si="1790">AD155-AE155</f>
        <v>0</v>
      </c>
      <c r="AI217" s="23">
        <f t="shared" ref="AI217" si="1791">AH155-AI155</f>
        <v>0</v>
      </c>
      <c r="AJ217" s="23">
        <f t="shared" ref="AJ217" si="1792">AI155-AJ155</f>
        <v>-37.520000000000003</v>
      </c>
      <c r="AK217" s="23">
        <f t="shared" ref="AK217" si="1793">AJ155-AK155</f>
        <v>0</v>
      </c>
      <c r="AL217" s="23">
        <f t="shared" ref="AL217" si="1794">AK155-AL155</f>
        <v>37.520000000000003</v>
      </c>
      <c r="AM217" s="23">
        <f t="shared" ref="AM217" si="1795">AL155-AM155</f>
        <v>0</v>
      </c>
      <c r="AN217" s="23">
        <f t="shared" ref="AN217" si="1796">AM155-AN155</f>
        <v>0</v>
      </c>
      <c r="AO217" s="23">
        <f t="shared" ref="AO217" si="1797">AN155-AO155</f>
        <v>0</v>
      </c>
      <c r="AP217" s="23">
        <f t="shared" ref="AP217" si="1798">AO155-AP155</f>
        <v>0</v>
      </c>
      <c r="AQ217" s="23">
        <f t="shared" ref="AQ217" si="1799">AP155-AQ155</f>
        <v>0</v>
      </c>
      <c r="AR217" s="23">
        <f t="shared" ref="AR217" si="1800">AQ155-AR155</f>
        <v>0</v>
      </c>
      <c r="AS217" s="23">
        <f t="shared" ref="AS217" si="1801">AR155-AS155</f>
        <v>0</v>
      </c>
      <c r="AT217" s="23">
        <f t="shared" ref="AT217" si="1802">AS155-AT155</f>
        <v>0</v>
      </c>
      <c r="AU217" s="23">
        <f t="shared" ref="AU217" si="1803">AT155-AU155</f>
        <v>0</v>
      </c>
      <c r="AV217" s="23">
        <f t="shared" ref="AV217" si="1804">AU155-AV155</f>
        <v>0</v>
      </c>
      <c r="AW217" s="23">
        <f t="shared" ref="AW217" si="1805">AV155-AW155</f>
        <v>0</v>
      </c>
      <c r="AX217" s="23">
        <f t="shared" ref="AX217" si="1806">AW155-AX155</f>
        <v>0</v>
      </c>
      <c r="AY217" s="23">
        <f t="shared" ref="AY217" si="1807">AX155-AY155</f>
        <v>0</v>
      </c>
      <c r="AZ217" s="23">
        <f t="shared" ref="AZ217" si="1808">AY155-AZ155</f>
        <v>0</v>
      </c>
      <c r="BA217" s="23">
        <f t="shared" ref="BA217" si="1809">AZ155-BA155</f>
        <v>0</v>
      </c>
      <c r="BB217" s="23">
        <f t="shared" ref="BB217" si="1810">BA155-BB155</f>
        <v>0</v>
      </c>
      <c r="BC217" s="23">
        <f t="shared" ref="BC217" si="1811">BB155-BC155</f>
        <v>0</v>
      </c>
      <c r="BD217" s="23">
        <f t="shared" ref="BD217" si="1812">BC155-BD155</f>
        <v>0</v>
      </c>
      <c r="BE217" s="23">
        <f t="shared" ref="BE217" si="1813">BD155-BE155</f>
        <v>0</v>
      </c>
      <c r="BF217" s="23">
        <f t="shared" ref="BF217" si="1814">BE155-BF155</f>
        <v>0</v>
      </c>
      <c r="BG217" s="23">
        <f t="shared" ref="BG217" si="1815">BF155-BG155</f>
        <v>0</v>
      </c>
      <c r="BH217" s="23">
        <f t="shared" ref="BH217" si="1816">BG155-BH155</f>
        <v>-2</v>
      </c>
      <c r="BI217" s="23">
        <f t="shared" ref="BI217" si="1817">BH155-BI155</f>
        <v>0</v>
      </c>
      <c r="BJ217" s="23">
        <f t="shared" ref="BJ217" si="1818">BI155-BJ155</f>
        <v>0</v>
      </c>
      <c r="BK217" s="23">
        <f t="shared" ref="BK217" si="1819">BJ155-BK155</f>
        <v>0</v>
      </c>
      <c r="BL217" s="23">
        <f t="shared" ref="BL217" si="1820">BK155-BL155</f>
        <v>0</v>
      </c>
      <c r="BM217" s="23">
        <f t="shared" ref="BM217" si="1821">BL155-BM155</f>
        <v>0</v>
      </c>
      <c r="BN217" s="23">
        <f t="shared" ref="BN217" si="1822">BM155-BN155</f>
        <v>0</v>
      </c>
      <c r="BO217" s="23">
        <f t="shared" ref="BO217" si="1823">BN155-BO155</f>
        <v>0</v>
      </c>
      <c r="BP217" s="23">
        <f t="shared" ref="BP217" si="1824">BO155-BP155</f>
        <v>0</v>
      </c>
      <c r="BQ217" s="23">
        <f t="shared" ref="BQ217" si="1825">BP155-BQ155</f>
        <v>0</v>
      </c>
      <c r="BR217" s="23">
        <f t="shared" ref="BR217" si="1826">BQ155-BR155</f>
        <v>-40</v>
      </c>
      <c r="BS217" s="23">
        <f t="shared" ref="BS217" si="1827">BR155-BS155</f>
        <v>0</v>
      </c>
      <c r="BT217" s="23">
        <f t="shared" ref="BT217" si="1828">BS155-BT155</f>
        <v>0</v>
      </c>
      <c r="BU217" s="23">
        <f t="shared" ref="BU217" si="1829">BT155-BU155</f>
        <v>0</v>
      </c>
      <c r="BV217" s="23">
        <f t="shared" ref="BV217" si="1830">BU155-BV155</f>
        <v>0</v>
      </c>
      <c r="BW217" s="23">
        <f t="shared" ref="BW217" si="1831">BV155-BW155</f>
        <v>0</v>
      </c>
      <c r="BX217" s="23">
        <f t="shared" ref="BX217" si="1832">BW155-BX155</f>
        <v>0</v>
      </c>
      <c r="BY217" s="23">
        <f t="shared" ref="BY217" si="1833">BX155-BY155</f>
        <v>0</v>
      </c>
      <c r="BZ217" s="23">
        <f t="shared" ref="BZ217" si="1834">BY155-BZ155</f>
        <v>-1</v>
      </c>
      <c r="CA217" s="23">
        <f t="shared" ref="CA217" si="1835">BZ155-CA155</f>
        <v>0</v>
      </c>
      <c r="CB217" s="23">
        <f t="shared" ref="CB217" si="1836">CA155-CB155</f>
        <v>0</v>
      </c>
      <c r="CC217" s="23">
        <f t="shared" ref="CC217" si="1837">CB155-CC155</f>
        <v>0</v>
      </c>
      <c r="CD217" s="23">
        <f t="shared" ref="CD217" si="1838">CC155-CD155</f>
        <v>11</v>
      </c>
      <c r="CE217" s="23">
        <f t="shared" ref="CE217" si="1839">CD155-CE155</f>
        <v>0</v>
      </c>
      <c r="CF217" s="23">
        <f t="shared" ref="CF217" si="1840">CE155-CF155</f>
        <v>-10</v>
      </c>
      <c r="CG217" s="23">
        <f t="shared" ref="CG217" si="1841">CF155-CG155</f>
        <v>0</v>
      </c>
      <c r="CH217" s="23">
        <f t="shared" ref="CH217:CL217" si="1842">CG155-CH155</f>
        <v>-1.5700000000000003</v>
      </c>
      <c r="CI217" s="23">
        <f t="shared" si="1842"/>
        <v>0</v>
      </c>
      <c r="CJ217" s="23">
        <f t="shared" si="1842"/>
        <v>-0.42999999999999972</v>
      </c>
      <c r="CK217" s="23">
        <f t="shared" ref="CK217" si="1843">CJ155-CK155</f>
        <v>0</v>
      </c>
      <c r="CL217" s="23">
        <f t="shared" si="1842"/>
        <v>-52</v>
      </c>
      <c r="CM217" s="24">
        <f t="shared" ref="CM217" si="1844">CL155-CM155</f>
        <v>0</v>
      </c>
      <c r="CN217" s="24">
        <f t="shared" ref="CN217" si="1845">CM155-CN155</f>
        <v>0</v>
      </c>
      <c r="CO217" s="24">
        <f t="shared" ref="CO217" si="1846">CN155-CO155</f>
        <v>0</v>
      </c>
      <c r="CP217" s="24">
        <f t="shared" ref="CP217" si="1847">CO155-CP155</f>
        <v>0</v>
      </c>
      <c r="CQ217" s="24">
        <f t="shared" ref="CQ217" si="1848">CP155-CQ155</f>
        <v>0</v>
      </c>
      <c r="CR217" s="24">
        <f t="shared" ref="CR217" si="1849">CQ155-CR155</f>
        <v>0</v>
      </c>
      <c r="CS217" s="24">
        <f t="shared" ref="CS217" si="1850">CR155-CS155</f>
        <v>0</v>
      </c>
      <c r="CT217" s="24">
        <f t="shared" ref="CT217" si="1851">CS155-CT155</f>
        <v>0</v>
      </c>
      <c r="CU217" s="24">
        <f t="shared" ref="CU217" si="1852">CT155-CU155</f>
        <v>0</v>
      </c>
      <c r="CV217" s="24">
        <f t="shared" ref="CV217" si="1853">CU155-CV155</f>
        <v>0</v>
      </c>
      <c r="CW217" s="24">
        <f t="shared" ref="CW217" si="1854">CV155-CW155</f>
        <v>0</v>
      </c>
      <c r="CX217" s="24">
        <f t="shared" ref="CX217" si="1855">CW155-CX155</f>
        <v>0</v>
      </c>
      <c r="CY217" s="24">
        <f t="shared" ref="CY217" si="1856">CX155-CY155</f>
        <v>0</v>
      </c>
      <c r="CZ217" s="24">
        <f t="shared" ref="CZ217" si="1857">CY155-CZ155</f>
        <v>0</v>
      </c>
      <c r="DA217" s="24">
        <f t="shared" ref="DA217" si="1858">CZ155-DA155</f>
        <v>0</v>
      </c>
      <c r="DB217" s="24">
        <f t="shared" ref="DB217" si="1859">DA155-DB155</f>
        <v>0</v>
      </c>
      <c r="DE217" s="123"/>
      <c r="DF217" s="23">
        <v>0</v>
      </c>
    </row>
    <row r="218" spans="1:110" s="23" customFormat="1" x14ac:dyDescent="0.2">
      <c r="A218" s="23" t="s">
        <v>94</v>
      </c>
      <c r="C218" s="23">
        <f t="shared" ref="C218:AE218" si="1860">B153-C47-C153</f>
        <v>-18.25019999999995</v>
      </c>
      <c r="D218" s="23">
        <f t="shared" si="1860"/>
        <v>-23.102299999999985</v>
      </c>
      <c r="E218" s="23">
        <f t="shared" si="1860"/>
        <v>-41.758100000000013</v>
      </c>
      <c r="F218" s="23">
        <f t="shared" si="1860"/>
        <v>-105.9469</v>
      </c>
      <c r="G218" s="23">
        <f t="shared" si="1860"/>
        <v>-133.0917</v>
      </c>
      <c r="H218" s="23">
        <f t="shared" si="1860"/>
        <v>-94.934400000000039</v>
      </c>
      <c r="I218" s="23">
        <f t="shared" si="1860"/>
        <v>-122.92559999999997</v>
      </c>
      <c r="J218" s="23">
        <f t="shared" si="1860"/>
        <v>-54.947900000000061</v>
      </c>
      <c r="K218" s="23">
        <f t="shared" si="1860"/>
        <v>-152.37869999999998</v>
      </c>
      <c r="L218" s="23">
        <f t="shared" si="1860"/>
        <v>-227.01499999999999</v>
      </c>
      <c r="M218" s="23">
        <f t="shared" si="1860"/>
        <v>-181.94330000000014</v>
      </c>
      <c r="N218" s="23">
        <f t="shared" si="1860"/>
        <v>-272.15000000000009</v>
      </c>
      <c r="O218" s="23">
        <f t="shared" si="1860"/>
        <v>-391.34999999999968</v>
      </c>
      <c r="P218" s="23">
        <f t="shared" si="1860"/>
        <v>-2292.2799999999997</v>
      </c>
      <c r="Q218" s="23">
        <f t="shared" si="1860"/>
        <v>-627.22000000000025</v>
      </c>
      <c r="R218" s="23">
        <f t="shared" si="1860"/>
        <v>-614.19000000000051</v>
      </c>
      <c r="S218" s="23">
        <f t="shared" si="1860"/>
        <v>-4702.2899999999991</v>
      </c>
      <c r="T218" s="23">
        <f t="shared" si="1860"/>
        <v>-480.90000000000327</v>
      </c>
      <c r="U218" s="23">
        <f t="shared" si="1860"/>
        <v>-534.59999999999582</v>
      </c>
      <c r="V218" s="23">
        <f t="shared" si="1860"/>
        <v>-366.75000000000273</v>
      </c>
      <c r="W218" s="23">
        <f t="shared" si="1860"/>
        <v>239.3799999999992</v>
      </c>
      <c r="X218" s="23">
        <f t="shared" si="1860"/>
        <v>-2540.9699999999993</v>
      </c>
      <c r="Y218" s="23">
        <f t="shared" si="1860"/>
        <v>-420.03999999999905</v>
      </c>
      <c r="Z218" s="23">
        <f t="shared" si="1860"/>
        <v>-721.35000000000218</v>
      </c>
      <c r="AA218" s="23">
        <f t="shared" si="1860"/>
        <v>-26526.13</v>
      </c>
      <c r="AB218" s="24">
        <f t="shared" si="1860"/>
        <v>-1725.6999999999971</v>
      </c>
      <c r="AC218" s="24">
        <f t="shared" si="1860"/>
        <v>-2400</v>
      </c>
      <c r="AD218" s="24">
        <f t="shared" si="1860"/>
        <v>-2400</v>
      </c>
      <c r="AE218" s="24">
        <f t="shared" si="1860"/>
        <v>-2400</v>
      </c>
      <c r="AI218" s="23">
        <f t="shared" ref="AI218:BN218" si="1861">AH153-AI47-AI153</f>
        <v>-20</v>
      </c>
      <c r="AJ218" s="23">
        <f t="shared" si="1861"/>
        <v>-1041.46</v>
      </c>
      <c r="AK218" s="23">
        <f t="shared" si="1861"/>
        <v>-21</v>
      </c>
      <c r="AL218" s="23">
        <f t="shared" si="1861"/>
        <v>-105.53999999999996</v>
      </c>
      <c r="AM218" s="23">
        <f t="shared" si="1861"/>
        <v>-21</v>
      </c>
      <c r="AN218" s="23">
        <f t="shared" si="1861"/>
        <v>-193</v>
      </c>
      <c r="AO218" s="23">
        <f t="shared" si="1861"/>
        <v>-21</v>
      </c>
      <c r="AP218" s="23">
        <f t="shared" si="1861"/>
        <v>-156</v>
      </c>
      <c r="AQ218" s="23">
        <f t="shared" si="1861"/>
        <v>-21</v>
      </c>
      <c r="AR218" s="23">
        <f t="shared" si="1861"/>
        <v>-2131</v>
      </c>
      <c r="AS218" s="23">
        <f t="shared" si="1861"/>
        <v>-54</v>
      </c>
      <c r="AT218" s="23">
        <f t="shared" si="1861"/>
        <v>-87</v>
      </c>
      <c r="AU218" s="23">
        <f t="shared" si="1861"/>
        <v>-57</v>
      </c>
      <c r="AV218" s="23">
        <f t="shared" si="1861"/>
        <v>-464</v>
      </c>
      <c r="AW218" s="23">
        <f t="shared" si="1861"/>
        <v>-59</v>
      </c>
      <c r="AX218" s="23">
        <f t="shared" si="1861"/>
        <v>-48</v>
      </c>
      <c r="AY218" s="23">
        <f t="shared" si="1861"/>
        <v>-68</v>
      </c>
      <c r="AZ218" s="23">
        <f t="shared" si="1861"/>
        <v>-259</v>
      </c>
      <c r="BA218" s="23">
        <f t="shared" si="1861"/>
        <v>-73</v>
      </c>
      <c r="BB218" s="23">
        <f t="shared" si="1861"/>
        <v>-214</v>
      </c>
      <c r="BC218" s="23">
        <f t="shared" si="1861"/>
        <v>-80</v>
      </c>
      <c r="BD218" s="23">
        <f t="shared" si="1861"/>
        <v>-296</v>
      </c>
      <c r="BE218" s="23">
        <f t="shared" si="1861"/>
        <v>-94</v>
      </c>
      <c r="BF218" s="23">
        <f t="shared" si="1861"/>
        <v>-4233</v>
      </c>
      <c r="BG218" s="23">
        <f t="shared" si="1861"/>
        <v>-150</v>
      </c>
      <c r="BH218" s="23">
        <f t="shared" si="1861"/>
        <v>-42</v>
      </c>
      <c r="BI218" s="23">
        <f t="shared" si="1861"/>
        <v>-156</v>
      </c>
      <c r="BJ218" s="23">
        <f t="shared" si="1861"/>
        <v>-133</v>
      </c>
      <c r="BK218" s="23">
        <f t="shared" si="1861"/>
        <v>-160</v>
      </c>
      <c r="BL218" s="23">
        <f t="shared" si="1861"/>
        <v>40</v>
      </c>
      <c r="BM218" s="23">
        <f t="shared" si="1861"/>
        <v>-163</v>
      </c>
      <c r="BN218" s="23">
        <f t="shared" si="1861"/>
        <v>-116</v>
      </c>
      <c r="BO218" s="23">
        <f t="shared" ref="BO218:CT218" si="1862">BN153-BO47-BO153</f>
        <v>-161</v>
      </c>
      <c r="BP218" s="23">
        <f t="shared" si="1862"/>
        <v>-16</v>
      </c>
      <c r="BQ218" s="23">
        <f t="shared" si="1862"/>
        <v>-167</v>
      </c>
      <c r="BR218" s="23">
        <f t="shared" si="1862"/>
        <v>-32</v>
      </c>
      <c r="BS218" s="23">
        <f t="shared" si="1862"/>
        <v>-165</v>
      </c>
      <c r="BT218" s="23">
        <f t="shared" si="1862"/>
        <v>21</v>
      </c>
      <c r="BU218" s="23">
        <f t="shared" si="1862"/>
        <v>-167</v>
      </c>
      <c r="BV218" s="23">
        <f t="shared" si="1862"/>
        <v>553</v>
      </c>
      <c r="BW218" s="23">
        <f t="shared" si="1862"/>
        <v>-155</v>
      </c>
      <c r="BX218" s="23">
        <f t="shared" si="1862"/>
        <v>-206</v>
      </c>
      <c r="BY218" s="23">
        <f t="shared" si="1862"/>
        <v>-193</v>
      </c>
      <c r="BZ218" s="23">
        <f t="shared" si="1862"/>
        <v>-1971</v>
      </c>
      <c r="CA218" s="23">
        <f t="shared" si="1862"/>
        <v>-191</v>
      </c>
      <c r="CB218" s="23">
        <f t="shared" si="1862"/>
        <v>55</v>
      </c>
      <c r="CC218" s="23">
        <f t="shared" si="1862"/>
        <v>-213</v>
      </c>
      <c r="CD218" s="23">
        <f t="shared" si="1862"/>
        <v>-58</v>
      </c>
      <c r="CE218" s="23">
        <f t="shared" si="1862"/>
        <v>-197</v>
      </c>
      <c r="CF218" s="23">
        <f t="shared" si="1862"/>
        <v>-9</v>
      </c>
      <c r="CG218" s="23">
        <f t="shared" si="1862"/>
        <v>-199</v>
      </c>
      <c r="CH218" s="23">
        <f t="shared" si="1862"/>
        <v>-474.04000000000087</v>
      </c>
      <c r="CI218" s="23">
        <f t="shared" si="1862"/>
        <v>0</v>
      </c>
      <c r="CJ218" s="23">
        <f t="shared" si="1862"/>
        <v>-15.959999999999127</v>
      </c>
      <c r="CK218" s="23">
        <f t="shared" si="1862"/>
        <v>-99.999999999999091</v>
      </c>
      <c r="CL218" s="23">
        <f t="shared" si="1862"/>
        <v>-25736</v>
      </c>
      <c r="CM218" s="24">
        <f t="shared" si="1862"/>
        <v>-600.00000000000364</v>
      </c>
      <c r="CN218" s="24">
        <f t="shared" si="1862"/>
        <v>-599.99999999999272</v>
      </c>
      <c r="CO218" s="24">
        <f t="shared" si="1862"/>
        <v>-600</v>
      </c>
      <c r="CP218" s="24">
        <f t="shared" si="1862"/>
        <v>-600</v>
      </c>
      <c r="CQ218" s="24">
        <f t="shared" si="1862"/>
        <v>-600</v>
      </c>
      <c r="CR218" s="24">
        <f t="shared" si="1862"/>
        <v>-600.00000000000728</v>
      </c>
      <c r="CS218" s="24">
        <f t="shared" si="1862"/>
        <v>-600</v>
      </c>
      <c r="CT218" s="24">
        <f t="shared" si="1862"/>
        <v>-599.99999999999272</v>
      </c>
      <c r="CU218" s="24">
        <f t="shared" ref="CU218:DB218" si="1863">CT153-CU47-CU153</f>
        <v>-600</v>
      </c>
      <c r="CV218" s="24">
        <f t="shared" si="1863"/>
        <v>-600</v>
      </c>
      <c r="CW218" s="24">
        <f t="shared" si="1863"/>
        <v>-600</v>
      </c>
      <c r="CX218" s="24">
        <f t="shared" si="1863"/>
        <v>-600</v>
      </c>
      <c r="CY218" s="24">
        <f t="shared" si="1863"/>
        <v>-600</v>
      </c>
      <c r="CZ218" s="24">
        <f t="shared" si="1863"/>
        <v>-600</v>
      </c>
      <c r="DA218" s="24">
        <f t="shared" si="1863"/>
        <v>-600</v>
      </c>
      <c r="DB218" s="24">
        <f t="shared" si="1863"/>
        <v>-600</v>
      </c>
      <c r="DE218" s="123"/>
      <c r="DF218" s="23">
        <v>-300</v>
      </c>
    </row>
    <row r="219" spans="1:110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95</v>
      </c>
      <c r="C220" s="22">
        <f t="shared" ref="C220:W220" si="1864">C221+C222</f>
        <v>-125.14809999999997</v>
      </c>
      <c r="D220" s="22">
        <f t="shared" si="1864"/>
        <v>-37.28419999999997</v>
      </c>
      <c r="E220" s="22">
        <f t="shared" si="1864"/>
        <v>-23.21530000000002</v>
      </c>
      <c r="F220" s="22">
        <f t="shared" si="1864"/>
        <v>193.07480000000001</v>
      </c>
      <c r="G220" s="22">
        <f t="shared" si="1864"/>
        <v>34.495200000000096</v>
      </c>
      <c r="H220" s="22">
        <f t="shared" si="1864"/>
        <v>2.3918999999997936</v>
      </c>
      <c r="I220" s="22">
        <f t="shared" si="1864"/>
        <v>25.496900000000096</v>
      </c>
      <c r="J220" s="22">
        <f t="shared" si="1864"/>
        <v>79.775100000000236</v>
      </c>
      <c r="K220" s="22">
        <f t="shared" si="1864"/>
        <v>-11.315400000000182</v>
      </c>
      <c r="L220" s="22">
        <f t="shared" si="1864"/>
        <v>-27.483400000000671</v>
      </c>
      <c r="M220" s="22">
        <f t="shared" si="1864"/>
        <v>-104.04029999999952</v>
      </c>
      <c r="N220" s="22">
        <f t="shared" si="1864"/>
        <v>-93.550000000000068</v>
      </c>
      <c r="O220" s="22">
        <f t="shared" si="1864"/>
        <v>255.4399999999994</v>
      </c>
      <c r="P220" s="22">
        <f t="shared" si="1864"/>
        <v>1445.8100000000002</v>
      </c>
      <c r="Q220" s="22">
        <f t="shared" si="1864"/>
        <v>-1118.3400000000011</v>
      </c>
      <c r="R220" s="22">
        <f t="shared" si="1864"/>
        <v>80.960000000001656</v>
      </c>
      <c r="S220" s="22">
        <f t="shared" si="1864"/>
        <v>3546.1699999999983</v>
      </c>
      <c r="T220" s="22">
        <f t="shared" si="1864"/>
        <v>-758.86000000000104</v>
      </c>
      <c r="U220" s="22">
        <f t="shared" si="1864"/>
        <v>-1123.9199999999973</v>
      </c>
      <c r="V220" s="22">
        <f t="shared" si="1864"/>
        <v>-1252.5000000000018</v>
      </c>
      <c r="W220" s="22">
        <f t="shared" si="1864"/>
        <v>-1468.7599999999998</v>
      </c>
      <c r="X220" s="22">
        <f t="shared" ref="X220:Y220" si="1865">X221+X222</f>
        <v>279.08999999999969</v>
      </c>
      <c r="Y220" s="22">
        <f t="shared" si="1865"/>
        <v>-2358.1799999999994</v>
      </c>
      <c r="Z220" s="22">
        <f t="shared" ref="Z220:AA220" si="1866">Z221+Z222</f>
        <v>-2088.0399999999991</v>
      </c>
      <c r="AA220" s="22">
        <f t="shared" si="1866"/>
        <v>19602.920000000002</v>
      </c>
      <c r="AB220" s="21">
        <f t="shared" ref="AA220:AD220" si="1867">AB221+AB222</f>
        <v>-7.0000000001527951E-2</v>
      </c>
      <c r="AC220" s="21">
        <f t="shared" si="1867"/>
        <v>0</v>
      </c>
      <c r="AD220" s="21">
        <f t="shared" si="1867"/>
        <v>0</v>
      </c>
      <c r="AE220" s="21">
        <f t="shared" ref="AE220" si="1868">AE221+AE222</f>
        <v>0</v>
      </c>
      <c r="AI220" s="22">
        <f t="shared" ref="AI220" si="1869">AI221+AI222</f>
        <v>-102</v>
      </c>
      <c r="AJ220" s="22">
        <f t="shared" ref="AJ220:AL220" si="1870">AJ221+AJ222</f>
        <v>1646.6499999999999</v>
      </c>
      <c r="AK220" s="22">
        <f t="shared" si="1870"/>
        <v>0</v>
      </c>
      <c r="AL220" s="22">
        <f t="shared" si="1870"/>
        <v>25.35000000000008</v>
      </c>
      <c r="AM220" s="22">
        <f t="shared" ref="AM220" si="1871">AM221+AM222</f>
        <v>0</v>
      </c>
      <c r="AN220" s="22">
        <f t="shared" ref="AN220:CD220" si="1872">AN221+AN222</f>
        <v>150</v>
      </c>
      <c r="AO220" s="22">
        <f t="shared" si="1872"/>
        <v>0</v>
      </c>
      <c r="AP220" s="22">
        <f t="shared" si="1872"/>
        <v>42</v>
      </c>
      <c r="AQ220" s="22">
        <f t="shared" si="1872"/>
        <v>0</v>
      </c>
      <c r="AR220" s="22">
        <f t="shared" si="1872"/>
        <v>1306</v>
      </c>
      <c r="AS220" s="22">
        <f t="shared" si="1872"/>
        <v>0</v>
      </c>
      <c r="AT220" s="22">
        <f t="shared" si="1872"/>
        <v>80</v>
      </c>
      <c r="AU220" s="22">
        <f t="shared" si="1872"/>
        <v>0</v>
      </c>
      <c r="AV220" s="22">
        <f t="shared" si="1872"/>
        <v>-496</v>
      </c>
      <c r="AW220" s="22">
        <f t="shared" si="1872"/>
        <v>0</v>
      </c>
      <c r="AX220" s="22">
        <f t="shared" si="1872"/>
        <v>-885</v>
      </c>
      <c r="AY220" s="22">
        <f t="shared" si="1872"/>
        <v>0</v>
      </c>
      <c r="AZ220" s="22">
        <f t="shared" si="1872"/>
        <v>244</v>
      </c>
      <c r="BA220" s="22">
        <f t="shared" si="1872"/>
        <v>0</v>
      </c>
      <c r="BB220" s="22">
        <f t="shared" si="1872"/>
        <v>67</v>
      </c>
      <c r="BC220" s="22">
        <f t="shared" si="1872"/>
        <v>0</v>
      </c>
      <c r="BD220" s="22">
        <f t="shared" si="1872"/>
        <v>-92</v>
      </c>
      <c r="BE220" s="22">
        <f t="shared" si="1872"/>
        <v>0</v>
      </c>
      <c r="BF220" s="22">
        <f t="shared" si="1872"/>
        <v>3182</v>
      </c>
      <c r="BG220" s="22">
        <f t="shared" si="1872"/>
        <v>0</v>
      </c>
      <c r="BH220" s="22">
        <f t="shared" si="1872"/>
        <v>-270</v>
      </c>
      <c r="BI220" s="22">
        <f t="shared" si="1872"/>
        <v>0</v>
      </c>
      <c r="BJ220" s="22">
        <f t="shared" si="1872"/>
        <v>-955</v>
      </c>
      <c r="BK220" s="22">
        <f t="shared" si="1872"/>
        <v>0</v>
      </c>
      <c r="BL220" s="22">
        <f t="shared" si="1872"/>
        <v>-649</v>
      </c>
      <c r="BM220" s="22">
        <f t="shared" si="1872"/>
        <v>0</v>
      </c>
      <c r="BN220" s="22">
        <f t="shared" si="1872"/>
        <v>-757</v>
      </c>
      <c r="BO220" s="22">
        <f t="shared" si="1872"/>
        <v>0</v>
      </c>
      <c r="BP220" s="22">
        <f t="shared" si="1872"/>
        <v>-338</v>
      </c>
      <c r="BQ220" s="22">
        <f t="shared" si="1872"/>
        <v>0</v>
      </c>
      <c r="BR220" s="22">
        <f t="shared" si="1872"/>
        <v>559</v>
      </c>
      <c r="BS220" s="22">
        <f t="shared" si="1872"/>
        <v>0</v>
      </c>
      <c r="BT220" s="22">
        <f t="shared" si="1872"/>
        <v>-752</v>
      </c>
      <c r="BU220" s="22">
        <f t="shared" si="1872"/>
        <v>0</v>
      </c>
      <c r="BV220" s="22">
        <f t="shared" si="1872"/>
        <v>-717</v>
      </c>
      <c r="BW220" s="22">
        <f t="shared" si="1872"/>
        <v>0</v>
      </c>
      <c r="BX220" s="22">
        <f t="shared" si="1872"/>
        <v>-528</v>
      </c>
      <c r="BY220" s="22">
        <f t="shared" si="1872"/>
        <v>0</v>
      </c>
      <c r="BZ220" s="22">
        <f t="shared" si="1872"/>
        <v>807</v>
      </c>
      <c r="CA220" s="22">
        <f t="shared" si="1872"/>
        <v>0</v>
      </c>
      <c r="CB220" s="22">
        <f t="shared" si="1872"/>
        <v>-1136</v>
      </c>
      <c r="CC220" s="22">
        <f t="shared" si="1872"/>
        <v>0</v>
      </c>
      <c r="CD220" s="22">
        <f t="shared" si="1872"/>
        <v>-1221</v>
      </c>
      <c r="CE220" s="22">
        <f t="shared" ref="CE220:CF220" si="1873">CE221+CE222</f>
        <v>0</v>
      </c>
      <c r="CF220" s="22">
        <f t="shared" si="1873"/>
        <v>-1152</v>
      </c>
      <c r="CG220" s="22">
        <f t="shared" ref="CG220:CH220" si="1874">CG221+CG222</f>
        <v>0</v>
      </c>
      <c r="CH220" s="22">
        <f t="shared" si="1874"/>
        <v>-936.22000000000025</v>
      </c>
      <c r="CI220" s="22">
        <f t="shared" ref="CI220:CJ220" si="1875">CI221+CI222</f>
        <v>0</v>
      </c>
      <c r="CJ220" s="22">
        <f t="shared" si="1875"/>
        <v>-716.77999999999975</v>
      </c>
      <c r="CK220" s="22">
        <f t="shared" ref="CK220:DB220" si="1876">CK221+CK222</f>
        <v>0</v>
      </c>
      <c r="CL220" s="22">
        <f t="shared" si="1876"/>
        <v>20320</v>
      </c>
      <c r="CM220" s="21">
        <f t="shared" si="1876"/>
        <v>0</v>
      </c>
      <c r="CN220" s="21">
        <f t="shared" si="1876"/>
        <v>0</v>
      </c>
      <c r="CO220" s="21">
        <f t="shared" si="1876"/>
        <v>0</v>
      </c>
      <c r="CP220" s="21">
        <f t="shared" si="1876"/>
        <v>0</v>
      </c>
      <c r="CQ220" s="21">
        <f t="shared" si="1876"/>
        <v>0</v>
      </c>
      <c r="CR220" s="21">
        <f t="shared" si="1876"/>
        <v>0</v>
      </c>
      <c r="CS220" s="21">
        <f t="shared" si="1876"/>
        <v>0</v>
      </c>
      <c r="CT220" s="21">
        <f t="shared" si="1876"/>
        <v>0</v>
      </c>
      <c r="CU220" s="21">
        <f t="shared" si="1876"/>
        <v>0</v>
      </c>
      <c r="CV220" s="21">
        <f t="shared" si="1876"/>
        <v>0</v>
      </c>
      <c r="CW220" s="21">
        <f t="shared" si="1876"/>
        <v>0</v>
      </c>
      <c r="CX220" s="21">
        <f t="shared" si="1876"/>
        <v>0</v>
      </c>
      <c r="CY220" s="21">
        <f t="shared" si="1876"/>
        <v>0</v>
      </c>
      <c r="CZ220" s="21">
        <f t="shared" si="1876"/>
        <v>0</v>
      </c>
      <c r="DA220" s="21">
        <f t="shared" si="1876"/>
        <v>0</v>
      </c>
      <c r="DB220" s="21">
        <f t="shared" si="1876"/>
        <v>0</v>
      </c>
      <c r="DE220" s="126"/>
      <c r="DF220" s="22">
        <v>0</v>
      </c>
    </row>
    <row r="221" spans="1:110" s="23" customFormat="1" x14ac:dyDescent="0.2">
      <c r="A221" s="23" t="s">
        <v>49</v>
      </c>
      <c r="C221" s="23">
        <f t="shared" ref="C221:AA221" si="1877">C143-B143</f>
        <v>-63.504199999999997</v>
      </c>
      <c r="D221" s="23">
        <f t="shared" si="1877"/>
        <v>-18.2088</v>
      </c>
      <c r="E221" s="23">
        <f>E143-D143</f>
        <v>-4.0519999999999996</v>
      </c>
      <c r="F221" s="23">
        <f t="shared" si="1877"/>
        <v>212.37050000000002</v>
      </c>
      <c r="G221" s="23">
        <f t="shared" si="1877"/>
        <v>53.060099999999949</v>
      </c>
      <c r="H221" s="23">
        <f t="shared" si="1877"/>
        <v>33.493700000000047</v>
      </c>
      <c r="I221" s="23">
        <f t="shared" si="1877"/>
        <v>60.864300000000014</v>
      </c>
      <c r="J221" s="23">
        <f>J143-I143</f>
        <v>122.81400000000002</v>
      </c>
      <c r="K221" s="23">
        <f>K143-J143</f>
        <v>39.793099999999981</v>
      </c>
      <c r="L221" s="23">
        <f t="shared" si="1877"/>
        <v>49.658899999999903</v>
      </c>
      <c r="M221" s="23">
        <f t="shared" si="1877"/>
        <v>6.6754000000000815</v>
      </c>
      <c r="N221" s="23">
        <f t="shared" si="1877"/>
        <v>114.24000000000001</v>
      </c>
      <c r="O221" s="23">
        <f t="shared" si="1877"/>
        <v>438.78999999999996</v>
      </c>
      <c r="P221" s="23">
        <f t="shared" si="1877"/>
        <v>1608.59</v>
      </c>
      <c r="Q221" s="23">
        <f t="shared" si="1877"/>
        <v>-388.67000000000007</v>
      </c>
      <c r="R221" s="23">
        <f t="shared" si="1877"/>
        <v>158.45000000000073</v>
      </c>
      <c r="S221" s="23">
        <f t="shared" si="1877"/>
        <v>3952.1899999999991</v>
      </c>
      <c r="T221" s="23">
        <f t="shared" si="1877"/>
        <v>-424.22000000000025</v>
      </c>
      <c r="U221" s="23">
        <f t="shared" si="1877"/>
        <v>-198.0699999999988</v>
      </c>
      <c r="V221" s="23">
        <f t="shared" si="1877"/>
        <v>-1014.5700000000006</v>
      </c>
      <c r="W221" s="23">
        <f t="shared" si="1877"/>
        <v>-807.36000000000013</v>
      </c>
      <c r="X221" s="23">
        <f t="shared" si="1877"/>
        <v>1279.1999999999994</v>
      </c>
      <c r="Y221" s="23">
        <f t="shared" si="1877"/>
        <v>-1359.8799999999992</v>
      </c>
      <c r="Z221" s="23">
        <f t="shared" si="1877"/>
        <v>-911.32999999999993</v>
      </c>
      <c r="AA221" s="23">
        <f t="shared" si="1877"/>
        <v>11772.15</v>
      </c>
      <c r="AB221" s="24">
        <f t="shared" ref="AB221" si="1878">AB143-AA143</f>
        <v>-0.23999999999978172</v>
      </c>
      <c r="AC221" s="24">
        <f t="shared" ref="AC221" si="1879">AC143-AB143</f>
        <v>0</v>
      </c>
      <c r="AD221" s="24">
        <f t="shared" ref="AD221" si="1880">AD143-AC143</f>
        <v>0</v>
      </c>
      <c r="AE221" s="24">
        <f t="shared" ref="AE221" si="1881">AE143-AD143</f>
        <v>0</v>
      </c>
      <c r="AI221" s="23">
        <f t="shared" ref="AI221" si="1882">AI143-AH143</f>
        <v>0</v>
      </c>
      <c r="AJ221" s="23">
        <f t="shared" ref="AJ221" si="1883">AJ143-AI143</f>
        <v>304.68</v>
      </c>
      <c r="AK221" s="23">
        <f t="shared" ref="AK221" si="1884">AK143-AJ143</f>
        <v>0</v>
      </c>
      <c r="AL221" s="23">
        <f t="shared" ref="AL221" si="1885">AL143-AK143</f>
        <v>275.32</v>
      </c>
      <c r="AM221" s="23">
        <f t="shared" ref="AM221" si="1886">AM143-AL143</f>
        <v>0</v>
      </c>
      <c r="AN221" s="23">
        <f t="shared" ref="AN221" si="1887">AN143-AM143</f>
        <v>333</v>
      </c>
      <c r="AO221" s="23">
        <f t="shared" ref="AO221" si="1888">AO143-AN143</f>
        <v>0</v>
      </c>
      <c r="AP221" s="23">
        <f t="shared" ref="AP221" si="1889">AP143-AO143</f>
        <v>42</v>
      </c>
      <c r="AQ221" s="23">
        <f t="shared" ref="AQ221" si="1890">AQ143-AP143</f>
        <v>0</v>
      </c>
      <c r="AR221" s="23">
        <f t="shared" ref="AR221" si="1891">AR143-AQ143</f>
        <v>1286</v>
      </c>
      <c r="AS221" s="23">
        <f t="shared" ref="AS221" si="1892">AS143-AR143</f>
        <v>0</v>
      </c>
      <c r="AT221" s="23">
        <f t="shared" ref="AT221" si="1893">AT143-AS143</f>
        <v>263</v>
      </c>
      <c r="AU221" s="23">
        <f t="shared" ref="AU221" si="1894">AU143-AT143</f>
        <v>0</v>
      </c>
      <c r="AV221" s="23">
        <f t="shared" ref="AV221" si="1895">AV143-AU143</f>
        <v>-230</v>
      </c>
      <c r="AW221" s="23">
        <f t="shared" ref="AW221" si="1896">AW143-AV143</f>
        <v>0</v>
      </c>
      <c r="AX221" s="23">
        <f t="shared" ref="AX221" si="1897">AX143-AW143</f>
        <v>-421</v>
      </c>
      <c r="AY221" s="23">
        <f t="shared" ref="AY221" si="1898">AY143-AX143</f>
        <v>0</v>
      </c>
      <c r="AZ221" s="23">
        <f t="shared" ref="AZ221" si="1899">AZ143-AY143</f>
        <v>214</v>
      </c>
      <c r="BA221" s="23">
        <f t="shared" ref="BA221" si="1900">BA143-AZ143</f>
        <v>0</v>
      </c>
      <c r="BB221" s="23">
        <f t="shared" ref="BB221" si="1901">BB143-BA143</f>
        <v>174</v>
      </c>
      <c r="BC221" s="23">
        <f t="shared" ref="BC221" si="1902">BC143-BB143</f>
        <v>0</v>
      </c>
      <c r="BD221" s="23">
        <f t="shared" ref="BD221" si="1903">BD143-BC143</f>
        <v>108</v>
      </c>
      <c r="BE221" s="23">
        <f t="shared" ref="BE221" si="1904">BE143-BD143</f>
        <v>0</v>
      </c>
      <c r="BF221" s="23">
        <f t="shared" ref="BF221" si="1905">BF143-BE143</f>
        <v>3388</v>
      </c>
      <c r="BG221" s="23">
        <f t="shared" ref="BG221" si="1906">BG143-BF143</f>
        <v>0</v>
      </c>
      <c r="BH221" s="23">
        <f t="shared" ref="BH221" si="1907">BH143-BG143</f>
        <v>-41</v>
      </c>
      <c r="BI221" s="23">
        <f t="shared" ref="BI221" si="1908">BI143-BH143</f>
        <v>0</v>
      </c>
      <c r="BJ221" s="23">
        <f t="shared" ref="BJ221" si="1909">BJ143-BI143</f>
        <v>-849</v>
      </c>
      <c r="BK221" s="23">
        <f t="shared" ref="BK221" si="1910">BK143-BJ143</f>
        <v>0</v>
      </c>
      <c r="BL221" s="23">
        <f t="shared" ref="BL221" si="1911">BL143-BK143</f>
        <v>-538</v>
      </c>
      <c r="BM221" s="23">
        <f t="shared" ref="BM221" si="1912">BM143-BL143</f>
        <v>0</v>
      </c>
      <c r="BN221" s="23">
        <f t="shared" ref="BN221" si="1913">BN143-BM143</f>
        <v>57</v>
      </c>
      <c r="BO221" s="23">
        <f t="shared" ref="BO221" si="1914">BO143-BN143</f>
        <v>0</v>
      </c>
      <c r="BP221" s="23">
        <f t="shared" ref="BP221" si="1915">BP143-BO143</f>
        <v>-414</v>
      </c>
      <c r="BQ221" s="23">
        <f t="shared" ref="BQ221" si="1916">BQ143-BP143</f>
        <v>0</v>
      </c>
      <c r="BR221" s="23">
        <f t="shared" ref="BR221" si="1917">BR143-BQ143</f>
        <v>873</v>
      </c>
      <c r="BS221" s="23">
        <f t="shared" ref="BS221" si="1918">BS143-BR143</f>
        <v>0</v>
      </c>
      <c r="BT221" s="23">
        <f t="shared" ref="BT221" si="1919">BT143-BS143</f>
        <v>-487</v>
      </c>
      <c r="BU221" s="23">
        <f t="shared" ref="BU221" si="1920">BU143-BT143</f>
        <v>0</v>
      </c>
      <c r="BV221" s="23">
        <f t="shared" ref="BV221" si="1921">BV143-BU143</f>
        <v>-320</v>
      </c>
      <c r="BW221" s="23">
        <f t="shared" ref="BW221" si="1922">BW143-BV143</f>
        <v>0</v>
      </c>
      <c r="BX221" s="23">
        <f t="shared" ref="BX221" si="1923">BX143-BW143</f>
        <v>0</v>
      </c>
      <c r="BY221" s="23">
        <f t="shared" ref="BY221" si="1924">BY143-BX143</f>
        <v>0</v>
      </c>
      <c r="BZ221" s="23">
        <f t="shared" ref="BZ221" si="1925">BZ143-BY143</f>
        <v>1279</v>
      </c>
      <c r="CA221" s="23">
        <f t="shared" ref="CA221" si="1926">CA143-BZ143</f>
        <v>0</v>
      </c>
      <c r="CB221" s="23">
        <f t="shared" ref="CB221" si="1927">CB143-CA143</f>
        <v>-881</v>
      </c>
      <c r="CC221" s="23">
        <f t="shared" ref="CC221" si="1928">CC143-CB143</f>
        <v>0</v>
      </c>
      <c r="CD221" s="23">
        <f t="shared" ref="CD221" si="1929">CD143-CC143</f>
        <v>-478</v>
      </c>
      <c r="CE221" s="23">
        <f t="shared" ref="CE221" si="1930">CE143-CD143</f>
        <v>0</v>
      </c>
      <c r="CF221" s="23">
        <f t="shared" ref="CF221" si="1931">CF143-CE143</f>
        <v>-890</v>
      </c>
      <c r="CG221" s="23">
        <f t="shared" ref="CG221" si="1932">CG143-CF143</f>
        <v>0</v>
      </c>
      <c r="CH221" s="23">
        <f t="shared" ref="CH221:CL221" si="1933">CH143-CG143</f>
        <v>-21.909999999999854</v>
      </c>
      <c r="CI221" s="23">
        <f t="shared" si="1933"/>
        <v>0</v>
      </c>
      <c r="CJ221" s="23">
        <f t="shared" si="1933"/>
        <v>-436.09000000000015</v>
      </c>
      <c r="CK221" s="23">
        <f t="shared" ref="CK221" si="1934">CK143-CJ143</f>
        <v>0</v>
      </c>
      <c r="CL221" s="23">
        <f t="shared" si="1933"/>
        <v>12208</v>
      </c>
      <c r="CM221" s="24">
        <f t="shared" ref="CM221" si="1935">CM143-CL143</f>
        <v>0</v>
      </c>
      <c r="CN221" s="24">
        <f t="shared" ref="CN221" si="1936">CN143-CM143</f>
        <v>0</v>
      </c>
      <c r="CO221" s="24">
        <f t="shared" ref="CO221" si="1937">CO143-CN143</f>
        <v>0</v>
      </c>
      <c r="CP221" s="24">
        <f t="shared" ref="CP221" si="1938">CP143-CO143</f>
        <v>0</v>
      </c>
      <c r="CQ221" s="24">
        <f t="shared" ref="CQ221" si="1939">CQ143-CP143</f>
        <v>0</v>
      </c>
      <c r="CR221" s="24">
        <f t="shared" ref="CR221" si="1940">CR143-CQ143</f>
        <v>0</v>
      </c>
      <c r="CS221" s="24">
        <f t="shared" ref="CS221" si="1941">CS143-CR143</f>
        <v>0</v>
      </c>
      <c r="CT221" s="24">
        <f t="shared" ref="CT221" si="1942">CT143-CS143</f>
        <v>0</v>
      </c>
      <c r="CU221" s="24">
        <f t="shared" ref="CU221" si="1943">CU143-CT143</f>
        <v>0</v>
      </c>
      <c r="CV221" s="24">
        <f t="shared" ref="CV221" si="1944">CV143-CU143</f>
        <v>0</v>
      </c>
      <c r="CW221" s="24">
        <f t="shared" ref="CW221" si="1945">CW143-CV143</f>
        <v>0</v>
      </c>
      <c r="CX221" s="24">
        <f t="shared" ref="CX221" si="1946">CX143-CW143</f>
        <v>0</v>
      </c>
      <c r="CY221" s="24">
        <f t="shared" ref="CY221" si="1947">CY143-CX143</f>
        <v>0</v>
      </c>
      <c r="CZ221" s="24">
        <f t="shared" ref="CZ221" si="1948">CZ143-CY143</f>
        <v>0</v>
      </c>
      <c r="DA221" s="24">
        <f t="shared" ref="DA221" si="1949">DA143-CZ143</f>
        <v>0</v>
      </c>
      <c r="DB221" s="24">
        <f t="shared" ref="DB221" si="1950">DB143-DA143</f>
        <v>0</v>
      </c>
      <c r="DE221" s="123"/>
      <c r="DF221" s="23">
        <v>0</v>
      </c>
    </row>
    <row r="222" spans="1:110" s="23" customFormat="1" x14ac:dyDescent="0.2">
      <c r="A222" s="23" t="s">
        <v>27</v>
      </c>
      <c r="C222" s="23">
        <f t="shared" ref="C222:AE222" si="1951">C135-C63-B135+C137-B137</f>
        <v>-61.643899999999974</v>
      </c>
      <c r="D222" s="23">
        <f t="shared" si="1951"/>
        <v>-19.075399999999973</v>
      </c>
      <c r="E222" s="23">
        <f t="shared" si="1951"/>
        <v>-19.163300000000021</v>
      </c>
      <c r="F222" s="23">
        <f t="shared" si="1951"/>
        <v>-19.295700000000011</v>
      </c>
      <c r="G222" s="23">
        <f t="shared" si="1951"/>
        <v>-18.564899999999852</v>
      </c>
      <c r="H222" s="23">
        <f t="shared" si="1951"/>
        <v>-31.101800000000253</v>
      </c>
      <c r="I222" s="23">
        <f t="shared" si="1951"/>
        <v>-35.367399999999918</v>
      </c>
      <c r="J222" s="23">
        <f t="shared" si="1951"/>
        <v>-43.038899999999785</v>
      </c>
      <c r="K222" s="23">
        <f t="shared" si="1951"/>
        <v>-51.108500000000163</v>
      </c>
      <c r="L222" s="23">
        <f t="shared" si="1951"/>
        <v>-77.142300000000574</v>
      </c>
      <c r="M222" s="23">
        <f t="shared" si="1951"/>
        <v>-110.7156999999996</v>
      </c>
      <c r="N222" s="23">
        <f t="shared" si="1951"/>
        <v>-207.79000000000008</v>
      </c>
      <c r="O222" s="23">
        <f t="shared" si="1951"/>
        <v>-183.35000000000056</v>
      </c>
      <c r="P222" s="23">
        <f t="shared" si="1951"/>
        <v>-162.77999999999972</v>
      </c>
      <c r="Q222" s="23">
        <f t="shared" si="1951"/>
        <v>-729.6700000000011</v>
      </c>
      <c r="R222" s="23">
        <f t="shared" si="1951"/>
        <v>-77.489999999999071</v>
      </c>
      <c r="S222" s="23">
        <f t="shared" si="1951"/>
        <v>-406.02000000000066</v>
      </c>
      <c r="T222" s="23">
        <f t="shared" si="1951"/>
        <v>-334.64000000000078</v>
      </c>
      <c r="U222" s="23">
        <f t="shared" si="1951"/>
        <v>-925.84999999999854</v>
      </c>
      <c r="V222" s="23">
        <f t="shared" si="1951"/>
        <v>-237.9300000000012</v>
      </c>
      <c r="W222" s="23">
        <f t="shared" si="1951"/>
        <v>-661.39999999999964</v>
      </c>
      <c r="X222" s="23">
        <f t="shared" si="1951"/>
        <v>-1000.1099999999997</v>
      </c>
      <c r="Y222" s="23">
        <f t="shared" si="1951"/>
        <v>-998.30000000000018</v>
      </c>
      <c r="Z222" s="23">
        <f t="shared" si="1951"/>
        <v>-1176.7099999999991</v>
      </c>
      <c r="AA222" s="23">
        <f t="shared" si="1951"/>
        <v>7830.7700000000013</v>
      </c>
      <c r="AB222" s="24">
        <f t="shared" si="1951"/>
        <v>0.16999999999825377</v>
      </c>
      <c r="AC222" s="24">
        <f t="shared" si="1951"/>
        <v>0</v>
      </c>
      <c r="AD222" s="24">
        <f t="shared" si="1951"/>
        <v>0</v>
      </c>
      <c r="AE222" s="24">
        <f t="shared" si="1951"/>
        <v>0</v>
      </c>
      <c r="AI222" s="23">
        <f t="shared" ref="AI222:BN222" si="1952">AI135-AI63-AH135+AI137-AH137</f>
        <v>-102</v>
      </c>
      <c r="AJ222" s="23">
        <f t="shared" si="1952"/>
        <v>1341.9699999999998</v>
      </c>
      <c r="AK222" s="23">
        <f t="shared" si="1952"/>
        <v>0</v>
      </c>
      <c r="AL222" s="23">
        <f t="shared" si="1952"/>
        <v>-249.96999999999991</v>
      </c>
      <c r="AM222" s="23">
        <f t="shared" si="1952"/>
        <v>0</v>
      </c>
      <c r="AN222" s="23">
        <f t="shared" si="1952"/>
        <v>-183</v>
      </c>
      <c r="AO222" s="23">
        <f t="shared" si="1952"/>
        <v>0</v>
      </c>
      <c r="AP222" s="23">
        <f t="shared" si="1952"/>
        <v>0</v>
      </c>
      <c r="AQ222" s="23">
        <f t="shared" si="1952"/>
        <v>0</v>
      </c>
      <c r="AR222" s="23">
        <f t="shared" si="1952"/>
        <v>20</v>
      </c>
      <c r="AS222" s="23">
        <f t="shared" si="1952"/>
        <v>0</v>
      </c>
      <c r="AT222" s="23">
        <f t="shared" si="1952"/>
        <v>-183</v>
      </c>
      <c r="AU222" s="23">
        <f t="shared" si="1952"/>
        <v>0</v>
      </c>
      <c r="AV222" s="23">
        <f t="shared" si="1952"/>
        <v>-266</v>
      </c>
      <c r="AW222" s="23">
        <f t="shared" si="1952"/>
        <v>0</v>
      </c>
      <c r="AX222" s="23">
        <f t="shared" si="1952"/>
        <v>-464</v>
      </c>
      <c r="AY222" s="23">
        <f t="shared" si="1952"/>
        <v>0</v>
      </c>
      <c r="AZ222" s="23">
        <f t="shared" si="1952"/>
        <v>30</v>
      </c>
      <c r="BA222" s="23">
        <f t="shared" si="1952"/>
        <v>0</v>
      </c>
      <c r="BB222" s="23">
        <f t="shared" si="1952"/>
        <v>-107</v>
      </c>
      <c r="BC222" s="23">
        <f t="shared" si="1952"/>
        <v>0</v>
      </c>
      <c r="BD222" s="23">
        <f t="shared" si="1952"/>
        <v>-200</v>
      </c>
      <c r="BE222" s="23">
        <f t="shared" si="1952"/>
        <v>0</v>
      </c>
      <c r="BF222" s="23">
        <f t="shared" si="1952"/>
        <v>-206</v>
      </c>
      <c r="BG222" s="23">
        <f t="shared" si="1952"/>
        <v>0</v>
      </c>
      <c r="BH222" s="23">
        <f t="shared" si="1952"/>
        <v>-229</v>
      </c>
      <c r="BI222" s="23">
        <f t="shared" si="1952"/>
        <v>0</v>
      </c>
      <c r="BJ222" s="23">
        <f t="shared" si="1952"/>
        <v>-106</v>
      </c>
      <c r="BK222" s="23">
        <f t="shared" si="1952"/>
        <v>0</v>
      </c>
      <c r="BL222" s="23">
        <f t="shared" si="1952"/>
        <v>-111</v>
      </c>
      <c r="BM222" s="23">
        <f t="shared" si="1952"/>
        <v>0</v>
      </c>
      <c r="BN222" s="23">
        <f t="shared" si="1952"/>
        <v>-814</v>
      </c>
      <c r="BO222" s="23">
        <f t="shared" ref="BO222:CT222" si="1953">BO135-BO63-BN135+BO137-BN137</f>
        <v>0</v>
      </c>
      <c r="BP222" s="23">
        <f t="shared" si="1953"/>
        <v>76</v>
      </c>
      <c r="BQ222" s="23">
        <f t="shared" si="1953"/>
        <v>0</v>
      </c>
      <c r="BR222" s="23">
        <f t="shared" si="1953"/>
        <v>-314</v>
      </c>
      <c r="BS222" s="23">
        <f t="shared" si="1953"/>
        <v>0</v>
      </c>
      <c r="BT222" s="23">
        <f t="shared" si="1953"/>
        <v>-265</v>
      </c>
      <c r="BU222" s="23">
        <f t="shared" si="1953"/>
        <v>0</v>
      </c>
      <c r="BV222" s="23">
        <f t="shared" si="1953"/>
        <v>-397</v>
      </c>
      <c r="BW222" s="23">
        <f t="shared" si="1953"/>
        <v>0</v>
      </c>
      <c r="BX222" s="23">
        <f t="shared" si="1953"/>
        <v>-528</v>
      </c>
      <c r="BY222" s="23">
        <f t="shared" si="1953"/>
        <v>0</v>
      </c>
      <c r="BZ222" s="23">
        <f t="shared" si="1953"/>
        <v>-472</v>
      </c>
      <c r="CA222" s="23">
        <f t="shared" si="1953"/>
        <v>0</v>
      </c>
      <c r="CB222" s="23">
        <f t="shared" si="1953"/>
        <v>-255</v>
      </c>
      <c r="CC222" s="23">
        <f t="shared" si="1953"/>
        <v>0</v>
      </c>
      <c r="CD222" s="23">
        <f t="shared" si="1953"/>
        <v>-743</v>
      </c>
      <c r="CE222" s="23">
        <f t="shared" si="1953"/>
        <v>0</v>
      </c>
      <c r="CF222" s="23">
        <f t="shared" si="1953"/>
        <v>-262</v>
      </c>
      <c r="CG222" s="23">
        <f t="shared" si="1953"/>
        <v>0</v>
      </c>
      <c r="CH222" s="23">
        <f t="shared" si="1953"/>
        <v>-914.3100000000004</v>
      </c>
      <c r="CI222" s="23">
        <f t="shared" si="1953"/>
        <v>0</v>
      </c>
      <c r="CJ222" s="23">
        <f t="shared" si="1953"/>
        <v>-280.6899999999996</v>
      </c>
      <c r="CK222" s="23">
        <f t="shared" si="1953"/>
        <v>0</v>
      </c>
      <c r="CL222" s="23">
        <f t="shared" si="1953"/>
        <v>8112</v>
      </c>
      <c r="CM222" s="24">
        <f t="shared" si="1953"/>
        <v>0</v>
      </c>
      <c r="CN222" s="24">
        <f t="shared" si="1953"/>
        <v>0</v>
      </c>
      <c r="CO222" s="24">
        <f t="shared" si="1953"/>
        <v>0</v>
      </c>
      <c r="CP222" s="24">
        <f t="shared" si="1953"/>
        <v>0</v>
      </c>
      <c r="CQ222" s="24">
        <f t="shared" si="1953"/>
        <v>0</v>
      </c>
      <c r="CR222" s="24">
        <f t="shared" si="1953"/>
        <v>0</v>
      </c>
      <c r="CS222" s="24">
        <f t="shared" si="1953"/>
        <v>0</v>
      </c>
      <c r="CT222" s="24">
        <f t="shared" si="1953"/>
        <v>0</v>
      </c>
      <c r="CU222" s="24">
        <f t="shared" ref="CU222:DB222" si="1954">CU135-CU63-CT135+CU137-CT137</f>
        <v>0</v>
      </c>
      <c r="CV222" s="24">
        <f t="shared" si="1954"/>
        <v>0</v>
      </c>
      <c r="CW222" s="24">
        <f t="shared" si="1954"/>
        <v>0</v>
      </c>
      <c r="CX222" s="24">
        <f t="shared" si="1954"/>
        <v>0</v>
      </c>
      <c r="CY222" s="24">
        <f t="shared" si="1954"/>
        <v>0</v>
      </c>
      <c r="CZ222" s="24">
        <f t="shared" si="1954"/>
        <v>0</v>
      </c>
      <c r="DA222" s="24">
        <f t="shared" si="1954"/>
        <v>0</v>
      </c>
      <c r="DB222" s="24">
        <f t="shared" si="1954"/>
        <v>0</v>
      </c>
      <c r="DE222" s="123"/>
      <c r="DF222" s="23">
        <v>0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3" customFormat="1" x14ac:dyDescent="0.2">
      <c r="A224" s="23" t="s">
        <v>442</v>
      </c>
      <c r="C224" s="23">
        <f t="shared" ref="C224" si="1955">B176</f>
        <v>8.74</v>
      </c>
      <c r="D224" s="23">
        <f t="shared" ref="D224" si="1956">C176</f>
        <v>51.968500000000006</v>
      </c>
      <c r="E224" s="23">
        <f>D176</f>
        <v>48.253500000000003</v>
      </c>
      <c r="F224" s="23">
        <f t="shared" ref="F224" si="1957">E176</f>
        <v>35.231899999999996</v>
      </c>
      <c r="G224" s="23">
        <f t="shared" ref="G224" si="1958">F176</f>
        <v>157.62209999999999</v>
      </c>
      <c r="H224" s="23">
        <f t="shared" ref="H224" si="1959">G176</f>
        <v>85.0107</v>
      </c>
      <c r="I224" s="23">
        <f t="shared" ref="I224" si="1960">H176</f>
        <v>20.769100000000002</v>
      </c>
      <c r="J224" s="23">
        <f>I176</f>
        <v>153.84050000000002</v>
      </c>
      <c r="K224" s="23">
        <f>J176</f>
        <v>350.43290000000002</v>
      </c>
      <c r="L224" s="23">
        <f t="shared" ref="L224" si="1961">K176</f>
        <v>510.45490000000001</v>
      </c>
      <c r="M224" s="23">
        <f t="shared" ref="M224" si="1962">L176</f>
        <v>604.79060000000004</v>
      </c>
      <c r="N224" s="23">
        <f t="shared" ref="N224" si="1963">M176</f>
        <v>760.8</v>
      </c>
      <c r="O224" s="23">
        <f t="shared" ref="O224" si="1964">N176</f>
        <v>687.41000000000008</v>
      </c>
      <c r="P224" s="23">
        <f t="shared" ref="P224" si="1965">O176</f>
        <v>955.05</v>
      </c>
      <c r="Q224" s="23">
        <f t="shared" ref="Q224" si="1966">P176</f>
        <v>864.95</v>
      </c>
      <c r="R224" s="23">
        <f t="shared" ref="R224" si="1967">Q176</f>
        <v>1426.62</v>
      </c>
      <c r="S224" s="23">
        <f t="shared" ref="S224" si="1968">R176</f>
        <v>1697.27</v>
      </c>
      <c r="T224" s="23">
        <f t="shared" ref="T224" si="1969">S176</f>
        <v>1359.5</v>
      </c>
      <c r="U224" s="23">
        <f t="shared" ref="U224" si="1970">T176</f>
        <v>1167.3899999999999</v>
      </c>
      <c r="V224" s="23">
        <f t="shared" ref="V224" si="1971">U176</f>
        <v>666.67</v>
      </c>
      <c r="W224" s="23">
        <f t="shared" ref="W224:AA224" si="1972">V176</f>
        <v>742.55</v>
      </c>
      <c r="X224" s="23">
        <f t="shared" si="1972"/>
        <v>587.39</v>
      </c>
      <c r="Y224" s="23">
        <f t="shared" si="1972"/>
        <v>727.55000000000007</v>
      </c>
      <c r="Z224" s="23">
        <f t="shared" si="1972"/>
        <v>980.07999999999993</v>
      </c>
      <c r="AA224" s="23">
        <f t="shared" si="1972"/>
        <v>691.67000000000007</v>
      </c>
      <c r="AB224" s="24">
        <f t="shared" ref="AB224" si="1973">AA176</f>
        <v>2030.94</v>
      </c>
      <c r="AC224" s="24">
        <f t="shared" ref="AC224" si="1974">AB176</f>
        <v>3840.2143790321861</v>
      </c>
      <c r="AD224" s="24">
        <f t="shared" ref="AD224" si="1975">AC176</f>
        <v>6570.8298670009835</v>
      </c>
      <c r="AE224" s="24">
        <f t="shared" ref="AE224" si="1976">AD176</f>
        <v>10200.490811419601</v>
      </c>
      <c r="AI224" s="23">
        <f t="shared" ref="AI224" si="1977">AH176</f>
        <v>0</v>
      </c>
      <c r="AJ224" s="23">
        <f t="shared" ref="AJ224" si="1978">AI176</f>
        <v>0</v>
      </c>
      <c r="AK224" s="23">
        <f t="shared" ref="AK224" si="1979">AJ176</f>
        <v>462.57</v>
      </c>
      <c r="AL224" s="23">
        <f t="shared" ref="AL224" si="1980">AK176</f>
        <v>544.62668806161741</v>
      </c>
      <c r="AM224" s="23">
        <f t="shared" ref="AM224" si="1981">AL176</f>
        <v>687</v>
      </c>
      <c r="AN224" s="23">
        <f t="shared" ref="AN224" si="1982">AM176</f>
        <v>773.49999999999977</v>
      </c>
      <c r="AO224" s="23">
        <f t="shared" ref="AO224" si="1983">AN176</f>
        <v>939</v>
      </c>
      <c r="AP224" s="23">
        <f t="shared" ref="AP224" si="1984">AO176</f>
        <v>1076.1193415637863</v>
      </c>
      <c r="AQ224" s="23">
        <f t="shared" ref="AQ224" si="1985">AP176</f>
        <v>955</v>
      </c>
      <c r="AR224" s="23">
        <f t="shared" ref="AR224" si="1986">AQ176</f>
        <v>1272.2538775510204</v>
      </c>
      <c r="AS224" s="23">
        <f t="shared" ref="AS224" si="1987">AR176</f>
        <v>761</v>
      </c>
      <c r="AT224" s="23">
        <f t="shared" ref="AT224" si="1988">AS176</f>
        <v>947.1248972884141</v>
      </c>
      <c r="AU224" s="23">
        <f t="shared" ref="AU224" si="1989">AT176</f>
        <v>865</v>
      </c>
      <c r="AV224" s="23">
        <f t="shared" ref="AV224" si="1990">AU176</f>
        <v>946.70623916811064</v>
      </c>
      <c r="AW224" s="23">
        <f t="shared" ref="AW224" si="1991">AV176</f>
        <v>1637</v>
      </c>
      <c r="AX224" s="23">
        <f t="shared" ref="AX224" si="1992">AW176</f>
        <v>1985.776727702304</v>
      </c>
      <c r="AY224" s="23">
        <f t="shared" ref="AY224" si="1993">AX176</f>
        <v>1427</v>
      </c>
      <c r="AZ224" s="23">
        <f t="shared" ref="AZ224" si="1994">AY176</f>
        <v>1701.7544910179645</v>
      </c>
      <c r="BA224" s="23">
        <f t="shared" ref="BA224" si="1995">AZ176</f>
        <v>1849</v>
      </c>
      <c r="BB224" s="23">
        <f t="shared" ref="BB224" si="1996">BA176</f>
        <v>2073.0916724982512</v>
      </c>
      <c r="BC224" s="23">
        <f t="shared" ref="BC224" si="1997">BB176</f>
        <v>1698</v>
      </c>
      <c r="BD224" s="23">
        <f t="shared" ref="BD224" si="1998">BC176</f>
        <v>1924.2092050209203</v>
      </c>
      <c r="BE224" s="23">
        <f t="shared" ref="BE224" si="1999">BD176</f>
        <v>1947</v>
      </c>
      <c r="BF224" s="23">
        <f t="shared" ref="BF224" si="2000">BE176</f>
        <v>1978.6725476358511</v>
      </c>
      <c r="BG224" s="23">
        <f t="shared" ref="BG224" si="2001">BF176</f>
        <v>1359</v>
      </c>
      <c r="BH224" s="23">
        <f t="shared" ref="BH224" si="2002">BG176</f>
        <v>1409.4660421545664</v>
      </c>
      <c r="BI224" s="23">
        <f t="shared" ref="BI224" si="2003">BH176</f>
        <v>1677</v>
      </c>
      <c r="BJ224" s="23">
        <f t="shared" ref="BJ224" si="2004">BI176</f>
        <v>1809.8505807814163</v>
      </c>
      <c r="BK224" s="23">
        <f t="shared" ref="BK224" si="2005">BJ176</f>
        <v>1167</v>
      </c>
      <c r="BL224" s="23">
        <f t="shared" ref="BL224" si="2006">BK176</f>
        <v>1269.1433189655181</v>
      </c>
      <c r="BM224" s="23">
        <f t="shared" ref="BM224" si="2007">BL176</f>
        <v>1035</v>
      </c>
      <c r="BN224" s="23">
        <f t="shared" ref="BN224" si="2008">BM176</f>
        <v>1315.4688279301754</v>
      </c>
      <c r="BO224" s="23">
        <f t="shared" ref="BO224" si="2009">BN176</f>
        <v>666</v>
      </c>
      <c r="BP224" s="23">
        <f t="shared" ref="BP224" si="2010">BO176</f>
        <v>888.13566289825303</v>
      </c>
      <c r="BQ224" s="23">
        <f t="shared" ref="BQ224" si="2011">BP176</f>
        <v>1032</v>
      </c>
      <c r="BR224" s="23">
        <f t="shared" ref="BR224" si="2012">BQ176</f>
        <v>1348.5022310361919</v>
      </c>
      <c r="BS224" s="23">
        <f t="shared" ref="BS224" si="2013">BR176</f>
        <v>743</v>
      </c>
      <c r="BT224" s="23">
        <f t="shared" ref="BT224" si="2014">BS176</f>
        <v>855.65926690758897</v>
      </c>
      <c r="BU224" s="23">
        <f t="shared" ref="BU224" si="2015">BT176</f>
        <v>649</v>
      </c>
      <c r="BV224" s="23">
        <f t="shared" ref="BV224" si="2016">BU176</f>
        <v>930.41974730931179</v>
      </c>
      <c r="BW224" s="23">
        <f t="shared" ref="BW224" si="2017">BV176</f>
        <v>587</v>
      </c>
      <c r="BX224" s="23">
        <f t="shared" ref="BX224" si="2018">BW176</f>
        <v>695.60534960112636</v>
      </c>
      <c r="BY224" s="23">
        <f t="shared" ref="BY224" si="2019">BX176</f>
        <v>811</v>
      </c>
      <c r="BZ224" s="23">
        <f t="shared" ref="BZ224" si="2020">BY176</f>
        <v>875.58838934962887</v>
      </c>
      <c r="CA224" s="23">
        <f t="shared" ref="CA224" si="2021">BZ176</f>
        <v>727</v>
      </c>
      <c r="CB224" s="23">
        <f t="shared" ref="CB224" si="2022">CA176</f>
        <v>1004.8394219189076</v>
      </c>
      <c r="CC224" s="23">
        <f t="shared" ref="CC224" si="2023">CB176</f>
        <v>790</v>
      </c>
      <c r="CD224" s="23">
        <f t="shared" ref="CD224" si="2024">CC176</f>
        <v>1170.5007518796992</v>
      </c>
      <c r="CE224" s="23">
        <f t="shared" ref="CE224" si="2025">CD176</f>
        <v>980</v>
      </c>
      <c r="CF224" s="23">
        <f t="shared" ref="CF224" si="2026">CE176</f>
        <v>1352.52786885246</v>
      </c>
      <c r="CG224" s="23">
        <f t="shared" ref="CG224" si="2027">CF176</f>
        <v>1235</v>
      </c>
      <c r="CH224" s="23">
        <f t="shared" ref="CH224:CL224" si="2028">CG176</f>
        <v>1789.6718587746627</v>
      </c>
      <c r="CI224" s="23">
        <f t="shared" si="2028"/>
        <v>691.67000000000007</v>
      </c>
      <c r="CJ224" s="23">
        <f t="shared" si="2028"/>
        <v>1315.5113889827644</v>
      </c>
      <c r="CK224" s="23">
        <f t="shared" ref="CK224" si="2029">CJ176</f>
        <v>794</v>
      </c>
      <c r="CL224" s="23">
        <f t="shared" si="2028"/>
        <v>1534.3043609933388</v>
      </c>
      <c r="CM224" s="24">
        <f t="shared" ref="CM224" si="2030">CL176</f>
        <v>2031</v>
      </c>
      <c r="CN224" s="24">
        <f t="shared" ref="CN224" si="2031">CM176</f>
        <v>2683.1688953602115</v>
      </c>
      <c r="CO224" s="24">
        <f t="shared" ref="CO224" si="2032">CN176</f>
        <v>3091.4128590717764</v>
      </c>
      <c r="CP224" s="24">
        <f t="shared" ref="CP224" si="2033">CO176</f>
        <v>3587.8090631649102</v>
      </c>
      <c r="CQ224" s="24">
        <f t="shared" ref="CQ224" si="2034">CP176</f>
        <v>3840.2143790321861</v>
      </c>
      <c r="CR224" s="24">
        <f t="shared" ref="CR224" si="2035">CQ176</f>
        <v>4768.6068019585409</v>
      </c>
      <c r="CS224" s="24">
        <f t="shared" ref="CS224" si="2036">CR176</f>
        <v>5386.2146492977918</v>
      </c>
      <c r="CT224" s="24">
        <f t="shared" ref="CT224" si="2037">CS176</f>
        <v>6109.9459999289702</v>
      </c>
      <c r="CU224" s="24">
        <f t="shared" ref="CU224" si="2038">CT176</f>
        <v>6570.8298670009835</v>
      </c>
      <c r="CV224" s="24">
        <f t="shared" ref="CV224" si="2039">CU176</f>
        <v>7906.5595078316746</v>
      </c>
      <c r="CW224" s="24">
        <f t="shared" ref="CW224" si="2040">CV176</f>
        <v>8716.3177865701364</v>
      </c>
      <c r="CX224" s="24">
        <f t="shared" ref="CX224" si="2041">CW176</f>
        <v>9592.7507955729816</v>
      </c>
      <c r="CY224" s="24">
        <f t="shared" ref="CY224" si="2042">CX176</f>
        <v>10200.490811419601</v>
      </c>
      <c r="CZ224" s="24">
        <f t="shared" ref="CZ224" si="2043">CY176</f>
        <v>11622.05505277161</v>
      </c>
      <c r="DA224" s="24">
        <f t="shared" ref="DA224" si="2044">CZ176</f>
        <v>12490.306458282239</v>
      </c>
      <c r="DB224" s="24">
        <f t="shared" ref="DB224" si="2045">DA176</f>
        <v>13417.417175589275</v>
      </c>
      <c r="DE224" s="123"/>
      <c r="DF224" s="23">
        <v>1534.3043609933388</v>
      </c>
    </row>
    <row r="225" spans="1:110" s="23" customFormat="1" x14ac:dyDescent="0.2">
      <c r="A225" s="23" t="s">
        <v>443</v>
      </c>
      <c r="C225" s="23">
        <f t="shared" ref="C225:W225" si="2046">C224+C220+C216+C214</f>
        <v>51.96850000000002</v>
      </c>
      <c r="D225" s="23">
        <f t="shared" si="2046"/>
        <v>48.253500000000052</v>
      </c>
      <c r="E225" s="23">
        <f t="shared" si="2046"/>
        <v>35.23190000000001</v>
      </c>
      <c r="F225" s="23">
        <f t="shared" si="2046"/>
        <v>157.62209999999999</v>
      </c>
      <c r="G225" s="23">
        <f t="shared" si="2046"/>
        <v>85.010699999999872</v>
      </c>
      <c r="H225" s="23">
        <f t="shared" si="2046"/>
        <v>20.769100000000094</v>
      </c>
      <c r="I225" s="23">
        <f t="shared" si="2046"/>
        <v>153.84049999999999</v>
      </c>
      <c r="J225" s="23">
        <f>J224+J220+J216+J214</f>
        <v>350.4328999999999</v>
      </c>
      <c r="K225" s="23">
        <f>K224+K220+K216+K214</f>
        <v>510.45490000000007</v>
      </c>
      <c r="L225" s="23">
        <f>L224+L220+L216+L214</f>
        <v>604.79059999999981</v>
      </c>
      <c r="M225" s="23">
        <f>M224+M220+M216+M214</f>
        <v>760.8</v>
      </c>
      <c r="N225" s="23">
        <f t="shared" si="2046"/>
        <v>687.40999999999985</v>
      </c>
      <c r="O225" s="23">
        <f t="shared" si="2046"/>
        <v>955.05000000000075</v>
      </c>
      <c r="P225" s="23">
        <f t="shared" si="2046"/>
        <v>864.94999999999925</v>
      </c>
      <c r="Q225" s="23">
        <f t="shared" si="2046"/>
        <v>1426.6199999999994</v>
      </c>
      <c r="R225" s="23">
        <f t="shared" si="2046"/>
        <v>1697.2700000000016</v>
      </c>
      <c r="S225" s="23">
        <f t="shared" si="2046"/>
        <v>1359.4999999999995</v>
      </c>
      <c r="T225" s="23">
        <f t="shared" si="2046"/>
        <v>1167.3899999999956</v>
      </c>
      <c r="U225" s="23">
        <f t="shared" si="2046"/>
        <v>666.67000000000758</v>
      </c>
      <c r="V225" s="23">
        <f t="shared" si="2046"/>
        <v>742.5499999999962</v>
      </c>
      <c r="W225" s="23">
        <f t="shared" si="2046"/>
        <v>587.38999999999669</v>
      </c>
      <c r="X225" s="23">
        <f t="shared" ref="X225:Y225" si="2047">X224+X220+X216+X214</f>
        <v>727.55000000000109</v>
      </c>
      <c r="Y225" s="23">
        <f t="shared" si="2047"/>
        <v>980.08000000000266</v>
      </c>
      <c r="Z225" s="23">
        <f t="shared" ref="Z225:AA225" si="2048">Z224+Z220+Z216+Z214</f>
        <v>691.66999999999689</v>
      </c>
      <c r="AA225" s="23">
        <f t="shared" si="2048"/>
        <v>2030.9400000000005</v>
      </c>
      <c r="AB225" s="24">
        <f t="shared" ref="AA225:AD225" si="2049">AB224+AB220+AB216+AB214</f>
        <v>3840.2143790321866</v>
      </c>
      <c r="AC225" s="24">
        <f t="shared" si="2049"/>
        <v>6570.8298670009817</v>
      </c>
      <c r="AD225" s="24">
        <f t="shared" si="2049"/>
        <v>10200.490811419601</v>
      </c>
      <c r="AE225" s="24">
        <f t="shared" ref="AE225" si="2050">AE224+AE220+AE216+AE214</f>
        <v>14050.130596360385</v>
      </c>
      <c r="AI225" s="23">
        <f t="shared" ref="AI225" si="2051">AI224+AI220+AI216+AI214</f>
        <v>0</v>
      </c>
      <c r="AJ225" s="23">
        <f t="shared" ref="AJ225:AL225" si="2052">AJ224+AJ220+AJ216+AJ214</f>
        <v>462.56999999999971</v>
      </c>
      <c r="AK225" s="23">
        <f t="shared" si="2052"/>
        <v>544.62668806161741</v>
      </c>
      <c r="AL225" s="23">
        <f t="shared" si="2052"/>
        <v>687.00000000000023</v>
      </c>
      <c r="AM225" s="23">
        <f t="shared" ref="AM225" si="2053">AM224+AM220+AM216+AM214</f>
        <v>773.49999999999977</v>
      </c>
      <c r="AN225" s="23">
        <f t="shared" ref="AN225:CD225" si="2054">AN224+AN220+AN216+AN214</f>
        <v>939</v>
      </c>
      <c r="AO225" s="23">
        <f t="shared" si="2054"/>
        <v>1076.1193415637863</v>
      </c>
      <c r="AP225" s="23">
        <f t="shared" si="2054"/>
        <v>955</v>
      </c>
      <c r="AQ225" s="23">
        <f t="shared" si="2054"/>
        <v>1272.2538775510204</v>
      </c>
      <c r="AR225" s="23">
        <f t="shared" si="2054"/>
        <v>760.99999999999977</v>
      </c>
      <c r="AS225" s="23">
        <f t="shared" si="2054"/>
        <v>947.1248972884141</v>
      </c>
      <c r="AT225" s="23">
        <f t="shared" si="2054"/>
        <v>865</v>
      </c>
      <c r="AU225" s="23">
        <f t="shared" si="2054"/>
        <v>946.70623916811064</v>
      </c>
      <c r="AV225" s="23">
        <f t="shared" si="2054"/>
        <v>1637</v>
      </c>
      <c r="AW225" s="23">
        <f t="shared" si="2054"/>
        <v>1985.776727702304</v>
      </c>
      <c r="AX225" s="23">
        <f t="shared" si="2054"/>
        <v>1427</v>
      </c>
      <c r="AY225" s="23">
        <f t="shared" si="2054"/>
        <v>1701.7544910179645</v>
      </c>
      <c r="AZ225" s="23">
        <f t="shared" si="2054"/>
        <v>1849</v>
      </c>
      <c r="BA225" s="23">
        <f t="shared" si="2054"/>
        <v>2073.0916724982512</v>
      </c>
      <c r="BB225" s="23">
        <f t="shared" si="2054"/>
        <v>1698</v>
      </c>
      <c r="BC225" s="23">
        <f t="shared" si="2054"/>
        <v>1924.2092050209203</v>
      </c>
      <c r="BD225" s="23">
        <f t="shared" si="2054"/>
        <v>1947</v>
      </c>
      <c r="BE225" s="23">
        <f t="shared" si="2054"/>
        <v>1978.6725476358511</v>
      </c>
      <c r="BF225" s="23">
        <f t="shared" si="2054"/>
        <v>1359.0000000000005</v>
      </c>
      <c r="BG225" s="23">
        <f t="shared" si="2054"/>
        <v>1409.4660421545664</v>
      </c>
      <c r="BH225" s="23">
        <f t="shared" si="2054"/>
        <v>1677</v>
      </c>
      <c r="BI225" s="23">
        <f t="shared" si="2054"/>
        <v>1809.8505807814163</v>
      </c>
      <c r="BJ225" s="23">
        <f t="shared" si="2054"/>
        <v>1167</v>
      </c>
      <c r="BK225" s="23">
        <f t="shared" si="2054"/>
        <v>1269.1433189655181</v>
      </c>
      <c r="BL225" s="23">
        <f t="shared" si="2054"/>
        <v>1035</v>
      </c>
      <c r="BM225" s="23">
        <f t="shared" si="2054"/>
        <v>1315.4688279301754</v>
      </c>
      <c r="BN225" s="23">
        <f t="shared" si="2054"/>
        <v>666</v>
      </c>
      <c r="BO225" s="23">
        <f t="shared" si="2054"/>
        <v>888.13566289825303</v>
      </c>
      <c r="BP225" s="23">
        <f t="shared" si="2054"/>
        <v>1032</v>
      </c>
      <c r="BQ225" s="23">
        <f t="shared" si="2054"/>
        <v>1348.5022310361919</v>
      </c>
      <c r="BR225" s="23">
        <f t="shared" si="2054"/>
        <v>743</v>
      </c>
      <c r="BS225" s="23">
        <f t="shared" si="2054"/>
        <v>855.65926690758897</v>
      </c>
      <c r="BT225" s="23">
        <f t="shared" si="2054"/>
        <v>649</v>
      </c>
      <c r="BU225" s="23">
        <f t="shared" si="2054"/>
        <v>930.41974730931179</v>
      </c>
      <c r="BV225" s="23">
        <f t="shared" si="2054"/>
        <v>587</v>
      </c>
      <c r="BW225" s="23">
        <f t="shared" si="2054"/>
        <v>695.60534960112636</v>
      </c>
      <c r="BX225" s="23">
        <f t="shared" si="2054"/>
        <v>811</v>
      </c>
      <c r="BY225" s="23">
        <f t="shared" si="2054"/>
        <v>875.58838934962887</v>
      </c>
      <c r="BZ225" s="23">
        <f t="shared" si="2054"/>
        <v>727</v>
      </c>
      <c r="CA225" s="23">
        <f t="shared" si="2054"/>
        <v>1004.8394219189076</v>
      </c>
      <c r="CB225" s="23">
        <f t="shared" si="2054"/>
        <v>790</v>
      </c>
      <c r="CC225" s="23">
        <f t="shared" si="2054"/>
        <v>1170.5007518796992</v>
      </c>
      <c r="CD225" s="23">
        <f t="shared" si="2054"/>
        <v>980</v>
      </c>
      <c r="CE225" s="23">
        <f t="shared" ref="CE225:CF225" si="2055">CE224+CE220+CE216+CE214</f>
        <v>1352.52786885246</v>
      </c>
      <c r="CF225" s="23">
        <f t="shared" si="2055"/>
        <v>1235</v>
      </c>
      <c r="CG225" s="23">
        <f t="shared" ref="CG225:CH225" si="2056">CG224+CG220+CG216+CG214</f>
        <v>1789.6718587746627</v>
      </c>
      <c r="CH225" s="23">
        <f t="shared" si="2056"/>
        <v>691.66999999999916</v>
      </c>
      <c r="CI225" s="23">
        <f t="shared" ref="CI225:CJ225" si="2057">CI224+CI220+CI216+CI214</f>
        <v>1315.5113889827644</v>
      </c>
      <c r="CJ225" s="23">
        <f t="shared" si="2057"/>
        <v>794.00000000000102</v>
      </c>
      <c r="CK225" s="23">
        <f t="shared" ref="CK225:DB225" si="2058">CK224+CK220+CK216+CK214</f>
        <v>1534.3043609933388</v>
      </c>
      <c r="CL225" s="23">
        <f t="shared" si="2058"/>
        <v>2031</v>
      </c>
      <c r="CM225" s="24">
        <f t="shared" si="2058"/>
        <v>2683.1688953602115</v>
      </c>
      <c r="CN225" s="24">
        <f t="shared" si="2058"/>
        <v>3091.4128590717764</v>
      </c>
      <c r="CO225" s="24">
        <f t="shared" si="2058"/>
        <v>3587.8090631649102</v>
      </c>
      <c r="CP225" s="24">
        <f t="shared" si="2058"/>
        <v>3840.2143790321861</v>
      </c>
      <c r="CQ225" s="24">
        <f t="shared" si="2058"/>
        <v>4768.6068019585409</v>
      </c>
      <c r="CR225" s="24">
        <f t="shared" si="2058"/>
        <v>5386.2146492977918</v>
      </c>
      <c r="CS225" s="24">
        <f t="shared" si="2058"/>
        <v>6109.9459999289702</v>
      </c>
      <c r="CT225" s="24">
        <f t="shared" si="2058"/>
        <v>6570.8298670009835</v>
      </c>
      <c r="CU225" s="24">
        <f t="shared" si="2058"/>
        <v>7906.5595078316746</v>
      </c>
      <c r="CV225" s="24">
        <f t="shared" si="2058"/>
        <v>8716.3177865701364</v>
      </c>
      <c r="CW225" s="24">
        <f t="shared" si="2058"/>
        <v>9592.7507955729816</v>
      </c>
      <c r="CX225" s="24">
        <f t="shared" si="2058"/>
        <v>10200.490811419601</v>
      </c>
      <c r="CY225" s="24">
        <f t="shared" si="2058"/>
        <v>11622.05505277161</v>
      </c>
      <c r="CZ225" s="24">
        <f t="shared" si="2058"/>
        <v>12490.306458282239</v>
      </c>
      <c r="DA225" s="24">
        <f t="shared" si="2058"/>
        <v>13417.417175589275</v>
      </c>
      <c r="DB225" s="24">
        <f t="shared" si="2058"/>
        <v>14050.130596360386</v>
      </c>
      <c r="DE225" s="123"/>
      <c r="DF225" s="23">
        <v>2050.32849718336</v>
      </c>
    </row>
    <row r="226" spans="1:110" s="28" customFormat="1" x14ac:dyDescent="0.2">
      <c r="A226" s="28" t="s">
        <v>444</v>
      </c>
      <c r="C226" s="28">
        <f t="shared" ref="C226:W226" si="2059">C225-C176</f>
        <v>0</v>
      </c>
      <c r="D226" s="28">
        <f t="shared" si="2059"/>
        <v>0</v>
      </c>
      <c r="E226" s="28">
        <f t="shared" si="2059"/>
        <v>0</v>
      </c>
      <c r="F226" s="28">
        <f t="shared" si="2059"/>
        <v>0</v>
      </c>
      <c r="G226" s="28">
        <f t="shared" si="2059"/>
        <v>-1.2789769243681803E-13</v>
      </c>
      <c r="H226" s="28">
        <f t="shared" si="2059"/>
        <v>9.2370555648813024E-14</v>
      </c>
      <c r="I226" s="28">
        <f t="shared" si="2059"/>
        <v>0</v>
      </c>
      <c r="J226" s="28">
        <f>J225-J176</f>
        <v>0</v>
      </c>
      <c r="K226" s="28">
        <f t="shared" si="2059"/>
        <v>0</v>
      </c>
      <c r="L226" s="28">
        <f t="shared" si="2059"/>
        <v>0</v>
      </c>
      <c r="M226" s="28">
        <f t="shared" si="2059"/>
        <v>0</v>
      </c>
      <c r="N226" s="28">
        <f t="shared" si="2059"/>
        <v>0</v>
      </c>
      <c r="O226" s="28">
        <f t="shared" si="2059"/>
        <v>0</v>
      </c>
      <c r="P226" s="28">
        <f t="shared" si="2059"/>
        <v>0</v>
      </c>
      <c r="Q226" s="28">
        <f t="shared" si="2059"/>
        <v>0</v>
      </c>
      <c r="R226" s="28">
        <f t="shared" si="2059"/>
        <v>0</v>
      </c>
      <c r="S226" s="28">
        <f t="shared" si="2059"/>
        <v>0</v>
      </c>
      <c r="T226" s="28">
        <f t="shared" si="2059"/>
        <v>-4.3200998334214091E-12</v>
      </c>
      <c r="U226" s="28">
        <f t="shared" si="2059"/>
        <v>7.617018127348274E-12</v>
      </c>
      <c r="V226" s="28">
        <f t="shared" si="2059"/>
        <v>-3.751665644813329E-12</v>
      </c>
      <c r="W226" s="28">
        <f t="shared" si="2059"/>
        <v>-3.2969182939268649E-12</v>
      </c>
      <c r="X226" s="28">
        <f t="shared" ref="X226:Y226" si="2060">X225-X176</f>
        <v>1.0231815394945443E-12</v>
      </c>
      <c r="Y226" s="28">
        <f t="shared" si="2060"/>
        <v>2.7284841053187847E-12</v>
      </c>
      <c r="Z226" s="28">
        <f t="shared" ref="Z226:AA226" si="2061">Z225-Z176</f>
        <v>-3.1832314562052488E-12</v>
      </c>
      <c r="AA226" s="28">
        <f t="shared" si="2061"/>
        <v>0</v>
      </c>
      <c r="AB226" s="30">
        <f t="shared" ref="AA226:AD226" si="2062">AB225-AB176</f>
        <v>0</v>
      </c>
      <c r="AC226" s="30">
        <f t="shared" si="2062"/>
        <v>0</v>
      </c>
      <c r="AD226" s="30">
        <f t="shared" si="2062"/>
        <v>0</v>
      </c>
      <c r="AE226" s="30">
        <f t="shared" ref="AE226" si="2063">AE225-AE176</f>
        <v>0</v>
      </c>
      <c r="AI226" s="28">
        <f t="shared" ref="AI226" si="2064">AI225-AI176</f>
        <v>0</v>
      </c>
      <c r="AJ226" s="28">
        <f t="shared" ref="AJ226:AL226" si="2065">AJ225-AJ176</f>
        <v>0</v>
      </c>
      <c r="AK226" s="28">
        <f t="shared" si="2065"/>
        <v>0</v>
      </c>
      <c r="AL226" s="28">
        <f t="shared" si="2065"/>
        <v>0</v>
      </c>
      <c r="AM226" s="28">
        <f t="shared" ref="AM226" si="2066">AM225-AM176</f>
        <v>0</v>
      </c>
      <c r="AN226" s="28">
        <f t="shared" ref="AN226:CD226" si="2067">AN225-AN176</f>
        <v>0</v>
      </c>
      <c r="AO226" s="28">
        <f t="shared" si="2067"/>
        <v>0</v>
      </c>
      <c r="AP226" s="28">
        <f t="shared" si="2067"/>
        <v>0</v>
      </c>
      <c r="AQ226" s="28">
        <f t="shared" si="2067"/>
        <v>0</v>
      </c>
      <c r="AR226" s="28">
        <f t="shared" si="2067"/>
        <v>0</v>
      </c>
      <c r="AS226" s="28">
        <f t="shared" si="2067"/>
        <v>0</v>
      </c>
      <c r="AT226" s="28">
        <f t="shared" si="2067"/>
        <v>0</v>
      </c>
      <c r="AU226" s="28">
        <f t="shared" si="2067"/>
        <v>0</v>
      </c>
      <c r="AV226" s="28">
        <f t="shared" si="2067"/>
        <v>0</v>
      </c>
      <c r="AW226" s="28">
        <f t="shared" si="2067"/>
        <v>0</v>
      </c>
      <c r="AX226" s="28">
        <f t="shared" si="2067"/>
        <v>0</v>
      </c>
      <c r="AY226" s="28">
        <f t="shared" si="2067"/>
        <v>0</v>
      </c>
      <c r="AZ226" s="28">
        <f t="shared" si="2067"/>
        <v>0</v>
      </c>
      <c r="BA226" s="28">
        <f t="shared" si="2067"/>
        <v>0</v>
      </c>
      <c r="BB226" s="28">
        <f t="shared" si="2067"/>
        <v>0</v>
      </c>
      <c r="BC226" s="28">
        <f t="shared" si="2067"/>
        <v>0</v>
      </c>
      <c r="BD226" s="28">
        <f t="shared" si="2067"/>
        <v>0</v>
      </c>
      <c r="BE226" s="28">
        <f t="shared" si="2067"/>
        <v>0</v>
      </c>
      <c r="BF226" s="28">
        <f t="shared" si="2067"/>
        <v>0</v>
      </c>
      <c r="BG226" s="28">
        <f t="shared" si="2067"/>
        <v>0</v>
      </c>
      <c r="BH226" s="28">
        <f t="shared" si="2067"/>
        <v>0</v>
      </c>
      <c r="BI226" s="28">
        <f t="shared" si="2067"/>
        <v>0</v>
      </c>
      <c r="BJ226" s="28">
        <f t="shared" si="2067"/>
        <v>0</v>
      </c>
      <c r="BK226" s="28">
        <f t="shared" si="2067"/>
        <v>0</v>
      </c>
      <c r="BL226" s="28">
        <f t="shared" si="2067"/>
        <v>0</v>
      </c>
      <c r="BM226" s="28">
        <f t="shared" si="2067"/>
        <v>0</v>
      </c>
      <c r="BN226" s="28">
        <f t="shared" si="2067"/>
        <v>0</v>
      </c>
      <c r="BO226" s="28">
        <f t="shared" si="2067"/>
        <v>0</v>
      </c>
      <c r="BP226" s="28">
        <f t="shared" si="2067"/>
        <v>0</v>
      </c>
      <c r="BQ226" s="28">
        <f t="shared" si="2067"/>
        <v>0</v>
      </c>
      <c r="BR226" s="28">
        <f t="shared" si="2067"/>
        <v>0</v>
      </c>
      <c r="BS226" s="28">
        <f t="shared" si="2067"/>
        <v>0</v>
      </c>
      <c r="BT226" s="28">
        <f t="shared" si="2067"/>
        <v>0</v>
      </c>
      <c r="BU226" s="28">
        <f t="shared" si="2067"/>
        <v>0</v>
      </c>
      <c r="BV226" s="28">
        <f t="shared" si="2067"/>
        <v>0</v>
      </c>
      <c r="BW226" s="28">
        <f t="shared" si="2067"/>
        <v>0</v>
      </c>
      <c r="BX226" s="28">
        <f t="shared" si="2067"/>
        <v>0</v>
      </c>
      <c r="BY226" s="28">
        <f t="shared" si="2067"/>
        <v>0</v>
      </c>
      <c r="BZ226" s="28">
        <f t="shared" si="2067"/>
        <v>0</v>
      </c>
      <c r="CA226" s="28">
        <f t="shared" si="2067"/>
        <v>0</v>
      </c>
      <c r="CB226" s="28">
        <f t="shared" si="2067"/>
        <v>0</v>
      </c>
      <c r="CC226" s="28">
        <f t="shared" si="2067"/>
        <v>0</v>
      </c>
      <c r="CD226" s="28">
        <f t="shared" si="2067"/>
        <v>0</v>
      </c>
      <c r="CE226" s="28">
        <f t="shared" ref="CE226:CF226" si="2068">CE225-CE176</f>
        <v>0</v>
      </c>
      <c r="CF226" s="28">
        <f t="shared" si="2068"/>
        <v>0</v>
      </c>
      <c r="CG226" s="28">
        <f t="shared" ref="CG226:CH226" si="2069">CG225-CG176</f>
        <v>0</v>
      </c>
      <c r="CH226" s="28">
        <f t="shared" si="2069"/>
        <v>-9.0949470177292824E-13</v>
      </c>
      <c r="CI226" s="28">
        <f t="shared" ref="CI226:CJ226" si="2070">CI225-CI176</f>
        <v>0</v>
      </c>
      <c r="CJ226" s="28">
        <f t="shared" si="2070"/>
        <v>1.0231815394945443E-12</v>
      </c>
      <c r="CK226" s="28">
        <f t="shared" ref="CK226:DB226" si="2071">CK225-CK176</f>
        <v>0</v>
      </c>
      <c r="CL226" s="28">
        <f t="shared" si="2071"/>
        <v>0</v>
      </c>
      <c r="CM226" s="30">
        <f t="shared" si="2071"/>
        <v>0</v>
      </c>
      <c r="CN226" s="30">
        <f t="shared" si="2071"/>
        <v>0</v>
      </c>
      <c r="CO226" s="30">
        <f t="shared" si="2071"/>
        <v>0</v>
      </c>
      <c r="CP226" s="30">
        <f t="shared" si="2071"/>
        <v>0</v>
      </c>
      <c r="CQ226" s="30">
        <f t="shared" si="2071"/>
        <v>0</v>
      </c>
      <c r="CR226" s="30">
        <f t="shared" si="2071"/>
        <v>0</v>
      </c>
      <c r="CS226" s="30">
        <f t="shared" si="2071"/>
        <v>0</v>
      </c>
      <c r="CT226" s="30">
        <f t="shared" si="2071"/>
        <v>0</v>
      </c>
      <c r="CU226" s="30">
        <f t="shared" si="2071"/>
        <v>0</v>
      </c>
      <c r="CV226" s="30">
        <f t="shared" si="2071"/>
        <v>0</v>
      </c>
      <c r="CW226" s="30">
        <f t="shared" si="2071"/>
        <v>0</v>
      </c>
      <c r="CX226" s="30">
        <f t="shared" si="2071"/>
        <v>0</v>
      </c>
      <c r="CY226" s="30">
        <f t="shared" si="2071"/>
        <v>0</v>
      </c>
      <c r="CZ226" s="30">
        <f t="shared" si="2071"/>
        <v>0</v>
      </c>
      <c r="DA226" s="30">
        <f t="shared" si="2071"/>
        <v>0</v>
      </c>
      <c r="DB226" s="30">
        <f t="shared" si="2071"/>
        <v>0</v>
      </c>
      <c r="DE226" s="139"/>
      <c r="DF226" s="28">
        <v>0</v>
      </c>
    </row>
    <row r="227" spans="1:110" s="23" customFormat="1" x14ac:dyDescent="0.2"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2" customFormat="1" x14ac:dyDescent="0.2">
      <c r="A228" s="22" t="s">
        <v>96</v>
      </c>
      <c r="C228" s="22">
        <f t="shared" ref="C228:W228" si="2072">C214+C216</f>
        <v>168.3766</v>
      </c>
      <c r="D228" s="22">
        <f t="shared" si="2072"/>
        <v>33.569200000000016</v>
      </c>
      <c r="E228" s="22">
        <f t="shared" si="2072"/>
        <v>10.193700000000028</v>
      </c>
      <c r="F228" s="22">
        <f t="shared" si="2072"/>
        <v>-70.684600000000003</v>
      </c>
      <c r="G228" s="22">
        <f t="shared" si="2072"/>
        <v>-107.10660000000021</v>
      </c>
      <c r="H228" s="22">
        <f t="shared" si="2072"/>
        <v>-66.6334999999997</v>
      </c>
      <c r="I228" s="22">
        <f t="shared" si="2072"/>
        <v>107.57449999999989</v>
      </c>
      <c r="J228" s="22">
        <f>J214+J216</f>
        <v>116.81729999999968</v>
      </c>
      <c r="K228" s="22">
        <f t="shared" si="2072"/>
        <v>171.33740000000023</v>
      </c>
      <c r="L228" s="22">
        <f t="shared" si="2072"/>
        <v>121.81910000000056</v>
      </c>
      <c r="M228" s="22">
        <f t="shared" si="2072"/>
        <v>260.04969999999952</v>
      </c>
      <c r="N228" s="22">
        <f t="shared" si="2072"/>
        <v>20.159999999999968</v>
      </c>
      <c r="O228" s="22">
        <f t="shared" si="2072"/>
        <v>12.200000000001296</v>
      </c>
      <c r="P228" s="22">
        <f t="shared" si="2072"/>
        <v>-1535.9100000000008</v>
      </c>
      <c r="Q228" s="22">
        <f t="shared" si="2072"/>
        <v>1680.0100000000004</v>
      </c>
      <c r="R228" s="22">
        <f t="shared" si="2072"/>
        <v>189.69000000000005</v>
      </c>
      <c r="S228" s="22">
        <f t="shared" si="2072"/>
        <v>-3883.9399999999991</v>
      </c>
      <c r="T228" s="22">
        <f t="shared" si="2072"/>
        <v>566.74999999999659</v>
      </c>
      <c r="U228" s="22">
        <f t="shared" si="2072"/>
        <v>623.20000000000505</v>
      </c>
      <c r="V228" s="22">
        <f t="shared" si="2072"/>
        <v>1328.3799999999981</v>
      </c>
      <c r="W228" s="22">
        <f t="shared" si="2072"/>
        <v>1313.5999999999965</v>
      </c>
      <c r="X228" s="22">
        <f t="shared" ref="X228:Y228" si="2073">X214+X216</f>
        <v>-138.92999999999847</v>
      </c>
      <c r="Y228" s="22">
        <f t="shared" si="2073"/>
        <v>2610.7100000000019</v>
      </c>
      <c r="Z228" s="22">
        <f t="shared" ref="Z228:AA228" si="2074">Z214+Z216</f>
        <v>1799.629999999996</v>
      </c>
      <c r="AA228" s="22">
        <f t="shared" si="2074"/>
        <v>-18263.650000000001</v>
      </c>
      <c r="AB228" s="21">
        <f t="shared" ref="AA228:AD228" si="2075">AB214+AB216</f>
        <v>1809.344379032188</v>
      </c>
      <c r="AC228" s="21">
        <f t="shared" si="2075"/>
        <v>2730.6154879687956</v>
      </c>
      <c r="AD228" s="21">
        <f t="shared" si="2075"/>
        <v>3629.660944418617</v>
      </c>
      <c r="AE228" s="21">
        <f t="shared" ref="AE228" si="2076">AE214+AE216</f>
        <v>3849.6397849407849</v>
      </c>
      <c r="AI228" s="22">
        <f t="shared" ref="AI228" si="2077">AI214+AI216</f>
        <v>102</v>
      </c>
      <c r="AJ228" s="22">
        <f t="shared" ref="AJ228:AL228" si="2078">AJ214+AJ216</f>
        <v>-1184.0800000000002</v>
      </c>
      <c r="AK228" s="22">
        <f t="shared" si="2078"/>
        <v>82.056688061617479</v>
      </c>
      <c r="AL228" s="22">
        <f t="shared" si="2078"/>
        <v>117.02331193838265</v>
      </c>
      <c r="AM228" s="22">
        <f t="shared" ref="AM228" si="2079">AM214+AM216</f>
        <v>86.499999999999773</v>
      </c>
      <c r="AN228" s="22">
        <f t="shared" ref="AN228:CD228" si="2080">AN214+AN216</f>
        <v>15.500000000000227</v>
      </c>
      <c r="AO228" s="22">
        <f t="shared" si="2080"/>
        <v>137.11934156378629</v>
      </c>
      <c r="AP228" s="22">
        <f t="shared" si="2080"/>
        <v>-163.11934156378629</v>
      </c>
      <c r="AQ228" s="22">
        <f t="shared" si="2080"/>
        <v>317.25387755102042</v>
      </c>
      <c r="AR228" s="22">
        <f t="shared" si="2080"/>
        <v>-1817.2538775510204</v>
      </c>
      <c r="AS228" s="22">
        <f t="shared" si="2080"/>
        <v>186.1248972884141</v>
      </c>
      <c r="AT228" s="22">
        <f t="shared" si="2080"/>
        <v>-162.1248972884141</v>
      </c>
      <c r="AU228" s="22">
        <f t="shared" si="2080"/>
        <v>81.706239168110642</v>
      </c>
      <c r="AV228" s="22">
        <f t="shared" si="2080"/>
        <v>1186.2937608318894</v>
      </c>
      <c r="AW228" s="22">
        <f t="shared" si="2080"/>
        <v>348.77672770230402</v>
      </c>
      <c r="AX228" s="22">
        <f t="shared" si="2080"/>
        <v>326.22327229769598</v>
      </c>
      <c r="AY228" s="22">
        <f t="shared" si="2080"/>
        <v>274.75449101796448</v>
      </c>
      <c r="AZ228" s="22">
        <f t="shared" si="2080"/>
        <v>-96.754491017964483</v>
      </c>
      <c r="BA228" s="22">
        <f t="shared" si="2080"/>
        <v>224.09167249825123</v>
      </c>
      <c r="BB228" s="22">
        <f t="shared" si="2080"/>
        <v>-442.09167249825123</v>
      </c>
      <c r="BC228" s="22">
        <f t="shared" si="2080"/>
        <v>226.20920502092031</v>
      </c>
      <c r="BD228" s="22">
        <f t="shared" si="2080"/>
        <v>114.79079497907969</v>
      </c>
      <c r="BE228" s="22">
        <f t="shared" si="2080"/>
        <v>31.67254763585106</v>
      </c>
      <c r="BF228" s="22">
        <f t="shared" si="2080"/>
        <v>-3801.6725476358511</v>
      </c>
      <c r="BG228" s="22">
        <f t="shared" si="2080"/>
        <v>50.466042154566367</v>
      </c>
      <c r="BH228" s="22">
        <f t="shared" si="2080"/>
        <v>537.53395784543363</v>
      </c>
      <c r="BI228" s="22">
        <f t="shared" si="2080"/>
        <v>132.85058078141628</v>
      </c>
      <c r="BJ228" s="22">
        <f t="shared" si="2080"/>
        <v>312.14941921858372</v>
      </c>
      <c r="BK228" s="22">
        <f t="shared" si="2080"/>
        <v>102.14331896551812</v>
      </c>
      <c r="BL228" s="22">
        <f t="shared" si="2080"/>
        <v>414.85668103448188</v>
      </c>
      <c r="BM228" s="22">
        <f t="shared" si="2080"/>
        <v>280.46882793017539</v>
      </c>
      <c r="BN228" s="22">
        <f t="shared" si="2080"/>
        <v>107.53117206982461</v>
      </c>
      <c r="BO228" s="22">
        <f t="shared" si="2080"/>
        <v>222.13566289825303</v>
      </c>
      <c r="BP228" s="22">
        <f t="shared" si="2080"/>
        <v>481.86433710174697</v>
      </c>
      <c r="BQ228" s="22">
        <f t="shared" si="2080"/>
        <v>316.50223103619192</v>
      </c>
      <c r="BR228" s="22">
        <f t="shared" si="2080"/>
        <v>-1164.5022310361919</v>
      </c>
      <c r="BS228" s="22">
        <f t="shared" si="2080"/>
        <v>112.65926690758897</v>
      </c>
      <c r="BT228" s="22">
        <f t="shared" si="2080"/>
        <v>545.34073309241103</v>
      </c>
      <c r="BU228" s="22">
        <f t="shared" si="2080"/>
        <v>281.41974730931179</v>
      </c>
      <c r="BV228" s="22">
        <f t="shared" si="2080"/>
        <v>373.58025269068821</v>
      </c>
      <c r="BW228" s="22">
        <f t="shared" si="2080"/>
        <v>108.60534960112636</v>
      </c>
      <c r="BX228" s="22">
        <f t="shared" si="2080"/>
        <v>643.39465039887364</v>
      </c>
      <c r="BY228" s="22">
        <f t="shared" si="2080"/>
        <v>64.588389349628869</v>
      </c>
      <c r="BZ228" s="22">
        <f t="shared" si="2080"/>
        <v>-955.58838934962887</v>
      </c>
      <c r="CA228" s="22">
        <f t="shared" si="2080"/>
        <v>277.83942191890765</v>
      </c>
      <c r="CB228" s="22">
        <f t="shared" si="2080"/>
        <v>921.16057808109235</v>
      </c>
      <c r="CC228" s="22">
        <f t="shared" si="2080"/>
        <v>380.50075187969924</v>
      </c>
      <c r="CD228" s="22">
        <f t="shared" si="2080"/>
        <v>1030.4992481203008</v>
      </c>
      <c r="CE228" s="22">
        <f t="shared" ref="CE228:CF228" si="2081">CE214+CE216</f>
        <v>372.52786885245996</v>
      </c>
      <c r="CF228" s="22">
        <f t="shared" si="2081"/>
        <v>1034.47213114754</v>
      </c>
      <c r="CG228" s="22">
        <f t="shared" ref="CG228:CH228" si="2082">CG214+CG216</f>
        <v>554.67185877466272</v>
      </c>
      <c r="CH228" s="22">
        <f t="shared" si="2082"/>
        <v>-161.78185877466331</v>
      </c>
      <c r="CI228" s="22">
        <f t="shared" ref="CI228:CJ228" si="2083">CI214+CI216</f>
        <v>623.84138898276433</v>
      </c>
      <c r="CJ228" s="22">
        <f t="shared" si="2083"/>
        <v>195.26861101723631</v>
      </c>
      <c r="CK228" s="22">
        <f t="shared" ref="CK228:DB228" si="2084">CK214+CK216</f>
        <v>740.30436099333883</v>
      </c>
      <c r="CL228" s="22">
        <f t="shared" si="2084"/>
        <v>-19823.304360993337</v>
      </c>
      <c r="CM228" s="21">
        <f t="shared" si="2084"/>
        <v>652.16889536021176</v>
      </c>
      <c r="CN228" s="21">
        <f t="shared" si="2084"/>
        <v>408.24396371156513</v>
      </c>
      <c r="CO228" s="21">
        <f t="shared" si="2084"/>
        <v>496.39620409313375</v>
      </c>
      <c r="CP228" s="21">
        <f t="shared" si="2084"/>
        <v>252.40531586727616</v>
      </c>
      <c r="CQ228" s="21">
        <f t="shared" si="2084"/>
        <v>928.39242292635504</v>
      </c>
      <c r="CR228" s="21">
        <f t="shared" si="2084"/>
        <v>617.60784733925038</v>
      </c>
      <c r="CS228" s="21">
        <f t="shared" si="2084"/>
        <v>723.73135063117866</v>
      </c>
      <c r="CT228" s="21">
        <f t="shared" si="2084"/>
        <v>460.88386707201312</v>
      </c>
      <c r="CU228" s="21">
        <f t="shared" si="2084"/>
        <v>1335.7296408306909</v>
      </c>
      <c r="CV228" s="21">
        <f t="shared" si="2084"/>
        <v>809.75827873846083</v>
      </c>
      <c r="CW228" s="21">
        <f t="shared" si="2084"/>
        <v>876.43300900284589</v>
      </c>
      <c r="CX228" s="21">
        <f t="shared" si="2084"/>
        <v>607.7400158466196</v>
      </c>
      <c r="CY228" s="21">
        <f t="shared" si="2084"/>
        <v>1421.5642413520088</v>
      </c>
      <c r="CZ228" s="21">
        <f t="shared" si="2084"/>
        <v>868.25140551062964</v>
      </c>
      <c r="DA228" s="21">
        <f t="shared" si="2084"/>
        <v>927.11071730703588</v>
      </c>
      <c r="DB228" s="21">
        <f t="shared" si="2084"/>
        <v>632.71342077111149</v>
      </c>
      <c r="DE228" s="126"/>
      <c r="DF228" s="22">
        <v>516.02413619002095</v>
      </c>
    </row>
    <row r="229" spans="1:110" x14ac:dyDescent="0.2">
      <c r="A229" s="152" t="s">
        <v>496</v>
      </c>
      <c r="AA229" s="2"/>
      <c r="CL229" s="2"/>
    </row>
    <row r="230" spans="1:110" x14ac:dyDescent="0.2">
      <c r="AA230" s="2"/>
      <c r="CL230" s="2"/>
    </row>
    <row r="231" spans="1:110" s="7" customFormat="1" hidden="1" outlineLevel="1" x14ac:dyDescent="0.2">
      <c r="A231" s="61" t="s">
        <v>97</v>
      </c>
      <c r="AB231" s="77"/>
      <c r="AC231" s="77"/>
      <c r="AD231" s="77"/>
      <c r="AE231" s="77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E231" s="138"/>
    </row>
    <row r="232" spans="1:110" s="62" customFormat="1" hidden="1" outlineLevel="1" x14ac:dyDescent="0.2">
      <c r="A232" s="62" t="s">
        <v>98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99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100</v>
      </c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11" customFormat="1" collapsed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3" customFormat="1" x14ac:dyDescent="0.2">
      <c r="A239" s="82" t="s">
        <v>101</v>
      </c>
      <c r="AB239" s="72"/>
      <c r="AC239" s="72"/>
      <c r="AD239" s="72"/>
      <c r="AE239" s="72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6" customFormat="1" x14ac:dyDescent="0.2">
      <c r="A240" s="66" t="s">
        <v>471</v>
      </c>
      <c r="AB240" s="50"/>
      <c r="AC240" s="50"/>
      <c r="AD240" s="50"/>
      <c r="AE240" s="50"/>
      <c r="AL240" s="66">
        <f t="shared" ref="AL240:BQ240" si="2085">SUM(AI25:AL25)</f>
        <v>3212</v>
      </c>
      <c r="AM240" s="66">
        <f t="shared" si="2085"/>
        <v>3417</v>
      </c>
      <c r="AN240" s="66">
        <f t="shared" si="2085"/>
        <v>3612</v>
      </c>
      <c r="AO240" s="66">
        <f t="shared" si="2085"/>
        <v>3830</v>
      </c>
      <c r="AP240" s="66">
        <f t="shared" si="2085"/>
        <v>4184</v>
      </c>
      <c r="AQ240" s="66">
        <f t="shared" si="2085"/>
        <v>4326</v>
      </c>
      <c r="AR240" s="66">
        <f t="shared" si="2085"/>
        <v>4571</v>
      </c>
      <c r="AS240" s="66">
        <f t="shared" si="2085"/>
        <v>4724</v>
      </c>
      <c r="AT240" s="66">
        <f t="shared" si="2085"/>
        <v>4653</v>
      </c>
      <c r="AU240" s="66">
        <f t="shared" si="2085"/>
        <v>5486</v>
      </c>
      <c r="AV240" s="66">
        <f t="shared" si="2085"/>
        <v>5962</v>
      </c>
      <c r="AW240" s="66">
        <f t="shared" si="2085"/>
        <v>6336</v>
      </c>
      <c r="AX240" s="66">
        <f t="shared" si="2085"/>
        <v>6685</v>
      </c>
      <c r="AY240" s="66">
        <f t="shared" si="2085"/>
        <v>6289</v>
      </c>
      <c r="AZ240" s="66">
        <f t="shared" si="2085"/>
        <v>6025</v>
      </c>
      <c r="BA240" s="66">
        <f t="shared" si="2085"/>
        <v>5926</v>
      </c>
      <c r="BB240" s="66">
        <f t="shared" si="2085"/>
        <v>5857</v>
      </c>
      <c r="BC240" s="66">
        <f t="shared" si="2085"/>
        <v>5668</v>
      </c>
      <c r="BD240" s="66">
        <f t="shared" si="2085"/>
        <v>5656</v>
      </c>
      <c r="BE240" s="66">
        <f t="shared" si="2085"/>
        <v>5676</v>
      </c>
      <c r="BF240" s="66">
        <f t="shared" si="2085"/>
        <v>5950</v>
      </c>
      <c r="BG240" s="66">
        <f t="shared" si="2085"/>
        <v>6460</v>
      </c>
      <c r="BH240" s="66">
        <f t="shared" si="2085"/>
        <v>6937</v>
      </c>
      <c r="BI240" s="66">
        <f t="shared" si="2085"/>
        <v>7525</v>
      </c>
      <c r="BJ240" s="66">
        <f t="shared" si="2085"/>
        <v>7673</v>
      </c>
      <c r="BK240" s="66">
        <f t="shared" si="2085"/>
        <v>7823</v>
      </c>
      <c r="BL240" s="66">
        <f t="shared" si="2085"/>
        <v>7934</v>
      </c>
      <c r="BM240" s="66">
        <f t="shared" si="2085"/>
        <v>7849</v>
      </c>
      <c r="BN240" s="66">
        <f t="shared" si="2085"/>
        <v>7939</v>
      </c>
      <c r="BO240" s="66">
        <f t="shared" si="2085"/>
        <v>7973</v>
      </c>
      <c r="BP240" s="66">
        <f t="shared" si="2085"/>
        <v>7985</v>
      </c>
      <c r="BQ240" s="66">
        <f t="shared" si="2085"/>
        <v>8014</v>
      </c>
      <c r="BR240" s="66">
        <f t="shared" ref="BR240:CW240" si="2086">SUM(BO25:BR25)</f>
        <v>8005</v>
      </c>
      <c r="BS240" s="66">
        <f t="shared" si="2086"/>
        <v>8083</v>
      </c>
      <c r="BT240" s="66">
        <f t="shared" si="2086"/>
        <v>8203</v>
      </c>
      <c r="BU240" s="66">
        <f t="shared" si="2086"/>
        <v>8316</v>
      </c>
      <c r="BV240" s="66">
        <f t="shared" si="2086"/>
        <v>8510</v>
      </c>
      <c r="BW240" s="66">
        <f t="shared" si="2086"/>
        <v>8723</v>
      </c>
      <c r="BX240" s="66">
        <f t="shared" si="2086"/>
        <v>8877</v>
      </c>
      <c r="BY240" s="66">
        <f t="shared" si="2086"/>
        <v>9260</v>
      </c>
      <c r="BZ240" s="66">
        <f t="shared" si="2086"/>
        <v>9620</v>
      </c>
      <c r="CA240" s="66">
        <f t="shared" si="2086"/>
        <v>9864</v>
      </c>
      <c r="CB240" s="66">
        <f t="shared" si="2086"/>
        <v>10233</v>
      </c>
      <c r="CC240" s="66">
        <f t="shared" si="2086"/>
        <v>10474</v>
      </c>
      <c r="CD240" s="66">
        <f t="shared" si="2086"/>
        <v>10728</v>
      </c>
      <c r="CE240" s="66">
        <f t="shared" si="2086"/>
        <v>10996</v>
      </c>
      <c r="CF240" s="66">
        <f t="shared" si="2086"/>
        <v>11225</v>
      </c>
      <c r="CG240" s="66">
        <f t="shared" si="2086"/>
        <v>11302</v>
      </c>
      <c r="CH240" s="66">
        <f t="shared" si="2086"/>
        <v>11516</v>
      </c>
      <c r="CI240" s="66">
        <f t="shared" si="2086"/>
        <v>11835</v>
      </c>
      <c r="CJ240" s="66">
        <f t="shared" si="2086"/>
        <v>12248</v>
      </c>
      <c r="CK240" s="66">
        <f t="shared" si="2086"/>
        <v>12742</v>
      </c>
      <c r="CL240" s="66">
        <f t="shared" si="2086"/>
        <v>13980</v>
      </c>
      <c r="CM240" s="50">
        <f t="shared" si="2086"/>
        <v>14560.700142261467</v>
      </c>
      <c r="CN240" s="50">
        <f t="shared" si="2086"/>
        <v>15180.886404218789</v>
      </c>
      <c r="CO240" s="50">
        <f t="shared" si="2086"/>
        <v>15806.246237429483</v>
      </c>
      <c r="CP240" s="50">
        <f t="shared" si="2086"/>
        <v>16587.809330389995</v>
      </c>
      <c r="CQ240" s="50">
        <f t="shared" si="2086"/>
        <v>17238.636907758108</v>
      </c>
      <c r="CR240" s="50">
        <f t="shared" si="2086"/>
        <v>17915.383407911122</v>
      </c>
      <c r="CS240" s="50">
        <f t="shared" si="2086"/>
        <v>18585.946538532746</v>
      </c>
      <c r="CT240" s="50">
        <f t="shared" si="2086"/>
        <v>19424.581157582754</v>
      </c>
      <c r="CU240" s="50">
        <f t="shared" si="2086"/>
        <v>19756.224319564233</v>
      </c>
      <c r="CV240" s="50">
        <f t="shared" si="2086"/>
        <v>19967.265935669755</v>
      </c>
      <c r="CW240" s="50">
        <f t="shared" si="2086"/>
        <v>20113.906931861369</v>
      </c>
      <c r="CX240" s="50">
        <f t="shared" ref="CX240:DB240" si="2087">SUM(CU25:CX25)</f>
        <v>20259.198423461894</v>
      </c>
      <c r="CY240" s="50">
        <f t="shared" si="2087"/>
        <v>20368.881586822448</v>
      </c>
      <c r="CZ240" s="50">
        <f t="shared" si="2087"/>
        <v>20486.714133073241</v>
      </c>
      <c r="DA240" s="50">
        <f t="shared" si="2087"/>
        <v>20605.338564514437</v>
      </c>
      <c r="DB240" s="50">
        <f t="shared" si="2087"/>
        <v>20755.620753874988</v>
      </c>
      <c r="DE240" s="138"/>
      <c r="DF240" s="66">
        <v>13219.883276100332</v>
      </c>
    </row>
    <row r="241" spans="1:110" s="66" customFormat="1" x14ac:dyDescent="0.2">
      <c r="A241" s="66" t="s">
        <v>472</v>
      </c>
      <c r="AB241" s="50"/>
      <c r="AC241" s="50"/>
      <c r="AD241" s="50"/>
      <c r="AE241" s="50"/>
      <c r="AL241" s="66">
        <f t="shared" ref="AL241:BQ241" si="2088">SUM(AI43:AL43)</f>
        <v>692</v>
      </c>
      <c r="AM241" s="66">
        <f t="shared" si="2088"/>
        <v>744</v>
      </c>
      <c r="AN241" s="66">
        <f t="shared" si="2088"/>
        <v>769</v>
      </c>
      <c r="AO241" s="66">
        <f t="shared" si="2088"/>
        <v>822</v>
      </c>
      <c r="AP241" s="66">
        <f t="shared" si="2088"/>
        <v>952</v>
      </c>
      <c r="AQ241" s="66">
        <f t="shared" si="2088"/>
        <v>1089</v>
      </c>
      <c r="AR241" s="66">
        <f t="shared" si="2088"/>
        <v>1183</v>
      </c>
      <c r="AS241" s="66">
        <f t="shared" si="2088"/>
        <v>1208</v>
      </c>
      <c r="AT241" s="66">
        <f t="shared" si="2088"/>
        <v>1020</v>
      </c>
      <c r="AU241" s="66">
        <f t="shared" si="2088"/>
        <v>1587</v>
      </c>
      <c r="AV241" s="66">
        <f t="shared" si="2088"/>
        <v>2031</v>
      </c>
      <c r="AW241" s="66">
        <f t="shared" si="2088"/>
        <v>2409</v>
      </c>
      <c r="AX241" s="66">
        <f t="shared" si="2088"/>
        <v>2734</v>
      </c>
      <c r="AY241" s="66">
        <f t="shared" si="2088"/>
        <v>2259</v>
      </c>
      <c r="AZ241" s="66">
        <f t="shared" si="2088"/>
        <v>1872</v>
      </c>
      <c r="BA241" s="66">
        <f t="shared" si="2088"/>
        <v>1570</v>
      </c>
      <c r="BB241" s="66">
        <f t="shared" si="2088"/>
        <v>1378</v>
      </c>
      <c r="BC241" s="66">
        <f t="shared" si="2088"/>
        <v>1238</v>
      </c>
      <c r="BD241" s="66">
        <f t="shared" si="2088"/>
        <v>1237</v>
      </c>
      <c r="BE241" s="66">
        <f t="shared" si="2088"/>
        <v>1280</v>
      </c>
      <c r="BF241" s="66">
        <f t="shared" si="2088"/>
        <v>1349</v>
      </c>
      <c r="BG241" s="66">
        <f t="shared" si="2088"/>
        <v>1529</v>
      </c>
      <c r="BH241" s="66">
        <f t="shared" si="2088"/>
        <v>1673</v>
      </c>
      <c r="BI241" s="66">
        <f t="shared" si="2088"/>
        <v>1875</v>
      </c>
      <c r="BJ241" s="66">
        <f t="shared" si="2088"/>
        <v>1984</v>
      </c>
      <c r="BK241" s="66">
        <f t="shared" si="2088"/>
        <v>2048</v>
      </c>
      <c r="BL241" s="66">
        <f t="shared" si="2088"/>
        <v>2116</v>
      </c>
      <c r="BM241" s="66">
        <f t="shared" si="2088"/>
        <v>2095</v>
      </c>
      <c r="BN241" s="66">
        <f t="shared" si="2088"/>
        <v>2170</v>
      </c>
      <c r="BO241" s="66">
        <f t="shared" si="2088"/>
        <v>2290</v>
      </c>
      <c r="BP241" s="66">
        <f t="shared" si="2088"/>
        <v>2384</v>
      </c>
      <c r="BQ241" s="66">
        <f t="shared" si="2088"/>
        <v>2451</v>
      </c>
      <c r="BR241" s="66">
        <f t="shared" ref="BR241:CW241" si="2089">SUM(BO43:BR43)</f>
        <v>2485</v>
      </c>
      <c r="BS241" s="66">
        <f t="shared" si="2089"/>
        <v>2501</v>
      </c>
      <c r="BT241" s="66">
        <f t="shared" si="2089"/>
        <v>2526</v>
      </c>
      <c r="BU241" s="66">
        <f t="shared" si="2089"/>
        <v>2457</v>
      </c>
      <c r="BV241" s="66">
        <f t="shared" si="2089"/>
        <v>2436</v>
      </c>
      <c r="BW241" s="66">
        <f t="shared" si="2089"/>
        <v>2471</v>
      </c>
      <c r="BX241" s="66">
        <f t="shared" si="2089"/>
        <v>2490</v>
      </c>
      <c r="BY241" s="66">
        <f t="shared" si="2089"/>
        <v>2676</v>
      </c>
      <c r="BZ241" s="66">
        <f t="shared" si="2089"/>
        <v>2842</v>
      </c>
      <c r="CA241" s="66">
        <f t="shared" si="2089"/>
        <v>2921</v>
      </c>
      <c r="CB241" s="66">
        <f t="shared" si="2089"/>
        <v>3067</v>
      </c>
      <c r="CC241" s="66">
        <f t="shared" si="2089"/>
        <v>3212</v>
      </c>
      <c r="CD241" s="66">
        <f t="shared" si="2089"/>
        <v>3368</v>
      </c>
      <c r="CE241" s="66">
        <f t="shared" si="2089"/>
        <v>3481</v>
      </c>
      <c r="CF241" s="66">
        <f t="shared" si="2089"/>
        <v>3595</v>
      </c>
      <c r="CG241" s="66">
        <f t="shared" si="2089"/>
        <v>3640</v>
      </c>
      <c r="CH241" s="66">
        <f t="shared" si="2089"/>
        <v>3721</v>
      </c>
      <c r="CI241" s="66">
        <f t="shared" si="2089"/>
        <v>3849</v>
      </c>
      <c r="CJ241" s="66">
        <f t="shared" si="2089"/>
        <v>3993</v>
      </c>
      <c r="CK241" s="66">
        <f t="shared" si="2089"/>
        <v>4167</v>
      </c>
      <c r="CL241" s="66">
        <f t="shared" si="2089"/>
        <v>4559</v>
      </c>
      <c r="CM241" s="50">
        <f t="shared" si="2089"/>
        <v>4785.8879481298782</v>
      </c>
      <c r="CN241" s="50">
        <f t="shared" si="2089"/>
        <v>5026.3500730578926</v>
      </c>
      <c r="CO241" s="50">
        <f t="shared" si="2089"/>
        <v>5272.990697585511</v>
      </c>
      <c r="CP241" s="50">
        <f t="shared" si="2089"/>
        <v>5621.050036971119</v>
      </c>
      <c r="CQ241" s="50">
        <f t="shared" si="2089"/>
        <v>5892.1798260908818</v>
      </c>
      <c r="CR241" s="50">
        <f t="shared" si="2089"/>
        <v>6178.0416534323667</v>
      </c>
      <c r="CS241" s="50">
        <f t="shared" si="2089"/>
        <v>6466.8107798374867</v>
      </c>
      <c r="CT241" s="50">
        <f t="shared" si="2089"/>
        <v>6835.0962139992134</v>
      </c>
      <c r="CU241" s="50">
        <f t="shared" si="2089"/>
        <v>7029.5810324266358</v>
      </c>
      <c r="CV241" s="50">
        <f t="shared" si="2089"/>
        <v>7189.3236057323375</v>
      </c>
      <c r="CW241" s="50">
        <f t="shared" si="2089"/>
        <v>7331.8403798734207</v>
      </c>
      <c r="CX241" s="50">
        <f t="shared" ref="CX241:DB241" si="2090">SUM(CU43:CX43)</f>
        <v>7505.9168677624848</v>
      </c>
      <c r="CY241" s="50">
        <f t="shared" si="2090"/>
        <v>7576.7166178063108</v>
      </c>
      <c r="CZ241" s="50">
        <f t="shared" si="2090"/>
        <v>7639.281438368198</v>
      </c>
      <c r="DA241" s="50">
        <f t="shared" si="2090"/>
        <v>7686.0844001978439</v>
      </c>
      <c r="DB241" s="50">
        <f t="shared" si="2090"/>
        <v>7718.5358805393771</v>
      </c>
      <c r="DE241" s="138"/>
      <c r="DF241" s="66">
        <v>4371.0408803261362</v>
      </c>
    </row>
    <row r="242" spans="1:110" s="66" customFormat="1" x14ac:dyDescent="0.2">
      <c r="A242" s="66" t="s">
        <v>473</v>
      </c>
      <c r="AB242" s="50"/>
      <c r="AC242" s="50"/>
      <c r="AD242" s="50"/>
      <c r="AE242" s="50"/>
      <c r="AL242" s="66">
        <f t="shared" ref="AL242:BQ242" si="2091">SUM(AI56:AL56)</f>
        <v>471</v>
      </c>
      <c r="AM242" s="66">
        <f t="shared" si="2091"/>
        <v>517</v>
      </c>
      <c r="AN242" s="66">
        <f t="shared" si="2091"/>
        <v>522</v>
      </c>
      <c r="AO242" s="66">
        <f t="shared" si="2091"/>
        <v>568</v>
      </c>
      <c r="AP242" s="66">
        <f t="shared" si="2091"/>
        <v>664</v>
      </c>
      <c r="AQ242" s="66">
        <f t="shared" si="2091"/>
        <v>771</v>
      </c>
      <c r="AR242" s="66">
        <f t="shared" si="2091"/>
        <v>856</v>
      </c>
      <c r="AS242" s="66">
        <f t="shared" si="2091"/>
        <v>865</v>
      </c>
      <c r="AT242" s="66">
        <f t="shared" si="2091"/>
        <v>751</v>
      </c>
      <c r="AU242" s="66">
        <f t="shared" si="2091"/>
        <v>1145</v>
      </c>
      <c r="AV242" s="66">
        <f t="shared" si="2091"/>
        <v>1456</v>
      </c>
      <c r="AW242" s="66">
        <f t="shared" si="2091"/>
        <v>1773</v>
      </c>
      <c r="AX242" s="66">
        <f t="shared" si="2091"/>
        <v>1927</v>
      </c>
      <c r="AY242" s="66">
        <f t="shared" si="2091"/>
        <v>1569</v>
      </c>
      <c r="AZ242" s="66">
        <f t="shared" si="2091"/>
        <v>1267</v>
      </c>
      <c r="BA242" s="66">
        <f t="shared" si="2091"/>
        <v>1012</v>
      </c>
      <c r="BB242" s="66">
        <f t="shared" si="2091"/>
        <v>934</v>
      </c>
      <c r="BC242" s="66">
        <f t="shared" si="2091"/>
        <v>830</v>
      </c>
      <c r="BD242" s="66">
        <f t="shared" si="2091"/>
        <v>827</v>
      </c>
      <c r="BE242" s="66">
        <f t="shared" si="2091"/>
        <v>656</v>
      </c>
      <c r="BF242" s="66">
        <f t="shared" si="2091"/>
        <v>678</v>
      </c>
      <c r="BG242" s="66">
        <f t="shared" si="2091"/>
        <v>653</v>
      </c>
      <c r="BH242" s="66">
        <f t="shared" si="2091"/>
        <v>628</v>
      </c>
      <c r="BI242" s="66">
        <f t="shared" si="2091"/>
        <v>816</v>
      </c>
      <c r="BJ242" s="66">
        <f t="shared" si="2091"/>
        <v>793</v>
      </c>
      <c r="BK242" s="66">
        <f t="shared" si="2091"/>
        <v>846</v>
      </c>
      <c r="BL242" s="66">
        <f t="shared" si="2091"/>
        <v>911</v>
      </c>
      <c r="BM242" s="66">
        <f t="shared" si="2091"/>
        <v>916</v>
      </c>
      <c r="BN242" s="66">
        <f t="shared" si="2091"/>
        <v>1025</v>
      </c>
      <c r="BO242" s="66">
        <f t="shared" si="2091"/>
        <v>1130</v>
      </c>
      <c r="BP242" s="66">
        <f t="shared" si="2091"/>
        <v>1196</v>
      </c>
      <c r="BQ242" s="66">
        <f t="shared" si="2091"/>
        <v>1242</v>
      </c>
      <c r="BR242" s="66">
        <f t="shared" ref="BR242:CW242" si="2092">SUM(BO56:BR56)</f>
        <v>1252</v>
      </c>
      <c r="BS242" s="66">
        <f t="shared" si="2092"/>
        <v>1261</v>
      </c>
      <c r="BT242" s="66">
        <f t="shared" si="2092"/>
        <v>1267</v>
      </c>
      <c r="BU242" s="66">
        <f t="shared" si="2092"/>
        <v>1219</v>
      </c>
      <c r="BV242" s="66">
        <f t="shared" si="2092"/>
        <v>1262</v>
      </c>
      <c r="BW242" s="66">
        <f t="shared" si="2092"/>
        <v>1286</v>
      </c>
      <c r="BX242" s="66">
        <f t="shared" si="2092"/>
        <v>1282</v>
      </c>
      <c r="BY242" s="66">
        <f t="shared" si="2092"/>
        <v>1325</v>
      </c>
      <c r="BZ242" s="66">
        <f t="shared" si="2092"/>
        <v>1245</v>
      </c>
      <c r="CA242" s="66">
        <f t="shared" si="2092"/>
        <v>1269</v>
      </c>
      <c r="CB242" s="66">
        <f t="shared" si="2092"/>
        <v>1343</v>
      </c>
      <c r="CC242" s="66">
        <f t="shared" si="2092"/>
        <v>1406</v>
      </c>
      <c r="CD242" s="66">
        <f t="shared" si="2092"/>
        <v>1568</v>
      </c>
      <c r="CE242" s="66">
        <f t="shared" si="2092"/>
        <v>1647</v>
      </c>
      <c r="CF242" s="66">
        <f t="shared" si="2092"/>
        <v>1714</v>
      </c>
      <c r="CG242" s="66">
        <f t="shared" si="2092"/>
        <v>1862</v>
      </c>
      <c r="CH242" s="66">
        <f t="shared" si="2092"/>
        <v>1935</v>
      </c>
      <c r="CI242" s="66">
        <f t="shared" si="2092"/>
        <v>2026</v>
      </c>
      <c r="CJ242" s="66">
        <f t="shared" si="2092"/>
        <v>2177</v>
      </c>
      <c r="CK242" s="66">
        <f t="shared" si="2092"/>
        <v>2319</v>
      </c>
      <c r="CL242" s="66">
        <f t="shared" si="2092"/>
        <v>2227</v>
      </c>
      <c r="CM242" s="50">
        <f t="shared" si="2092"/>
        <v>2230.6192700281304</v>
      </c>
      <c r="CN242" s="50">
        <f t="shared" si="2092"/>
        <v>2228.8701465160566</v>
      </c>
      <c r="CO242" s="50">
        <f t="shared" si="2092"/>
        <v>2194.4712459449174</v>
      </c>
      <c r="CP242" s="50">
        <f t="shared" si="2092"/>
        <v>2643.8281897512034</v>
      </c>
      <c r="CQ242" s="50">
        <f t="shared" si="2092"/>
        <v>2846.7854951932491</v>
      </c>
      <c r="CR242" s="50">
        <f t="shared" si="2092"/>
        <v>3060.2871835047358</v>
      </c>
      <c r="CS242" s="50">
        <f t="shared" si="2092"/>
        <v>3276.0653117024553</v>
      </c>
      <c r="CT242" s="50">
        <f t="shared" si="2092"/>
        <v>3559.0671018157063</v>
      </c>
      <c r="CU242" s="50">
        <f t="shared" si="2092"/>
        <v>3708.1140837605544</v>
      </c>
      <c r="CV242" s="50">
        <f t="shared" si="2092"/>
        <v>3832.6772253607787</v>
      </c>
      <c r="CW242" s="50">
        <f t="shared" si="2092"/>
        <v>3945.6401084025256</v>
      </c>
      <c r="CX242" s="50">
        <f t="shared" ref="CX242:DB242" si="2093">SUM(CU56:CX56)</f>
        <v>4083.9824993424827</v>
      </c>
      <c r="CY242" s="50">
        <f t="shared" si="2093"/>
        <v>4144.532137673863</v>
      </c>
      <c r="CZ242" s="50">
        <f t="shared" si="2093"/>
        <v>4199.4455798327417</v>
      </c>
      <c r="DA242" s="50">
        <f t="shared" si="2093"/>
        <v>4243.036400832153</v>
      </c>
      <c r="DB242" s="50">
        <f t="shared" si="2093"/>
        <v>4276.2658973517309</v>
      </c>
      <c r="DE242" s="138"/>
      <c r="DF242" s="66">
        <v>2503.1879771499011</v>
      </c>
    </row>
    <row r="243" spans="1:110" s="93" customFormat="1" x14ac:dyDescent="0.2">
      <c r="AB243" s="30"/>
      <c r="AC243" s="30"/>
      <c r="AD243" s="30"/>
      <c r="AE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11" customFormat="1" x14ac:dyDescent="0.2"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2" customFormat="1" hidden="1" outlineLevel="1" x14ac:dyDescent="0.2">
      <c r="A245" s="61" t="s">
        <v>339</v>
      </c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474</v>
      </c>
      <c r="B246" s="64">
        <f t="shared" ref="B246:Z246" si="2094">B23-B252</f>
        <v>405.85</v>
      </c>
      <c r="C246" s="64">
        <f t="shared" si="2094"/>
        <v>444.5752</v>
      </c>
      <c r="D246" s="64">
        <f t="shared" si="2094"/>
        <v>450.9452</v>
      </c>
      <c r="E246" s="64">
        <f t="shared" si="2094"/>
        <v>509.7013</v>
      </c>
      <c r="F246" s="64">
        <f t="shared" si="2094"/>
        <v>597.33439999999996</v>
      </c>
      <c r="G246" s="64">
        <f t="shared" si="2094"/>
        <v>1031.4306999999999</v>
      </c>
      <c r="H246" s="64">
        <f t="shared" si="2094"/>
        <v>1327.0316</v>
      </c>
      <c r="I246" s="64">
        <f t="shared" si="2094"/>
        <v>1378.8572999999999</v>
      </c>
      <c r="J246" s="64">
        <f t="shared" si="2094"/>
        <v>1661.0372</v>
      </c>
      <c r="K246" s="64">
        <f t="shared" si="2094"/>
        <v>1950.4135000000001</v>
      </c>
      <c r="L246" s="64">
        <f t="shared" si="2094"/>
        <v>2201.0567000000001</v>
      </c>
      <c r="M246" s="64">
        <f t="shared" si="2094"/>
        <v>2700.72</v>
      </c>
      <c r="N246" s="64">
        <f t="shared" si="2094"/>
        <v>3218.24</v>
      </c>
      <c r="O246" s="64">
        <f t="shared" si="2094"/>
        <v>4192.1000000000004</v>
      </c>
      <c r="P246" s="64">
        <f t="shared" si="2094"/>
        <v>4661.33</v>
      </c>
      <c r="Q246" s="64">
        <f t="shared" si="2094"/>
        <v>6686.93</v>
      </c>
      <c r="R246" s="64">
        <f t="shared" si="2094"/>
        <v>5856.92</v>
      </c>
      <c r="S246" s="64">
        <f t="shared" si="2094"/>
        <v>11255.81</v>
      </c>
      <c r="T246" s="64">
        <f t="shared" si="2094"/>
        <v>14527.33</v>
      </c>
      <c r="U246" s="64">
        <f t="shared" si="2094"/>
        <v>14953.48</v>
      </c>
      <c r="V246" s="64">
        <f t="shared" si="2094"/>
        <v>14878.35</v>
      </c>
      <c r="W246" s="64">
        <f t="shared" si="2094"/>
        <v>15211.13</v>
      </c>
      <c r="X246" s="64">
        <f t="shared" si="2094"/>
        <v>16320.65</v>
      </c>
      <c r="Y246" s="64">
        <f t="shared" si="2094"/>
        <v>16705.39</v>
      </c>
      <c r="Z246" s="64">
        <f t="shared" si="2094"/>
        <v>16853.82</v>
      </c>
      <c r="AA246" s="64">
        <f t="shared" ref="AA246" si="2095">AA23-AA252</f>
        <v>19680.7</v>
      </c>
      <c r="AB246" s="30"/>
      <c r="AC246" s="30"/>
      <c r="AD246" s="30"/>
      <c r="AE246" s="30"/>
      <c r="AI246" s="64">
        <f t="shared" ref="AI246:BN246" si="2096">AI23-AI252</f>
        <v>767</v>
      </c>
      <c r="AJ246" s="64">
        <f t="shared" si="2096"/>
        <v>779</v>
      </c>
      <c r="AK246" s="64">
        <f t="shared" si="2096"/>
        <v>797</v>
      </c>
      <c r="AL246" s="64">
        <f t="shared" si="2096"/>
        <v>872</v>
      </c>
      <c r="AM246" s="64">
        <f t="shared" si="2096"/>
        <v>972</v>
      </c>
      <c r="AN246" s="64">
        <f t="shared" si="2096"/>
        <v>972</v>
      </c>
      <c r="AO246" s="64">
        <f t="shared" si="2096"/>
        <v>1015</v>
      </c>
      <c r="AP246" s="64">
        <f t="shared" si="2096"/>
        <v>1225</v>
      </c>
      <c r="AQ246" s="64">
        <f t="shared" si="2096"/>
        <v>1114</v>
      </c>
      <c r="AR246" s="64">
        <f t="shared" si="2096"/>
        <v>1217</v>
      </c>
      <c r="AS246" s="64">
        <f t="shared" si="2096"/>
        <v>1168</v>
      </c>
      <c r="AT246" s="64">
        <f t="shared" si="2096"/>
        <v>1154</v>
      </c>
      <c r="AU246" s="64">
        <f t="shared" si="2096"/>
        <v>1947</v>
      </c>
      <c r="AV246" s="64">
        <f t="shared" si="2096"/>
        <v>1693</v>
      </c>
      <c r="AW246" s="64">
        <f t="shared" si="2096"/>
        <v>1542</v>
      </c>
      <c r="AX246" s="64">
        <f t="shared" si="2096"/>
        <v>1503</v>
      </c>
      <c r="AY246" s="64">
        <f t="shared" si="2096"/>
        <v>1551</v>
      </c>
      <c r="AZ246" s="64">
        <f t="shared" si="2096"/>
        <v>1429</v>
      </c>
      <c r="BA246" s="64">
        <f t="shared" si="2096"/>
        <v>1443</v>
      </c>
      <c r="BB246" s="64">
        <f t="shared" si="2096"/>
        <v>1434</v>
      </c>
      <c r="BC246" s="64">
        <f t="shared" si="2096"/>
        <v>1362</v>
      </c>
      <c r="BD246" s="64">
        <f t="shared" si="2096"/>
        <v>1417</v>
      </c>
      <c r="BE246" s="64">
        <f t="shared" si="2096"/>
        <v>1463</v>
      </c>
      <c r="BF246" s="64">
        <f t="shared" si="2096"/>
        <v>1708</v>
      </c>
      <c r="BG246" s="64">
        <f t="shared" si="2096"/>
        <v>1872</v>
      </c>
      <c r="BH246" s="64">
        <f t="shared" si="2096"/>
        <v>1894</v>
      </c>
      <c r="BI246" s="64">
        <f t="shared" si="2096"/>
        <v>2051</v>
      </c>
      <c r="BJ246" s="64">
        <f t="shared" si="2096"/>
        <v>1856</v>
      </c>
      <c r="BK246" s="64">
        <f t="shared" si="2096"/>
        <v>2022</v>
      </c>
      <c r="BL246" s="64">
        <f t="shared" si="2096"/>
        <v>2005</v>
      </c>
      <c r="BM246" s="64">
        <f t="shared" si="2096"/>
        <v>1966</v>
      </c>
      <c r="BN246" s="64">
        <f t="shared" si="2096"/>
        <v>1946</v>
      </c>
      <c r="BO246" s="64">
        <f t="shared" ref="BO246:CT246" si="2097">BO23-BO252</f>
        <v>2056</v>
      </c>
      <c r="BP246" s="64">
        <f t="shared" si="2097"/>
        <v>2017</v>
      </c>
      <c r="BQ246" s="64">
        <f t="shared" si="2097"/>
        <v>1995</v>
      </c>
      <c r="BR246" s="64">
        <f t="shared" si="2097"/>
        <v>1937</v>
      </c>
      <c r="BS246" s="64">
        <f t="shared" si="2097"/>
        <v>2134</v>
      </c>
      <c r="BT246" s="64">
        <f t="shared" si="2097"/>
        <v>2137</v>
      </c>
      <c r="BU246" s="64">
        <f t="shared" si="2097"/>
        <v>2108</v>
      </c>
      <c r="BV246" s="64">
        <f t="shared" si="2097"/>
        <v>2131</v>
      </c>
      <c r="BW246" s="64">
        <f t="shared" si="2097"/>
        <v>2347</v>
      </c>
      <c r="BX246" s="64">
        <f t="shared" si="2097"/>
        <v>2291</v>
      </c>
      <c r="BY246" s="64">
        <f t="shared" si="2097"/>
        <v>2491</v>
      </c>
      <c r="BZ246" s="64">
        <f t="shared" si="2097"/>
        <v>2491</v>
      </c>
      <c r="CA246" s="64">
        <f t="shared" si="2097"/>
        <v>2591</v>
      </c>
      <c r="CB246" s="64">
        <f t="shared" si="2097"/>
        <v>2660</v>
      </c>
      <c r="CC246" s="64">
        <f t="shared" si="2097"/>
        <v>2732</v>
      </c>
      <c r="CD246" s="64">
        <f t="shared" si="2097"/>
        <v>2745</v>
      </c>
      <c r="CE246" s="64">
        <f t="shared" si="2097"/>
        <v>2859</v>
      </c>
      <c r="CF246" s="64">
        <f t="shared" si="2097"/>
        <v>2889</v>
      </c>
      <c r="CG246" s="64">
        <f t="shared" si="2097"/>
        <v>2809</v>
      </c>
      <c r="CH246" s="64">
        <f t="shared" si="2097"/>
        <v>2959</v>
      </c>
      <c r="CI246" s="64">
        <f t="shared" si="2097"/>
        <v>3178</v>
      </c>
      <c r="CJ246" s="64">
        <f t="shared" si="2097"/>
        <v>3302</v>
      </c>
      <c r="CK246" s="64">
        <f t="shared" si="2097"/>
        <v>3303</v>
      </c>
      <c r="CL246" s="64">
        <f t="shared" ref="CL246" si="2098">CL23-CL252</f>
        <v>4197</v>
      </c>
      <c r="CM246" s="30">
        <f t="shared" si="2097"/>
        <v>3758.7001422614667</v>
      </c>
      <c r="CN246" s="30">
        <f t="shared" si="2097"/>
        <v>3922.1862619573217</v>
      </c>
      <c r="CO246" s="30">
        <f t="shared" si="2097"/>
        <v>3928.359833210694</v>
      </c>
      <c r="CP246" s="30">
        <f t="shared" si="2097"/>
        <v>4978.5630929605104</v>
      </c>
      <c r="CQ246" s="30">
        <f t="shared" si="2097"/>
        <v>4409.5277196295801</v>
      </c>
      <c r="CR246" s="30">
        <f t="shared" si="2097"/>
        <v>4598.9327621103366</v>
      </c>
      <c r="CS246" s="30">
        <f t="shared" si="2097"/>
        <v>4598.9229638323204</v>
      </c>
      <c r="CT246" s="30">
        <f t="shared" si="2097"/>
        <v>5817.1977120105194</v>
      </c>
      <c r="CU246" s="30">
        <f t="shared" ref="CU246:DB246" si="2099">CU23-CU252</f>
        <v>4741.1708816110595</v>
      </c>
      <c r="CV246" s="30">
        <f t="shared" si="2099"/>
        <v>4809.974378215853</v>
      </c>
      <c r="CW246" s="30">
        <f t="shared" si="2099"/>
        <v>4745.5639600239365</v>
      </c>
      <c r="CX246" s="30">
        <f t="shared" si="2099"/>
        <v>5962.489203611045</v>
      </c>
      <c r="CY246" s="30">
        <f t="shared" si="2099"/>
        <v>4850.8540449716129</v>
      </c>
      <c r="CZ246" s="30">
        <f t="shared" si="2099"/>
        <v>4927.8069244666458</v>
      </c>
      <c r="DA246" s="30">
        <f t="shared" si="2099"/>
        <v>4864.1883914651335</v>
      </c>
      <c r="DB246" s="30">
        <f t="shared" si="2099"/>
        <v>6112.7713929715974</v>
      </c>
      <c r="DE246" s="139"/>
      <c r="DF246" s="64">
        <v>3436.8832761003332</v>
      </c>
    </row>
    <row r="247" spans="1:110" s="64" customFormat="1" hidden="1" outlineLevel="1" x14ac:dyDescent="0.2">
      <c r="A247" s="64" t="s">
        <v>475</v>
      </c>
      <c r="B247" s="64">
        <f t="shared" ref="B247:Z247" si="2100">B43-B253</f>
        <v>72.389700000000033</v>
      </c>
      <c r="C247" s="64">
        <f t="shared" si="2100"/>
        <v>77.114199999999983</v>
      </c>
      <c r="D247" s="64">
        <f t="shared" si="2100"/>
        <v>73.304499999999962</v>
      </c>
      <c r="E247" s="64">
        <f t="shared" si="2100"/>
        <v>91.886100000000056</v>
      </c>
      <c r="F247" s="64">
        <f t="shared" si="2100"/>
        <v>74.103199999999958</v>
      </c>
      <c r="G247" s="64">
        <f t="shared" si="2100"/>
        <v>108.03369999999984</v>
      </c>
      <c r="H247" s="64">
        <f t="shared" si="2100"/>
        <v>155.73890000000029</v>
      </c>
      <c r="I247" s="64">
        <f t="shared" si="2100"/>
        <v>202.83229999999992</v>
      </c>
      <c r="J247" s="64">
        <f t="shared" si="2100"/>
        <v>258.72629999999981</v>
      </c>
      <c r="K247" s="64">
        <f t="shared" si="2100"/>
        <v>420.77540000000022</v>
      </c>
      <c r="L247" s="64">
        <f t="shared" si="2100"/>
        <v>387.78580000000056</v>
      </c>
      <c r="M247" s="64">
        <f t="shared" si="2100"/>
        <v>500.45999999999958</v>
      </c>
      <c r="N247" s="64">
        <f t="shared" si="2100"/>
        <v>692.22</v>
      </c>
      <c r="O247" s="64">
        <f t="shared" si="2100"/>
        <v>951.48000000000047</v>
      </c>
      <c r="P247" s="64">
        <f t="shared" si="2100"/>
        <v>1020.1599999999999</v>
      </c>
      <c r="Q247" s="64">
        <f t="shared" si="2100"/>
        <v>2729.8000000000011</v>
      </c>
      <c r="R247" s="64">
        <f t="shared" si="2100"/>
        <v>1377.2699999999995</v>
      </c>
      <c r="S247" s="64">
        <f t="shared" si="2100"/>
        <v>1341.0500000000002</v>
      </c>
      <c r="T247" s="64">
        <f t="shared" si="2100"/>
        <v>1976.4900000000007</v>
      </c>
      <c r="U247" s="64">
        <f t="shared" si="2100"/>
        <v>2170.3599999999997</v>
      </c>
      <c r="V247" s="64">
        <f t="shared" si="2100"/>
        <v>2480.0800000000004</v>
      </c>
      <c r="W247" s="64">
        <f t="shared" si="2100"/>
        <v>2431.2699999999991</v>
      </c>
      <c r="X247" s="64">
        <f t="shared" si="2100"/>
        <v>2823.9699999999993</v>
      </c>
      <c r="Y247" s="64">
        <f t="shared" si="2100"/>
        <v>3363.59</v>
      </c>
      <c r="Z247" s="64">
        <f t="shared" si="2100"/>
        <v>3704.3499999999985</v>
      </c>
      <c r="AA247" s="64">
        <f t="shared" ref="AA247" si="2101">AA43-AA253</f>
        <v>4373.1699999999983</v>
      </c>
      <c r="AB247" s="30"/>
      <c r="AC247" s="30"/>
      <c r="AD247" s="30"/>
      <c r="AE247" s="30"/>
      <c r="AI247" s="64">
        <f t="shared" ref="AI247:BN247" si="2102">AI43-AI253</f>
        <v>156</v>
      </c>
      <c r="AJ247" s="64">
        <f t="shared" si="2102"/>
        <v>154</v>
      </c>
      <c r="AK247" s="64">
        <f t="shared" si="2102"/>
        <v>162</v>
      </c>
      <c r="AL247" s="64">
        <f t="shared" si="2102"/>
        <v>220</v>
      </c>
      <c r="AM247" s="64">
        <f t="shared" si="2102"/>
        <v>208</v>
      </c>
      <c r="AN247" s="64">
        <f t="shared" si="2102"/>
        <v>179</v>
      </c>
      <c r="AO247" s="64">
        <f t="shared" si="2102"/>
        <v>215</v>
      </c>
      <c r="AP247" s="64">
        <f t="shared" si="2102"/>
        <v>350</v>
      </c>
      <c r="AQ247" s="64">
        <f t="shared" si="2102"/>
        <v>345</v>
      </c>
      <c r="AR247" s="64">
        <f t="shared" si="2102"/>
        <v>273</v>
      </c>
      <c r="AS247" s="64">
        <f t="shared" si="2102"/>
        <v>240</v>
      </c>
      <c r="AT247" s="64">
        <f t="shared" si="2102"/>
        <v>162</v>
      </c>
      <c r="AU247" s="64">
        <f t="shared" si="2102"/>
        <v>912</v>
      </c>
      <c r="AV247" s="64">
        <f t="shared" si="2102"/>
        <v>717</v>
      </c>
      <c r="AW247" s="64">
        <f t="shared" si="2102"/>
        <v>618</v>
      </c>
      <c r="AX247" s="64">
        <f t="shared" si="2102"/>
        <v>487</v>
      </c>
      <c r="AY247" s="64">
        <f t="shared" si="2102"/>
        <v>437</v>
      </c>
      <c r="AZ247" s="64">
        <f t="shared" si="2102"/>
        <v>330</v>
      </c>
      <c r="BA247" s="64">
        <f t="shared" si="2102"/>
        <v>316</v>
      </c>
      <c r="BB247" s="64">
        <f t="shared" si="2102"/>
        <v>295</v>
      </c>
      <c r="BC247" s="64">
        <f t="shared" si="2102"/>
        <v>297</v>
      </c>
      <c r="BD247" s="64">
        <f t="shared" si="2102"/>
        <v>329</v>
      </c>
      <c r="BE247" s="64">
        <f t="shared" si="2102"/>
        <v>359</v>
      </c>
      <c r="BF247" s="64">
        <f t="shared" si="2102"/>
        <v>364</v>
      </c>
      <c r="BG247" s="64">
        <f t="shared" si="2102"/>
        <v>477</v>
      </c>
      <c r="BH247" s="64">
        <f t="shared" si="2102"/>
        <v>473</v>
      </c>
      <c r="BI247" s="64">
        <f t="shared" si="2102"/>
        <v>561</v>
      </c>
      <c r="BJ247" s="64">
        <f t="shared" si="2102"/>
        <v>473</v>
      </c>
      <c r="BK247" s="64">
        <f t="shared" si="2102"/>
        <v>541</v>
      </c>
      <c r="BL247" s="64">
        <f t="shared" si="2102"/>
        <v>541</v>
      </c>
      <c r="BM247" s="64">
        <f t="shared" si="2102"/>
        <v>540</v>
      </c>
      <c r="BN247" s="64">
        <f t="shared" si="2102"/>
        <v>548</v>
      </c>
      <c r="BO247" s="64">
        <f t="shared" ref="BO247:CT247" si="2103">BO43-BO253</f>
        <v>661</v>
      </c>
      <c r="BP247" s="64">
        <f t="shared" si="2103"/>
        <v>635</v>
      </c>
      <c r="BQ247" s="64">
        <f t="shared" si="2103"/>
        <v>607</v>
      </c>
      <c r="BR247" s="64">
        <f t="shared" si="2103"/>
        <v>582</v>
      </c>
      <c r="BS247" s="64">
        <f t="shared" si="2103"/>
        <v>677</v>
      </c>
      <c r="BT247" s="64">
        <f t="shared" si="2103"/>
        <v>660</v>
      </c>
      <c r="BU247" s="64">
        <f t="shared" si="2103"/>
        <v>538</v>
      </c>
      <c r="BV247" s="64">
        <f t="shared" si="2103"/>
        <v>561</v>
      </c>
      <c r="BW247" s="64">
        <f t="shared" si="2103"/>
        <v>712</v>
      </c>
      <c r="BX247" s="64">
        <f t="shared" si="2103"/>
        <v>679</v>
      </c>
      <c r="BY247" s="64">
        <f t="shared" si="2103"/>
        <v>724</v>
      </c>
      <c r="BZ247" s="64">
        <f t="shared" si="2103"/>
        <v>727</v>
      </c>
      <c r="CA247" s="64">
        <f t="shared" si="2103"/>
        <v>791</v>
      </c>
      <c r="CB247" s="64">
        <f t="shared" si="2103"/>
        <v>825</v>
      </c>
      <c r="CC247" s="64">
        <f t="shared" si="2103"/>
        <v>869</v>
      </c>
      <c r="CD247" s="64">
        <f t="shared" si="2103"/>
        <v>883</v>
      </c>
      <c r="CE247" s="64">
        <f t="shared" si="2103"/>
        <v>904</v>
      </c>
      <c r="CF247" s="64">
        <f t="shared" si="2103"/>
        <v>939</v>
      </c>
      <c r="CG247" s="64">
        <f t="shared" si="2103"/>
        <v>914</v>
      </c>
      <c r="CH247" s="64">
        <f t="shared" si="2103"/>
        <v>964</v>
      </c>
      <c r="CI247" s="64">
        <f t="shared" si="2103"/>
        <v>1032</v>
      </c>
      <c r="CJ247" s="64">
        <f t="shared" si="2103"/>
        <v>1083</v>
      </c>
      <c r="CK247" s="64">
        <f t="shared" si="2103"/>
        <v>1088</v>
      </c>
      <c r="CL247" s="64">
        <f t="shared" ref="CL247" si="2104">CL43-CL253</f>
        <v>1356</v>
      </c>
      <c r="CM247" s="30">
        <f t="shared" si="2103"/>
        <v>1258.8879481298779</v>
      </c>
      <c r="CN247" s="30">
        <f t="shared" si="2103"/>
        <v>1323.4621249280142</v>
      </c>
      <c r="CO247" s="30">
        <f t="shared" si="2103"/>
        <v>1334.6406245276185</v>
      </c>
      <c r="CP247" s="30">
        <f t="shared" si="2103"/>
        <v>1704.0593393856084</v>
      </c>
      <c r="CQ247" s="30">
        <f t="shared" si="2103"/>
        <v>1530.0177372496405</v>
      </c>
      <c r="CR247" s="30">
        <f t="shared" si="2103"/>
        <v>1609.3239522694989</v>
      </c>
      <c r="CS247" s="30">
        <f t="shared" si="2103"/>
        <v>1623.4097509327391</v>
      </c>
      <c r="CT247" s="30">
        <f t="shared" si="2103"/>
        <v>2072.3447735473346</v>
      </c>
      <c r="CU247" s="30">
        <f t="shared" ref="CU247:DB247" si="2105">CU43-CU253</f>
        <v>1724.5025556770636</v>
      </c>
      <c r="CV247" s="30">
        <f t="shared" si="2105"/>
        <v>1769.0665255751996</v>
      </c>
      <c r="CW247" s="30">
        <f t="shared" si="2105"/>
        <v>1765.9265250738238</v>
      </c>
      <c r="CX247" s="30">
        <f t="shared" si="2105"/>
        <v>2246.4212614363978</v>
      </c>
      <c r="CY247" s="30">
        <f t="shared" si="2105"/>
        <v>1795.3023057208891</v>
      </c>
      <c r="CZ247" s="30">
        <f t="shared" si="2105"/>
        <v>1831.6313461370878</v>
      </c>
      <c r="DA247" s="30">
        <f t="shared" si="2105"/>
        <v>1812.7294869034686</v>
      </c>
      <c r="DB247" s="30">
        <f t="shared" si="2105"/>
        <v>2278.8727417779314</v>
      </c>
      <c r="DE247" s="139"/>
      <c r="DF247" s="64">
        <v>1168.0408803261362</v>
      </c>
    </row>
    <row r="248" spans="1:110" s="89" customFormat="1" hidden="1" outlineLevel="1" x14ac:dyDescent="0.2">
      <c r="A248" s="86" t="s">
        <v>476</v>
      </c>
      <c r="B248" s="86">
        <f>+B247/B246</f>
        <v>0.17836565233460647</v>
      </c>
      <c r="C248" s="86">
        <f t="shared" ref="C248" si="2106">+C247/C246</f>
        <v>0.17345591926855117</v>
      </c>
      <c r="D248" s="86">
        <f t="shared" ref="D248" si="2107">+D247/D246</f>
        <v>0.16255744600452551</v>
      </c>
      <c r="E248" s="86">
        <f t="shared" ref="E248" si="2108">+E247/E246</f>
        <v>0.18027440777569148</v>
      </c>
      <c r="F248" s="86">
        <f t="shared" ref="F248" si="2109">+F247/F246</f>
        <v>0.12405647489915191</v>
      </c>
      <c r="G248" s="86">
        <f t="shared" ref="G248" si="2110">+G247/G246</f>
        <v>0.10474159824794807</v>
      </c>
      <c r="H248" s="86">
        <f t="shared" ref="H248" si="2111">+H247/H246</f>
        <v>0.11735884812388814</v>
      </c>
      <c r="I248" s="86">
        <f t="shared" ref="I248" si="2112">+I247/I246</f>
        <v>0.14710173416785038</v>
      </c>
      <c r="J248" s="86">
        <f t="shared" ref="J248" si="2113">+J247/J246</f>
        <v>0.15576189383356365</v>
      </c>
      <c r="K248" s="86">
        <f t="shared" ref="K248" si="2114">+K247/K246</f>
        <v>0.21573650920689391</v>
      </c>
      <c r="L248" s="86">
        <f t="shared" ref="L248" si="2115">+L247/L246</f>
        <v>0.1761816494777261</v>
      </c>
      <c r="M248" s="86">
        <f t="shared" ref="M248" si="2116">+M247/M246</f>
        <v>0.18530614058473283</v>
      </c>
      <c r="N248" s="86">
        <f t="shared" ref="N248" si="2117">+N247/N246</f>
        <v>0.21509272148752115</v>
      </c>
      <c r="O248" s="86">
        <f t="shared" ref="O248" si="2118">+O247/O246</f>
        <v>0.22696977648433969</v>
      </c>
      <c r="P248" s="86">
        <f t="shared" ref="P248" si="2119">+P247/P246</f>
        <v>0.21885599174484532</v>
      </c>
      <c r="Q248" s="86">
        <f t="shared" ref="Q248" si="2120">+Q247/Q246</f>
        <v>0.40822918738494363</v>
      </c>
      <c r="R248" s="86">
        <f t="shared" ref="R248" si="2121">+R247/R246</f>
        <v>0.23515260580646474</v>
      </c>
      <c r="S248" s="86">
        <f t="shared" ref="S248" si="2122">+S247/S246</f>
        <v>0.1191429137485441</v>
      </c>
      <c r="T248" s="86">
        <f t="shared" ref="T248" si="2123">+T247/T246</f>
        <v>0.13605321831334463</v>
      </c>
      <c r="U248" s="86">
        <f t="shared" ref="U248" si="2124">+U247/U246</f>
        <v>0.14514079665736671</v>
      </c>
      <c r="V248" s="86">
        <f t="shared" ref="V248" si="2125">+V247/V246</f>
        <v>0.16669052683933369</v>
      </c>
      <c r="W248" s="86">
        <f t="shared" ref="W248" si="2126">+W247/W246</f>
        <v>0.15983493665493617</v>
      </c>
      <c r="X248" s="86">
        <f t="shared" ref="X248:Y248" si="2127">+X247/X246</f>
        <v>0.1730304859181466</v>
      </c>
      <c r="Y248" s="86">
        <f t="shared" si="2127"/>
        <v>0.20134758901169025</v>
      </c>
      <c r="Z248" s="86">
        <f t="shared" ref="Z248:AA248" si="2128">+Z247/Z246</f>
        <v>0.2197929015499156</v>
      </c>
      <c r="AA248" s="86">
        <f t="shared" si="2128"/>
        <v>0.22220601909484916</v>
      </c>
      <c r="AB248" s="87"/>
      <c r="AC248" s="87"/>
      <c r="AD248" s="87"/>
      <c r="AE248" s="87"/>
      <c r="AF248" s="86"/>
      <c r="AG248" s="86"/>
      <c r="AH248" s="86"/>
      <c r="AI248" s="86">
        <f t="shared" ref="AI248" si="2129">+AI247/AI246</f>
        <v>0.20338983050847459</v>
      </c>
      <c r="AJ248" s="86">
        <f t="shared" ref="AJ248" si="2130">+AJ247/AJ246</f>
        <v>0.19768934531450577</v>
      </c>
      <c r="AK248" s="86">
        <f t="shared" ref="AK248" si="2131">+AK247/AK246</f>
        <v>0.20326223337515684</v>
      </c>
      <c r="AL248" s="86">
        <f t="shared" ref="AL248" si="2132">+AL247/AL246</f>
        <v>0.25229357798165136</v>
      </c>
      <c r="AM248" s="86">
        <f t="shared" ref="AM248" si="2133">+AM247/AM246</f>
        <v>0.2139917695473251</v>
      </c>
      <c r="AN248" s="86">
        <f t="shared" ref="AN248" si="2134">+AN247/AN246</f>
        <v>0.18415637860082304</v>
      </c>
      <c r="AO248" s="86">
        <f t="shared" ref="AO248" si="2135">+AO247/AO246</f>
        <v>0.21182266009852216</v>
      </c>
      <c r="AP248" s="86">
        <f t="shared" ref="AP248" si="2136">+AP247/AP246</f>
        <v>0.2857142857142857</v>
      </c>
      <c r="AQ248" s="86">
        <f t="shared" ref="AQ248" si="2137">+AQ247/AQ246</f>
        <v>0.30969479353680429</v>
      </c>
      <c r="AR248" s="86">
        <f t="shared" ref="AR248" si="2138">+AR247/AR246</f>
        <v>0.22432210353327856</v>
      </c>
      <c r="AS248" s="86">
        <f t="shared" ref="AS248" si="2139">+AS247/AS246</f>
        <v>0.20547945205479451</v>
      </c>
      <c r="AT248" s="86">
        <f t="shared" ref="AT248" si="2140">+AT247/AT246</f>
        <v>0.14038128249566725</v>
      </c>
      <c r="AU248" s="86">
        <f t="shared" ref="AU248" si="2141">+AU247/AU246</f>
        <v>0.46841294298921415</v>
      </c>
      <c r="AV248" s="86">
        <f t="shared" ref="AV248" si="2142">+AV247/AV246</f>
        <v>0.42350856467808623</v>
      </c>
      <c r="AW248" s="86">
        <f t="shared" ref="AW248" si="2143">+AW247/AW246</f>
        <v>0.40077821011673154</v>
      </c>
      <c r="AX248" s="86">
        <f t="shared" ref="AX248" si="2144">+AX247/AX246</f>
        <v>0.32401862940785098</v>
      </c>
      <c r="AY248" s="86">
        <f t="shared" ref="AY248" si="2145">+AY247/AY246</f>
        <v>0.28175370728562216</v>
      </c>
      <c r="AZ248" s="86">
        <f t="shared" ref="AZ248" si="2146">+AZ247/AZ246</f>
        <v>0.23093072078376486</v>
      </c>
      <c r="BA248" s="86">
        <f t="shared" ref="BA248" si="2147">+BA247/BA246</f>
        <v>0.21898821898821899</v>
      </c>
      <c r="BB248" s="86">
        <f t="shared" ref="BB248" si="2148">+BB247/BB246</f>
        <v>0.20571827057182707</v>
      </c>
      <c r="BC248" s="86">
        <f t="shared" ref="BC248" si="2149">+BC247/BC246</f>
        <v>0.21806167400881057</v>
      </c>
      <c r="BD248" s="86">
        <f t="shared" ref="BD248" si="2150">+BD247/BD246</f>
        <v>0.23218066337332394</v>
      </c>
      <c r="BE248" s="86">
        <f t="shared" ref="BE248" si="2151">+BE247/BE246</f>
        <v>0.24538619275461382</v>
      </c>
      <c r="BF248" s="86">
        <f t="shared" ref="BF248" si="2152">+BF247/BF246</f>
        <v>0.21311475409836064</v>
      </c>
      <c r="BG248" s="86">
        <f t="shared" ref="BG248" si="2153">+BG247/BG246</f>
        <v>0.25480769230769229</v>
      </c>
      <c r="BH248" s="86">
        <f t="shared" ref="BH248" si="2154">+BH247/BH246</f>
        <v>0.24973600844772967</v>
      </c>
      <c r="BI248" s="86">
        <f t="shared" ref="BI248" si="2155">+BI247/BI246</f>
        <v>0.27352510970258409</v>
      </c>
      <c r="BJ248" s="86">
        <f t="shared" ref="BJ248" si="2156">+BJ247/BJ246</f>
        <v>0.25484913793103448</v>
      </c>
      <c r="BK248" s="86">
        <f t="shared" ref="BK248" si="2157">+BK247/BK246</f>
        <v>0.2675568743818002</v>
      </c>
      <c r="BL248" s="86">
        <f t="shared" ref="BL248" si="2158">+BL247/BL246</f>
        <v>0.26982543640897755</v>
      </c>
      <c r="BM248" s="86">
        <f t="shared" ref="BM248" si="2159">+BM247/BM246</f>
        <v>0.27466937945066122</v>
      </c>
      <c r="BN248" s="86">
        <f t="shared" ref="BN248" si="2160">+BN247/BN246</f>
        <v>0.28160328879753338</v>
      </c>
      <c r="BO248" s="86">
        <f t="shared" ref="BO248" si="2161">+BO247/BO246</f>
        <v>0.32149805447470819</v>
      </c>
      <c r="BP248" s="86">
        <f t="shared" ref="BP248" si="2162">+BP247/BP246</f>
        <v>0.31482399603371342</v>
      </c>
      <c r="BQ248" s="86">
        <f t="shared" ref="BQ248" si="2163">+BQ247/BQ246</f>
        <v>0.30426065162907268</v>
      </c>
      <c r="BR248" s="86">
        <f t="shared" ref="BR248" si="2164">+BR247/BR246</f>
        <v>0.30046463603510581</v>
      </c>
      <c r="BS248" s="86">
        <f t="shared" ref="BS248" si="2165">+BS247/BS246</f>
        <v>0.31724461105904406</v>
      </c>
      <c r="BT248" s="86">
        <f t="shared" ref="BT248" si="2166">+BT247/BT246</f>
        <v>0.30884417407580722</v>
      </c>
      <c r="BU248" s="86">
        <f t="shared" ref="BU248" si="2167">+BU247/BU246</f>
        <v>0.25521821631878555</v>
      </c>
      <c r="BV248" s="86">
        <f t="shared" ref="BV248" si="2168">+BV247/BV246</f>
        <v>0.26325668700140781</v>
      </c>
      <c r="BW248" s="86">
        <f t="shared" ref="BW248" si="2169">+BW247/BW246</f>
        <v>0.30336599914784834</v>
      </c>
      <c r="BX248" s="86">
        <f t="shared" ref="BX248" si="2170">+BX247/BX246</f>
        <v>0.2963771278917503</v>
      </c>
      <c r="BY248" s="86">
        <f t="shared" ref="BY248" si="2171">+BY247/BY246</f>
        <v>0.29064632677639501</v>
      </c>
      <c r="BZ248" s="86">
        <f t="shared" ref="BZ248" si="2172">+BZ247/BZ246</f>
        <v>0.29185066238458451</v>
      </c>
      <c r="CA248" s="86">
        <f t="shared" ref="CA248" si="2173">+CA247/CA246</f>
        <v>0.30528753377074491</v>
      </c>
      <c r="CB248" s="86">
        <f t="shared" ref="CB248:CC248" si="2174">+CB247/CB246</f>
        <v>0.31015037593984962</v>
      </c>
      <c r="CC248" s="86">
        <f t="shared" si="2174"/>
        <v>0.31808199121522696</v>
      </c>
      <c r="CD248" s="86">
        <f t="shared" ref="CD248" si="2175">+CD247/CD246</f>
        <v>0.32167577413479054</v>
      </c>
      <c r="CE248" s="86">
        <f t="shared" ref="CE248:CF248" si="2176">+CE247/CE246</f>
        <v>0.31619447359216507</v>
      </c>
      <c r="CF248" s="86">
        <f t="shared" si="2176"/>
        <v>0.32502596053997923</v>
      </c>
      <c r="CG248" s="86">
        <f t="shared" ref="CG248:CH248" si="2177">+CG247/CG246</f>
        <v>0.32538269846920614</v>
      </c>
      <c r="CH248" s="86">
        <f t="shared" si="2177"/>
        <v>0.32578573842514363</v>
      </c>
      <c r="CI248" s="86">
        <f t="shared" ref="CI248:CJ248" si="2178">+CI247/CI246</f>
        <v>0.32473253618628067</v>
      </c>
      <c r="CJ248" s="86">
        <f t="shared" si="2178"/>
        <v>0.32798304058146577</v>
      </c>
      <c r="CK248" s="86">
        <f t="shared" ref="CK248:DB248" si="2179">+CK247/CK246</f>
        <v>0.32939751740841661</v>
      </c>
      <c r="CL248" s="86">
        <f t="shared" si="2179"/>
        <v>0.32308791994281627</v>
      </c>
      <c r="CM248" s="47">
        <f t="shared" si="2179"/>
        <v>0.33492641085554992</v>
      </c>
      <c r="CN248" s="47">
        <f t="shared" si="2179"/>
        <v>0.33742969775931952</v>
      </c>
      <c r="CO248" s="47">
        <f t="shared" si="2179"/>
        <v>0.3397450033076021</v>
      </c>
      <c r="CP248" s="47">
        <f t="shared" si="2179"/>
        <v>0.34227934999861309</v>
      </c>
      <c r="CQ248" s="47">
        <f t="shared" si="2179"/>
        <v>0.34697995670569654</v>
      </c>
      <c r="CR248" s="47">
        <f t="shared" si="2179"/>
        <v>0.34993422072364022</v>
      </c>
      <c r="CS248" s="47">
        <f t="shared" si="2179"/>
        <v>0.35299781355327126</v>
      </c>
      <c r="CT248" s="47">
        <f t="shared" si="2179"/>
        <v>0.35624451430774873</v>
      </c>
      <c r="CU248" s="47">
        <f t="shared" si="2179"/>
        <v>0.36372925564983521</v>
      </c>
      <c r="CV248" s="47">
        <f t="shared" si="2179"/>
        <v>0.36779125759738313</v>
      </c>
      <c r="CW248" s="47">
        <f t="shared" si="2179"/>
        <v>0.3721215307495121</v>
      </c>
      <c r="CX248" s="47">
        <f t="shared" si="2179"/>
        <v>0.37675896504364387</v>
      </c>
      <c r="CY248" s="47">
        <f t="shared" si="2179"/>
        <v>0.37010025226009352</v>
      </c>
      <c r="CZ248" s="47">
        <f t="shared" si="2179"/>
        <v>0.37169300141265821</v>
      </c>
      <c r="DA248" s="47">
        <f t="shared" si="2179"/>
        <v>0.37266843736647698</v>
      </c>
      <c r="DB248" s="47">
        <f t="shared" si="2179"/>
        <v>0.37280516402071834</v>
      </c>
      <c r="DE248" s="130"/>
      <c r="DF248" s="89">
        <v>0.33985468416938974</v>
      </c>
    </row>
    <row r="249" spans="1:110" s="64" customFormat="1" hidden="1" outlineLevel="1" x14ac:dyDescent="0.2">
      <c r="A249" s="64" t="s">
        <v>477</v>
      </c>
      <c r="B249" s="64">
        <f t="shared" ref="B249:Z249" si="2180">B56-B255</f>
        <v>42.806400000000039</v>
      </c>
      <c r="C249" s="64">
        <f t="shared" si="2180"/>
        <v>46.791899999999984</v>
      </c>
      <c r="D249" s="64">
        <f t="shared" si="2180"/>
        <v>44.288699999999963</v>
      </c>
      <c r="E249" s="64">
        <f t="shared" si="2180"/>
        <v>56.110400000000055</v>
      </c>
      <c r="F249" s="64">
        <f t="shared" si="2180"/>
        <v>48.761899999999955</v>
      </c>
      <c r="G249" s="64">
        <f t="shared" si="2180"/>
        <v>58.921299999999839</v>
      </c>
      <c r="H249" s="64">
        <f t="shared" si="2180"/>
        <v>93.513200000000282</v>
      </c>
      <c r="I249" s="64">
        <f t="shared" si="2180"/>
        <v>134.67669999999993</v>
      </c>
      <c r="J249" s="64">
        <f t="shared" si="2180"/>
        <v>193.12909999999982</v>
      </c>
      <c r="K249" s="64">
        <f t="shared" si="2180"/>
        <v>231.1953000000002</v>
      </c>
      <c r="L249" s="64">
        <f t="shared" si="2180"/>
        <v>270.16540000000055</v>
      </c>
      <c r="M249" s="64">
        <f t="shared" si="2180"/>
        <v>351.65999999999957</v>
      </c>
      <c r="N249" s="64">
        <f t="shared" si="2180"/>
        <v>472.40000000000003</v>
      </c>
      <c r="O249" s="64">
        <f t="shared" si="2180"/>
        <v>663.91000000000054</v>
      </c>
      <c r="P249" s="64">
        <f t="shared" si="2180"/>
        <v>750.9699999999998</v>
      </c>
      <c r="Q249" s="64">
        <f t="shared" si="2180"/>
        <v>1926.900000000001</v>
      </c>
      <c r="R249" s="64">
        <f t="shared" si="2180"/>
        <v>933.57999999999947</v>
      </c>
      <c r="S249" s="64">
        <f t="shared" si="2180"/>
        <v>678.14000000000021</v>
      </c>
      <c r="T249" s="64">
        <f t="shared" si="2180"/>
        <v>793.3200000000005</v>
      </c>
      <c r="U249" s="64">
        <f t="shared" si="2180"/>
        <v>1024.7199999999996</v>
      </c>
      <c r="V249" s="64">
        <f t="shared" si="2180"/>
        <v>1251.8800000000006</v>
      </c>
      <c r="W249" s="64">
        <f t="shared" si="2180"/>
        <v>1261.8799999999992</v>
      </c>
      <c r="X249" s="64">
        <f t="shared" si="2180"/>
        <v>1245.2299999999991</v>
      </c>
      <c r="Y249" s="64">
        <f t="shared" si="2180"/>
        <v>1568</v>
      </c>
      <c r="Z249" s="64">
        <f t="shared" si="2180"/>
        <v>1935.4599999999987</v>
      </c>
      <c r="AA249" s="64">
        <f t="shared" ref="AA249" si="2181">AA56-AA255</f>
        <v>2226.9299999999985</v>
      </c>
      <c r="AB249" s="30"/>
      <c r="AC249" s="30"/>
      <c r="AD249" s="30"/>
      <c r="AE249" s="30"/>
      <c r="AI249" s="64">
        <f t="shared" ref="AI249:BN249" si="2182">AI56-AI255</f>
        <v>103</v>
      </c>
      <c r="AJ249" s="64">
        <f t="shared" si="2182"/>
        <v>108</v>
      </c>
      <c r="AK249" s="64">
        <f t="shared" si="2182"/>
        <v>112</v>
      </c>
      <c r="AL249" s="64">
        <f t="shared" si="2182"/>
        <v>148</v>
      </c>
      <c r="AM249" s="64">
        <f t="shared" si="2182"/>
        <v>149</v>
      </c>
      <c r="AN249" s="64">
        <f t="shared" si="2182"/>
        <v>113</v>
      </c>
      <c r="AO249" s="64">
        <f t="shared" si="2182"/>
        <v>158</v>
      </c>
      <c r="AP249" s="64">
        <f t="shared" si="2182"/>
        <v>244</v>
      </c>
      <c r="AQ249" s="64">
        <f t="shared" si="2182"/>
        <v>256</v>
      </c>
      <c r="AR249" s="64">
        <f t="shared" si="2182"/>
        <v>198</v>
      </c>
      <c r="AS249" s="64">
        <f t="shared" si="2182"/>
        <v>167</v>
      </c>
      <c r="AT249" s="64">
        <f t="shared" si="2182"/>
        <v>130</v>
      </c>
      <c r="AU249" s="64">
        <f t="shared" si="2182"/>
        <v>650</v>
      </c>
      <c r="AV249" s="64">
        <f t="shared" si="2182"/>
        <v>509</v>
      </c>
      <c r="AW249" s="64">
        <f t="shared" si="2182"/>
        <v>484</v>
      </c>
      <c r="AX249" s="64">
        <f t="shared" si="2182"/>
        <v>284</v>
      </c>
      <c r="AY249" s="64">
        <f t="shared" si="2182"/>
        <v>292</v>
      </c>
      <c r="AZ249" s="64">
        <f t="shared" si="2182"/>
        <v>207</v>
      </c>
      <c r="BA249" s="64">
        <f t="shared" si="2182"/>
        <v>229</v>
      </c>
      <c r="BB249" s="64">
        <f t="shared" si="2182"/>
        <v>206</v>
      </c>
      <c r="BC249" s="64">
        <f t="shared" si="2182"/>
        <v>188</v>
      </c>
      <c r="BD249" s="64">
        <f t="shared" si="2182"/>
        <v>204</v>
      </c>
      <c r="BE249" s="64">
        <f t="shared" si="2182"/>
        <v>58</v>
      </c>
      <c r="BF249" s="64">
        <f t="shared" si="2182"/>
        <v>228</v>
      </c>
      <c r="BG249" s="64">
        <f t="shared" si="2182"/>
        <v>163</v>
      </c>
      <c r="BH249" s="64">
        <f t="shared" si="2182"/>
        <v>179</v>
      </c>
      <c r="BI249" s="64">
        <f t="shared" si="2182"/>
        <v>246</v>
      </c>
      <c r="BJ249" s="64">
        <f t="shared" si="2182"/>
        <v>205</v>
      </c>
      <c r="BK249" s="64">
        <f t="shared" si="2182"/>
        <v>216</v>
      </c>
      <c r="BL249" s="64">
        <f t="shared" si="2182"/>
        <v>244</v>
      </c>
      <c r="BM249" s="64">
        <f t="shared" si="2182"/>
        <v>251</v>
      </c>
      <c r="BN249" s="64">
        <f t="shared" si="2182"/>
        <v>314</v>
      </c>
      <c r="BO249" s="64">
        <f t="shared" ref="BO249:CT249" si="2183">BO56-BO255</f>
        <v>321</v>
      </c>
      <c r="BP249" s="64">
        <f t="shared" si="2183"/>
        <v>310</v>
      </c>
      <c r="BQ249" s="64">
        <f t="shared" si="2183"/>
        <v>297</v>
      </c>
      <c r="BR249" s="64">
        <f t="shared" si="2183"/>
        <v>324</v>
      </c>
      <c r="BS249" s="64">
        <f t="shared" si="2183"/>
        <v>330</v>
      </c>
      <c r="BT249" s="64">
        <f t="shared" si="2183"/>
        <v>316</v>
      </c>
      <c r="BU249" s="64">
        <f t="shared" si="2183"/>
        <v>249</v>
      </c>
      <c r="BV249" s="64">
        <f t="shared" si="2183"/>
        <v>367</v>
      </c>
      <c r="BW249" s="64">
        <f t="shared" si="2183"/>
        <v>354</v>
      </c>
      <c r="BX249" s="64">
        <f t="shared" si="2183"/>
        <v>312</v>
      </c>
      <c r="BY249" s="64">
        <f t="shared" si="2183"/>
        <v>292</v>
      </c>
      <c r="BZ249" s="64">
        <f t="shared" si="2183"/>
        <v>287</v>
      </c>
      <c r="CA249" s="64">
        <f t="shared" si="2183"/>
        <v>378</v>
      </c>
      <c r="CB249" s="64">
        <f t="shared" si="2183"/>
        <v>386</v>
      </c>
      <c r="CC249" s="64">
        <f t="shared" si="2183"/>
        <v>355</v>
      </c>
      <c r="CD249" s="64">
        <f t="shared" si="2183"/>
        <v>449</v>
      </c>
      <c r="CE249" s="64">
        <f t="shared" si="2183"/>
        <v>457</v>
      </c>
      <c r="CF249" s="64">
        <f t="shared" si="2183"/>
        <v>453</v>
      </c>
      <c r="CG249" s="64">
        <f t="shared" si="2183"/>
        <v>503</v>
      </c>
      <c r="CH249" s="64">
        <f t="shared" si="2183"/>
        <v>522</v>
      </c>
      <c r="CI249" s="64">
        <f t="shared" si="2183"/>
        <v>548</v>
      </c>
      <c r="CJ249" s="64">
        <f t="shared" si="2183"/>
        <v>604</v>
      </c>
      <c r="CK249" s="64">
        <f t="shared" si="2183"/>
        <v>645</v>
      </c>
      <c r="CL249" s="64">
        <f t="shared" ref="CL249" si="2184">CL56-CL255</f>
        <v>430</v>
      </c>
      <c r="CM249" s="30">
        <f t="shared" si="2183"/>
        <v>551.61927002813036</v>
      </c>
      <c r="CN249" s="30">
        <f t="shared" si="2183"/>
        <v>602.25087648792612</v>
      </c>
      <c r="CO249" s="30">
        <f t="shared" si="2183"/>
        <v>610.60109942886106</v>
      </c>
      <c r="CP249" s="30">
        <f t="shared" si="2183"/>
        <v>879.35694380628547</v>
      </c>
      <c r="CQ249" s="30">
        <f t="shared" si="2183"/>
        <v>754.57657547017652</v>
      </c>
      <c r="CR249" s="30">
        <f t="shared" si="2183"/>
        <v>815.75256479941299</v>
      </c>
      <c r="CS249" s="30">
        <f t="shared" si="2183"/>
        <v>826.37922762658047</v>
      </c>
      <c r="CT249" s="30">
        <f t="shared" si="2183"/>
        <v>1162.3587339195362</v>
      </c>
      <c r="CU249" s="30">
        <f t="shared" ref="CU249:DB249" si="2185">CU56-CU255</f>
        <v>903.62355741502529</v>
      </c>
      <c r="CV249" s="30">
        <f t="shared" si="2185"/>
        <v>940.31570639963684</v>
      </c>
      <c r="CW249" s="30">
        <f t="shared" si="2185"/>
        <v>939.34211066832711</v>
      </c>
      <c r="CX249" s="30">
        <f t="shared" si="2185"/>
        <v>1300.7011248594936</v>
      </c>
      <c r="CY249" s="30">
        <f t="shared" si="2185"/>
        <v>964.17319574640555</v>
      </c>
      <c r="CZ249" s="30">
        <f t="shared" si="2185"/>
        <v>995.22914855851582</v>
      </c>
      <c r="DA249" s="30">
        <f t="shared" si="2185"/>
        <v>982.93293166773822</v>
      </c>
      <c r="DB249" s="30">
        <f t="shared" si="2185"/>
        <v>1333.9306213790717</v>
      </c>
      <c r="DE249" s="139"/>
      <c r="DF249" s="64">
        <v>706.18797714990103</v>
      </c>
    </row>
    <row r="250" spans="1:110" s="64" customFormat="1" hidden="1" outlineLevel="1" x14ac:dyDescent="0.2"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5" t="s">
        <v>352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4" t="s">
        <v>478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479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89" customFormat="1" hidden="1" outlineLevel="1" x14ac:dyDescent="0.2">
      <c r="A254" s="86" t="s">
        <v>480</v>
      </c>
      <c r="B254" s="86" t="e">
        <f>+B253/B252</f>
        <v>#DIV/0!</v>
      </c>
      <c r="C254" s="86" t="e">
        <f t="shared" ref="C254:X254" si="2186">+C253/C252</f>
        <v>#DIV/0!</v>
      </c>
      <c r="D254" s="86" t="e">
        <f t="shared" si="2186"/>
        <v>#DIV/0!</v>
      </c>
      <c r="E254" s="86" t="e">
        <f t="shared" si="2186"/>
        <v>#DIV/0!</v>
      </c>
      <c r="F254" s="86" t="e">
        <f t="shared" si="2186"/>
        <v>#DIV/0!</v>
      </c>
      <c r="G254" s="86" t="e">
        <f t="shared" si="2186"/>
        <v>#DIV/0!</v>
      </c>
      <c r="H254" s="86" t="e">
        <f t="shared" si="2186"/>
        <v>#DIV/0!</v>
      </c>
      <c r="I254" s="86" t="e">
        <f t="shared" si="2186"/>
        <v>#DIV/0!</v>
      </c>
      <c r="J254" s="86" t="e">
        <f t="shared" si="2186"/>
        <v>#DIV/0!</v>
      </c>
      <c r="K254" s="86" t="e">
        <f t="shared" si="2186"/>
        <v>#DIV/0!</v>
      </c>
      <c r="L254" s="86" t="e">
        <f t="shared" si="2186"/>
        <v>#DIV/0!</v>
      </c>
      <c r="M254" s="86" t="e">
        <f t="shared" si="2186"/>
        <v>#DIV/0!</v>
      </c>
      <c r="N254" s="86" t="e">
        <f t="shared" si="2186"/>
        <v>#DIV/0!</v>
      </c>
      <c r="O254" s="86" t="e">
        <f t="shared" si="2186"/>
        <v>#DIV/0!</v>
      </c>
      <c r="P254" s="86" t="e">
        <f t="shared" si="2186"/>
        <v>#DIV/0!</v>
      </c>
      <c r="Q254" s="86" t="e">
        <f t="shared" si="2186"/>
        <v>#DIV/0!</v>
      </c>
      <c r="R254" s="86" t="e">
        <f t="shared" si="2186"/>
        <v>#DIV/0!</v>
      </c>
      <c r="S254" s="86" t="e">
        <f t="shared" si="2186"/>
        <v>#DIV/0!</v>
      </c>
      <c r="T254" s="86" t="e">
        <f t="shared" si="2186"/>
        <v>#DIV/0!</v>
      </c>
      <c r="U254" s="86" t="e">
        <f t="shared" si="2186"/>
        <v>#DIV/0!</v>
      </c>
      <c r="V254" s="86" t="e">
        <f t="shared" si="2186"/>
        <v>#DIV/0!</v>
      </c>
      <c r="W254" s="86" t="e">
        <f t="shared" si="2186"/>
        <v>#DIV/0!</v>
      </c>
      <c r="X254" s="86" t="e">
        <f t="shared" si="2186"/>
        <v>#DIV/0!</v>
      </c>
      <c r="Y254" s="86" t="e">
        <f t="shared" ref="Y254:Z254" si="2187">+Y253/Y252</f>
        <v>#DIV/0!</v>
      </c>
      <c r="Z254" s="86" t="e">
        <f t="shared" si="2187"/>
        <v>#DIV/0!</v>
      </c>
      <c r="AA254" s="86" t="e">
        <f t="shared" ref="AA254" si="2188">+AA253/AA252</f>
        <v>#DIV/0!</v>
      </c>
      <c r="AB254" s="87"/>
      <c r="AC254" s="87"/>
      <c r="AD254" s="87"/>
      <c r="AE254" s="87"/>
      <c r="AF254" s="86"/>
      <c r="AG254" s="86"/>
      <c r="AH254" s="86"/>
      <c r="AI254" s="86" t="e">
        <f t="shared" ref="AI254" si="2189">+AI253/AI252</f>
        <v>#DIV/0!</v>
      </c>
      <c r="AJ254" s="86" t="e">
        <f t="shared" ref="AJ254" si="2190">+AJ253/AJ252</f>
        <v>#DIV/0!</v>
      </c>
      <c r="AK254" s="86" t="e">
        <f t="shared" ref="AK254" si="2191">+AK253/AK252</f>
        <v>#DIV/0!</v>
      </c>
      <c r="AL254" s="86" t="e">
        <f t="shared" ref="AL254" si="2192">+AL253/AL252</f>
        <v>#DIV/0!</v>
      </c>
      <c r="AM254" s="86" t="e">
        <f t="shared" ref="AM254" si="2193">+AM253/AM252</f>
        <v>#DIV/0!</v>
      </c>
      <c r="AN254" s="86" t="e">
        <f t="shared" ref="AN254" si="2194">+AN253/AN252</f>
        <v>#DIV/0!</v>
      </c>
      <c r="AO254" s="86" t="e">
        <f t="shared" ref="AO254" si="2195">+AO253/AO252</f>
        <v>#DIV/0!</v>
      </c>
      <c r="AP254" s="86" t="e">
        <f t="shared" ref="AP254" si="2196">+AP253/AP252</f>
        <v>#DIV/0!</v>
      </c>
      <c r="AQ254" s="86" t="e">
        <f t="shared" ref="AQ254" si="2197">+AQ253/AQ252</f>
        <v>#DIV/0!</v>
      </c>
      <c r="AR254" s="86" t="e">
        <f t="shared" ref="AR254" si="2198">+AR253/AR252</f>
        <v>#DIV/0!</v>
      </c>
      <c r="AS254" s="86" t="e">
        <f t="shared" ref="AS254" si="2199">+AS253/AS252</f>
        <v>#DIV/0!</v>
      </c>
      <c r="AT254" s="86" t="e">
        <f t="shared" ref="AT254" si="2200">+AT253/AT252</f>
        <v>#DIV/0!</v>
      </c>
      <c r="AU254" s="86" t="e">
        <f t="shared" ref="AU254" si="2201">+AU253/AU252</f>
        <v>#DIV/0!</v>
      </c>
      <c r="AV254" s="86" t="e">
        <f t="shared" ref="AV254" si="2202">+AV253/AV252</f>
        <v>#DIV/0!</v>
      </c>
      <c r="AW254" s="86" t="e">
        <f t="shared" ref="AW254" si="2203">+AW253/AW252</f>
        <v>#DIV/0!</v>
      </c>
      <c r="AX254" s="86" t="e">
        <f t="shared" ref="AX254" si="2204">+AX253/AX252</f>
        <v>#DIV/0!</v>
      </c>
      <c r="AY254" s="86" t="e">
        <f t="shared" ref="AY254" si="2205">+AY253/AY252</f>
        <v>#DIV/0!</v>
      </c>
      <c r="AZ254" s="86" t="e">
        <f t="shared" ref="AZ254" si="2206">+AZ253/AZ252</f>
        <v>#DIV/0!</v>
      </c>
      <c r="BA254" s="86" t="e">
        <f t="shared" ref="BA254" si="2207">+BA253/BA252</f>
        <v>#DIV/0!</v>
      </c>
      <c r="BB254" s="86" t="e">
        <f t="shared" ref="BB254" si="2208">+BB253/BB252</f>
        <v>#DIV/0!</v>
      </c>
      <c r="BC254" s="86" t="e">
        <f t="shared" ref="BC254" si="2209">+BC253/BC252</f>
        <v>#DIV/0!</v>
      </c>
      <c r="BD254" s="86" t="e">
        <f t="shared" ref="BD254" si="2210">+BD253/BD252</f>
        <v>#DIV/0!</v>
      </c>
      <c r="BE254" s="86" t="e">
        <f t="shared" ref="BE254" si="2211">+BE253/BE252</f>
        <v>#DIV/0!</v>
      </c>
      <c r="BF254" s="86" t="e">
        <f t="shared" ref="BF254" si="2212">+BF253/BF252</f>
        <v>#DIV/0!</v>
      </c>
      <c r="BG254" s="86" t="e">
        <f t="shared" ref="BG254" si="2213">+BG253/BG252</f>
        <v>#DIV/0!</v>
      </c>
      <c r="BH254" s="86" t="e">
        <f t="shared" ref="BH254" si="2214">+BH253/BH252</f>
        <v>#DIV/0!</v>
      </c>
      <c r="BI254" s="86" t="e">
        <f t="shared" ref="BI254" si="2215">+BI253/BI252</f>
        <v>#DIV/0!</v>
      </c>
      <c r="BJ254" s="86" t="e">
        <f t="shared" ref="BJ254" si="2216">+BJ253/BJ252</f>
        <v>#DIV/0!</v>
      </c>
      <c r="BK254" s="86" t="e">
        <f t="shared" ref="BK254" si="2217">+BK253/BK252</f>
        <v>#DIV/0!</v>
      </c>
      <c r="BL254" s="86" t="e">
        <f t="shared" ref="BL254" si="2218">+BL253/BL252</f>
        <v>#DIV/0!</v>
      </c>
      <c r="BM254" s="86" t="e">
        <f t="shared" ref="BM254" si="2219">+BM253/BM252</f>
        <v>#DIV/0!</v>
      </c>
      <c r="BN254" s="86" t="e">
        <f t="shared" ref="BN254" si="2220">+BN253/BN252</f>
        <v>#DIV/0!</v>
      </c>
      <c r="BO254" s="86" t="e">
        <f t="shared" ref="BO254" si="2221">+BO253/BO252</f>
        <v>#DIV/0!</v>
      </c>
      <c r="BP254" s="86" t="e">
        <f t="shared" ref="BP254" si="2222">+BP253/BP252</f>
        <v>#DIV/0!</v>
      </c>
      <c r="BQ254" s="86" t="e">
        <f t="shared" ref="BQ254" si="2223">+BQ253/BQ252</f>
        <v>#DIV/0!</v>
      </c>
      <c r="BR254" s="86" t="e">
        <f t="shared" ref="BR254" si="2224">+BR253/BR252</f>
        <v>#DIV/0!</v>
      </c>
      <c r="BS254" s="86" t="e">
        <f t="shared" ref="BS254" si="2225">+BS253/BS252</f>
        <v>#DIV/0!</v>
      </c>
      <c r="BT254" s="86" t="e">
        <f t="shared" ref="BT254" si="2226">+BT253/BT252</f>
        <v>#DIV/0!</v>
      </c>
      <c r="BU254" s="86" t="e">
        <f t="shared" ref="BU254" si="2227">+BU253/BU252</f>
        <v>#DIV/0!</v>
      </c>
      <c r="BV254" s="86" t="e">
        <f t="shared" ref="BV254" si="2228">+BV253/BV252</f>
        <v>#DIV/0!</v>
      </c>
      <c r="BW254" s="86" t="e">
        <f t="shared" ref="BW254" si="2229">+BW253/BW252</f>
        <v>#DIV/0!</v>
      </c>
      <c r="BX254" s="86" t="e">
        <f t="shared" ref="BX254" si="2230">+BX253/BX252</f>
        <v>#DIV/0!</v>
      </c>
      <c r="BY254" s="86" t="e">
        <f t="shared" ref="BY254" si="2231">+BY253/BY252</f>
        <v>#DIV/0!</v>
      </c>
      <c r="BZ254" s="86" t="e">
        <f t="shared" ref="BZ254" si="2232">+BZ253/BZ252</f>
        <v>#DIV/0!</v>
      </c>
      <c r="CA254" s="86" t="e">
        <f t="shared" ref="CA254" si="2233">+CA253/CA252</f>
        <v>#DIV/0!</v>
      </c>
      <c r="CB254" s="86" t="e">
        <f t="shared" ref="CB254:CC254" si="2234">+CB253/CB252</f>
        <v>#DIV/0!</v>
      </c>
      <c r="CC254" s="86" t="e">
        <f t="shared" si="2234"/>
        <v>#DIV/0!</v>
      </c>
      <c r="CD254" s="86" t="e">
        <f t="shared" ref="CD254" si="2235">+CD253/CD252</f>
        <v>#DIV/0!</v>
      </c>
      <c r="CE254" s="86" t="e">
        <f t="shared" ref="CE254:CF254" si="2236">+CE253/CE252</f>
        <v>#DIV/0!</v>
      </c>
      <c r="CF254" s="86" t="e">
        <f t="shared" si="2236"/>
        <v>#DIV/0!</v>
      </c>
      <c r="CG254" s="86" t="e">
        <f t="shared" ref="CG254:CH254" si="2237">+CG253/CG252</f>
        <v>#DIV/0!</v>
      </c>
      <c r="CH254" s="86" t="e">
        <f t="shared" si="2237"/>
        <v>#DIV/0!</v>
      </c>
      <c r="CI254" s="86" t="e">
        <f t="shared" ref="CI254:CJ254" si="2238">+CI253/CI252</f>
        <v>#DIV/0!</v>
      </c>
      <c r="CJ254" s="86" t="e">
        <f t="shared" si="2238"/>
        <v>#DIV/0!</v>
      </c>
      <c r="CK254" s="86" t="e">
        <f t="shared" ref="CK254:DB254" si="2239">+CK253/CK252</f>
        <v>#DIV/0!</v>
      </c>
      <c r="CL254" s="86" t="e">
        <f t="shared" si="2239"/>
        <v>#DIV/0!</v>
      </c>
      <c r="CM254" s="47" t="e">
        <f t="shared" si="2239"/>
        <v>#DIV/0!</v>
      </c>
      <c r="CN254" s="47" t="e">
        <f t="shared" si="2239"/>
        <v>#DIV/0!</v>
      </c>
      <c r="CO254" s="47" t="e">
        <f t="shared" si="2239"/>
        <v>#DIV/0!</v>
      </c>
      <c r="CP254" s="47" t="e">
        <f t="shared" si="2239"/>
        <v>#DIV/0!</v>
      </c>
      <c r="CQ254" s="47" t="e">
        <f t="shared" si="2239"/>
        <v>#DIV/0!</v>
      </c>
      <c r="CR254" s="47" t="e">
        <f t="shared" si="2239"/>
        <v>#DIV/0!</v>
      </c>
      <c r="CS254" s="47" t="e">
        <f t="shared" si="2239"/>
        <v>#DIV/0!</v>
      </c>
      <c r="CT254" s="47" t="e">
        <f t="shared" si="2239"/>
        <v>#DIV/0!</v>
      </c>
      <c r="CU254" s="47" t="e">
        <f t="shared" si="2239"/>
        <v>#DIV/0!</v>
      </c>
      <c r="CV254" s="47" t="e">
        <f t="shared" si="2239"/>
        <v>#DIV/0!</v>
      </c>
      <c r="CW254" s="47" t="e">
        <f t="shared" si="2239"/>
        <v>#DIV/0!</v>
      </c>
      <c r="CX254" s="47" t="e">
        <f t="shared" si="2239"/>
        <v>#DIV/0!</v>
      </c>
      <c r="CY254" s="47" t="e">
        <f t="shared" si="2239"/>
        <v>#DIV/0!</v>
      </c>
      <c r="CZ254" s="47" t="e">
        <f t="shared" si="2239"/>
        <v>#DIV/0!</v>
      </c>
      <c r="DA254" s="47" t="e">
        <f t="shared" si="2239"/>
        <v>#DIV/0!</v>
      </c>
      <c r="DB254" s="47" t="e">
        <f t="shared" si="2239"/>
        <v>#DIV/0!</v>
      </c>
      <c r="DE254" s="130"/>
    </row>
    <row r="255" spans="1:110" s="64" customFormat="1" hidden="1" outlineLevel="1" x14ac:dyDescent="0.2">
      <c r="A255" s="64" t="s">
        <v>481</v>
      </c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2" customFormat="1" hidden="1" outlineLevel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11" customFormat="1" collapsed="1" x14ac:dyDescent="0.2">
      <c r="AB257" s="63"/>
      <c r="AC257" s="63"/>
      <c r="AD257" s="63"/>
      <c r="AE257" s="63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2" customFormat="1" x14ac:dyDescent="0.2">
      <c r="A258" s="154" t="s">
        <v>497</v>
      </c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63"/>
      <c r="AC258" s="63"/>
      <c r="AD258" s="63"/>
      <c r="AE258" s="63"/>
      <c r="AL258" s="180"/>
      <c r="CF258" s="180"/>
      <c r="CG258" s="180"/>
      <c r="CH258" s="180"/>
      <c r="CI258" s="180"/>
      <c r="CJ258" s="180"/>
      <c r="CK258" s="180"/>
      <c r="CL258" s="18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4" customFormat="1" x14ac:dyDescent="0.2">
      <c r="A259" s="84" t="s">
        <v>512</v>
      </c>
      <c r="B259" s="84">
        <f>B23/B180</f>
        <v>1.24173413824997</v>
      </c>
      <c r="C259" s="84">
        <f>C23/C180</f>
        <v>1.7945761702028031</v>
      </c>
      <c r="D259" s="84">
        <f>D23/D180</f>
        <v>1.770236934377861</v>
      </c>
      <c r="E259" s="84">
        <f t="shared" ref="E259:Y259" si="2240">E25/(E176+E163+E153)</f>
        <v>1.1032959093330694</v>
      </c>
      <c r="F259" s="84">
        <f t="shared" si="2240"/>
        <v>0.77103221948641831</v>
      </c>
      <c r="G259" s="84">
        <f t="shared" si="2240"/>
        <v>1.0270575187313604</v>
      </c>
      <c r="H259" s="84">
        <f t="shared" si="2240"/>
        <v>1.2431186702577259</v>
      </c>
      <c r="I259" s="84">
        <f t="shared" si="2240"/>
        <v>1.0867327479505977</v>
      </c>
      <c r="J259" s="84">
        <f t="shared" si="2240"/>
        <v>0.99522120277260562</v>
      </c>
      <c r="K259" s="84">
        <f t="shared" si="2240"/>
        <v>0.99080851896492128</v>
      </c>
      <c r="L259" s="84">
        <f t="shared" si="2240"/>
        <v>0.87363324412661725</v>
      </c>
      <c r="M259" s="84">
        <f t="shared" si="2240"/>
        <v>0.89554142666374326</v>
      </c>
      <c r="N259" s="84">
        <f t="shared" si="2240"/>
        <v>0.85568106418527301</v>
      </c>
      <c r="O259" s="84">
        <f t="shared" si="2240"/>
        <v>0.83625158368870589</v>
      </c>
      <c r="P259" s="84">
        <f t="shared" si="2240"/>
        <v>0.59510077241802639</v>
      </c>
      <c r="Q259" s="84">
        <f t="shared" si="2240"/>
        <v>0.75978962003965989</v>
      </c>
      <c r="R259" s="84">
        <f t="shared" si="2240"/>
        <v>0.61920950754462256</v>
      </c>
      <c r="S259" s="84">
        <f t="shared" si="2240"/>
        <v>0.42598557621744071</v>
      </c>
      <c r="T259" s="84">
        <f t="shared" si="2240"/>
        <v>0.55806321632586553</v>
      </c>
      <c r="U259" s="84">
        <f t="shared" si="2240"/>
        <v>0.58487200945306039</v>
      </c>
      <c r="V259" s="84">
        <f t="shared" si="2240"/>
        <v>0.58809997869354713</v>
      </c>
      <c r="W259" s="84">
        <f t="shared" si="2240"/>
        <v>0.67718360440183167</v>
      </c>
      <c r="X259" s="84">
        <f t="shared" si="2240"/>
        <v>0.6668859545748218</v>
      </c>
      <c r="Y259" s="84">
        <f t="shared" si="2240"/>
        <v>0.74119797010429311</v>
      </c>
      <c r="Z259" s="84">
        <f>Z25/(Z176+Z163+Z153)</f>
        <v>0.80240203121233111</v>
      </c>
      <c r="AA259" s="84">
        <f>AA25/(AA176+AA163+AA153)</f>
        <v>0.32114372561942534</v>
      </c>
      <c r="AB259" s="50">
        <f t="shared" ref="AA259:AE259" si="2241">AB25/(AB176+AB163+AB153)</f>
        <v>0.34975178457665845</v>
      </c>
      <c r="AC259" s="50">
        <f t="shared" si="2241"/>
        <v>0.37114361703001703</v>
      </c>
      <c r="AD259" s="50">
        <f t="shared" si="2241"/>
        <v>0.35706730842441037</v>
      </c>
      <c r="AE259" s="50">
        <f t="shared" si="2241"/>
        <v>0.33838034188594235</v>
      </c>
      <c r="AL259" s="84">
        <f>SUM(AI25:AL25)/(AL176+AL163+AL153)</f>
        <v>0.85584865440980551</v>
      </c>
      <c r="AM259" s="84">
        <f t="shared" ref="AM259:CL259" si="2242">SUM(AJ25:AM25)/(AM176+AM163+AM153)</f>
        <v>0.84907860496448806</v>
      </c>
      <c r="AN259" s="84">
        <f t="shared" si="2242"/>
        <v>0.80571046174436756</v>
      </c>
      <c r="AO259" s="84">
        <f t="shared" si="2242"/>
        <v>0.8146994116847639</v>
      </c>
      <c r="AP259" s="84">
        <f t="shared" si="2242"/>
        <v>0.83629822106735963</v>
      </c>
      <c r="AQ259" s="84">
        <f t="shared" si="2242"/>
        <v>0.84335456937808173</v>
      </c>
      <c r="AR259" s="84">
        <f t="shared" si="2242"/>
        <v>0.64298776199184138</v>
      </c>
      <c r="AS259" s="84">
        <f t="shared" si="2242"/>
        <v>0.65568727600528465</v>
      </c>
      <c r="AT259" s="84">
        <f t="shared" si="2242"/>
        <v>0.59501278772378519</v>
      </c>
      <c r="AU259" s="84">
        <f t="shared" si="2242"/>
        <v>0.56404606421391901</v>
      </c>
      <c r="AV259" s="84">
        <f t="shared" si="2242"/>
        <v>0.63791996576075327</v>
      </c>
      <c r="AW259" s="84">
        <f t="shared" si="2242"/>
        <v>0.67232007677606698</v>
      </c>
      <c r="AX259" s="84">
        <f t="shared" si="2242"/>
        <v>0.76173655423883313</v>
      </c>
      <c r="AY259" s="84">
        <f t="shared" si="2242"/>
        <v>0.68805396311556677</v>
      </c>
      <c r="AZ259" s="84">
        <f t="shared" si="2242"/>
        <v>0.61864667830372733</v>
      </c>
      <c r="BA259" s="84">
        <f t="shared" si="2242"/>
        <v>0.59306731546340918</v>
      </c>
      <c r="BB259" s="84">
        <f t="shared" si="2242"/>
        <v>0.62361584327086883</v>
      </c>
      <c r="BC259" s="84">
        <f t="shared" si="2242"/>
        <v>0.59712284760155021</v>
      </c>
      <c r="BD259" s="84">
        <f t="shared" si="2242"/>
        <v>0.57796852646638053</v>
      </c>
      <c r="BE259" s="84">
        <f t="shared" si="2242"/>
        <v>0.57315674861048782</v>
      </c>
      <c r="BF259" s="84">
        <f t="shared" si="2242"/>
        <v>0.42600415264552161</v>
      </c>
      <c r="BG259" s="84">
        <f t="shared" si="2242"/>
        <v>0.45090803759326964</v>
      </c>
      <c r="BH259" s="84">
        <f t="shared" si="2242"/>
        <v>0.47283757071774246</v>
      </c>
      <c r="BI259" s="84">
        <f t="shared" si="2242"/>
        <v>0.49824496367886206</v>
      </c>
      <c r="BJ259" s="84">
        <f t="shared" si="2242"/>
        <v>0.55807695105098554</v>
      </c>
      <c r="BK259" s="84">
        <f t="shared" si="2242"/>
        <v>0.55275888949107388</v>
      </c>
      <c r="BL259" s="84">
        <f t="shared" si="2242"/>
        <v>0.58480135623203366</v>
      </c>
      <c r="BM259" s="84">
        <f t="shared" si="2242"/>
        <v>0.56960118005541593</v>
      </c>
      <c r="BN259" s="84">
        <f t="shared" si="2242"/>
        <v>0.58482504604051566</v>
      </c>
      <c r="BO259" s="84">
        <f t="shared" si="2242"/>
        <v>0.56902179111256379</v>
      </c>
      <c r="BP259" s="84">
        <f t="shared" si="2242"/>
        <v>0.56695541039477426</v>
      </c>
      <c r="BQ259" s="84">
        <f t="shared" si="2242"/>
        <v>0.55824068225096701</v>
      </c>
      <c r="BR259" s="84">
        <f t="shared" si="2242"/>
        <v>0.58808404349103727</v>
      </c>
      <c r="BS259" s="84">
        <f t="shared" si="2242"/>
        <v>0.57114708199106456</v>
      </c>
      <c r="BT259" s="84">
        <f t="shared" si="2242"/>
        <v>0.61960873177732456</v>
      </c>
      <c r="BU259" s="84">
        <f t="shared" si="2242"/>
        <v>0.61765667597660512</v>
      </c>
      <c r="BV259" s="84">
        <f t="shared" si="2242"/>
        <v>0.67733205985354983</v>
      </c>
      <c r="BW259" s="84">
        <f t="shared" si="2242"/>
        <v>0.66650477976892086</v>
      </c>
      <c r="BX259" s="84">
        <f t="shared" si="2242"/>
        <v>0.70140644753476611</v>
      </c>
      <c r="BY259" s="84">
        <f t="shared" si="2242"/>
        <v>0.70811676707187909</v>
      </c>
      <c r="BZ259" s="84">
        <f t="shared" si="2242"/>
        <v>0.66689774696707105</v>
      </c>
      <c r="CA259" s="84">
        <f t="shared" si="2242"/>
        <v>0.66333106321813251</v>
      </c>
      <c r="CB259" s="84">
        <f t="shared" si="2242"/>
        <v>0.7244601769911504</v>
      </c>
      <c r="CC259" s="84">
        <f t="shared" si="2242"/>
        <v>0.71676104164621413</v>
      </c>
      <c r="CD259" s="84">
        <f t="shared" si="2242"/>
        <v>0.74119110128506283</v>
      </c>
      <c r="CE259" s="84">
        <f t="shared" si="2242"/>
        <v>0.73219992334029071</v>
      </c>
      <c r="CF259" s="84">
        <f t="shared" si="2242"/>
        <v>0.7760110611821639</v>
      </c>
      <c r="CG259" s="84">
        <f t="shared" si="2242"/>
        <v>0.75814637260680395</v>
      </c>
      <c r="CH259" s="84">
        <f t="shared" si="2242"/>
        <v>0.8023957603180597</v>
      </c>
      <c r="CI259" s="84">
        <f t="shared" si="2242"/>
        <v>0.78055262611456133</v>
      </c>
      <c r="CJ259" s="84">
        <f t="shared" si="2242"/>
        <v>0.8265622891078418</v>
      </c>
      <c r="CK259" s="84">
        <f t="shared" ref="CK259" si="2243">SUM(CH25:CK25)/(CK176+CK163+CK153)</f>
        <v>0.82450516805995555</v>
      </c>
      <c r="CL259" s="84">
        <f t="shared" si="2242"/>
        <v>0.32124638080794155</v>
      </c>
      <c r="CM259" s="50">
        <f t="shared" ref="CM259:DB259" si="2244">SUM(CJ25:CM25)/(CM176+CM163+CM153)</f>
        <v>0.33518350015213411</v>
      </c>
      <c r="CN259" s="50">
        <f t="shared" si="2244"/>
        <v>0.3425905594166353</v>
      </c>
      <c r="CO259" s="50">
        <f t="shared" si="2244"/>
        <v>0.35158707060940708</v>
      </c>
      <c r="CP259" s="50">
        <f t="shared" si="2244"/>
        <v>0.34975178457665845</v>
      </c>
      <c r="CQ259" s="50">
        <f t="shared" si="2244"/>
        <v>0.36400418542627355</v>
      </c>
      <c r="CR259" s="50">
        <f t="shared" si="2244"/>
        <v>0.36952983860937061</v>
      </c>
      <c r="CS259" s="50">
        <f t="shared" si="2244"/>
        <v>0.37674527327746565</v>
      </c>
      <c r="CT259" s="50">
        <f t="shared" si="2244"/>
        <v>0.37114361703001703</v>
      </c>
      <c r="CU259" s="50">
        <f t="shared" si="2244"/>
        <v>0.38242016211860369</v>
      </c>
      <c r="CV259" s="50">
        <f t="shared" si="2244"/>
        <v>0.37867737080106711</v>
      </c>
      <c r="CW259" s="50">
        <f t="shared" si="2244"/>
        <v>0.37527869830394228</v>
      </c>
      <c r="CX259" s="50">
        <f t="shared" si="2244"/>
        <v>0.35706730842441037</v>
      </c>
      <c r="CY259" s="50">
        <f t="shared" si="2244"/>
        <v>0.36328146855763566</v>
      </c>
      <c r="CZ259" s="50">
        <f t="shared" si="2244"/>
        <v>0.35813344893685317</v>
      </c>
      <c r="DA259" s="50">
        <f t="shared" si="2244"/>
        <v>0.3545480672024659</v>
      </c>
      <c r="DB259" s="50">
        <f t="shared" si="2244"/>
        <v>0.33838034188594235</v>
      </c>
      <c r="DE259" s="138"/>
      <c r="DF259" s="84">
        <v>0.81054043421192956</v>
      </c>
    </row>
    <row r="260" spans="1:110" s="84" customFormat="1" x14ac:dyDescent="0.2">
      <c r="A260" s="84" t="s">
        <v>513</v>
      </c>
      <c r="E260" s="181">
        <f>+E57</f>
        <v>0.12215620381892719</v>
      </c>
      <c r="F260" s="181">
        <f t="shared" ref="F260:AE260" si="2245">+F57</f>
        <v>8.9021742841249266E-2</v>
      </c>
      <c r="G260" s="181">
        <f t="shared" si="2245"/>
        <v>6.0921826572248719E-2</v>
      </c>
      <c r="H260" s="181">
        <f t="shared" si="2245"/>
        <v>7.2000501391531108E-2</v>
      </c>
      <c r="I260" s="181">
        <f t="shared" si="2245"/>
        <v>9.9403527317412532E-2</v>
      </c>
      <c r="J260" s="181">
        <f t="shared" si="2245"/>
        <v>0.1184363290000303</v>
      </c>
      <c r="K260" s="181">
        <f t="shared" si="2245"/>
        <v>0.12066322491132492</v>
      </c>
      <c r="L260" s="181">
        <f t="shared" si="2245"/>
        <v>0.12292579381694184</v>
      </c>
      <c r="M260" s="181">
        <f t="shared" si="2245"/>
        <v>0.13044155612926187</v>
      </c>
      <c r="N260" s="181">
        <f t="shared" si="2245"/>
        <v>0.14711286334448204</v>
      </c>
      <c r="O260" s="181">
        <f t="shared" si="2245"/>
        <v>0.15865099696037022</v>
      </c>
      <c r="P260" s="181">
        <f t="shared" si="2245"/>
        <v>0.16137919178244095</v>
      </c>
      <c r="Q260" s="181">
        <f t="shared" si="2245"/>
        <v>0.28902705175607685</v>
      </c>
      <c r="R260" s="181">
        <f t="shared" si="2245"/>
        <v>0.160527813552648</v>
      </c>
      <c r="S260" s="181">
        <f t="shared" si="2245"/>
        <v>0.11397636571128927</v>
      </c>
      <c r="T260" s="181">
        <f t="shared" si="2245"/>
        <v>0.10339380669377547</v>
      </c>
      <c r="U260" s="181">
        <f t="shared" si="2245"/>
        <v>0.12906915084560242</v>
      </c>
      <c r="V260" s="181">
        <f t="shared" si="2245"/>
        <v>0.15639565897980784</v>
      </c>
      <c r="W260" s="181">
        <f t="shared" si="2245"/>
        <v>0.14831618093003787</v>
      </c>
      <c r="X260" s="181">
        <f t="shared" si="2245"/>
        <v>0.1294397696501613</v>
      </c>
      <c r="Y260" s="181">
        <f t="shared" si="2245"/>
        <v>0.14616176229324823</v>
      </c>
      <c r="Z260" s="181">
        <f t="shared" si="2245"/>
        <v>0.16806572369615022</v>
      </c>
      <c r="AA260" s="181">
        <f t="shared" ref="AA260" si="2246">+AA57</f>
        <v>0.15929706796912377</v>
      </c>
      <c r="AB260" s="182">
        <f t="shared" si="2245"/>
        <v>0.15938380632984078</v>
      </c>
      <c r="AC260" s="182">
        <f t="shared" si="2245"/>
        <v>0.18322490832325383</v>
      </c>
      <c r="AD260" s="182">
        <f t="shared" si="2245"/>
        <v>0.20158657879636938</v>
      </c>
      <c r="AE260" s="182">
        <f t="shared" si="2245"/>
        <v>0.20602929433239761</v>
      </c>
      <c r="AL260" s="181">
        <f t="shared" ref="AL260:CW260" si="2247">+AL57</f>
        <v>0.16991963260619977</v>
      </c>
      <c r="AM260" s="181">
        <f t="shared" si="2247"/>
        <v>0.15329218106995884</v>
      </c>
      <c r="AN260" s="181">
        <f t="shared" si="2247"/>
        <v>0.11625514403292181</v>
      </c>
      <c r="AO260" s="181">
        <f t="shared" si="2247"/>
        <v>0.15566502463054188</v>
      </c>
      <c r="AP260" s="181">
        <f t="shared" si="2247"/>
        <v>0.19918367346938776</v>
      </c>
      <c r="AQ260" s="181">
        <f t="shared" si="2247"/>
        <v>0.22980251346499103</v>
      </c>
      <c r="AR260" s="181">
        <f t="shared" si="2247"/>
        <v>0.16269515201314708</v>
      </c>
      <c r="AS260" s="181">
        <f t="shared" si="2247"/>
        <v>0.14297945205479451</v>
      </c>
      <c r="AT260" s="181">
        <f t="shared" si="2247"/>
        <v>0.11265164644714037</v>
      </c>
      <c r="AU260" s="181">
        <f t="shared" si="2247"/>
        <v>0.33384694401643555</v>
      </c>
      <c r="AV260" s="181">
        <f t="shared" si="2247"/>
        <v>0.30064973419964558</v>
      </c>
      <c r="AW260" s="181">
        <f t="shared" si="2247"/>
        <v>0.31387808041504539</v>
      </c>
      <c r="AX260" s="181">
        <f t="shared" si="2247"/>
        <v>0.18895542248835662</v>
      </c>
      <c r="AY260" s="181">
        <f t="shared" si="2247"/>
        <v>0.1882656350741457</v>
      </c>
      <c r="AZ260" s="181">
        <f t="shared" si="2247"/>
        <v>0.14485654303708886</v>
      </c>
      <c r="BA260" s="181">
        <f t="shared" si="2247"/>
        <v>0.1586971586971587</v>
      </c>
      <c r="BB260" s="181">
        <f t="shared" si="2247"/>
        <v>0.14365411436541142</v>
      </c>
      <c r="BC260" s="181">
        <f t="shared" si="2247"/>
        <v>0.13803230543318648</v>
      </c>
      <c r="BD260" s="181">
        <f t="shared" si="2247"/>
        <v>0.14396612561750177</v>
      </c>
      <c r="BE260" s="181">
        <f t="shared" si="2247"/>
        <v>3.9644565960355434E-2</v>
      </c>
      <c r="BF260" s="181">
        <f t="shared" si="2247"/>
        <v>0.13348946135831383</v>
      </c>
      <c r="BG260" s="181">
        <f t="shared" si="2247"/>
        <v>8.7072649572649569E-2</v>
      </c>
      <c r="BH260" s="181">
        <f t="shared" si="2247"/>
        <v>9.4508975712777193E-2</v>
      </c>
      <c r="BI260" s="181">
        <f t="shared" si="2247"/>
        <v>0.11994149195514384</v>
      </c>
      <c r="BJ260" s="181">
        <f t="shared" si="2247"/>
        <v>0.11045258620689655</v>
      </c>
      <c r="BK260" s="181">
        <f t="shared" si="2247"/>
        <v>0.10682492581602374</v>
      </c>
      <c r="BL260" s="181">
        <f t="shared" si="2247"/>
        <v>0.12169576059850375</v>
      </c>
      <c r="BM260" s="181">
        <f t="shared" si="2247"/>
        <v>0.12767039674465921</v>
      </c>
      <c r="BN260" s="181">
        <f t="shared" si="2247"/>
        <v>0.16135662898252826</v>
      </c>
      <c r="BO260" s="181">
        <f t="shared" si="2247"/>
        <v>0.1561284046692607</v>
      </c>
      <c r="BP260" s="181">
        <f t="shared" si="2247"/>
        <v>0.15369360436291521</v>
      </c>
      <c r="BQ260" s="181">
        <f t="shared" si="2247"/>
        <v>0.14887218045112782</v>
      </c>
      <c r="BR260" s="181">
        <f t="shared" si="2247"/>
        <v>0.16726897263810014</v>
      </c>
      <c r="BS260" s="181">
        <f t="shared" si="2247"/>
        <v>0.15463917525773196</v>
      </c>
      <c r="BT260" s="181">
        <f t="shared" si="2247"/>
        <v>0.14787084698175013</v>
      </c>
      <c r="BU260" s="181">
        <f t="shared" si="2247"/>
        <v>0.11812144212523719</v>
      </c>
      <c r="BV260" s="181">
        <f t="shared" si="2247"/>
        <v>0.17221961520412951</v>
      </c>
      <c r="BW260" s="181">
        <f t="shared" si="2247"/>
        <v>0.15083084789092457</v>
      </c>
      <c r="BX260" s="181">
        <f t="shared" si="2247"/>
        <v>0.13618507202095154</v>
      </c>
      <c r="BY260" s="181">
        <f t="shared" si="2247"/>
        <v>0.1172219991971096</v>
      </c>
      <c r="BZ260" s="181">
        <f t="shared" si="2247"/>
        <v>0.11521477318346046</v>
      </c>
      <c r="CA260" s="181">
        <f t="shared" si="2247"/>
        <v>0.14588961790814359</v>
      </c>
      <c r="CB260" s="181">
        <f t="shared" si="2247"/>
        <v>0.14511278195488722</v>
      </c>
      <c r="CC260" s="181">
        <f t="shared" si="2247"/>
        <v>0.12994143484626647</v>
      </c>
      <c r="CD260" s="181">
        <f t="shared" si="2247"/>
        <v>0.16357012750455374</v>
      </c>
      <c r="CE260" s="181">
        <f t="shared" si="2247"/>
        <v>0.15984610003497726</v>
      </c>
      <c r="CF260" s="181">
        <f t="shared" si="2247"/>
        <v>0.15680166147455868</v>
      </c>
      <c r="CG260" s="181">
        <f t="shared" si="2247"/>
        <v>0.17906728373086508</v>
      </c>
      <c r="CH260" s="181">
        <f t="shared" si="2247"/>
        <v>0.17641094964515039</v>
      </c>
      <c r="CI260" s="181">
        <f t="shared" si="2247"/>
        <v>0.1724354940213971</v>
      </c>
      <c r="CJ260" s="181">
        <f t="shared" si="2247"/>
        <v>0.18291944276196245</v>
      </c>
      <c r="CK260" s="181">
        <f t="shared" si="2247"/>
        <v>0.19527702089009991</v>
      </c>
      <c r="CL260" s="181">
        <f t="shared" ref="CL260" si="2248">+CL57</f>
        <v>0.10245413390517036</v>
      </c>
      <c r="CM260" s="182">
        <f t="shared" si="2247"/>
        <v>0.14675798790808625</v>
      </c>
      <c r="CN260" s="182">
        <f t="shared" si="2247"/>
        <v>0.1535497899040062</v>
      </c>
      <c r="CO260" s="182">
        <f t="shared" si="2247"/>
        <v>0.15543410618008729</v>
      </c>
      <c r="CP260" s="182">
        <f t="shared" si="2247"/>
        <v>0.17662866320799692</v>
      </c>
      <c r="CQ260" s="182">
        <f t="shared" si="2247"/>
        <v>0.17112412563165932</v>
      </c>
      <c r="CR260" s="182">
        <f t="shared" si="2247"/>
        <v>0.1773786673987128</v>
      </c>
      <c r="CS260" s="182">
        <f t="shared" si="2247"/>
        <v>0.17968973042721983</v>
      </c>
      <c r="CT260" s="182">
        <f t="shared" si="2247"/>
        <v>0.19981420461602395</v>
      </c>
      <c r="CU260" s="182">
        <f t="shared" si="2247"/>
        <v>0.19059080129758416</v>
      </c>
      <c r="CV260" s="182">
        <f t="shared" si="2247"/>
        <v>0.19549287219871322</v>
      </c>
      <c r="CW260" s="182">
        <f t="shared" si="2247"/>
        <v>0.19794109163446805</v>
      </c>
      <c r="CX260" s="182">
        <f t="shared" ref="CX260:DB260" si="2249">+CX57</f>
        <v>0.21814733418246757</v>
      </c>
      <c r="CY260" s="182">
        <f t="shared" si="2249"/>
        <v>0.1987635964322336</v>
      </c>
      <c r="CZ260" s="182">
        <f t="shared" si="2249"/>
        <v>0.20196187955684425</v>
      </c>
      <c r="DA260" s="182">
        <f t="shared" si="2249"/>
        <v>0.20207542400956857</v>
      </c>
      <c r="DB260" s="182">
        <f t="shared" si="2249"/>
        <v>0.21822026960026863</v>
      </c>
      <c r="DE260" s="138"/>
      <c r="DF260" s="84">
        <v>0.20547336654132134</v>
      </c>
    </row>
    <row r="261" spans="1:110" s="84" customFormat="1" x14ac:dyDescent="0.2">
      <c r="A261" s="84" t="s">
        <v>514</v>
      </c>
      <c r="E261" s="84">
        <f>(E176+E163+E153+E155)/E135</f>
        <v>1.455734012219817</v>
      </c>
      <c r="F261" s="84">
        <f t="shared" ref="F261:AE261" si="2250">(F176+F163+F153+F155)/F135</f>
        <v>2.2521406783555311</v>
      </c>
      <c r="G261" s="84">
        <f t="shared" si="2250"/>
        <v>2.7078803117407619</v>
      </c>
      <c r="H261" s="84">
        <f t="shared" si="2250"/>
        <v>2.5471762822676913</v>
      </c>
      <c r="I261" s="84">
        <f t="shared" si="2250"/>
        <v>2.484198162732234</v>
      </c>
      <c r="J261" s="84">
        <f t="shared" si="2250"/>
        <v>2.546558052591545</v>
      </c>
      <c r="K261" s="84">
        <f t="shared" si="2250"/>
        <v>2.3500707900384907</v>
      </c>
      <c r="L261" s="84">
        <f t="shared" si="2250"/>
        <v>2.480124995500804</v>
      </c>
      <c r="M261" s="84">
        <f t="shared" si="2250"/>
        <v>2.5530435656668038</v>
      </c>
      <c r="N261" s="84">
        <f t="shared" si="2250"/>
        <v>2.6392016484637084</v>
      </c>
      <c r="O261" s="84">
        <f t="shared" si="2250"/>
        <v>2.6304095288657137</v>
      </c>
      <c r="P261" s="84">
        <f t="shared" si="2250"/>
        <v>3.1397195811383787</v>
      </c>
      <c r="Q261" s="84">
        <f t="shared" si="2250"/>
        <v>2.5112875990956187</v>
      </c>
      <c r="R261" s="84">
        <f t="shared" si="2250"/>
        <v>2.1590642118741279</v>
      </c>
      <c r="S261" s="84">
        <f t="shared" si="2250"/>
        <v>3.0217926999971878</v>
      </c>
      <c r="T261" s="84">
        <f t="shared" si="2250"/>
        <v>2.9106797760538492</v>
      </c>
      <c r="U261" s="84">
        <f t="shared" si="2250"/>
        <v>2.8148270242700928</v>
      </c>
      <c r="V261" s="84">
        <f t="shared" si="2250"/>
        <v>2.3389741946868088</v>
      </c>
      <c r="W261" s="84">
        <f t="shared" si="2250"/>
        <v>2.1176374738574997</v>
      </c>
      <c r="X261" s="84">
        <f t="shared" si="2250"/>
        <v>2.3343040656204272</v>
      </c>
      <c r="Y261" s="84">
        <f t="shared" si="2250"/>
        <v>2.1156844584788836</v>
      </c>
      <c r="Z261" s="84">
        <f t="shared" si="2250"/>
        <v>1.896479766661529</v>
      </c>
      <c r="AA261" s="84">
        <f t="shared" ref="AA261" si="2251">(AA176+AA163+AA153+AA155)/AA135</f>
        <v>5.199267324159587</v>
      </c>
      <c r="AB261" s="50">
        <f t="shared" si="2250"/>
        <v>4.2687603732610757</v>
      </c>
      <c r="AC261" s="50">
        <f t="shared" si="2250"/>
        <v>3.5447182711803555</v>
      </c>
      <c r="AD261" s="50">
        <f t="shared" si="2250"/>
        <v>2.9950528936577814</v>
      </c>
      <c r="AE261" s="50">
        <f t="shared" si="2250"/>
        <v>2.6307708933079663</v>
      </c>
      <c r="AL261" s="84">
        <f t="shared" ref="AL261:CW261" si="2252">(AL176+AL163+AL153+AL155)/AL135</f>
        <v>2.6392405063291138</v>
      </c>
      <c r="AM261" s="84">
        <f t="shared" si="2252"/>
        <v>2.5616565151630177</v>
      </c>
      <c r="AN261" s="84">
        <f t="shared" si="2252"/>
        <v>2.9866755496335777</v>
      </c>
      <c r="AO261" s="84">
        <f t="shared" si="2252"/>
        <v>2.833707275690398</v>
      </c>
      <c r="AP261" s="84">
        <f t="shared" si="2252"/>
        <v>2.6290068313189701</v>
      </c>
      <c r="AQ261" s="84">
        <f t="shared" si="2252"/>
        <v>2.3758754525432222</v>
      </c>
      <c r="AR261" s="84">
        <f t="shared" si="2252"/>
        <v>2.9907446360959193</v>
      </c>
      <c r="AS261" s="84">
        <f t="shared" si="2252"/>
        <v>2.832018108246384</v>
      </c>
      <c r="AT261" s="84">
        <f t="shared" si="2252"/>
        <v>3.1393014853472501</v>
      </c>
      <c r="AU261" s="84">
        <f t="shared" si="2252"/>
        <v>3.0965157526911087</v>
      </c>
      <c r="AV261" s="84">
        <f t="shared" si="2252"/>
        <v>2.7618203309692673</v>
      </c>
      <c r="AW261" s="84">
        <f t="shared" si="2252"/>
        <v>2.5650742224941729</v>
      </c>
      <c r="AX261" s="84">
        <f t="shared" si="2252"/>
        <v>2.5117344018317116</v>
      </c>
      <c r="AY261" s="84">
        <f t="shared" si="2252"/>
        <v>2.4142291223153269</v>
      </c>
      <c r="AZ261" s="84">
        <f t="shared" si="2252"/>
        <v>2.4208302261993535</v>
      </c>
      <c r="BA261" s="84">
        <f t="shared" si="2252"/>
        <v>2.3499812709056522</v>
      </c>
      <c r="BB261" s="84">
        <f t="shared" si="2252"/>
        <v>2.1585842335095382</v>
      </c>
      <c r="BC261" s="84">
        <f t="shared" si="2252"/>
        <v>2.0912500772016767</v>
      </c>
      <c r="BD261" s="84">
        <f t="shared" si="2252"/>
        <v>2.1540832049306626</v>
      </c>
      <c r="BE261" s="84">
        <f t="shared" si="2252"/>
        <v>2.1523690732139631</v>
      </c>
      <c r="BF261" s="84">
        <f t="shared" si="2252"/>
        <v>3.0218520121159673</v>
      </c>
      <c r="BG261" s="84">
        <f t="shared" si="2252"/>
        <v>2.9940744764939224</v>
      </c>
      <c r="BH261" s="84">
        <f t="shared" si="2252"/>
        <v>3.0988384371700106</v>
      </c>
      <c r="BI261" s="84">
        <f t="shared" si="2252"/>
        <v>3.0325261336266833</v>
      </c>
      <c r="BJ261" s="84">
        <f t="shared" si="2252"/>
        <v>2.9108806096528368</v>
      </c>
      <c r="BK261" s="84">
        <f t="shared" si="2252"/>
        <v>2.8653126308809158</v>
      </c>
      <c r="BL261" s="84">
        <f t="shared" si="2252"/>
        <v>2.6747486694263749</v>
      </c>
      <c r="BM261" s="84">
        <f t="shared" si="2252"/>
        <v>2.5886207658914322</v>
      </c>
      <c r="BN261" s="84">
        <f t="shared" si="2252"/>
        <v>2.8144693200663351</v>
      </c>
      <c r="BO261" s="84">
        <f t="shared" si="2252"/>
        <v>2.7237639792372681</v>
      </c>
      <c r="BP261" s="84">
        <f t="shared" si="2252"/>
        <v>2.5467365756644367</v>
      </c>
      <c r="BQ261" s="84">
        <f t="shared" si="2252"/>
        <v>2.4635921537215073</v>
      </c>
      <c r="BR261" s="84">
        <f t="shared" si="2252"/>
        <v>2.3388146625556696</v>
      </c>
      <c r="BS261" s="84">
        <f t="shared" si="2252"/>
        <v>2.3012680733641484</v>
      </c>
      <c r="BT261" s="84">
        <f t="shared" si="2252"/>
        <v>2.135552339604438</v>
      </c>
      <c r="BU261" s="84">
        <f t="shared" si="2252"/>
        <v>2.0880937477300869</v>
      </c>
      <c r="BV261" s="84">
        <f t="shared" si="2252"/>
        <v>2.1175877708718294</v>
      </c>
      <c r="BW261" s="84">
        <f t="shared" si="2252"/>
        <v>2.0817628167759494</v>
      </c>
      <c r="BX261" s="84">
        <f t="shared" si="2252"/>
        <v>2.0847151535051718</v>
      </c>
      <c r="BY261" s="84">
        <f t="shared" si="2252"/>
        <v>2.0552936437105518</v>
      </c>
      <c r="BZ261" s="84">
        <f t="shared" si="2252"/>
        <v>2.334301387544369</v>
      </c>
      <c r="CA261" s="84">
        <f t="shared" si="2252"/>
        <v>2.267853200963859</v>
      </c>
      <c r="CB261" s="84">
        <f t="shared" si="2252"/>
        <v>2.11241985984792</v>
      </c>
      <c r="CC261" s="84">
        <f t="shared" si="2252"/>
        <v>2.0497845312582155</v>
      </c>
      <c r="CD261" s="84">
        <f t="shared" si="2252"/>
        <v>2.115810968494749</v>
      </c>
      <c r="CE261" s="84">
        <f t="shared" si="2252"/>
        <v>2.0579456152267204</v>
      </c>
      <c r="CF261" s="84">
        <f t="shared" si="2252"/>
        <v>1.9332356076759061</v>
      </c>
      <c r="CG261" s="84">
        <f t="shared" si="2252"/>
        <v>1.8670427827018614</v>
      </c>
      <c r="CH261" s="84">
        <f t="shared" si="2252"/>
        <v>1.896479766661529</v>
      </c>
      <c r="CI261" s="84">
        <f t="shared" si="2252"/>
        <v>1.8683479140528987</v>
      </c>
      <c r="CJ261" s="84">
        <f t="shared" si="2252"/>
        <v>1.7590247366552254</v>
      </c>
      <c r="CK261" s="84">
        <f t="shared" si="2252"/>
        <v>1.7060895868988841</v>
      </c>
      <c r="CL261" s="84">
        <f t="shared" ref="CL261" si="2253">(CL176+CL163+CL153+CL155)/CL135</f>
        <v>5.1989510072714271</v>
      </c>
      <c r="CM261" s="50">
        <f t="shared" si="2252"/>
        <v>4.855992645831523</v>
      </c>
      <c r="CN261" s="50">
        <f t="shared" si="2252"/>
        <v>4.6292755797333953</v>
      </c>
      <c r="CO261" s="50">
        <f t="shared" si="2252"/>
        <v>4.4046511147368896</v>
      </c>
      <c r="CP261" s="50">
        <f t="shared" si="2252"/>
        <v>4.2687603732610757</v>
      </c>
      <c r="CQ261" s="50">
        <f t="shared" si="2252"/>
        <v>3.9836077595279225</v>
      </c>
      <c r="CR261" s="50">
        <f t="shared" si="2252"/>
        <v>3.8090615313716678</v>
      </c>
      <c r="CS261" s="50">
        <f t="shared" si="2252"/>
        <v>3.6332678732043964</v>
      </c>
      <c r="CT261" s="50">
        <f t="shared" si="2252"/>
        <v>3.5447182711803555</v>
      </c>
      <c r="CU261" s="50">
        <f t="shared" si="2252"/>
        <v>3.2923240755704515</v>
      </c>
      <c r="CV261" s="50">
        <f t="shared" si="2252"/>
        <v>3.1658569489220398</v>
      </c>
      <c r="CW261" s="50">
        <f t="shared" si="2252"/>
        <v>3.0420801407441838</v>
      </c>
      <c r="CX261" s="50">
        <f t="shared" ref="CX261:DB261" si="2254">(CX176+CX163+CX153+CX155)/CX135</f>
        <v>2.9950528936577814</v>
      </c>
      <c r="CY261" s="50">
        <f t="shared" si="2254"/>
        <v>2.813173165796262</v>
      </c>
      <c r="CZ261" s="50">
        <f t="shared" si="2254"/>
        <v>2.7304917805634035</v>
      </c>
      <c r="DA261" s="50">
        <f t="shared" si="2254"/>
        <v>2.6468707936261988</v>
      </c>
      <c r="DB261" s="50">
        <f t="shared" si="2254"/>
        <v>2.6307708933079663</v>
      </c>
      <c r="DE261" s="138"/>
      <c r="DF261" s="84">
        <v>1.6704440750330194</v>
      </c>
    </row>
    <row r="262" spans="1:110" s="84" customFormat="1" x14ac:dyDescent="0.2">
      <c r="A262" s="154" t="s">
        <v>498</v>
      </c>
      <c r="AB262" s="50"/>
      <c r="AC262" s="50"/>
      <c r="AD262" s="50"/>
      <c r="AE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E262" s="138"/>
    </row>
    <row r="263" spans="1:110" s="88" customFormat="1" x14ac:dyDescent="0.2">
      <c r="A263" s="88" t="s">
        <v>102</v>
      </c>
      <c r="B263" s="88">
        <f t="shared" ref="B263:AE263" si="2255">B176/B135</f>
        <v>3.6254082213805341E-2</v>
      </c>
      <c r="C263" s="88">
        <f t="shared" si="2255"/>
        <v>0.2304877015716815</v>
      </c>
      <c r="D263" s="88">
        <f t="shared" si="2255"/>
        <v>0.19248643318392952</v>
      </c>
      <c r="F263" s="88">
        <f t="shared" si="2255"/>
        <v>0.49952732199307542</v>
      </c>
      <c r="G263" s="88">
        <f t="shared" si="2255"/>
        <v>0.24439577587760822</v>
      </c>
      <c r="H263" s="88">
        <f t="shared" si="2255"/>
        <v>5.0625262491294988E-2</v>
      </c>
      <c r="I263" s="88">
        <f t="shared" si="2255"/>
        <v>0.30190791681466994</v>
      </c>
      <c r="J263" s="88">
        <f t="shared" si="2255"/>
        <v>0.53838895164894562</v>
      </c>
      <c r="K263" s="88">
        <f t="shared" si="2255"/>
        <v>0.61428171727668046</v>
      </c>
      <c r="L263" s="88">
        <f t="shared" si="2255"/>
        <v>0.59153732455090202</v>
      </c>
      <c r="M263" s="88">
        <f t="shared" si="2255"/>
        <v>0.6372766641816674</v>
      </c>
      <c r="N263" s="88">
        <f t="shared" si="2255"/>
        <v>0.48343448692973645</v>
      </c>
      <c r="O263" s="88">
        <f t="shared" si="2255"/>
        <v>0.50201584289566503</v>
      </c>
      <c r="P263" s="88">
        <f t="shared" si="2255"/>
        <v>0.34729137222150847</v>
      </c>
      <c r="Q263" s="88">
        <f t="shared" si="2255"/>
        <v>0.40829398128273375</v>
      </c>
      <c r="R263" s="88">
        <f t="shared" si="2255"/>
        <v>0.39016535138030356</v>
      </c>
      <c r="S263" s="88">
        <f t="shared" si="2255"/>
        <v>0.29412464654200715</v>
      </c>
      <c r="T263" s="88">
        <f t="shared" si="2255"/>
        <v>0.24710065934996348</v>
      </c>
      <c r="U263" s="88">
        <f t="shared" si="2255"/>
        <v>0.13822093953831671</v>
      </c>
      <c r="V263" s="88">
        <f t="shared" si="2255"/>
        <v>0.1272106174738786</v>
      </c>
      <c r="W263" s="88">
        <f t="shared" si="2255"/>
        <v>9.8672086948487725E-2</v>
      </c>
      <c r="X263" s="88">
        <f t="shared" si="2255"/>
        <v>0.11738331448337952</v>
      </c>
      <c r="Y263" s="88">
        <f t="shared" si="2255"/>
        <v>0.14294903116180363</v>
      </c>
      <c r="Z263" s="88">
        <f t="shared" si="2255"/>
        <v>9.1120833547411378E-2</v>
      </c>
      <c r="AA263" s="88">
        <f t="shared" ref="AA263" si="2256">AA176/AA135</f>
        <v>0.24211205195727925</v>
      </c>
      <c r="AB263" s="42">
        <f t="shared" si="2255"/>
        <v>0.34494508615227337</v>
      </c>
      <c r="AC263" s="42">
        <f t="shared" si="2255"/>
        <v>0.44421825178461855</v>
      </c>
      <c r="AD263" s="42">
        <f t="shared" si="2255"/>
        <v>0.53755040603740922</v>
      </c>
      <c r="AE263" s="42">
        <f t="shared" si="2255"/>
        <v>0.60166341831063819</v>
      </c>
      <c r="AL263" s="88">
        <f t="shared" ref="AL263:CW263" si="2257">AL176/AL135</f>
        <v>0.4831223628691983</v>
      </c>
      <c r="AM263" s="88">
        <f t="shared" si="2257"/>
        <v>0.49236155315085917</v>
      </c>
      <c r="AN263" s="88">
        <f t="shared" si="2257"/>
        <v>0.62558294470353093</v>
      </c>
      <c r="AO263" s="88">
        <f t="shared" si="2257"/>
        <v>0.64865541986967223</v>
      </c>
      <c r="AP263" s="88">
        <f t="shared" si="2257"/>
        <v>0.50183920126116655</v>
      </c>
      <c r="AQ263" s="88">
        <f t="shared" si="2257"/>
        <v>0.589279239254757</v>
      </c>
      <c r="AR263" s="88">
        <f t="shared" si="2257"/>
        <v>0.32015145140933948</v>
      </c>
      <c r="AS263" s="88">
        <f t="shared" si="2257"/>
        <v>0.3722975225190307</v>
      </c>
      <c r="AT263" s="88">
        <f t="shared" si="2257"/>
        <v>0.34725010036130066</v>
      </c>
      <c r="AU263" s="88">
        <f t="shared" si="2257"/>
        <v>0.30140281412547298</v>
      </c>
      <c r="AV263" s="88">
        <f t="shared" si="2257"/>
        <v>0.48374704491725767</v>
      </c>
      <c r="AW263" s="88">
        <f t="shared" si="2257"/>
        <v>0.54049448222708329</v>
      </c>
      <c r="AX263" s="88">
        <f t="shared" si="2257"/>
        <v>0.4084144247281053</v>
      </c>
      <c r="AY263" s="88">
        <f t="shared" si="2257"/>
        <v>0.44948613074959443</v>
      </c>
      <c r="AZ263" s="88">
        <f t="shared" si="2257"/>
        <v>0.45960725826497639</v>
      </c>
      <c r="BA263" s="88">
        <f t="shared" si="2257"/>
        <v>0.48755683737023781</v>
      </c>
      <c r="BB263" s="88">
        <f t="shared" si="2257"/>
        <v>0.3902551137669501</v>
      </c>
      <c r="BC263" s="88">
        <f t="shared" si="2257"/>
        <v>0.42392800286867599</v>
      </c>
      <c r="BD263" s="88">
        <f t="shared" si="2257"/>
        <v>0.42857142857142855</v>
      </c>
      <c r="BE263" s="88">
        <f t="shared" si="2257"/>
        <v>0.43005271628686176</v>
      </c>
      <c r="BF263" s="88">
        <f t="shared" si="2257"/>
        <v>0.2940285590653397</v>
      </c>
      <c r="BG263" s="88">
        <f t="shared" si="2257"/>
        <v>0.29455925645863457</v>
      </c>
      <c r="BH263" s="88">
        <f t="shared" si="2257"/>
        <v>0.35417106652587116</v>
      </c>
      <c r="BI263" s="88">
        <f t="shared" si="2257"/>
        <v>0.36335084938394224</v>
      </c>
      <c r="BJ263" s="88">
        <f t="shared" si="2257"/>
        <v>0.24703640982218458</v>
      </c>
      <c r="BK263" s="88">
        <f t="shared" si="2257"/>
        <v>0.25691160302945709</v>
      </c>
      <c r="BL263" s="88">
        <f t="shared" si="2257"/>
        <v>0.20402128917800119</v>
      </c>
      <c r="BM263" s="88">
        <f t="shared" si="2257"/>
        <v>0.2470828001371479</v>
      </c>
      <c r="BN263" s="88">
        <f t="shared" si="2257"/>
        <v>0.13805970149253732</v>
      </c>
      <c r="BO263" s="88">
        <f t="shared" si="2257"/>
        <v>0.17262112009684219</v>
      </c>
      <c r="BP263" s="88">
        <f t="shared" si="2257"/>
        <v>0.1865847043934189</v>
      </c>
      <c r="BQ263" s="88">
        <f t="shared" si="2257"/>
        <v>0.23138336153675221</v>
      </c>
      <c r="BR263" s="88">
        <f t="shared" si="2257"/>
        <v>0.12726961288112368</v>
      </c>
      <c r="BS263" s="88">
        <f t="shared" si="2257"/>
        <v>0.13872556207969991</v>
      </c>
      <c r="BT263" s="88">
        <f t="shared" si="2257"/>
        <v>0.10435761376427079</v>
      </c>
      <c r="BU263" s="88">
        <f t="shared" si="2257"/>
        <v>0.14384968263904016</v>
      </c>
      <c r="BV263" s="88">
        <f t="shared" si="2257"/>
        <v>9.8605745002519743E-2</v>
      </c>
      <c r="BW263" s="88">
        <f t="shared" si="2257"/>
        <v>0.11029100199795884</v>
      </c>
      <c r="BX263" s="88">
        <f t="shared" si="2257"/>
        <v>0.13314726645870958</v>
      </c>
      <c r="BY263" s="88">
        <f t="shared" si="2257"/>
        <v>0.13717505708125158</v>
      </c>
      <c r="BZ263" s="88">
        <f t="shared" si="2257"/>
        <v>0.11729590190383996</v>
      </c>
      <c r="CA263" s="88">
        <f t="shared" si="2257"/>
        <v>0.15280404834533268</v>
      </c>
      <c r="CB263" s="88">
        <f t="shared" si="2257"/>
        <v>0.11778738631280751</v>
      </c>
      <c r="CC263" s="88">
        <f t="shared" si="2257"/>
        <v>0.16370639886429361</v>
      </c>
      <c r="CD263" s="88">
        <f t="shared" si="2257"/>
        <v>0.14294049008168028</v>
      </c>
      <c r="CE263" s="88">
        <f t="shared" si="2257"/>
        <v>0.18494843003588951</v>
      </c>
      <c r="CF263" s="88">
        <f t="shared" si="2257"/>
        <v>0.16457889125799574</v>
      </c>
      <c r="CG263" s="88">
        <f t="shared" si="2257"/>
        <v>0.22351340811473244</v>
      </c>
      <c r="CH263" s="88">
        <f t="shared" si="2257"/>
        <v>9.1120833547411378E-2</v>
      </c>
      <c r="CI263" s="88">
        <f t="shared" si="2257"/>
        <v>0.16163674854095247</v>
      </c>
      <c r="CJ263" s="88">
        <f t="shared" si="2257"/>
        <v>9.3975618416380635E-2</v>
      </c>
      <c r="CK263" s="88">
        <f t="shared" si="2257"/>
        <v>0.16890184511155204</v>
      </c>
      <c r="CL263" s="88">
        <f t="shared" ref="CL263" si="2258">CL176/CL135</f>
        <v>0.24210275360591249</v>
      </c>
      <c r="CM263" s="42">
        <f t="shared" si="2257"/>
        <v>0.29927312487269975</v>
      </c>
      <c r="CN263" s="42">
        <f t="shared" si="2257"/>
        <v>0.32226151421371191</v>
      </c>
      <c r="CO263" s="42">
        <f t="shared" si="2257"/>
        <v>0.35076689144404638</v>
      </c>
      <c r="CP263" s="42">
        <f t="shared" si="2257"/>
        <v>0.34494508615227337</v>
      </c>
      <c r="CQ263" s="42">
        <f t="shared" si="2257"/>
        <v>0.40030597481716124</v>
      </c>
      <c r="CR263" s="42">
        <f t="shared" si="2257"/>
        <v>0.42234362126300296</v>
      </c>
      <c r="CS263" s="42">
        <f t="shared" si="2257"/>
        <v>0.44911092517109308</v>
      </c>
      <c r="CT263" s="42">
        <f t="shared" si="2257"/>
        <v>0.44421825178461855</v>
      </c>
      <c r="CU263" s="42">
        <f t="shared" si="2257"/>
        <v>0.50294520071414217</v>
      </c>
      <c r="CV263" s="42">
        <f t="shared" si="2257"/>
        <v>0.5223782938539876</v>
      </c>
      <c r="CW263" s="42">
        <f t="shared" si="2257"/>
        <v>0.5434931885993316</v>
      </c>
      <c r="CX263" s="42">
        <f t="shared" ref="CX263:DB263" si="2259">CX176/CX135</f>
        <v>0.53755040603740922</v>
      </c>
      <c r="CY263" s="42">
        <f t="shared" si="2259"/>
        <v>0.58211997858355247</v>
      </c>
      <c r="CZ263" s="42">
        <f t="shared" si="2259"/>
        <v>0.59519369661989396</v>
      </c>
      <c r="DA263" s="42">
        <f t="shared" si="2259"/>
        <v>0.6100708038787459</v>
      </c>
      <c r="DB263" s="42">
        <f t="shared" si="2259"/>
        <v>0.60166341831063819</v>
      </c>
      <c r="DE263" s="125"/>
      <c r="DF263" s="88">
        <v>0.20942687739691873</v>
      </c>
    </row>
    <row r="264" spans="1:110" s="89" customFormat="1" x14ac:dyDescent="0.2">
      <c r="A264" s="89" t="s">
        <v>103</v>
      </c>
      <c r="C264" s="89">
        <f t="shared" ref="C264:AE264" si="2260">C143/B143-1</f>
        <v>-0.74044423715968055</v>
      </c>
      <c r="D264" s="89">
        <f t="shared" si="2260"/>
        <v>-0.8179759936749802</v>
      </c>
      <c r="F264" s="89" t="e">
        <f t="shared" si="2260"/>
        <v>#DIV/0!</v>
      </c>
      <c r="G264" s="89">
        <f t="shared" si="2260"/>
        <v>0.24984684784374456</v>
      </c>
      <c r="H264" s="89">
        <f t="shared" si="2260"/>
        <v>0.12618627995415777</v>
      </c>
      <c r="I264" s="89">
        <f t="shared" si="2260"/>
        <v>0.20361108146778295</v>
      </c>
      <c r="J264" s="89">
        <f t="shared" si="2260"/>
        <v>0.34135044856896535</v>
      </c>
      <c r="K264" s="89">
        <f>K143/J143-1</f>
        <v>8.2455212632505548E-2</v>
      </c>
      <c r="L264" s="89">
        <f t="shared" si="2260"/>
        <v>9.5059932537729264E-2</v>
      </c>
      <c r="M264" s="89">
        <f t="shared" si="2260"/>
        <v>1.1669165845358265E-2</v>
      </c>
      <c r="N264" s="89">
        <f t="shared" si="2260"/>
        <v>0.19739775024622874</v>
      </c>
      <c r="O264" s="89">
        <f t="shared" si="2260"/>
        <v>0.6332020145172228</v>
      </c>
      <c r="P264" s="89">
        <f t="shared" si="2260"/>
        <v>1.4213172404043259</v>
      </c>
      <c r="Q264" s="89">
        <f t="shared" si="2260"/>
        <v>-0.14183224770558511</v>
      </c>
      <c r="R264" s="89">
        <f t="shared" si="2260"/>
        <v>6.7377364267247497E-2</v>
      </c>
      <c r="S264" s="89">
        <f t="shared" si="2260"/>
        <v>1.5744961416340981</v>
      </c>
      <c r="T264" s="89">
        <f t="shared" si="2260"/>
        <v>-6.5645155300263713E-2</v>
      </c>
      <c r="U264" s="89">
        <f t="shared" si="2260"/>
        <v>-3.2803365297030318E-2</v>
      </c>
      <c r="V264" s="89">
        <f t="shared" si="2260"/>
        <v>-0.17372684729359278</v>
      </c>
      <c r="W264" s="89">
        <f t="shared" si="2260"/>
        <v>-0.16731254636863635</v>
      </c>
      <c r="X264" s="89">
        <f t="shared" si="2260"/>
        <v>0.31835942360817282</v>
      </c>
      <c r="Y264" s="89">
        <f t="shared" si="2260"/>
        <v>-0.25671190984086223</v>
      </c>
      <c r="Z264" s="89">
        <f t="shared" si="2260"/>
        <v>-0.23145359143804822</v>
      </c>
      <c r="AA264" s="89">
        <f t="shared" si="2260"/>
        <v>3.8902180701829749</v>
      </c>
      <c r="AB264" s="47">
        <f t="shared" si="2260"/>
        <v>-1.621814486041373E-5</v>
      </c>
      <c r="AC264" s="47">
        <f t="shared" si="2260"/>
        <v>0</v>
      </c>
      <c r="AD264" s="47">
        <f t="shared" si="2260"/>
        <v>0</v>
      </c>
      <c r="AE264" s="47">
        <f t="shared" si="2260"/>
        <v>0</v>
      </c>
      <c r="AL264" s="89">
        <f t="shared" ref="AL264:CW264" si="2261">AL143/AK143-1</f>
        <v>0.90363660233687804</v>
      </c>
      <c r="AM264" s="89">
        <f t="shared" si="2261"/>
        <v>0</v>
      </c>
      <c r="AN264" s="89">
        <f t="shared" si="2261"/>
        <v>0.57413793103448274</v>
      </c>
      <c r="AO264" s="89">
        <f t="shared" si="2261"/>
        <v>0</v>
      </c>
      <c r="AP264" s="89">
        <f t="shared" si="2261"/>
        <v>4.6002190580503921E-2</v>
      </c>
      <c r="AQ264" s="89">
        <f t="shared" si="2261"/>
        <v>0</v>
      </c>
      <c r="AR264" s="89">
        <f t="shared" si="2261"/>
        <v>1.3465968586387436</v>
      </c>
      <c r="AS264" s="89">
        <f t="shared" si="2261"/>
        <v>0</v>
      </c>
      <c r="AT264" s="89">
        <f t="shared" si="2261"/>
        <v>0.11735832217759934</v>
      </c>
      <c r="AU264" s="89">
        <f t="shared" si="2261"/>
        <v>0</v>
      </c>
      <c r="AV264" s="89">
        <f t="shared" si="2261"/>
        <v>-9.1853035143769968E-2</v>
      </c>
      <c r="AW264" s="89">
        <f t="shared" si="2261"/>
        <v>0</v>
      </c>
      <c r="AX264" s="89">
        <f t="shared" si="2261"/>
        <v>-0.1851363236587511</v>
      </c>
      <c r="AY264" s="89">
        <f t="shared" si="2261"/>
        <v>0</v>
      </c>
      <c r="AZ264" s="89">
        <f t="shared" si="2261"/>
        <v>0.11548839719373993</v>
      </c>
      <c r="BA264" s="89">
        <f t="shared" si="2261"/>
        <v>0</v>
      </c>
      <c r="BB264" s="89">
        <f t="shared" si="2261"/>
        <v>8.4179970972423801E-2</v>
      </c>
      <c r="BC264" s="89">
        <f t="shared" si="2261"/>
        <v>0</v>
      </c>
      <c r="BD264" s="89">
        <f t="shared" si="2261"/>
        <v>4.8192771084337283E-2</v>
      </c>
      <c r="BE264" s="89">
        <f t="shared" si="2261"/>
        <v>0</v>
      </c>
      <c r="BF264" s="89">
        <f t="shared" si="2261"/>
        <v>1.4423158790974884</v>
      </c>
      <c r="BG264" s="89">
        <f t="shared" si="2261"/>
        <v>0</v>
      </c>
      <c r="BH264" s="89">
        <f t="shared" si="2261"/>
        <v>-7.1465922956248651E-3</v>
      </c>
      <c r="BI264" s="89">
        <f t="shared" si="2261"/>
        <v>0</v>
      </c>
      <c r="BJ264" s="89">
        <f t="shared" si="2261"/>
        <v>-0.1490519662921348</v>
      </c>
      <c r="BK264" s="89">
        <f t="shared" si="2261"/>
        <v>0</v>
      </c>
      <c r="BL264" s="89">
        <f t="shared" si="2261"/>
        <v>-0.11099649267588196</v>
      </c>
      <c r="BM264" s="89">
        <f t="shared" si="2261"/>
        <v>0</v>
      </c>
      <c r="BN264" s="89">
        <f t="shared" si="2261"/>
        <v>1.3228127175678894E-2</v>
      </c>
      <c r="BO264" s="89">
        <f t="shared" si="2261"/>
        <v>0</v>
      </c>
      <c r="BP264" s="89">
        <f t="shared" si="2261"/>
        <v>-9.482363719651854E-2</v>
      </c>
      <c r="BQ264" s="89">
        <f t="shared" si="2261"/>
        <v>0</v>
      </c>
      <c r="BR264" s="89">
        <f t="shared" si="2261"/>
        <v>0.2209008097165992</v>
      </c>
      <c r="BS264" s="89">
        <f t="shared" si="2261"/>
        <v>0</v>
      </c>
      <c r="BT264" s="89">
        <f t="shared" si="2261"/>
        <v>-0.10093264248704659</v>
      </c>
      <c r="BU264" s="89">
        <f t="shared" si="2261"/>
        <v>0</v>
      </c>
      <c r="BV264" s="89">
        <f t="shared" si="2261"/>
        <v>-7.3766712770862108E-2</v>
      </c>
      <c r="BW264" s="89">
        <f t="shared" si="2261"/>
        <v>0</v>
      </c>
      <c r="BX264" s="89">
        <f t="shared" si="2261"/>
        <v>0</v>
      </c>
      <c r="BY264" s="89">
        <f t="shared" si="2261"/>
        <v>0</v>
      </c>
      <c r="BZ264" s="89">
        <f t="shared" si="2261"/>
        <v>0.31831757093081126</v>
      </c>
      <c r="CA264" s="89">
        <f t="shared" si="2261"/>
        <v>0</v>
      </c>
      <c r="CB264" s="89">
        <f t="shared" si="2261"/>
        <v>-0.1663205588068718</v>
      </c>
      <c r="CC264" s="89">
        <f t="shared" si="2261"/>
        <v>0</v>
      </c>
      <c r="CD264" s="89">
        <f t="shared" si="2261"/>
        <v>-0.10824275362318836</v>
      </c>
      <c r="CE264" s="89">
        <f t="shared" si="2261"/>
        <v>0</v>
      </c>
      <c r="CF264" s="89">
        <f t="shared" si="2261"/>
        <v>-0.22600304723209752</v>
      </c>
      <c r="CG264" s="89">
        <f t="shared" si="2261"/>
        <v>0</v>
      </c>
      <c r="CH264" s="89">
        <f t="shared" si="2261"/>
        <v>-7.1883202099737309E-3</v>
      </c>
      <c r="CI264" s="89">
        <f t="shared" si="2261"/>
        <v>0</v>
      </c>
      <c r="CJ264" s="89">
        <f t="shared" si="2261"/>
        <v>-0.14411005621115036</v>
      </c>
      <c r="CK264" s="89">
        <f t="shared" si="2261"/>
        <v>0</v>
      </c>
      <c r="CL264" s="89">
        <f t="shared" si="2261"/>
        <v>4.7135135135135133</v>
      </c>
      <c r="CM264" s="47">
        <f t="shared" si="2261"/>
        <v>0</v>
      </c>
      <c r="CN264" s="47">
        <f t="shared" si="2261"/>
        <v>0</v>
      </c>
      <c r="CO264" s="47">
        <f t="shared" si="2261"/>
        <v>0</v>
      </c>
      <c r="CP264" s="47">
        <f t="shared" si="2261"/>
        <v>0</v>
      </c>
      <c r="CQ264" s="47">
        <f t="shared" si="2261"/>
        <v>0</v>
      </c>
      <c r="CR264" s="47">
        <f t="shared" si="2261"/>
        <v>0</v>
      </c>
      <c r="CS264" s="47">
        <f t="shared" si="2261"/>
        <v>0</v>
      </c>
      <c r="CT264" s="47">
        <f t="shared" si="2261"/>
        <v>0</v>
      </c>
      <c r="CU264" s="47">
        <f t="shared" si="2261"/>
        <v>0</v>
      </c>
      <c r="CV264" s="47">
        <f t="shared" si="2261"/>
        <v>0</v>
      </c>
      <c r="CW264" s="47">
        <f t="shared" si="2261"/>
        <v>0</v>
      </c>
      <c r="CX264" s="47">
        <f t="shared" ref="CX264:DB264" si="2262">CX143/CW143-1</f>
        <v>0</v>
      </c>
      <c r="CY264" s="47">
        <f t="shared" si="2262"/>
        <v>0</v>
      </c>
      <c r="CZ264" s="47">
        <f t="shared" si="2262"/>
        <v>0</v>
      </c>
      <c r="DA264" s="47">
        <f t="shared" si="2262"/>
        <v>0</v>
      </c>
      <c r="DB264" s="47">
        <f t="shared" si="2262"/>
        <v>0</v>
      </c>
      <c r="DE264" s="130"/>
      <c r="DF264" s="89">
        <v>0</v>
      </c>
    </row>
    <row r="265" spans="1:110" s="89" customFormat="1" x14ac:dyDescent="0.2">
      <c r="A265" s="89" t="s">
        <v>104</v>
      </c>
      <c r="C265" s="89">
        <f>C43/B43-1</f>
        <v>6.5264809772660248E-2</v>
      </c>
      <c r="D265" s="89">
        <f>D43/C43-1</f>
        <v>-4.9403352430551384E-2</v>
      </c>
      <c r="F265" s="89">
        <f t="shared" ref="F265:AE265" si="2263">F43/E43-1</f>
        <v>-0.19353199232528195</v>
      </c>
      <c r="G265" s="89">
        <f t="shared" si="2263"/>
        <v>0.45788171091126828</v>
      </c>
      <c r="H265" s="89">
        <f t="shared" si="2263"/>
        <v>0.44157702642786933</v>
      </c>
      <c r="I265" s="89">
        <f t="shared" si="2263"/>
        <v>0.3023868795785738</v>
      </c>
      <c r="J265" s="89">
        <f t="shared" si="2263"/>
        <v>0.27556755013871026</v>
      </c>
      <c r="K265" s="89">
        <f t="shared" si="2263"/>
        <v>0.62633408354697817</v>
      </c>
      <c r="L265" s="89">
        <f t="shared" si="2263"/>
        <v>-7.8401921785350659E-2</v>
      </c>
      <c r="M265" s="89">
        <f t="shared" si="2263"/>
        <v>0.29055782857443169</v>
      </c>
      <c r="N265" s="89">
        <f t="shared" si="2263"/>
        <v>0.38316748591296124</v>
      </c>
      <c r="O265" s="89">
        <f t="shared" si="2263"/>
        <v>0.37453410765363682</v>
      </c>
      <c r="P265" s="89">
        <f t="shared" si="2263"/>
        <v>7.2182284441080657E-2</v>
      </c>
      <c r="Q265" s="89">
        <f t="shared" si="2263"/>
        <v>1.6758547678795499</v>
      </c>
      <c r="R265" s="89">
        <f t="shared" si="2263"/>
        <v>-0.49546853249322331</v>
      </c>
      <c r="S265" s="89">
        <f t="shared" si="2263"/>
        <v>-2.6298401911026392E-2</v>
      </c>
      <c r="T265" s="89">
        <f t="shared" si="2263"/>
        <v>0.47383766451661047</v>
      </c>
      <c r="U265" s="89">
        <f t="shared" si="2263"/>
        <v>9.8088024730708989E-2</v>
      </c>
      <c r="V265" s="89">
        <f t="shared" si="2263"/>
        <v>0.14270443613041195</v>
      </c>
      <c r="W265" s="89">
        <f t="shared" si="2263"/>
        <v>-1.9680816747847385E-2</v>
      </c>
      <c r="X265" s="89">
        <f t="shared" si="2263"/>
        <v>0.1615205221962186</v>
      </c>
      <c r="Y265" s="89">
        <f t="shared" si="2263"/>
        <v>0.19108559935126812</v>
      </c>
      <c r="Z265" s="89">
        <f t="shared" si="2263"/>
        <v>0.10130842344043067</v>
      </c>
      <c r="AA265" s="89">
        <f t="shared" si="2263"/>
        <v>0.18054989404348931</v>
      </c>
      <c r="AB265" s="47">
        <f t="shared" si="2263"/>
        <v>0.28534908018008065</v>
      </c>
      <c r="AC265" s="47">
        <f t="shared" si="2263"/>
        <v>0.21598209748053998</v>
      </c>
      <c r="AD265" s="47">
        <f t="shared" si="2263"/>
        <v>9.8143556836748136E-2</v>
      </c>
      <c r="AE265" s="47">
        <f t="shared" si="2263"/>
        <v>2.8326854203525542E-2</v>
      </c>
      <c r="AL265" s="89">
        <f t="shared" ref="AL265:CW265" si="2264">AL43/AK43-1</f>
        <v>0.35802469135802473</v>
      </c>
      <c r="AM265" s="89">
        <f t="shared" si="2264"/>
        <v>-5.4545454545454564E-2</v>
      </c>
      <c r="AN265" s="89">
        <f t="shared" si="2264"/>
        <v>-0.13942307692307687</v>
      </c>
      <c r="AO265" s="89">
        <f t="shared" si="2264"/>
        <v>0.2011173184357542</v>
      </c>
      <c r="AP265" s="89">
        <f t="shared" si="2264"/>
        <v>0.62790697674418605</v>
      </c>
      <c r="AQ265" s="89">
        <f t="shared" si="2264"/>
        <v>-1.4285714285714235E-2</v>
      </c>
      <c r="AR265" s="89">
        <f t="shared" si="2264"/>
        <v>-0.20869565217391306</v>
      </c>
      <c r="AS265" s="89">
        <f t="shared" si="2264"/>
        <v>-0.12087912087912089</v>
      </c>
      <c r="AT265" s="89">
        <f t="shared" si="2264"/>
        <v>-0.32499999999999996</v>
      </c>
      <c r="AU265" s="89">
        <f t="shared" si="2264"/>
        <v>4.6296296296296298</v>
      </c>
      <c r="AV265" s="89">
        <f t="shared" si="2264"/>
        <v>-0.21381578947368418</v>
      </c>
      <c r="AW265" s="89">
        <f t="shared" si="2264"/>
        <v>-0.13807531380753135</v>
      </c>
      <c r="AX265" s="89">
        <f t="shared" si="2264"/>
        <v>-0.21197411003236244</v>
      </c>
      <c r="AY265" s="89">
        <f t="shared" si="2264"/>
        <v>-0.10266940451745377</v>
      </c>
      <c r="AZ265" s="89">
        <f t="shared" si="2264"/>
        <v>-0.24485125858123569</v>
      </c>
      <c r="BA265" s="89">
        <f t="shared" si="2264"/>
        <v>-4.2424242424242475E-2</v>
      </c>
      <c r="BB265" s="89">
        <f t="shared" si="2264"/>
        <v>-6.6455696202531667E-2</v>
      </c>
      <c r="BC265" s="89">
        <f t="shared" si="2264"/>
        <v>6.7796610169490457E-3</v>
      </c>
      <c r="BD265" s="89">
        <f t="shared" si="2264"/>
        <v>0.1077441077441077</v>
      </c>
      <c r="BE265" s="89">
        <f t="shared" si="2264"/>
        <v>9.1185410334346573E-2</v>
      </c>
      <c r="BF265" s="89">
        <f t="shared" si="2264"/>
        <v>1.3927576601671321E-2</v>
      </c>
      <c r="BG265" s="89">
        <f t="shared" si="2264"/>
        <v>0.31043956043956045</v>
      </c>
      <c r="BH265" s="89">
        <f t="shared" si="2264"/>
        <v>-8.3857442348008737E-3</v>
      </c>
      <c r="BI265" s="89">
        <f t="shared" si="2264"/>
        <v>0.18604651162790709</v>
      </c>
      <c r="BJ265" s="89">
        <f t="shared" si="2264"/>
        <v>-0.15686274509803921</v>
      </c>
      <c r="BK265" s="89">
        <f t="shared" si="2264"/>
        <v>0.14376321353065546</v>
      </c>
      <c r="BL265" s="89">
        <f t="shared" si="2264"/>
        <v>0</v>
      </c>
      <c r="BM265" s="89">
        <f t="shared" si="2264"/>
        <v>-1.848428835489857E-3</v>
      </c>
      <c r="BN265" s="89">
        <f t="shared" si="2264"/>
        <v>1.4814814814814836E-2</v>
      </c>
      <c r="BO265" s="89">
        <f t="shared" si="2264"/>
        <v>0.20620437956204385</v>
      </c>
      <c r="BP265" s="89">
        <f t="shared" si="2264"/>
        <v>-3.9334341906202774E-2</v>
      </c>
      <c r="BQ265" s="89">
        <f t="shared" si="2264"/>
        <v>-4.4094488188976433E-2</v>
      </c>
      <c r="BR265" s="89">
        <f t="shared" si="2264"/>
        <v>-4.1186161449752845E-2</v>
      </c>
      <c r="BS265" s="89">
        <f t="shared" si="2264"/>
        <v>0.16323024054982826</v>
      </c>
      <c r="BT265" s="89">
        <f t="shared" si="2264"/>
        <v>-2.5110782865583436E-2</v>
      </c>
      <c r="BU265" s="89">
        <f t="shared" si="2264"/>
        <v>-0.18484848484848482</v>
      </c>
      <c r="BV265" s="89">
        <f t="shared" si="2264"/>
        <v>4.2750929368029711E-2</v>
      </c>
      <c r="BW265" s="89">
        <f t="shared" si="2264"/>
        <v>0.26916221033868082</v>
      </c>
      <c r="BX265" s="89">
        <f t="shared" si="2264"/>
        <v>-4.6348314606741603E-2</v>
      </c>
      <c r="BY265" s="89">
        <f t="shared" si="2264"/>
        <v>6.6273932253313683E-2</v>
      </c>
      <c r="BZ265" s="89">
        <f t="shared" si="2264"/>
        <v>4.1436464088397962E-3</v>
      </c>
      <c r="CA265" s="89">
        <f t="shared" si="2264"/>
        <v>8.803301237964245E-2</v>
      </c>
      <c r="CB265" s="89">
        <f t="shared" si="2264"/>
        <v>4.2983565107458821E-2</v>
      </c>
      <c r="CC265" s="89">
        <f t="shared" si="2264"/>
        <v>5.3333333333333233E-2</v>
      </c>
      <c r="CD265" s="89">
        <f t="shared" si="2264"/>
        <v>1.6110471806674243E-2</v>
      </c>
      <c r="CE265" s="89">
        <f t="shared" si="2264"/>
        <v>2.3782559456398733E-2</v>
      </c>
      <c r="CF265" s="89">
        <f t="shared" si="2264"/>
        <v>3.8716814159291957E-2</v>
      </c>
      <c r="CG265" s="89">
        <f t="shared" si="2264"/>
        <v>-2.6624068157614533E-2</v>
      </c>
      <c r="CH265" s="89">
        <f t="shared" si="2264"/>
        <v>5.4704595185995686E-2</v>
      </c>
      <c r="CI265" s="89">
        <f t="shared" si="2264"/>
        <v>7.0539419087136901E-2</v>
      </c>
      <c r="CJ265" s="89">
        <f t="shared" si="2264"/>
        <v>4.9418604651162878E-2</v>
      </c>
      <c r="CK265" s="89">
        <f t="shared" si="2264"/>
        <v>4.6168051708217472E-3</v>
      </c>
      <c r="CL265" s="89">
        <f t="shared" si="2264"/>
        <v>0.24632352941176472</v>
      </c>
      <c r="CM265" s="47">
        <f t="shared" si="2264"/>
        <v>-7.1616557426343652E-2</v>
      </c>
      <c r="CN265" s="47">
        <f t="shared" si="2264"/>
        <v>5.1294618312982765E-2</v>
      </c>
      <c r="CO265" s="47">
        <f t="shared" si="2264"/>
        <v>8.4464068816569871E-3</v>
      </c>
      <c r="CP265" s="47">
        <f t="shared" si="2264"/>
        <v>0.27679264969829731</v>
      </c>
      <c r="CQ265" s="47">
        <f t="shared" si="2264"/>
        <v>-0.1021335337997783</v>
      </c>
      <c r="CR265" s="47">
        <f t="shared" si="2264"/>
        <v>5.1833526559253551E-2</v>
      </c>
      <c r="CS265" s="47">
        <f t="shared" si="2264"/>
        <v>8.7526185410813362E-3</v>
      </c>
      <c r="CT265" s="47">
        <f t="shared" si="2264"/>
        <v>0.27653833073052403</v>
      </c>
      <c r="CU265" s="47">
        <f t="shared" si="2264"/>
        <v>-0.16784958869312672</v>
      </c>
      <c r="CV265" s="47">
        <f t="shared" si="2264"/>
        <v>2.5841637492175051E-2</v>
      </c>
      <c r="CW265" s="47">
        <f t="shared" si="2264"/>
        <v>-1.7749476664564723E-3</v>
      </c>
      <c r="CX265" s="47">
        <f t="shared" ref="CX265:DB265" si="2265">CX43/CW43-1</f>
        <v>0.2720921451375149</v>
      </c>
      <c r="CY265" s="47">
        <f t="shared" si="2265"/>
        <v>-0.20081672278469087</v>
      </c>
      <c r="CZ265" s="47">
        <f t="shared" si="2265"/>
        <v>2.0235611740949233E-2</v>
      </c>
      <c r="DA265" s="47">
        <f t="shared" si="2265"/>
        <v>-1.0319685385098532E-2</v>
      </c>
      <c r="DB265" s="47">
        <f t="shared" si="2265"/>
        <v>0.25714992680498394</v>
      </c>
      <c r="DE265" s="130"/>
      <c r="DF265" s="89">
        <v>7.35669855938752E-2</v>
      </c>
    </row>
    <row r="266" spans="1:110" s="103" customFormat="1" x14ac:dyDescent="0.2">
      <c r="A266" s="147" t="s">
        <v>105</v>
      </c>
      <c r="C266" s="103">
        <f>IF(C264&gt;C265,"RF",0)</f>
        <v>0</v>
      </c>
      <c r="D266" s="103">
        <f t="shared" ref="D266:U266" si="2266">IF(D264&gt;D265,"RF",0)</f>
        <v>0</v>
      </c>
      <c r="F266" s="103" t="e">
        <f t="shared" si="2266"/>
        <v>#DIV/0!</v>
      </c>
      <c r="G266" s="103">
        <f t="shared" si="2266"/>
        <v>0</v>
      </c>
      <c r="H266" s="103">
        <f t="shared" si="2266"/>
        <v>0</v>
      </c>
      <c r="I266" s="103">
        <f t="shared" si="2266"/>
        <v>0</v>
      </c>
      <c r="J266" s="103" t="str">
        <f t="shared" si="2266"/>
        <v>RF</v>
      </c>
      <c r="K266" s="103">
        <f t="shared" si="2266"/>
        <v>0</v>
      </c>
      <c r="L266" s="103" t="str">
        <f t="shared" si="2266"/>
        <v>RF</v>
      </c>
      <c r="M266" s="103">
        <f t="shared" si="2266"/>
        <v>0</v>
      </c>
      <c r="N266" s="103">
        <f t="shared" si="2266"/>
        <v>0</v>
      </c>
      <c r="O266" s="103" t="str">
        <f t="shared" si="2266"/>
        <v>RF</v>
      </c>
      <c r="P266" s="103" t="str">
        <f t="shared" si="2266"/>
        <v>RF</v>
      </c>
      <c r="Q266" s="103">
        <f t="shared" si="2266"/>
        <v>0</v>
      </c>
      <c r="R266" s="103" t="str">
        <f t="shared" si="2266"/>
        <v>RF</v>
      </c>
      <c r="S266" s="103" t="str">
        <f t="shared" si="2266"/>
        <v>RF</v>
      </c>
      <c r="T266" s="103">
        <f t="shared" si="2266"/>
        <v>0</v>
      </c>
      <c r="U266" s="103">
        <f t="shared" si="2266"/>
        <v>0</v>
      </c>
      <c r="V266" s="103">
        <f>IF(V264&gt;V265,"RF",0)</f>
        <v>0</v>
      </c>
      <c r="W266" s="103">
        <f t="shared" ref="W266:AE266" si="2267">IF(W264&gt;W265,"RF",0)</f>
        <v>0</v>
      </c>
      <c r="X266" s="103" t="str">
        <f t="shared" si="2267"/>
        <v>RF</v>
      </c>
      <c r="Y266" s="103">
        <f t="shared" si="2267"/>
        <v>0</v>
      </c>
      <c r="Z266" s="103">
        <f t="shared" si="2267"/>
        <v>0</v>
      </c>
      <c r="AA266" s="103" t="str">
        <f t="shared" ref="AA266" si="2268">IF(AA264&gt;AA265,"RF",0)</f>
        <v>RF</v>
      </c>
      <c r="AB266" s="73">
        <f t="shared" si="2267"/>
        <v>0</v>
      </c>
      <c r="AC266" s="73">
        <f t="shared" si="2267"/>
        <v>0</v>
      </c>
      <c r="AD266" s="73">
        <f t="shared" si="2267"/>
        <v>0</v>
      </c>
      <c r="AE266" s="73">
        <f t="shared" si="2267"/>
        <v>0</v>
      </c>
      <c r="AL266" s="103" t="str">
        <f t="shared" ref="AL266:CW266" si="2269">IF(AL264&gt;AL265,"RF",0)</f>
        <v>RF</v>
      </c>
      <c r="AM266" s="103" t="str">
        <f t="shared" si="2269"/>
        <v>RF</v>
      </c>
      <c r="AN266" s="103" t="str">
        <f t="shared" si="2269"/>
        <v>RF</v>
      </c>
      <c r="AO266" s="103">
        <f t="shared" si="2269"/>
        <v>0</v>
      </c>
      <c r="AP266" s="103">
        <f t="shared" si="2269"/>
        <v>0</v>
      </c>
      <c r="AQ266" s="103" t="str">
        <f t="shared" si="2269"/>
        <v>RF</v>
      </c>
      <c r="AR266" s="103" t="str">
        <f t="shared" si="2269"/>
        <v>RF</v>
      </c>
      <c r="AS266" s="103" t="str">
        <f t="shared" si="2269"/>
        <v>RF</v>
      </c>
      <c r="AT266" s="103" t="str">
        <f t="shared" si="2269"/>
        <v>RF</v>
      </c>
      <c r="AU266" s="103">
        <f t="shared" si="2269"/>
        <v>0</v>
      </c>
      <c r="AV266" s="103" t="str">
        <f t="shared" si="2269"/>
        <v>RF</v>
      </c>
      <c r="AW266" s="103" t="str">
        <f t="shared" si="2269"/>
        <v>RF</v>
      </c>
      <c r="AX266" s="103" t="str">
        <f t="shared" si="2269"/>
        <v>RF</v>
      </c>
      <c r="AY266" s="103" t="str">
        <f t="shared" si="2269"/>
        <v>RF</v>
      </c>
      <c r="AZ266" s="103" t="str">
        <f t="shared" si="2269"/>
        <v>RF</v>
      </c>
      <c r="BA266" s="103" t="str">
        <f t="shared" si="2269"/>
        <v>RF</v>
      </c>
      <c r="BB266" s="103" t="str">
        <f t="shared" si="2269"/>
        <v>RF</v>
      </c>
      <c r="BC266" s="103">
        <f t="shared" si="2269"/>
        <v>0</v>
      </c>
      <c r="BD266" s="103">
        <f t="shared" si="2269"/>
        <v>0</v>
      </c>
      <c r="BE266" s="103">
        <f t="shared" si="2269"/>
        <v>0</v>
      </c>
      <c r="BF266" s="103" t="str">
        <f t="shared" si="2269"/>
        <v>RF</v>
      </c>
      <c r="BG266" s="103">
        <f t="shared" si="2269"/>
        <v>0</v>
      </c>
      <c r="BH266" s="103" t="str">
        <f t="shared" si="2269"/>
        <v>RF</v>
      </c>
      <c r="BI266" s="103">
        <f t="shared" si="2269"/>
        <v>0</v>
      </c>
      <c r="BJ266" s="103" t="str">
        <f t="shared" si="2269"/>
        <v>RF</v>
      </c>
      <c r="BK266" s="103">
        <f t="shared" si="2269"/>
        <v>0</v>
      </c>
      <c r="BL266" s="103">
        <f t="shared" si="2269"/>
        <v>0</v>
      </c>
      <c r="BM266" s="103" t="str">
        <f t="shared" si="2269"/>
        <v>RF</v>
      </c>
      <c r="BN266" s="103">
        <f t="shared" si="2269"/>
        <v>0</v>
      </c>
      <c r="BO266" s="103">
        <f t="shared" si="2269"/>
        <v>0</v>
      </c>
      <c r="BP266" s="103">
        <f t="shared" si="2269"/>
        <v>0</v>
      </c>
      <c r="BQ266" s="103" t="str">
        <f t="shared" si="2269"/>
        <v>RF</v>
      </c>
      <c r="BR266" s="103" t="str">
        <f t="shared" si="2269"/>
        <v>RF</v>
      </c>
      <c r="BS266" s="103">
        <f t="shared" si="2269"/>
        <v>0</v>
      </c>
      <c r="BT266" s="103">
        <f t="shared" si="2269"/>
        <v>0</v>
      </c>
      <c r="BU266" s="103" t="str">
        <f t="shared" si="2269"/>
        <v>RF</v>
      </c>
      <c r="BV266" s="103">
        <f t="shared" si="2269"/>
        <v>0</v>
      </c>
      <c r="BW266" s="103">
        <f t="shared" si="2269"/>
        <v>0</v>
      </c>
      <c r="BX266" s="103" t="str">
        <f t="shared" si="2269"/>
        <v>RF</v>
      </c>
      <c r="BY266" s="103">
        <f t="shared" si="2269"/>
        <v>0</v>
      </c>
      <c r="BZ266" s="103" t="str">
        <f t="shared" si="2269"/>
        <v>RF</v>
      </c>
      <c r="CA266" s="103">
        <f t="shared" si="2269"/>
        <v>0</v>
      </c>
      <c r="CB266" s="103">
        <f t="shared" si="2269"/>
        <v>0</v>
      </c>
      <c r="CC266" s="103">
        <f t="shared" si="2269"/>
        <v>0</v>
      </c>
      <c r="CD266" s="103">
        <f t="shared" si="2269"/>
        <v>0</v>
      </c>
      <c r="CE266" s="103">
        <f t="shared" si="2269"/>
        <v>0</v>
      </c>
      <c r="CF266" s="103">
        <f t="shared" si="2269"/>
        <v>0</v>
      </c>
      <c r="CG266" s="103" t="str">
        <f t="shared" si="2269"/>
        <v>RF</v>
      </c>
      <c r="CH266" s="103">
        <f t="shared" si="2269"/>
        <v>0</v>
      </c>
      <c r="CI266" s="103">
        <f t="shared" si="2269"/>
        <v>0</v>
      </c>
      <c r="CJ266" s="103">
        <f t="shared" si="2269"/>
        <v>0</v>
      </c>
      <c r="CK266" s="103">
        <f t="shared" si="2269"/>
        <v>0</v>
      </c>
      <c r="CL266" s="103" t="str">
        <f t="shared" ref="CL266" si="2270">IF(CL264&gt;CL265,"RF",0)</f>
        <v>RF</v>
      </c>
      <c r="CM266" s="73" t="str">
        <f t="shared" si="2269"/>
        <v>RF</v>
      </c>
      <c r="CN266" s="73">
        <f t="shared" si="2269"/>
        <v>0</v>
      </c>
      <c r="CO266" s="73">
        <f t="shared" si="2269"/>
        <v>0</v>
      </c>
      <c r="CP266" s="73">
        <f t="shared" si="2269"/>
        <v>0</v>
      </c>
      <c r="CQ266" s="73" t="str">
        <f t="shared" si="2269"/>
        <v>RF</v>
      </c>
      <c r="CR266" s="73">
        <f t="shared" si="2269"/>
        <v>0</v>
      </c>
      <c r="CS266" s="73">
        <f t="shared" si="2269"/>
        <v>0</v>
      </c>
      <c r="CT266" s="73">
        <f t="shared" si="2269"/>
        <v>0</v>
      </c>
      <c r="CU266" s="73" t="str">
        <f t="shared" si="2269"/>
        <v>RF</v>
      </c>
      <c r="CV266" s="73">
        <f t="shared" si="2269"/>
        <v>0</v>
      </c>
      <c r="CW266" s="73" t="str">
        <f t="shared" si="2269"/>
        <v>RF</v>
      </c>
      <c r="CX266" s="73">
        <f t="shared" ref="CX266:DB266" si="2271">IF(CX264&gt;CX265,"RF",0)</f>
        <v>0</v>
      </c>
      <c r="CY266" s="73" t="str">
        <f t="shared" si="2271"/>
        <v>RF</v>
      </c>
      <c r="CZ266" s="73">
        <f t="shared" si="2271"/>
        <v>0</v>
      </c>
      <c r="DA266" s="73" t="str">
        <f t="shared" si="2271"/>
        <v>RF</v>
      </c>
      <c r="DB266" s="73">
        <f t="shared" si="2271"/>
        <v>0</v>
      </c>
      <c r="DE266" s="142"/>
      <c r="DF266" s="103">
        <v>0</v>
      </c>
    </row>
    <row r="267" spans="1:110" s="86" customFormat="1" x14ac:dyDescent="0.2">
      <c r="A267" s="86" t="s">
        <v>432</v>
      </c>
      <c r="B267" s="86">
        <f>B51/B23</f>
        <v>2.7279536774670446E-2</v>
      </c>
      <c r="C267" s="86">
        <f>C51/C23</f>
        <v>1.9963551723083069E-2</v>
      </c>
      <c r="D267" s="86">
        <f>D51/D23</f>
        <v>3.0686655496055836E-3</v>
      </c>
      <c r="F267" s="86">
        <f t="shared" ref="F267:AE267" si="2272">F51/F23</f>
        <v>6.3475333079762363E-3</v>
      </c>
      <c r="G267" s="86">
        <f t="shared" si="2272"/>
        <v>9.6505756518591133E-3</v>
      </c>
      <c r="H267" s="86">
        <f t="shared" si="2272"/>
        <v>1.7817134120996062E-2</v>
      </c>
      <c r="I267" s="86">
        <f t="shared" si="2272"/>
        <v>1.6576044526144949E-2</v>
      </c>
      <c r="J267" s="86">
        <f t="shared" si="2272"/>
        <v>2.3657688099941412E-2</v>
      </c>
      <c r="K267" s="86">
        <f t="shared" si="2272"/>
        <v>1.4920836017593192E-2</v>
      </c>
      <c r="L267" s="86">
        <f t="shared" si="2272"/>
        <v>1.7776189045925074E-2</v>
      </c>
      <c r="M267" s="86">
        <f t="shared" si="2272"/>
        <v>1.4607215853550166E-2</v>
      </c>
      <c r="N267" s="86">
        <f t="shared" si="2272"/>
        <v>1.050263498061052E-2</v>
      </c>
      <c r="O267" s="86">
        <f t="shared" si="2272"/>
        <v>1.3985830490684859E-2</v>
      </c>
      <c r="P267" s="86">
        <f t="shared" si="2272"/>
        <v>3.7577257992890439E-2</v>
      </c>
      <c r="Q267" s="86">
        <f t="shared" si="2272"/>
        <v>2.7513373102455083E-2</v>
      </c>
      <c r="R267" s="86">
        <f t="shared" si="2272"/>
        <v>3.5096945152059446E-2</v>
      </c>
      <c r="S267" s="86">
        <f t="shared" si="2272"/>
        <v>2.7406290617911996E-2</v>
      </c>
      <c r="T267" s="86">
        <f t="shared" si="2272"/>
        <v>3.4676020989404109E-2</v>
      </c>
      <c r="U267" s="86">
        <f t="shared" si="2272"/>
        <v>3.0140810032179801E-2</v>
      </c>
      <c r="V267" s="86">
        <f t="shared" si="2272"/>
        <v>2.3721716453773436E-2</v>
      </c>
      <c r="W267" s="86">
        <f t="shared" si="2272"/>
        <v>1.6767985021494132E-2</v>
      </c>
      <c r="X267" s="86">
        <f t="shared" si="2272"/>
        <v>2.0430558831909269E-2</v>
      </c>
      <c r="Y267" s="86">
        <f t="shared" si="2272"/>
        <v>2.1164426571304233E-2</v>
      </c>
      <c r="Z267" s="86">
        <f t="shared" si="2272"/>
        <v>1.497049333622882E-2</v>
      </c>
      <c r="AA267" s="86">
        <f t="shared" ref="AA267" si="2273">AA51/AA23</f>
        <v>1.9565869100184444E-2</v>
      </c>
      <c r="AB267" s="87">
        <f t="shared" si="2272"/>
        <v>1.4407752172202991E-2</v>
      </c>
      <c r="AC267" s="87">
        <f t="shared" si="2272"/>
        <v>1.0061225478348128E-2</v>
      </c>
      <c r="AD267" s="87">
        <f t="shared" si="2272"/>
        <v>6.5169266550162063E-3</v>
      </c>
      <c r="AE267" s="87">
        <f t="shared" si="2272"/>
        <v>2.761114841577894E-3</v>
      </c>
      <c r="AL267" s="86">
        <f t="shared" ref="AL267:CW267" si="2274">AL51/AL23</f>
        <v>1.1467889908256881E-2</v>
      </c>
      <c r="AM267" s="86">
        <f t="shared" si="2274"/>
        <v>8.23045267489712E-3</v>
      </c>
      <c r="AN267" s="86">
        <f t="shared" si="2274"/>
        <v>1.5432098765432098E-2</v>
      </c>
      <c r="AO267" s="86">
        <f t="shared" si="2274"/>
        <v>1.5763546798029555E-2</v>
      </c>
      <c r="AP267" s="86">
        <f t="shared" si="2274"/>
        <v>1.6326530612244899E-2</v>
      </c>
      <c r="AQ267" s="86">
        <f t="shared" si="2274"/>
        <v>2.1543985637342909E-2</v>
      </c>
      <c r="AR267" s="86">
        <f t="shared" si="2274"/>
        <v>4.4371405094494658E-2</v>
      </c>
      <c r="AS267" s="86">
        <f t="shared" si="2274"/>
        <v>4.2808219178082189E-2</v>
      </c>
      <c r="AT267" s="86">
        <f t="shared" si="2274"/>
        <v>4.0727902946273833E-2</v>
      </c>
      <c r="AU267" s="86">
        <f t="shared" si="2274"/>
        <v>2.8248587570621469E-2</v>
      </c>
      <c r="AV267" s="86">
        <f t="shared" si="2274"/>
        <v>2.835203780271707E-2</v>
      </c>
      <c r="AW267" s="86">
        <f t="shared" si="2274"/>
        <v>2.7885862516212712E-2</v>
      </c>
      <c r="AX267" s="86">
        <f t="shared" si="2274"/>
        <v>2.5282767797737856E-2</v>
      </c>
      <c r="AY267" s="86">
        <f t="shared" si="2274"/>
        <v>3.1592520954223081E-2</v>
      </c>
      <c r="AZ267" s="86">
        <f t="shared" si="2274"/>
        <v>3.5689293212036392E-2</v>
      </c>
      <c r="BA267" s="86">
        <f t="shared" si="2274"/>
        <v>3.3264033264033266E-2</v>
      </c>
      <c r="BB267" s="86">
        <f t="shared" si="2274"/>
        <v>4.0446304044630406E-2</v>
      </c>
      <c r="BC267" s="86">
        <f t="shared" si="2274"/>
        <v>4.1116005873715125E-2</v>
      </c>
      <c r="BD267" s="86">
        <f t="shared" si="2274"/>
        <v>3.5991531404375443E-2</v>
      </c>
      <c r="BE267" s="86">
        <f t="shared" si="2274"/>
        <v>5.4682159945317839E-2</v>
      </c>
      <c r="BF267" s="86">
        <f t="shared" si="2274"/>
        <v>7.0843091334894609E-2</v>
      </c>
      <c r="BG267" s="86">
        <f t="shared" si="2274"/>
        <v>6.5170940170940175E-2</v>
      </c>
      <c r="BH267" s="86">
        <f t="shared" si="2274"/>
        <v>6.6525871172122497E-2</v>
      </c>
      <c r="BI267" s="86">
        <f t="shared" si="2274"/>
        <v>6.4846416382252553E-2</v>
      </c>
      <c r="BJ267" s="86">
        <f t="shared" si="2274"/>
        <v>6.6271551724137928E-2</v>
      </c>
      <c r="BK267" s="86">
        <f t="shared" si="2274"/>
        <v>6.0336300692383778E-2</v>
      </c>
      <c r="BL267" s="86">
        <f t="shared" si="2274"/>
        <v>5.7855361596009978E-2</v>
      </c>
      <c r="BM267" s="86">
        <f t="shared" si="2274"/>
        <v>5.6459816887080364E-2</v>
      </c>
      <c r="BN267" s="86">
        <f t="shared" si="2274"/>
        <v>5.2415210688591986E-2</v>
      </c>
      <c r="BO267" s="86">
        <f t="shared" si="2274"/>
        <v>4.9610894941634238E-2</v>
      </c>
      <c r="BP267" s="86">
        <f t="shared" si="2274"/>
        <v>4.5612295488349032E-2</v>
      </c>
      <c r="BQ267" s="86">
        <f t="shared" si="2274"/>
        <v>4.5614035087719301E-2</v>
      </c>
      <c r="BR267" s="86">
        <f t="shared" si="2274"/>
        <v>3.7687145069695407E-2</v>
      </c>
      <c r="BS267" s="86">
        <f t="shared" si="2274"/>
        <v>3.1865042174320526E-2</v>
      </c>
      <c r="BT267" s="86">
        <f t="shared" si="2274"/>
        <v>3.3224145999064106E-2</v>
      </c>
      <c r="BU267" s="86">
        <f t="shared" si="2274"/>
        <v>2.9411764705882353E-2</v>
      </c>
      <c r="BV267" s="86">
        <f t="shared" si="2274"/>
        <v>2.6748005631159082E-2</v>
      </c>
      <c r="BW267" s="86">
        <f t="shared" si="2274"/>
        <v>2.3434171282488283E-2</v>
      </c>
      <c r="BX267" s="86">
        <f t="shared" si="2274"/>
        <v>3.0117852466171977E-2</v>
      </c>
      <c r="BY267" s="86">
        <f t="shared" si="2274"/>
        <v>4.0947410678442396E-2</v>
      </c>
      <c r="BZ267" s="86">
        <f t="shared" si="2274"/>
        <v>4.2954636692091527E-2</v>
      </c>
      <c r="CA267" s="86">
        <f t="shared" si="2274"/>
        <v>3.9752991123118489E-2</v>
      </c>
      <c r="CB267" s="86">
        <f t="shared" si="2274"/>
        <v>3.4210526315789476E-2</v>
      </c>
      <c r="CC267" s="86">
        <f t="shared" si="2274"/>
        <v>2.9282576866764276E-2</v>
      </c>
      <c r="CD267" s="86">
        <f t="shared" si="2274"/>
        <v>2.9143897996357013E-2</v>
      </c>
      <c r="CE267" s="86">
        <f t="shared" si="2274"/>
        <v>2.6232948583420776E-2</v>
      </c>
      <c r="CF267" s="86">
        <f t="shared" si="2274"/>
        <v>2.215299411561094E-2</v>
      </c>
      <c r="CG267" s="86">
        <f t="shared" si="2274"/>
        <v>2.029191883232467E-2</v>
      </c>
      <c r="CH267" s="86">
        <f t="shared" si="2274"/>
        <v>1.8925312605610003E-2</v>
      </c>
      <c r="CI267" s="86">
        <f t="shared" si="2274"/>
        <v>1.7621145374449341E-2</v>
      </c>
      <c r="CJ267" s="86">
        <f t="shared" si="2274"/>
        <v>1.4536644457904301E-2</v>
      </c>
      <c r="CK267" s="86">
        <f t="shared" si="2274"/>
        <v>1.3623978201634877E-2</v>
      </c>
      <c r="CL267" s="86">
        <f t="shared" ref="CL267" si="2275">CL51/CL23</f>
        <v>5.623064093400048E-2</v>
      </c>
      <c r="CM267" s="87">
        <f t="shared" si="2274"/>
        <v>1.6983264847935678E-2</v>
      </c>
      <c r="CN267" s="87">
        <f t="shared" si="2274"/>
        <v>1.5443977281428271E-2</v>
      </c>
      <c r="CO267" s="87">
        <f t="shared" si="2274"/>
        <v>1.4900095253443589E-2</v>
      </c>
      <c r="CP267" s="87">
        <f t="shared" si="2274"/>
        <v>1.1258460249992466E-2</v>
      </c>
      <c r="CQ267" s="87">
        <f t="shared" si="2274"/>
        <v>1.2425123865519454E-2</v>
      </c>
      <c r="CR267" s="87">
        <f t="shared" si="2274"/>
        <v>1.0904044173760891E-2</v>
      </c>
      <c r="CS267" s="87">
        <f t="shared" si="2274"/>
        <v>1.0232597311066165E-2</v>
      </c>
      <c r="CT267" s="87">
        <f t="shared" si="2274"/>
        <v>7.4675594935798518E-3</v>
      </c>
      <c r="CU267" s="87">
        <f t="shared" si="2274"/>
        <v>8.6763062737399265E-3</v>
      </c>
      <c r="CV267" s="87">
        <f t="shared" si="2274"/>
        <v>7.1636977146690576E-3</v>
      </c>
      <c r="CW267" s="87">
        <f t="shared" si="2274"/>
        <v>6.4077549735513288E-3</v>
      </c>
      <c r="CX267" s="87">
        <f t="shared" ref="CX267:DB267" si="2276">CX51/CX23</f>
        <v>4.3649967544382128E-3</v>
      </c>
      <c r="CY267" s="87">
        <f t="shared" si="2276"/>
        <v>4.7388657192707854E-3</v>
      </c>
      <c r="CZ267" s="87">
        <f t="shared" si="2276"/>
        <v>3.2224729944874356E-3</v>
      </c>
      <c r="DA267" s="87">
        <f t="shared" si="2276"/>
        <v>2.3721259910151888E-3</v>
      </c>
      <c r="DB267" s="87">
        <f t="shared" si="2276"/>
        <v>1.1292609650003476E-3</v>
      </c>
      <c r="DE267" s="141"/>
      <c r="DF267" s="86">
        <v>9.9196330279429784E-3</v>
      </c>
    </row>
    <row r="268" spans="1:110" s="86" customFormat="1" x14ac:dyDescent="0.2">
      <c r="A268" s="86" t="s">
        <v>433</v>
      </c>
      <c r="B268" s="86">
        <f>B47/B23</f>
        <v>2.6755451521498091E-2</v>
      </c>
      <c r="C268" s="86">
        <f>C47/C23</f>
        <v>3.2613155209737295E-2</v>
      </c>
      <c r="D268" s="86">
        <f>D47/D23</f>
        <v>3.381541703958707E-2</v>
      </c>
      <c r="F268" s="86">
        <f t="shared" ref="F268:AE268" si="2277">F47/F23</f>
        <v>3.1330691820193178E-2</v>
      </c>
      <c r="G268" s="86">
        <f t="shared" si="2277"/>
        <v>2.4740392156254419E-2</v>
      </c>
      <c r="H268" s="86">
        <f t="shared" si="2277"/>
        <v>2.4770548041207156E-2</v>
      </c>
      <c r="I268" s="86">
        <f t="shared" si="2277"/>
        <v>2.8161869977408108E-2</v>
      </c>
      <c r="J268" s="86">
        <f t="shared" si="2277"/>
        <v>2.5453794773530658E-2</v>
      </c>
      <c r="K268" s="86">
        <f t="shared" si="2277"/>
        <v>3.3883122732692325E-2</v>
      </c>
      <c r="L268" s="86">
        <f t="shared" si="2277"/>
        <v>2.8421984767589129E-2</v>
      </c>
      <c r="M268" s="86">
        <f t="shared" si="2277"/>
        <v>3.0262300423590748E-2</v>
      </c>
      <c r="N268" s="86">
        <f t="shared" si="2277"/>
        <v>2.569416824102615E-2</v>
      </c>
      <c r="O268" s="86">
        <f t="shared" si="2277"/>
        <v>2.0753321724195507E-2</v>
      </c>
      <c r="P268" s="86">
        <f t="shared" si="2277"/>
        <v>4.0919651687393942E-2</v>
      </c>
      <c r="Q268" s="86">
        <f t="shared" si="2277"/>
        <v>3.5524523211698043E-2</v>
      </c>
      <c r="R268" s="86">
        <f t="shared" si="2277"/>
        <v>5.2402969478838712E-2</v>
      </c>
      <c r="S268" s="86">
        <f t="shared" si="2277"/>
        <v>3.6301252419861388E-2</v>
      </c>
      <c r="T268" s="86">
        <f t="shared" si="2277"/>
        <v>4.2519169042074492E-2</v>
      </c>
      <c r="U268" s="86">
        <f t="shared" si="2277"/>
        <v>4.3761050939313123E-2</v>
      </c>
      <c r="V268" s="86">
        <f t="shared" si="2277"/>
        <v>4.4211219658093805E-2</v>
      </c>
      <c r="W268" s="86">
        <f t="shared" si="2277"/>
        <v>4.3531282685770223E-2</v>
      </c>
      <c r="X268" s="86">
        <f t="shared" si="2277"/>
        <v>4.3294231541023187E-2</v>
      </c>
      <c r="Y268" s="86">
        <f t="shared" si="2277"/>
        <v>4.8383785113666908E-2</v>
      </c>
      <c r="Z268" s="86">
        <f t="shared" si="2277"/>
        <v>4.7166161736627063E-2</v>
      </c>
      <c r="AA268" s="86">
        <f t="shared" ref="AA268" si="2278">AA47/AA23</f>
        <v>5.6851128262714226E-2</v>
      </c>
      <c r="AB268" s="87">
        <f t="shared" si="2277"/>
        <v>0.11157956087842184</v>
      </c>
      <c r="AC268" s="87">
        <f t="shared" si="2277"/>
        <v>9.7050787234659958E-2</v>
      </c>
      <c r="AD268" s="87">
        <f t="shared" si="2277"/>
        <v>9.4640347536330466E-2</v>
      </c>
      <c r="AE268" s="87">
        <f t="shared" si="2277"/>
        <v>9.3829739155224995E-2</v>
      </c>
      <c r="AL268" s="86">
        <f t="shared" ref="AL268:CW268" si="2279">AL47/AL23</f>
        <v>2.5229357798165139E-2</v>
      </c>
      <c r="AM268" s="86">
        <f t="shared" si="2279"/>
        <v>2.1604938271604937E-2</v>
      </c>
      <c r="AN268" s="86">
        <f t="shared" si="2279"/>
        <v>2.2633744855967079E-2</v>
      </c>
      <c r="AO268" s="86">
        <f t="shared" si="2279"/>
        <v>2.0689655172413793E-2</v>
      </c>
      <c r="AP268" s="86">
        <f t="shared" si="2279"/>
        <v>1.8775510204081632E-2</v>
      </c>
      <c r="AQ268" s="86">
        <f t="shared" si="2279"/>
        <v>1.8850987432675045E-2</v>
      </c>
      <c r="AR268" s="86">
        <f t="shared" si="2279"/>
        <v>4.6014790468364833E-2</v>
      </c>
      <c r="AS268" s="86">
        <f t="shared" si="2279"/>
        <v>4.6232876712328765E-2</v>
      </c>
      <c r="AT268" s="86">
        <f t="shared" si="2279"/>
        <v>5.1993067590987867E-2</v>
      </c>
      <c r="AU268" s="86">
        <f t="shared" si="2279"/>
        <v>2.9275808936825885E-2</v>
      </c>
      <c r="AV268" s="86">
        <f t="shared" si="2279"/>
        <v>3.4849379799173068E-2</v>
      </c>
      <c r="AW268" s="86">
        <f t="shared" si="2279"/>
        <v>3.826199740596628E-2</v>
      </c>
      <c r="AX268" s="86">
        <f t="shared" si="2279"/>
        <v>4.1916167664670656E-2</v>
      </c>
      <c r="AY268" s="86">
        <f t="shared" si="2279"/>
        <v>4.3842682140554479E-2</v>
      </c>
      <c r="AZ268" s="86">
        <f t="shared" si="2279"/>
        <v>4.8285514345696293E-2</v>
      </c>
      <c r="BA268" s="86">
        <f t="shared" si="2279"/>
        <v>5.058905058905059E-2</v>
      </c>
      <c r="BB268" s="86">
        <f t="shared" si="2279"/>
        <v>6.7642956764295673E-2</v>
      </c>
      <c r="BC268" s="86">
        <f t="shared" si="2279"/>
        <v>5.8737151248164463E-2</v>
      </c>
      <c r="BD268" s="86">
        <f t="shared" si="2279"/>
        <v>5.9280169371912494E-2</v>
      </c>
      <c r="BE268" s="86">
        <f t="shared" si="2279"/>
        <v>6.4251537935748462E-2</v>
      </c>
      <c r="BF268" s="86">
        <f t="shared" si="2279"/>
        <v>8.8407494145199064E-2</v>
      </c>
      <c r="BG268" s="86">
        <f t="shared" si="2279"/>
        <v>8.0128205128205135E-2</v>
      </c>
      <c r="BH268" s="86">
        <f t="shared" si="2279"/>
        <v>8.0253431890179514E-2</v>
      </c>
      <c r="BI268" s="86">
        <f t="shared" si="2279"/>
        <v>7.606045831301804E-2</v>
      </c>
      <c r="BJ268" s="86">
        <f t="shared" si="2279"/>
        <v>8.6206896551724144E-2</v>
      </c>
      <c r="BK268" s="86">
        <f t="shared" si="2279"/>
        <v>7.9129574678536096E-2</v>
      </c>
      <c r="BL268" s="86">
        <f t="shared" si="2279"/>
        <v>8.1296758104738159E-2</v>
      </c>
      <c r="BM268" s="86">
        <f t="shared" si="2279"/>
        <v>8.2909460834181076E-2</v>
      </c>
      <c r="BN268" s="86">
        <f t="shared" si="2279"/>
        <v>8.6330935251798566E-2</v>
      </c>
      <c r="BO268" s="86">
        <f t="shared" si="2279"/>
        <v>7.8307392996108949E-2</v>
      </c>
      <c r="BP268" s="86">
        <f t="shared" si="2279"/>
        <v>8.1804660386712941E-2</v>
      </c>
      <c r="BQ268" s="86">
        <f t="shared" si="2279"/>
        <v>8.37092731829574E-2</v>
      </c>
      <c r="BR268" s="86">
        <f t="shared" si="2279"/>
        <v>8.5183273102736184E-2</v>
      </c>
      <c r="BS268" s="86">
        <f t="shared" si="2279"/>
        <v>7.7319587628865982E-2</v>
      </c>
      <c r="BT268" s="86">
        <f t="shared" si="2279"/>
        <v>7.8614880673841828E-2</v>
      </c>
      <c r="BU268" s="86">
        <f t="shared" si="2279"/>
        <v>7.9222011385199242E-2</v>
      </c>
      <c r="BV268" s="86">
        <f t="shared" si="2279"/>
        <v>7.6020647583294229E-2</v>
      </c>
      <c r="BW268" s="86">
        <f t="shared" si="2279"/>
        <v>6.6041755432466973E-2</v>
      </c>
      <c r="BX268" s="86">
        <f t="shared" si="2279"/>
        <v>7.1147970318638148E-2</v>
      </c>
      <c r="BY268" s="86">
        <f t="shared" si="2279"/>
        <v>7.7478924126856683E-2</v>
      </c>
      <c r="BZ268" s="86">
        <f t="shared" si="2279"/>
        <v>7.8683259735046168E-2</v>
      </c>
      <c r="CA268" s="86">
        <f t="shared" si="2279"/>
        <v>7.3716711694326517E-2</v>
      </c>
      <c r="CB268" s="86">
        <f t="shared" si="2279"/>
        <v>7.5563909774436097E-2</v>
      </c>
      <c r="CC268" s="86">
        <f t="shared" si="2279"/>
        <v>7.7964860907759878E-2</v>
      </c>
      <c r="CD268" s="86">
        <f t="shared" si="2279"/>
        <v>7.3952641165755922E-2</v>
      </c>
      <c r="CE268" s="86">
        <f t="shared" si="2279"/>
        <v>6.8905211612451903E-2</v>
      </c>
      <c r="CF268" s="86">
        <f t="shared" si="2279"/>
        <v>6.8535825545171333E-2</v>
      </c>
      <c r="CG268" s="86">
        <f t="shared" si="2279"/>
        <v>7.0843716625133502E-2</v>
      </c>
      <c r="CH268" s="86">
        <f t="shared" si="2279"/>
        <v>6.7928354173707337E-2</v>
      </c>
      <c r="CI268" s="86">
        <f t="shared" si="2279"/>
        <v>6.3247325361862811E-2</v>
      </c>
      <c r="CJ268" s="86">
        <f t="shared" si="2279"/>
        <v>6.1780738946093275E-2</v>
      </c>
      <c r="CK268" s="86">
        <f t="shared" si="2279"/>
        <v>6.2367544656372995E-2</v>
      </c>
      <c r="CL268" s="86">
        <f t="shared" ref="CL268" si="2280">CL47/CL23</f>
        <v>0.12103883726471289</v>
      </c>
      <c r="CM268" s="87">
        <f t="shared" si="2279"/>
        <v>0.12221671924156498</v>
      </c>
      <c r="CN268" s="87">
        <f t="shared" si="2279"/>
        <v>0.1176960891626883</v>
      </c>
      <c r="CO268" s="87">
        <f t="shared" si="2279"/>
        <v>0.11807471513547634</v>
      </c>
      <c r="CP268" s="87">
        <f t="shared" si="2279"/>
        <v>9.3605026201804206E-2</v>
      </c>
      <c r="CQ268" s="87">
        <f t="shared" si="2279"/>
        <v>0.10617060648458952</v>
      </c>
      <c r="CR268" s="87">
        <f t="shared" si="2279"/>
        <v>0.10225668886949038</v>
      </c>
      <c r="CS268" s="87">
        <f t="shared" si="2279"/>
        <v>0.10270824149831435</v>
      </c>
      <c r="CT268" s="87">
        <f t="shared" si="2279"/>
        <v>8.1549529041373026E-2</v>
      </c>
      <c r="CU268" s="87">
        <f t="shared" si="2279"/>
        <v>0.10048140214955698</v>
      </c>
      <c r="CV268" s="87">
        <f t="shared" si="2279"/>
        <v>9.9455229577363011E-2</v>
      </c>
      <c r="CW268" s="87">
        <f t="shared" si="2279"/>
        <v>0.1012151719787424</v>
      </c>
      <c r="CX268" s="87">
        <f t="shared" ref="CX268:DB268" si="2281">CX47/CX23</f>
        <v>8.0878620778095336E-2</v>
      </c>
      <c r="CY268" s="87">
        <f t="shared" si="2281"/>
        <v>9.9801414813358066E-2</v>
      </c>
      <c r="CZ268" s="87">
        <f t="shared" si="2281"/>
        <v>9.8619152625588402E-2</v>
      </c>
      <c r="DA268" s="87">
        <f t="shared" si="2281"/>
        <v>0.10028405268147592</v>
      </c>
      <c r="DB268" s="87">
        <f t="shared" si="2281"/>
        <v>8.0093902590044216E-2</v>
      </c>
      <c r="DE268" s="141"/>
      <c r="DF268" s="86">
        <v>5.9056584681454499E-2</v>
      </c>
    </row>
    <row r="269" spans="1:110" s="85" customFormat="1" x14ac:dyDescent="0.2">
      <c r="AB269" s="58"/>
      <c r="AC269" s="58"/>
      <c r="AD269" s="58"/>
      <c r="AE269" s="58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E269" s="143"/>
    </row>
  </sheetData>
  <sortState xmlns:xlrd2="http://schemas.microsoft.com/office/spreadsheetml/2017/richdata2" ref="A35:DE40">
    <sortCondition ref="A35:A4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Torrent Pharmaceuticals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736</v>
      </c>
      <c r="D6">
        <f>_xll.EQNXTDZ($A$1,$B6,D$1,$B$1)</f>
        <v>749</v>
      </c>
      <c r="E6">
        <f>_xll.EQNXTDZ($A$1,$B6,E$1,$B$1)</f>
        <v>768</v>
      </c>
      <c r="F6">
        <f>_xll.EQNXTDZ($A$1,$B6,F$1,$B$1)</f>
        <v>804</v>
      </c>
      <c r="G6">
        <f>_xll.EQNXTDZ($A$1,$B6,G$1,$B$1)</f>
        <v>903</v>
      </c>
      <c r="H6">
        <f>_xll.EQNXTDZ($A$1,$B6,H$1,$B$1)</f>
        <v>936</v>
      </c>
      <c r="I6">
        <f>_xll.EQNXTDZ($A$1,$B6,I$1,$B$1)</f>
        <v>990</v>
      </c>
      <c r="J6">
        <f>_xll.EQNXTDZ($A$1,$B6,J$1,$B$1)</f>
        <v>1207</v>
      </c>
      <c r="K6">
        <f>_xll.EQNXTDZ($A$1,$B6,K$1,$B$1)</f>
        <v>1092</v>
      </c>
      <c r="L6">
        <f>_xll.EQNXTDZ($A$1,$B6,L$1,$B$1)</f>
        <v>1203</v>
      </c>
      <c r="M6">
        <f>_xll.EQNXTDZ($A$1,$B6,M$1,$B$1)</f>
        <v>1156</v>
      </c>
      <c r="N6">
        <f>_xll.EQNXTDZ($A$1,$B6,N$1,$B$1)</f>
        <v>1134</v>
      </c>
      <c r="O6">
        <f>_xll.EQNXTDZ($A$1,$B6,O$1,$B$1)</f>
        <v>1886</v>
      </c>
      <c r="P6">
        <f>_xll.EQNXTDZ($A$1,$B6,P$1,$B$1)</f>
        <v>1657</v>
      </c>
      <c r="Q6">
        <f>_xll.EQNXTDZ($A$1,$B6,Q$1,$B$1)</f>
        <v>1518</v>
      </c>
      <c r="R6">
        <f>_xll.EQNXTDZ($A$1,$B6,R$1,$B$1)</f>
        <v>1477</v>
      </c>
      <c r="S6">
        <f>_xll.EQNXTDZ($A$1,$B6,S$1,$B$1)</f>
        <v>1513</v>
      </c>
      <c r="T6">
        <f>_xll.EQNXTDZ($A$1,$B6,T$1,$B$1)</f>
        <v>1406</v>
      </c>
      <c r="U6">
        <f>_xll.EQNXTDZ($A$1,$B6,U$1,$B$1)</f>
        <v>1413</v>
      </c>
      <c r="V6">
        <f>_xll.EQNXTDZ($A$1,$B6,V$1,$B$1)</f>
        <v>1381</v>
      </c>
      <c r="W6">
        <f>_xll.EQNXTDZ($A$1,$B6,W$1,$B$1)</f>
        <v>1336</v>
      </c>
      <c r="X6">
        <f>_xll.EQNXTDZ($A$1,$B6,X$1,$B$1)</f>
        <v>1389</v>
      </c>
      <c r="Y6">
        <f>_xll.EQNXTDZ($A$1,$B6,Y$1,$B$1)</f>
        <v>1434</v>
      </c>
      <c r="Z6">
        <f>_xll.EQNXTDZ($A$1,$B6,Z$1,$B$1)</f>
        <v>1666</v>
      </c>
      <c r="AA6">
        <f>_xll.EQNXTDZ($A$1,$B6,AA$1,$B$1)</f>
        <v>1834</v>
      </c>
      <c r="AB6">
        <f>_xll.EQNXTDZ($A$1,$B6,AB$1,$B$1)</f>
        <v>1858</v>
      </c>
      <c r="AC6">
        <f>_xll.EQNXTDZ($A$1,$B6,AC$1,$B$1)</f>
        <v>1948</v>
      </c>
      <c r="AD6">
        <f>_xll.EQNXTDZ($A$1,$B6,AD$1,$B$1)</f>
        <v>1822</v>
      </c>
      <c r="AE6">
        <f>_xll.EQNXTDZ($A$1,$B6,AE$1,$B$1)</f>
        <v>1976</v>
      </c>
      <c r="AF6">
        <f>_xll.EQNXTDZ($A$1,$B6,AF$1,$B$1)</f>
        <v>1968</v>
      </c>
      <c r="AG6">
        <f>_xll.EQNXTDZ($A$1,$B6,AG$1,$B$1)</f>
        <v>1924</v>
      </c>
      <c r="AH6">
        <f>_xll.EQNXTDZ($A$1,$B6,AH$1,$B$1)</f>
        <v>1912</v>
      </c>
      <c r="AI6">
        <f>_xll.EQNXTDZ($A$1,$B6,AI$1,$B$1)</f>
        <v>2014</v>
      </c>
      <c r="AJ6">
        <f>_xll.EQNXTDZ($A$1,$B6,AJ$1,$B$1)</f>
        <v>1985</v>
      </c>
      <c r="AK6">
        <f>_xll.EQNXTDZ($A$1,$B6,AK$1,$B$1)</f>
        <v>1972</v>
      </c>
      <c r="AL6">
        <f>_xll.EQNXTDZ($A$1,$B6,AL$1,$B$1)</f>
        <v>1915</v>
      </c>
      <c r="AM6">
        <f>_xll.EQNXTDZ($A$1,$B6,AM$1,$B$1)</f>
        <v>2120</v>
      </c>
      <c r="AN6">
        <f>_xll.EQNXTDZ($A$1,$B6,AN$1,$B$1)</f>
        <v>2103</v>
      </c>
      <c r="AO6">
        <f>_xll.EQNXTDZ($A$1,$B6,AO$1,$B$1)</f>
        <v>2092</v>
      </c>
      <c r="AP6">
        <f>_xll.EQNXTDZ($A$1,$B6,AP$1,$B$1)</f>
        <v>2104</v>
      </c>
      <c r="AQ6">
        <f>_xll.EQNXTDZ($A$1,$B6,AQ$1,$B$1)</f>
        <v>2292</v>
      </c>
      <c r="AR6">
        <f>_xll.EQNXTDZ($A$1,$B6,AR$1,$B$1)</f>
        <v>2261</v>
      </c>
      <c r="AS6">
        <f>_xll.EQNXTDZ($A$1,$B6,AS$1,$B$1)</f>
        <v>2459</v>
      </c>
      <c r="AT6">
        <f>_xll.EQNXTDZ($A$1,$B6,AT$1,$B$1)</f>
        <v>2452</v>
      </c>
      <c r="AU6">
        <f>_xll.EQNXTDZ($A$1,$B6,AU$1,$B$1)</f>
        <v>2548</v>
      </c>
      <c r="AV6">
        <f>_xll.EQNXTDZ($A$1,$B6,AV$1,$B$1)</f>
        <v>2628</v>
      </c>
      <c r="AW6">
        <f>_xll.EQNXTDZ($A$1,$B6,AW$1,$B$1)</f>
        <v>2691</v>
      </c>
      <c r="AX6">
        <f>_xll.EQNXTDZ($A$1,$B6,AX$1,$B$1)</f>
        <v>2695</v>
      </c>
      <c r="AY6">
        <f>_xll.EQNXTDZ($A$1,$B6,AY$1,$B$1)</f>
        <v>2815</v>
      </c>
      <c r="AZ6">
        <f>_xll.EQNXTDZ($A$1,$B6,AZ$1,$B$1)</f>
        <v>2831</v>
      </c>
      <c r="BA6">
        <f>_xll.EQNXTDZ($A$1,$B6,BA$1,$B$1)</f>
        <v>2762</v>
      </c>
      <c r="BB6">
        <f>_xll.EQNXTDZ($A$1,$B6,BB$1,$B$1)</f>
        <v>2909</v>
      </c>
      <c r="BC6">
        <f>_xll.EQNXTDZ($A$1,$B6,BC$1,$B$1)</f>
        <v>3128</v>
      </c>
      <c r="BD6">
        <f>_xll.EQNXTDZ($A$1,$B6,BD$1,$B$1)</f>
        <v>3246</v>
      </c>
      <c r="BE6">
        <f>_xll.EQNXTDZ($A$1,$B6,BE$1,$B$1)</f>
        <v>3251</v>
      </c>
      <c r="BF6">
        <f>_xll.EQNXTDZ($A$1,$B6,BF$1,$B$1)</f>
        <v>4128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2</v>
      </c>
      <c r="E7">
        <f>_xll.EQNXTDZ($A$1,$B7,E$1,$B$1)</f>
        <v>0</v>
      </c>
      <c r="F7">
        <f>_xll.EQNXTDZ($A$1,$B7,F$1,$B$1)</f>
        <v>1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31</v>
      </c>
      <c r="D8">
        <f>_xll.EQNXTDZ($A$1,$B8,D$1,$B$1)</f>
        <v>30</v>
      </c>
      <c r="E8">
        <f>_xll.EQNXTDZ($A$1,$B8,E$1,$B$1)</f>
        <v>29</v>
      </c>
      <c r="F8">
        <f>_xll.EQNXTDZ($A$1,$B8,F$1,$B$1)</f>
        <v>68</v>
      </c>
      <c r="G8">
        <f>_xll.EQNXTDZ($A$1,$B8,G$1,$B$1)</f>
        <v>69</v>
      </c>
      <c r="H8">
        <f>_xll.EQNXTDZ($A$1,$B8,H$1,$B$1)</f>
        <v>36</v>
      </c>
      <c r="I8">
        <f>_xll.EQNXTDZ($A$1,$B8,I$1,$B$1)</f>
        <v>25</v>
      </c>
      <c r="J8">
        <f>_xll.EQNXTDZ($A$1,$B8,J$1,$B$1)</f>
        <v>18</v>
      </c>
      <c r="K8">
        <f>_xll.EQNXTDZ($A$1,$B8,K$1,$B$1)</f>
        <v>22</v>
      </c>
      <c r="L8">
        <f>_xll.EQNXTDZ($A$1,$B8,L$1,$B$1)</f>
        <v>14</v>
      </c>
      <c r="M8">
        <f>_xll.EQNXTDZ($A$1,$B8,M$1,$B$1)</f>
        <v>12</v>
      </c>
      <c r="N8">
        <f>_xll.EQNXTDZ($A$1,$B8,N$1,$B$1)</f>
        <v>20</v>
      </c>
      <c r="O8">
        <f>_xll.EQNXTDZ($A$1,$B8,O$1,$B$1)</f>
        <v>61</v>
      </c>
      <c r="P8">
        <f>_xll.EQNXTDZ($A$1,$B8,P$1,$B$1)</f>
        <v>36</v>
      </c>
      <c r="Q8">
        <f>_xll.EQNXTDZ($A$1,$B8,Q$1,$B$1)</f>
        <v>24</v>
      </c>
      <c r="R8">
        <f>_xll.EQNXTDZ($A$1,$B8,R$1,$B$1)</f>
        <v>26</v>
      </c>
      <c r="S8">
        <f>_xll.EQNXTDZ($A$1,$B8,S$1,$B$1)</f>
        <v>38</v>
      </c>
      <c r="T8">
        <f>_xll.EQNXTDZ($A$1,$B8,T$1,$B$1)</f>
        <v>23</v>
      </c>
      <c r="U8">
        <f>_xll.EQNXTDZ($A$1,$B8,U$1,$B$1)</f>
        <v>30</v>
      </c>
      <c r="V8">
        <f>_xll.EQNXTDZ($A$1,$B8,V$1,$B$1)</f>
        <v>53</v>
      </c>
      <c r="W8">
        <f>_xll.EQNXTDZ($A$1,$B8,W$1,$B$1)</f>
        <v>26</v>
      </c>
      <c r="X8">
        <f>_xll.EQNXTDZ($A$1,$B8,X$1,$B$1)</f>
        <v>28</v>
      </c>
      <c r="Y8">
        <f>_xll.EQNXTDZ($A$1,$B8,Y$1,$B$1)</f>
        <v>29</v>
      </c>
      <c r="Z8">
        <f>_xll.EQNXTDZ($A$1,$B8,Z$1,$B$1)</f>
        <v>42</v>
      </c>
      <c r="AA8">
        <f>_xll.EQNXTDZ($A$1,$B8,AA$1,$B$1)</f>
        <v>38</v>
      </c>
      <c r="AB8">
        <f>_xll.EQNXTDZ($A$1,$B8,AB$1,$B$1)</f>
        <v>36</v>
      </c>
      <c r="AC8">
        <f>_xll.EQNXTDZ($A$1,$B8,AC$1,$B$1)</f>
        <v>103</v>
      </c>
      <c r="AD8">
        <f>_xll.EQNXTDZ($A$1,$B8,AD$1,$B$1)</f>
        <v>34</v>
      </c>
      <c r="AE8">
        <f>_xll.EQNXTDZ($A$1,$B8,AE$1,$B$1)</f>
        <v>46</v>
      </c>
      <c r="AF8">
        <f>_xll.EQNXTDZ($A$1,$B8,AF$1,$B$1)</f>
        <v>37</v>
      </c>
      <c r="AG8">
        <f>_xll.EQNXTDZ($A$1,$B8,AG$1,$B$1)</f>
        <v>42</v>
      </c>
      <c r="AH8">
        <f>_xll.EQNXTDZ($A$1,$B8,AH$1,$B$1)</f>
        <v>34</v>
      </c>
      <c r="AI8">
        <f>_xll.EQNXTDZ($A$1,$B8,AI$1,$B$1)</f>
        <v>42</v>
      </c>
      <c r="AJ8">
        <f>_xll.EQNXTDZ($A$1,$B8,AJ$1,$B$1)</f>
        <v>32</v>
      </c>
      <c r="AK8">
        <f>_xll.EQNXTDZ($A$1,$B8,AK$1,$B$1)</f>
        <v>23</v>
      </c>
      <c r="AL8">
        <f>_xll.EQNXTDZ($A$1,$B8,AL$1,$B$1)</f>
        <v>22</v>
      </c>
      <c r="AM8">
        <f>_xll.EQNXTDZ($A$1,$B8,AM$1,$B$1)</f>
        <v>14</v>
      </c>
      <c r="AN8">
        <f>_xll.EQNXTDZ($A$1,$B8,AN$1,$B$1)</f>
        <v>34</v>
      </c>
      <c r="AO8">
        <f>_xll.EQNXTDZ($A$1,$B8,AO$1,$B$1)</f>
        <v>16</v>
      </c>
      <c r="AP8">
        <f>_xll.EQNXTDZ($A$1,$B8,AP$1,$B$1)</f>
        <v>27</v>
      </c>
      <c r="AQ8">
        <f>_xll.EQNXTDZ($A$1,$B8,AQ$1,$B$1)</f>
        <v>55</v>
      </c>
      <c r="AR8">
        <f>_xll.EQNXTDZ($A$1,$B8,AR$1,$B$1)</f>
        <v>30</v>
      </c>
      <c r="AS8">
        <f>_xll.EQNXTDZ($A$1,$B8,AS$1,$B$1)</f>
        <v>32</v>
      </c>
      <c r="AT8">
        <f>_xll.EQNXTDZ($A$1,$B8,AT$1,$B$1)</f>
        <v>39</v>
      </c>
      <c r="AU8">
        <f>_xll.EQNXTDZ($A$1,$B8,AU$1,$B$1)</f>
        <v>43</v>
      </c>
      <c r="AV8">
        <f>_xll.EQNXTDZ($A$1,$B8,AV$1,$B$1)</f>
        <v>32</v>
      </c>
      <c r="AW8">
        <f>_xll.EQNXTDZ($A$1,$B8,AW$1,$B$1)</f>
        <v>41</v>
      </c>
      <c r="AX8">
        <f>_xll.EQNXTDZ($A$1,$B8,AX$1,$B$1)</f>
        <v>50</v>
      </c>
      <c r="AY8">
        <f>_xll.EQNXTDZ($A$1,$B8,AY$1,$B$1)</f>
        <v>44</v>
      </c>
      <c r="AZ8">
        <f>_xll.EQNXTDZ($A$1,$B8,AZ$1,$B$1)</f>
        <v>58</v>
      </c>
      <c r="BA8">
        <f>_xll.EQNXTDZ($A$1,$B8,BA$1,$B$1)</f>
        <v>47</v>
      </c>
      <c r="BB8">
        <f>_xll.EQNXTDZ($A$1,$B8,BB$1,$B$1)</f>
        <v>50</v>
      </c>
      <c r="BC8">
        <f>_xll.EQNXTDZ($A$1,$B8,BC$1,$B$1)</f>
        <v>50</v>
      </c>
      <c r="BD8">
        <f>_xll.EQNXTDZ($A$1,$B8,BD$1,$B$1)</f>
        <v>56</v>
      </c>
      <c r="BE8">
        <f>_xll.EQNXTDZ($A$1,$B8,BE$1,$B$1)</f>
        <v>52</v>
      </c>
      <c r="BF8">
        <f>_xll.EQNXTDZ($A$1,$B8,BF$1,$B$1)</f>
        <v>69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767</v>
      </c>
      <c r="D9">
        <f>_xll.EQNXTDZ($A$1,$B9,D$1,$B$1)</f>
        <v>777</v>
      </c>
      <c r="E9">
        <f>_xll.EQNXTDZ($A$1,$B9,E$1,$B$1)</f>
        <v>797</v>
      </c>
      <c r="F9">
        <f>_xll.EQNXTDZ($A$1,$B9,F$1,$B$1)</f>
        <v>871</v>
      </c>
      <c r="G9">
        <f>_xll.EQNXTDZ($A$1,$B9,G$1,$B$1)</f>
        <v>972</v>
      </c>
      <c r="H9">
        <f>_xll.EQNXTDZ($A$1,$B9,H$1,$B$1)</f>
        <v>972</v>
      </c>
      <c r="I9">
        <f>_xll.EQNXTDZ($A$1,$B9,I$1,$B$1)</f>
        <v>1015</v>
      </c>
      <c r="J9">
        <f>_xll.EQNXTDZ($A$1,$B9,J$1,$B$1)</f>
        <v>1225</v>
      </c>
      <c r="K9">
        <f>_xll.EQNXTDZ($A$1,$B9,K$1,$B$1)</f>
        <v>1114</v>
      </c>
      <c r="L9">
        <f>_xll.EQNXTDZ($A$1,$B9,L$1,$B$1)</f>
        <v>1217</v>
      </c>
      <c r="M9">
        <f>_xll.EQNXTDZ($A$1,$B9,M$1,$B$1)</f>
        <v>1168</v>
      </c>
      <c r="N9">
        <f>_xll.EQNXTDZ($A$1,$B9,N$1,$B$1)</f>
        <v>1154</v>
      </c>
      <c r="O9">
        <f>_xll.EQNXTDZ($A$1,$B9,O$1,$B$1)</f>
        <v>1947</v>
      </c>
      <c r="P9">
        <f>_xll.EQNXTDZ($A$1,$B9,P$1,$B$1)</f>
        <v>1693</v>
      </c>
      <c r="Q9">
        <f>_xll.EQNXTDZ($A$1,$B9,Q$1,$B$1)</f>
        <v>1542</v>
      </c>
      <c r="R9">
        <f>_xll.EQNXTDZ($A$1,$B9,R$1,$B$1)</f>
        <v>1503</v>
      </c>
      <c r="S9">
        <f>_xll.EQNXTDZ($A$1,$B9,S$1,$B$1)</f>
        <v>1551</v>
      </c>
      <c r="T9">
        <f>_xll.EQNXTDZ($A$1,$B9,T$1,$B$1)</f>
        <v>1429</v>
      </c>
      <c r="U9">
        <f>_xll.EQNXTDZ($A$1,$B9,U$1,$B$1)</f>
        <v>1443</v>
      </c>
      <c r="V9">
        <f>_xll.EQNXTDZ($A$1,$B9,V$1,$B$1)</f>
        <v>1434</v>
      </c>
      <c r="W9">
        <f>_xll.EQNXTDZ($A$1,$B9,W$1,$B$1)</f>
        <v>1362</v>
      </c>
      <c r="X9">
        <f>_xll.EQNXTDZ($A$1,$B9,X$1,$B$1)</f>
        <v>1417</v>
      </c>
      <c r="Y9">
        <f>_xll.EQNXTDZ($A$1,$B9,Y$1,$B$1)</f>
        <v>1463</v>
      </c>
      <c r="Z9">
        <f>_xll.EQNXTDZ($A$1,$B9,Z$1,$B$1)</f>
        <v>1708</v>
      </c>
      <c r="AA9">
        <f>_xll.EQNXTDZ($A$1,$B9,AA$1,$B$1)</f>
        <v>1872</v>
      </c>
      <c r="AB9">
        <f>_xll.EQNXTDZ($A$1,$B9,AB$1,$B$1)</f>
        <v>1894</v>
      </c>
      <c r="AC9">
        <f>_xll.EQNXTDZ($A$1,$B9,AC$1,$B$1)</f>
        <v>2051</v>
      </c>
      <c r="AD9">
        <f>_xll.EQNXTDZ($A$1,$B9,AD$1,$B$1)</f>
        <v>1856</v>
      </c>
      <c r="AE9">
        <f>_xll.EQNXTDZ($A$1,$B9,AE$1,$B$1)</f>
        <v>2022</v>
      </c>
      <c r="AF9">
        <f>_xll.EQNXTDZ($A$1,$B9,AF$1,$B$1)</f>
        <v>2005</v>
      </c>
      <c r="AG9">
        <f>_xll.EQNXTDZ($A$1,$B9,AG$1,$B$1)</f>
        <v>1966</v>
      </c>
      <c r="AH9">
        <f>_xll.EQNXTDZ($A$1,$B9,AH$1,$B$1)</f>
        <v>1946</v>
      </c>
      <c r="AI9">
        <f>_xll.EQNXTDZ($A$1,$B9,AI$1,$B$1)</f>
        <v>2056</v>
      </c>
      <c r="AJ9">
        <f>_xll.EQNXTDZ($A$1,$B9,AJ$1,$B$1)</f>
        <v>2017</v>
      </c>
      <c r="AK9">
        <f>_xll.EQNXTDZ($A$1,$B9,AK$1,$B$1)</f>
        <v>1995</v>
      </c>
      <c r="AL9">
        <f>_xll.EQNXTDZ($A$1,$B9,AL$1,$B$1)</f>
        <v>1937</v>
      </c>
      <c r="AM9">
        <f>_xll.EQNXTDZ($A$1,$B9,AM$1,$B$1)</f>
        <v>2134</v>
      </c>
      <c r="AN9">
        <f>_xll.EQNXTDZ($A$1,$B9,AN$1,$B$1)</f>
        <v>2137</v>
      </c>
      <c r="AO9">
        <f>_xll.EQNXTDZ($A$1,$B9,AO$1,$B$1)</f>
        <v>2108</v>
      </c>
      <c r="AP9">
        <f>_xll.EQNXTDZ($A$1,$B9,AP$1,$B$1)</f>
        <v>2131</v>
      </c>
      <c r="AQ9">
        <f>_xll.EQNXTDZ($A$1,$B9,AQ$1,$B$1)</f>
        <v>2347</v>
      </c>
      <c r="AR9">
        <f>_xll.EQNXTDZ($A$1,$B9,AR$1,$B$1)</f>
        <v>2291</v>
      </c>
      <c r="AS9">
        <f>_xll.EQNXTDZ($A$1,$B9,AS$1,$B$1)</f>
        <v>2491</v>
      </c>
      <c r="AT9">
        <f>_xll.EQNXTDZ($A$1,$B9,AT$1,$B$1)</f>
        <v>2491</v>
      </c>
      <c r="AU9">
        <f>_xll.EQNXTDZ($A$1,$B9,AU$1,$B$1)</f>
        <v>2591</v>
      </c>
      <c r="AV9">
        <f>_xll.EQNXTDZ($A$1,$B9,AV$1,$B$1)</f>
        <v>2660</v>
      </c>
      <c r="AW9">
        <f>_xll.EQNXTDZ($A$1,$B9,AW$1,$B$1)</f>
        <v>2732</v>
      </c>
      <c r="AX9">
        <f>_xll.EQNXTDZ($A$1,$B9,AX$1,$B$1)</f>
        <v>2745</v>
      </c>
      <c r="AY9">
        <f>_xll.EQNXTDZ($A$1,$B9,AY$1,$B$1)</f>
        <v>2859</v>
      </c>
      <c r="AZ9">
        <f>_xll.EQNXTDZ($A$1,$B9,AZ$1,$B$1)</f>
        <v>2889</v>
      </c>
      <c r="BA9">
        <f>_xll.EQNXTDZ($A$1,$B9,BA$1,$B$1)</f>
        <v>2809</v>
      </c>
      <c r="BB9">
        <f>_xll.EQNXTDZ($A$1,$B9,BB$1,$B$1)</f>
        <v>2959</v>
      </c>
      <c r="BC9">
        <f>_xll.EQNXTDZ($A$1,$B9,BC$1,$B$1)</f>
        <v>3178</v>
      </c>
      <c r="BD9">
        <f>_xll.EQNXTDZ($A$1,$B9,BD$1,$B$1)</f>
        <v>3302</v>
      </c>
      <c r="BE9">
        <f>_xll.EQNXTDZ($A$1,$B9,BE$1,$B$1)</f>
        <v>3303</v>
      </c>
      <c r="BF9">
        <f>_xll.EQNXTDZ($A$1,$B9,BF$1,$B$1)</f>
        <v>4197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-47</v>
      </c>
      <c r="D10">
        <f>_xll.EQNXTDZ($A$1,$B10,D$1,$B$1)</f>
        <v>-70</v>
      </c>
      <c r="E10">
        <f>_xll.EQNXTDZ($A$1,$B10,E$1,$B$1)</f>
        <v>-40</v>
      </c>
      <c r="F10">
        <f>_xll.EQNXTDZ($A$1,$B10,F$1,$B$1)</f>
        <v>-57</v>
      </c>
      <c r="G10">
        <f>_xll.EQNXTDZ($A$1,$B10,G$1,$B$1)</f>
        <v>-26</v>
      </c>
      <c r="H10">
        <f>_xll.EQNXTDZ($A$1,$B10,H$1,$B$1)</f>
        <v>-15</v>
      </c>
      <c r="I10">
        <f>_xll.EQNXTDZ($A$1,$B10,I$1,$B$1)</f>
        <v>4</v>
      </c>
      <c r="J10">
        <f>_xll.EQNXTDZ($A$1,$B10,J$1,$B$1)</f>
        <v>-17</v>
      </c>
      <c r="K10">
        <f>_xll.EQNXTDZ($A$1,$B10,K$1,$B$1)</f>
        <v>-19</v>
      </c>
      <c r="L10">
        <f>_xll.EQNXTDZ($A$1,$B10,L$1,$B$1)</f>
        <v>-22</v>
      </c>
      <c r="M10">
        <f>_xll.EQNXTDZ($A$1,$B10,M$1,$B$1)</f>
        <v>-11</v>
      </c>
      <c r="N10">
        <f>_xll.EQNXTDZ($A$1,$B10,N$1,$B$1)</f>
        <v>-9</v>
      </c>
      <c r="O10">
        <f>_xll.EQNXTDZ($A$1,$B10,O$1,$B$1)</f>
        <v>-8</v>
      </c>
      <c r="P10">
        <f>_xll.EQNXTDZ($A$1,$B10,P$1,$B$1)</f>
        <v>-33</v>
      </c>
      <c r="Q10">
        <f>_xll.EQNXTDZ($A$1,$B10,Q$1,$B$1)</f>
        <v>-82</v>
      </c>
      <c r="R10">
        <f>_xll.EQNXTDZ($A$1,$B10,R$1,$B$1)</f>
        <v>-25</v>
      </c>
      <c r="S10">
        <f>_xll.EQNXTDZ($A$1,$B10,S$1,$B$1)</f>
        <v>-88</v>
      </c>
      <c r="T10">
        <f>_xll.EQNXTDZ($A$1,$B10,T$1,$B$1)</f>
        <v>-109</v>
      </c>
      <c r="U10">
        <f>_xll.EQNXTDZ($A$1,$B10,U$1,$B$1)</f>
        <v>-17</v>
      </c>
      <c r="V10">
        <f>_xll.EQNXTDZ($A$1,$B10,V$1,$B$1)</f>
        <v>75</v>
      </c>
      <c r="W10">
        <f>_xll.EQNXTDZ($A$1,$B10,W$1,$B$1)</f>
        <v>-49</v>
      </c>
      <c r="X10">
        <f>_xll.EQNXTDZ($A$1,$B10,X$1,$B$1)</f>
        <v>49</v>
      </c>
      <c r="Y10">
        <f>_xll.EQNXTDZ($A$1,$B10,Y$1,$B$1)</f>
        <v>-187</v>
      </c>
      <c r="Z10">
        <f>_xll.EQNXTDZ($A$1,$B10,Z$1,$B$1)</f>
        <v>-175</v>
      </c>
      <c r="AA10">
        <f>_xll.EQNXTDZ($A$1,$B10,AA$1,$B$1)</f>
        <v>-14</v>
      </c>
      <c r="AB10">
        <f>_xll.EQNXTDZ($A$1,$B10,AB$1,$B$1)</f>
        <v>39</v>
      </c>
      <c r="AC10">
        <f>_xll.EQNXTDZ($A$1,$B10,AC$1,$B$1)</f>
        <v>29</v>
      </c>
      <c r="AD10">
        <f>_xll.EQNXTDZ($A$1,$B10,AD$1,$B$1)</f>
        <v>29</v>
      </c>
      <c r="AE10">
        <f>_xll.EQNXTDZ($A$1,$B10,AE$1,$B$1)</f>
        <v>-27</v>
      </c>
      <c r="AF10">
        <f>_xll.EQNXTDZ($A$1,$B10,AF$1,$B$1)</f>
        <v>-3</v>
      </c>
      <c r="AG10">
        <f>_xll.EQNXTDZ($A$1,$B10,AG$1,$B$1)</f>
        <v>-21</v>
      </c>
      <c r="AH10">
        <f>_xll.EQNXTDZ($A$1,$B10,AH$1,$B$1)</f>
        <v>-82</v>
      </c>
      <c r="AI10">
        <f>_xll.EQNXTDZ($A$1,$B10,AI$1,$B$1)</f>
        <v>-93</v>
      </c>
      <c r="AJ10">
        <f>_xll.EQNXTDZ($A$1,$B10,AJ$1,$B$1)</f>
        <v>-83</v>
      </c>
      <c r="AK10">
        <f>_xll.EQNXTDZ($A$1,$B10,AK$1,$B$1)</f>
        <v>-29</v>
      </c>
      <c r="AL10">
        <f>_xll.EQNXTDZ($A$1,$B10,AL$1,$B$1)</f>
        <v>-74</v>
      </c>
      <c r="AM10">
        <f>_xll.EQNXTDZ($A$1,$B10,AM$1,$B$1)</f>
        <v>-26</v>
      </c>
      <c r="AN10">
        <f>_xll.EQNXTDZ($A$1,$B10,AN$1,$B$1)</f>
        <v>30</v>
      </c>
      <c r="AO10">
        <f>_xll.EQNXTDZ($A$1,$B10,AO$1,$B$1)</f>
        <v>79</v>
      </c>
      <c r="AP10">
        <f>_xll.EQNXTDZ($A$1,$B10,AP$1,$B$1)</f>
        <v>-9</v>
      </c>
      <c r="AQ10">
        <f>_xll.EQNXTDZ($A$1,$B10,AQ$1,$B$1)</f>
        <v>22</v>
      </c>
      <c r="AR10">
        <f>_xll.EQNXTDZ($A$1,$B10,AR$1,$B$1)</f>
        <v>66</v>
      </c>
      <c r="AS10">
        <f>_xll.EQNXTDZ($A$1,$B10,AS$1,$B$1)</f>
        <v>30</v>
      </c>
      <c r="AT10">
        <f>_xll.EQNXTDZ($A$1,$B10,AT$1,$B$1)</f>
        <v>48</v>
      </c>
      <c r="AU10">
        <f>_xll.EQNXTDZ($A$1,$B10,AU$1,$B$1)</f>
        <v>-35</v>
      </c>
      <c r="AV10">
        <f>_xll.EQNXTDZ($A$1,$B10,AV$1,$B$1)</f>
        <v>-65</v>
      </c>
      <c r="AW10">
        <f>_xll.EQNXTDZ($A$1,$B10,AW$1,$B$1)</f>
        <v>-9</v>
      </c>
      <c r="AX10">
        <f>_xll.EQNXTDZ($A$1,$B10,AX$1,$B$1)</f>
        <v>-46</v>
      </c>
      <c r="AY10">
        <f>_xll.EQNXTDZ($A$1,$B10,AY$1,$B$1)</f>
        <v>-30</v>
      </c>
      <c r="AZ10">
        <f>_xll.EQNXTDZ($A$1,$B10,AZ$1,$B$1)</f>
        <v>-41</v>
      </c>
      <c r="BA10">
        <f>_xll.EQNXTDZ($A$1,$B10,BA$1,$B$1)</f>
        <v>-117</v>
      </c>
      <c r="BB10">
        <f>_xll.EQNXTDZ($A$1,$B10,BB$1,$B$1)</f>
        <v>-87</v>
      </c>
      <c r="BC10">
        <f>_xll.EQNXTDZ($A$1,$B10,BC$1,$B$1)</f>
        <v>40</v>
      </c>
      <c r="BD10">
        <f>_xll.EQNXTDZ($A$1,$B10,BD$1,$B$1)</f>
        <v>36</v>
      </c>
      <c r="BE10">
        <f>_xll.EQNXTDZ($A$1,$B10,BE$1,$B$1)</f>
        <v>-37</v>
      </c>
      <c r="BF10">
        <f>_xll.EQNXTDZ($A$1,$B10,BF$1,$B$1)</f>
        <v>-28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203</v>
      </c>
      <c r="D11">
        <f>_xll.EQNXTDZ($A$1,$B11,D$1,$B$1)</f>
        <v>212</v>
      </c>
      <c r="E11">
        <f>_xll.EQNXTDZ($A$1,$B11,E$1,$B$1)</f>
        <v>212</v>
      </c>
      <c r="F11">
        <f>_xll.EQNXTDZ($A$1,$B11,F$1,$B$1)</f>
        <v>218</v>
      </c>
      <c r="G11">
        <f>_xll.EQNXTDZ($A$1,$B11,G$1,$B$1)</f>
        <v>213</v>
      </c>
      <c r="H11">
        <f>_xll.EQNXTDZ($A$1,$B11,H$1,$B$1)</f>
        <v>214</v>
      </c>
      <c r="I11">
        <f>_xll.EQNXTDZ($A$1,$B11,I$1,$B$1)</f>
        <v>228</v>
      </c>
      <c r="J11">
        <f>_xll.EQNXTDZ($A$1,$B11,J$1,$B$1)</f>
        <v>223</v>
      </c>
      <c r="K11">
        <f>_xll.EQNXTDZ($A$1,$B11,K$1,$B$1)</f>
        <v>201</v>
      </c>
      <c r="L11">
        <f>_xll.EQNXTDZ($A$1,$B11,L$1,$B$1)</f>
        <v>269</v>
      </c>
      <c r="M11">
        <f>_xll.EQNXTDZ($A$1,$B11,M$1,$B$1)</f>
        <v>253</v>
      </c>
      <c r="N11">
        <f>_xll.EQNXTDZ($A$1,$B11,N$1,$B$1)</f>
        <v>251</v>
      </c>
      <c r="O11">
        <f>_xll.EQNXTDZ($A$1,$B11,O$1,$B$1)</f>
        <v>264</v>
      </c>
      <c r="P11">
        <f>_xll.EQNXTDZ($A$1,$B11,P$1,$B$1)</f>
        <v>260</v>
      </c>
      <c r="Q11">
        <f>_xll.EQNXTDZ($A$1,$B11,Q$1,$B$1)</f>
        <v>281</v>
      </c>
      <c r="R11">
        <f>_xll.EQNXTDZ($A$1,$B11,R$1,$B$1)</f>
        <v>242</v>
      </c>
      <c r="S11">
        <f>_xll.EQNXTDZ($A$1,$B11,S$1,$B$1)</f>
        <v>343</v>
      </c>
      <c r="T11">
        <f>_xll.EQNXTDZ($A$1,$B11,T$1,$B$1)</f>
        <v>298</v>
      </c>
      <c r="U11">
        <f>_xll.EQNXTDZ($A$1,$B11,U$1,$B$1)</f>
        <v>309</v>
      </c>
      <c r="V11">
        <f>_xll.EQNXTDZ($A$1,$B11,V$1,$B$1)</f>
        <v>230</v>
      </c>
      <c r="W11">
        <f>_xll.EQNXTDZ($A$1,$B11,W$1,$B$1)</f>
        <v>250</v>
      </c>
      <c r="X11">
        <f>_xll.EQNXTDZ($A$1,$B11,X$1,$B$1)</f>
        <v>181</v>
      </c>
      <c r="Y11">
        <f>_xll.EQNXTDZ($A$1,$B11,Y$1,$B$1)</f>
        <v>260</v>
      </c>
      <c r="Z11">
        <f>_xll.EQNXTDZ($A$1,$B11,Z$1,$B$1)</f>
        <v>348</v>
      </c>
      <c r="AA11">
        <f>_xll.EQNXTDZ($A$1,$B11,AA$1,$B$1)</f>
        <v>324</v>
      </c>
      <c r="AB11">
        <f>_xll.EQNXTDZ($A$1,$B11,AB$1,$B$1)</f>
        <v>271</v>
      </c>
      <c r="AC11">
        <f>_xll.EQNXTDZ($A$1,$B11,AC$1,$B$1)</f>
        <v>335</v>
      </c>
      <c r="AD11">
        <f>_xll.EQNXTDZ($A$1,$B11,AD$1,$B$1)</f>
        <v>360</v>
      </c>
      <c r="AE11">
        <f>_xll.EQNXTDZ($A$1,$B11,AE$1,$B$1)</f>
        <v>376</v>
      </c>
      <c r="AF11">
        <f>_xll.EQNXTDZ($A$1,$B11,AF$1,$B$1)</f>
        <v>331</v>
      </c>
      <c r="AG11">
        <f>_xll.EQNXTDZ($A$1,$B11,AG$1,$B$1)</f>
        <v>339</v>
      </c>
      <c r="AH11">
        <f>_xll.EQNXTDZ($A$1,$B11,AH$1,$B$1)</f>
        <v>331</v>
      </c>
      <c r="AI11">
        <f>_xll.EQNXTDZ($A$1,$B11,AI$1,$B$1)</f>
        <v>345</v>
      </c>
      <c r="AJ11">
        <f>_xll.EQNXTDZ($A$1,$B11,AJ$1,$B$1)</f>
        <v>364</v>
      </c>
      <c r="AK11">
        <f>_xll.EQNXTDZ($A$1,$B11,AK$1,$B$1)</f>
        <v>365</v>
      </c>
      <c r="AL11">
        <f>_xll.EQNXTDZ($A$1,$B11,AL$1,$B$1)</f>
        <v>347</v>
      </c>
      <c r="AM11">
        <f>_xll.EQNXTDZ($A$1,$B11,AM$1,$B$1)</f>
        <v>408</v>
      </c>
      <c r="AN11">
        <f>_xll.EQNXTDZ($A$1,$B11,AN$1,$B$1)</f>
        <v>369</v>
      </c>
      <c r="AO11">
        <f>_xll.EQNXTDZ($A$1,$B11,AO$1,$B$1)</f>
        <v>364</v>
      </c>
      <c r="AP11">
        <f>_xll.EQNXTDZ($A$1,$B11,AP$1,$B$1)</f>
        <v>397</v>
      </c>
      <c r="AQ11">
        <f>_xll.EQNXTDZ($A$1,$B11,AQ$1,$B$1)</f>
        <v>392</v>
      </c>
      <c r="AR11">
        <f>_xll.EQNXTDZ($A$1,$B11,AR$1,$B$1)</f>
        <v>350</v>
      </c>
      <c r="AS11">
        <f>_xll.EQNXTDZ($A$1,$B11,AS$1,$B$1)</f>
        <v>350</v>
      </c>
      <c r="AT11">
        <f>_xll.EQNXTDZ($A$1,$B11,AT$1,$B$1)</f>
        <v>388</v>
      </c>
      <c r="AU11">
        <f>_xll.EQNXTDZ($A$1,$B11,AU$1,$B$1)</f>
        <v>435</v>
      </c>
      <c r="AV11">
        <f>_xll.EQNXTDZ($A$1,$B11,AV$1,$B$1)</f>
        <v>433</v>
      </c>
      <c r="AW11">
        <f>_xll.EQNXTDZ($A$1,$B11,AW$1,$B$1)</f>
        <v>379</v>
      </c>
      <c r="AX11">
        <f>_xll.EQNXTDZ($A$1,$B11,AX$1,$B$1)</f>
        <v>410</v>
      </c>
      <c r="AY11">
        <f>_xll.EQNXTDZ($A$1,$B11,AY$1,$B$1)</f>
        <v>411</v>
      </c>
      <c r="AZ11">
        <f>_xll.EQNXTDZ($A$1,$B11,AZ$1,$B$1)</f>
        <v>337</v>
      </c>
      <c r="BA11">
        <f>_xll.EQNXTDZ($A$1,$B11,BA$1,$B$1)</f>
        <v>370</v>
      </c>
      <c r="BB11">
        <f>_xll.EQNXTDZ($A$1,$B11,BB$1,$B$1)</f>
        <v>402</v>
      </c>
      <c r="BC11">
        <f>_xll.EQNXTDZ($A$1,$B11,BC$1,$B$1)</f>
        <v>396</v>
      </c>
      <c r="BD11">
        <f>_xll.EQNXTDZ($A$1,$B11,BD$1,$B$1)</f>
        <v>382</v>
      </c>
      <c r="BE11">
        <f>_xll.EQNXTDZ($A$1,$B11,BE$1,$B$1)</f>
        <v>414</v>
      </c>
      <c r="BF11">
        <f>_xll.EQNXTDZ($A$1,$B11,BF$1,$B$1)</f>
        <v>566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64</v>
      </c>
      <c r="D12">
        <f>_xll.EQNXTDZ($A$1,$B12,D$1,$B$1)</f>
        <v>75</v>
      </c>
      <c r="E12">
        <f>_xll.EQNXTDZ($A$1,$B12,E$1,$B$1)</f>
        <v>74</v>
      </c>
      <c r="F12">
        <f>_xll.EQNXTDZ($A$1,$B12,F$1,$B$1)</f>
        <v>82</v>
      </c>
      <c r="G12">
        <f>_xll.EQNXTDZ($A$1,$B12,G$1,$B$1)</f>
        <v>112</v>
      </c>
      <c r="H12">
        <f>_xll.EQNXTDZ($A$1,$B12,H$1,$B$1)</f>
        <v>102</v>
      </c>
      <c r="I12">
        <f>_xll.EQNXTDZ($A$1,$B12,I$1,$B$1)</f>
        <v>86</v>
      </c>
      <c r="J12">
        <f>_xll.EQNXTDZ($A$1,$B12,J$1,$B$1)</f>
        <v>114</v>
      </c>
      <c r="K12">
        <f>_xll.EQNXTDZ($A$1,$B12,K$1,$B$1)</f>
        <v>119</v>
      </c>
      <c r="L12">
        <f>_xll.EQNXTDZ($A$1,$B12,L$1,$B$1)</f>
        <v>134</v>
      </c>
      <c r="M12">
        <f>_xll.EQNXTDZ($A$1,$B12,M$1,$B$1)</f>
        <v>130</v>
      </c>
      <c r="N12">
        <f>_xll.EQNXTDZ($A$1,$B12,N$1,$B$1)</f>
        <v>119</v>
      </c>
      <c r="O12">
        <f>_xll.EQNXTDZ($A$1,$B12,O$1,$B$1)</f>
        <v>162</v>
      </c>
      <c r="P12">
        <f>_xll.EQNXTDZ($A$1,$B12,P$1,$B$1)</f>
        <v>149</v>
      </c>
      <c r="Q12">
        <f>_xll.EQNXTDZ($A$1,$B12,Q$1,$B$1)</f>
        <v>173</v>
      </c>
      <c r="R12">
        <f>_xll.EQNXTDZ($A$1,$B12,R$1,$B$1)</f>
        <v>194</v>
      </c>
      <c r="S12">
        <f>_xll.EQNXTDZ($A$1,$B12,S$1,$B$1)</f>
        <v>182</v>
      </c>
      <c r="T12">
        <f>_xll.EQNXTDZ($A$1,$B12,T$1,$B$1)</f>
        <v>212</v>
      </c>
      <c r="U12">
        <f>_xll.EQNXTDZ($A$1,$B12,U$1,$B$1)</f>
        <v>172</v>
      </c>
      <c r="V12">
        <f>_xll.EQNXTDZ($A$1,$B12,V$1,$B$1)</f>
        <v>185</v>
      </c>
      <c r="W12">
        <f>_xll.EQNXTDZ($A$1,$B12,W$1,$B$1)</f>
        <v>200</v>
      </c>
      <c r="X12">
        <f>_xll.EQNXTDZ($A$1,$B12,X$1,$B$1)</f>
        <v>188</v>
      </c>
      <c r="Y12">
        <f>_xll.EQNXTDZ($A$1,$B12,Y$1,$B$1)</f>
        <v>319</v>
      </c>
      <c r="Z12">
        <f>_xll.EQNXTDZ($A$1,$B12,Z$1,$B$1)</f>
        <v>290</v>
      </c>
      <c r="AA12">
        <f>_xll.EQNXTDZ($A$1,$B12,AA$1,$B$1)</f>
        <v>248</v>
      </c>
      <c r="AB12">
        <f>_xll.EQNXTDZ($A$1,$B12,AB$1,$B$1)</f>
        <v>238</v>
      </c>
      <c r="AC12">
        <f>_xll.EQNXTDZ($A$1,$B12,AC$1,$B$1)</f>
        <v>216</v>
      </c>
      <c r="AD12">
        <f>_xll.EQNXTDZ($A$1,$B12,AD$1,$B$1)</f>
        <v>144</v>
      </c>
      <c r="AE12">
        <f>_xll.EQNXTDZ($A$1,$B12,AE$1,$B$1)</f>
        <v>210</v>
      </c>
      <c r="AF12">
        <f>_xll.EQNXTDZ($A$1,$B12,AF$1,$B$1)</f>
        <v>210</v>
      </c>
      <c r="AG12">
        <f>_xll.EQNXTDZ($A$1,$B12,AG$1,$B$1)</f>
        <v>224</v>
      </c>
      <c r="AH12">
        <f>_xll.EQNXTDZ($A$1,$B12,AH$1,$B$1)</f>
        <v>279</v>
      </c>
      <c r="AI12">
        <f>_xll.EQNXTDZ($A$1,$B12,AI$1,$B$1)</f>
        <v>283</v>
      </c>
      <c r="AJ12">
        <f>_xll.EQNXTDZ($A$1,$B12,AJ$1,$B$1)</f>
        <v>273</v>
      </c>
      <c r="AK12">
        <f>_xll.EQNXTDZ($A$1,$B12,AK$1,$B$1)</f>
        <v>226</v>
      </c>
      <c r="AL12">
        <f>_xll.EQNXTDZ($A$1,$B12,AL$1,$B$1)</f>
        <v>223</v>
      </c>
      <c r="AM12">
        <f>_xll.EQNXTDZ($A$1,$B12,AM$1,$B$1)</f>
        <v>206</v>
      </c>
      <c r="AN12">
        <f>_xll.EQNXTDZ($A$1,$B12,AN$1,$B$1)</f>
        <v>196</v>
      </c>
      <c r="AO12">
        <f>_xll.EQNXTDZ($A$1,$B12,AO$1,$B$1)</f>
        <v>195</v>
      </c>
      <c r="AP12">
        <f>_xll.EQNXTDZ($A$1,$B12,AP$1,$B$1)</f>
        <v>234</v>
      </c>
      <c r="AQ12">
        <f>_xll.EQNXTDZ($A$1,$B12,AQ$1,$B$1)</f>
        <v>246</v>
      </c>
      <c r="AR12">
        <f>_xll.EQNXTDZ($A$1,$B12,AR$1,$B$1)</f>
        <v>225</v>
      </c>
      <c r="AS12">
        <f>_xll.EQNXTDZ($A$1,$B12,AS$1,$B$1)</f>
        <v>350</v>
      </c>
      <c r="AT12">
        <f>_xll.EQNXTDZ($A$1,$B12,AT$1,$B$1)</f>
        <v>268</v>
      </c>
      <c r="AU12">
        <f>_xll.EQNXTDZ($A$1,$B12,AU$1,$B$1)</f>
        <v>250</v>
      </c>
      <c r="AV12">
        <f>_xll.EQNXTDZ($A$1,$B12,AV$1,$B$1)</f>
        <v>292</v>
      </c>
      <c r="AW12">
        <f>_xll.EQNXTDZ($A$1,$B12,AW$1,$B$1)</f>
        <v>327</v>
      </c>
      <c r="AX12">
        <f>_xll.EQNXTDZ($A$1,$B12,AX$1,$B$1)</f>
        <v>315</v>
      </c>
      <c r="AY12">
        <f>_xll.EQNXTDZ($A$1,$B12,AY$1,$B$1)</f>
        <v>313</v>
      </c>
      <c r="AZ12">
        <f>_xll.EQNXTDZ($A$1,$B12,AZ$1,$B$1)</f>
        <v>382</v>
      </c>
      <c r="BA12">
        <f>_xll.EQNXTDZ($A$1,$B12,BA$1,$B$1)</f>
        <v>420</v>
      </c>
      <c r="BB12">
        <f>_xll.EQNXTDZ($A$1,$B12,BB$1,$B$1)</f>
        <v>416</v>
      </c>
      <c r="BC12">
        <f>_xll.EQNXTDZ($A$1,$B12,BC$1,$B$1)</f>
        <v>338</v>
      </c>
      <c r="BD12">
        <f>_xll.EQNXTDZ($A$1,$B12,BD$1,$B$1)</f>
        <v>382</v>
      </c>
      <c r="BE12">
        <f>_xll.EQNXTDZ($A$1,$B12,BE$1,$B$1)</f>
        <v>422</v>
      </c>
      <c r="BF12">
        <f>_xll.EQNXTDZ($A$1,$B12,BF$1,$B$1)</f>
        <v>477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239</v>
      </c>
      <c r="D14">
        <f>_xll.EQNXTDZ($A$1,$B14,D$1,$B$1)</f>
        <v>251</v>
      </c>
      <c r="E14">
        <f>_xll.EQNXTDZ($A$1,$B14,E$1,$B$1)</f>
        <v>237</v>
      </c>
      <c r="F14">
        <f>_xll.EQNXTDZ($A$1,$B14,F$1,$B$1)</f>
        <v>244</v>
      </c>
      <c r="G14">
        <f>_xll.EQNXTDZ($A$1,$B14,G$1,$B$1)</f>
        <v>293</v>
      </c>
      <c r="H14">
        <f>_xll.EQNXTDZ($A$1,$B14,H$1,$B$1)</f>
        <v>310</v>
      </c>
      <c r="I14">
        <f>_xll.EQNXTDZ($A$1,$B14,I$1,$B$1)</f>
        <v>303</v>
      </c>
      <c r="J14">
        <f>_xll.EQNXTDZ($A$1,$B14,J$1,$B$1)</f>
        <v>347</v>
      </c>
      <c r="K14">
        <f>_xll.EQNXTDZ($A$1,$B14,K$1,$B$1)</f>
        <v>284</v>
      </c>
      <c r="L14">
        <f>_xll.EQNXTDZ($A$1,$B14,L$1,$B$1)</f>
        <v>339</v>
      </c>
      <c r="M14">
        <f>_xll.EQNXTDZ($A$1,$B14,M$1,$B$1)</f>
        <v>357</v>
      </c>
      <c r="N14">
        <f>_xll.EQNXTDZ($A$1,$B14,N$1,$B$1)</f>
        <v>396</v>
      </c>
      <c r="O14">
        <f>_xll.EQNXTDZ($A$1,$B14,O$1,$B$1)</f>
        <v>410</v>
      </c>
      <c r="P14">
        <f>_xll.EQNXTDZ($A$1,$B14,P$1,$B$1)</f>
        <v>393</v>
      </c>
      <c r="Q14">
        <f>_xll.EQNXTDZ($A$1,$B14,Q$1,$B$1)</f>
        <v>351</v>
      </c>
      <c r="R14">
        <f>_xll.EQNXTDZ($A$1,$B14,R$1,$B$1)</f>
        <v>378</v>
      </c>
      <c r="S14">
        <f>_xll.EQNXTDZ($A$1,$B14,S$1,$B$1)</f>
        <v>425</v>
      </c>
      <c r="T14">
        <f>_xll.EQNXTDZ($A$1,$B14,T$1,$B$1)</f>
        <v>439</v>
      </c>
      <c r="U14">
        <f>_xll.EQNXTDZ($A$1,$B14,U$1,$B$1)</f>
        <v>430</v>
      </c>
      <c r="V14">
        <f>_xll.EQNXTDZ($A$1,$B14,V$1,$B$1)</f>
        <v>400</v>
      </c>
      <c r="W14">
        <f>_xll.EQNXTDZ($A$1,$B14,W$1,$B$1)</f>
        <v>401</v>
      </c>
      <c r="X14">
        <f>_xll.EQNXTDZ($A$1,$B14,X$1,$B$1)</f>
        <v>387</v>
      </c>
      <c r="Y14">
        <f>_xll.EQNXTDZ($A$1,$B14,Y$1,$B$1)</f>
        <v>440</v>
      </c>
      <c r="Z14">
        <f>_xll.EQNXTDZ($A$1,$B14,Z$1,$B$1)</f>
        <v>564</v>
      </c>
      <c r="AA14">
        <f>_xll.EQNXTDZ($A$1,$B14,AA$1,$B$1)</f>
        <v>491</v>
      </c>
      <c r="AB14">
        <f>_xll.EQNXTDZ($A$1,$B14,AB$1,$B$1)</f>
        <v>530</v>
      </c>
      <c r="AC14">
        <f>_xll.EQNXTDZ($A$1,$B14,AC$1,$B$1)</f>
        <v>542</v>
      </c>
      <c r="AD14">
        <f>_xll.EQNXTDZ($A$1,$B14,AD$1,$B$1)</f>
        <v>503</v>
      </c>
      <c r="AE14">
        <f>_xll.EQNXTDZ($A$1,$B14,AE$1,$B$1)</f>
        <v>541</v>
      </c>
      <c r="AF14">
        <f>_xll.EQNXTDZ($A$1,$B14,AF$1,$B$1)</f>
        <v>568</v>
      </c>
      <c r="AG14">
        <f>_xll.EQNXTDZ($A$1,$B14,AG$1,$B$1)</f>
        <v>530</v>
      </c>
      <c r="AH14">
        <f>_xll.EQNXTDZ($A$1,$B14,AH$1,$B$1)</f>
        <v>534</v>
      </c>
      <c r="AI14">
        <f>_xll.EQNXTDZ($A$1,$B14,AI$1,$B$1)</f>
        <v>487</v>
      </c>
      <c r="AJ14">
        <f>_xll.EQNXTDZ($A$1,$B14,AJ$1,$B$1)</f>
        <v>465</v>
      </c>
      <c r="AK14">
        <f>_xll.EQNXTDZ($A$1,$B14,AK$1,$B$1)</f>
        <v>463</v>
      </c>
      <c r="AL14">
        <f>_xll.EQNXTDZ($A$1,$B14,AL$1,$B$1)</f>
        <v>518</v>
      </c>
      <c r="AM14">
        <f>_xll.EQNXTDZ($A$1,$B14,AM$1,$B$1)</f>
        <v>484</v>
      </c>
      <c r="AN14">
        <f>_xll.EQNXTDZ($A$1,$B14,AN$1,$B$1)</f>
        <v>493</v>
      </c>
      <c r="AO14">
        <f>_xll.EQNXTDZ($A$1,$B14,AO$1,$B$1)</f>
        <v>544</v>
      </c>
      <c r="AP14">
        <f>_xll.EQNXTDZ($A$1,$B14,AP$1,$B$1)</f>
        <v>584</v>
      </c>
      <c r="AQ14">
        <f>_xll.EQNXTDZ($A$1,$B14,AQ$1,$B$1)</f>
        <v>555</v>
      </c>
      <c r="AR14">
        <f>_xll.EQNXTDZ($A$1,$B14,AR$1,$B$1)</f>
        <v>577</v>
      </c>
      <c r="AS14">
        <f>_xll.EQNXTDZ($A$1,$B14,AS$1,$B$1)</f>
        <v>614</v>
      </c>
      <c r="AT14">
        <f>_xll.EQNXTDZ($A$1,$B14,AT$1,$B$1)</f>
        <v>619</v>
      </c>
      <c r="AU14">
        <f>_xll.EQNXTDZ($A$1,$B14,AU$1,$B$1)</f>
        <v>651</v>
      </c>
      <c r="AV14">
        <f>_xll.EQNXTDZ($A$1,$B14,AV$1,$B$1)</f>
        <v>672</v>
      </c>
      <c r="AW14">
        <f>_xll.EQNXTDZ($A$1,$B14,AW$1,$B$1)</f>
        <v>670</v>
      </c>
      <c r="AX14">
        <f>_xll.EQNXTDZ($A$1,$B14,AX$1,$B$1)</f>
        <v>697</v>
      </c>
      <c r="AY14">
        <f>_xll.EQNXTDZ($A$1,$B14,AY$1,$B$1)</f>
        <v>711</v>
      </c>
      <c r="AZ14">
        <f>_xll.EQNXTDZ($A$1,$B14,AZ$1,$B$1)</f>
        <v>729</v>
      </c>
      <c r="BA14">
        <f>_xll.EQNXTDZ($A$1,$B14,BA$1,$B$1)</f>
        <v>673</v>
      </c>
      <c r="BB14">
        <f>_xll.EQNXTDZ($A$1,$B14,BB$1,$B$1)</f>
        <v>703</v>
      </c>
      <c r="BC14">
        <f>_xll.EQNXTDZ($A$1,$B14,BC$1,$B$1)</f>
        <v>767</v>
      </c>
      <c r="BD14">
        <f>_xll.EQNXTDZ($A$1,$B14,BD$1,$B$1)</f>
        <v>792</v>
      </c>
      <c r="BE14">
        <f>_xll.EQNXTDZ($A$1,$B14,BE$1,$B$1)</f>
        <v>765</v>
      </c>
      <c r="BF14">
        <f>_xll.EQNXTDZ($A$1,$B14,BF$1,$B$1)</f>
        <v>1038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152</v>
      </c>
      <c r="D16">
        <f>_xll.EQNXTDZ($A$1,$B16,D$1,$B$1)</f>
        <v>155</v>
      </c>
      <c r="E16">
        <f>_xll.EQNXTDZ($A$1,$B16,E$1,$B$1)</f>
        <v>152</v>
      </c>
      <c r="F16">
        <f>_xll.EQNXTDZ($A$1,$B16,F$1,$B$1)</f>
        <v>164</v>
      </c>
      <c r="G16">
        <f>_xll.EQNXTDZ($A$1,$B16,G$1,$B$1)</f>
        <v>172</v>
      </c>
      <c r="H16">
        <f>_xll.EQNXTDZ($A$1,$B16,H$1,$B$1)</f>
        <v>182</v>
      </c>
      <c r="I16">
        <f>_xll.EQNXTDZ($A$1,$B16,I$1,$B$1)</f>
        <v>179</v>
      </c>
      <c r="J16">
        <f>_xll.EQNXTDZ($A$1,$B16,J$1,$B$1)</f>
        <v>208</v>
      </c>
      <c r="K16">
        <f>_xll.EQNXTDZ($A$1,$B16,K$1,$B$1)</f>
        <v>184</v>
      </c>
      <c r="L16">
        <f>_xll.EQNXTDZ($A$1,$B16,L$1,$B$1)</f>
        <v>224</v>
      </c>
      <c r="M16">
        <f>_xll.EQNXTDZ($A$1,$B16,M$1,$B$1)</f>
        <v>199</v>
      </c>
      <c r="N16">
        <f>_xll.EQNXTDZ($A$1,$B16,N$1,$B$1)</f>
        <v>235</v>
      </c>
      <c r="O16">
        <f>_xll.EQNXTDZ($A$1,$B16,O$1,$B$1)</f>
        <v>207</v>
      </c>
      <c r="P16">
        <f>_xll.EQNXTDZ($A$1,$B16,P$1,$B$1)</f>
        <v>207</v>
      </c>
      <c r="Q16">
        <f>_xll.EQNXTDZ($A$1,$B16,Q$1,$B$1)</f>
        <v>201</v>
      </c>
      <c r="R16">
        <f>_xll.EQNXTDZ($A$1,$B16,R$1,$B$1)</f>
        <v>227</v>
      </c>
      <c r="S16">
        <f>_xll.EQNXTDZ($A$1,$B16,S$1,$B$1)</f>
        <v>252</v>
      </c>
      <c r="T16">
        <f>_xll.EQNXTDZ($A$1,$B16,T$1,$B$1)</f>
        <v>259</v>
      </c>
      <c r="U16">
        <f>_xll.EQNXTDZ($A$1,$B16,U$1,$B$1)</f>
        <v>233</v>
      </c>
      <c r="V16">
        <f>_xll.EQNXTDZ($A$1,$B16,V$1,$B$1)</f>
        <v>249</v>
      </c>
      <c r="W16">
        <f>_xll.EQNXTDZ($A$1,$B16,W$1,$B$1)</f>
        <v>263</v>
      </c>
      <c r="X16">
        <f>_xll.EQNXTDZ($A$1,$B16,X$1,$B$1)</f>
        <v>283</v>
      </c>
      <c r="Y16">
        <f>_xll.EQNXTDZ($A$1,$B16,Y$1,$B$1)</f>
        <v>272</v>
      </c>
      <c r="Z16">
        <f>_xll.EQNXTDZ($A$1,$B16,Z$1,$B$1)</f>
        <v>317</v>
      </c>
      <c r="AA16">
        <f>_xll.EQNXTDZ($A$1,$B16,AA$1,$B$1)</f>
        <v>346</v>
      </c>
      <c r="AB16">
        <f>_xll.EQNXTDZ($A$1,$B16,AB$1,$B$1)</f>
        <v>343</v>
      </c>
      <c r="AC16">
        <f>_xll.EQNXTDZ($A$1,$B16,AC$1,$B$1)</f>
        <v>368</v>
      </c>
      <c r="AD16">
        <f>_xll.EQNXTDZ($A$1,$B16,AD$1,$B$1)</f>
        <v>347</v>
      </c>
      <c r="AE16">
        <f>_xll.EQNXTDZ($A$1,$B16,AE$1,$B$1)</f>
        <v>381</v>
      </c>
      <c r="AF16">
        <f>_xll.EQNXTDZ($A$1,$B16,AF$1,$B$1)</f>
        <v>358</v>
      </c>
      <c r="AG16">
        <f>_xll.EQNXTDZ($A$1,$B16,AG$1,$B$1)</f>
        <v>354</v>
      </c>
      <c r="AH16">
        <f>_xll.EQNXTDZ($A$1,$B16,AH$1,$B$1)</f>
        <v>336</v>
      </c>
      <c r="AI16">
        <f>_xll.EQNXTDZ($A$1,$B16,AI$1,$B$1)</f>
        <v>373</v>
      </c>
      <c r="AJ16">
        <f>_xll.EQNXTDZ($A$1,$B16,AJ$1,$B$1)</f>
        <v>363</v>
      </c>
      <c r="AK16">
        <f>_xll.EQNXTDZ($A$1,$B16,AK$1,$B$1)</f>
        <v>363</v>
      </c>
      <c r="AL16">
        <f>_xll.EQNXTDZ($A$1,$B16,AL$1,$B$1)</f>
        <v>341</v>
      </c>
      <c r="AM16">
        <f>_xll.EQNXTDZ($A$1,$B16,AM$1,$B$1)</f>
        <v>385</v>
      </c>
      <c r="AN16">
        <f>_xll.EQNXTDZ($A$1,$B16,AN$1,$B$1)</f>
        <v>389</v>
      </c>
      <c r="AO16">
        <f>_xll.EQNXTDZ($A$1,$B16,AO$1,$B$1)</f>
        <v>388</v>
      </c>
      <c r="AP16">
        <f>_xll.EQNXTDZ($A$1,$B16,AP$1,$B$1)</f>
        <v>364</v>
      </c>
      <c r="AQ16">
        <f>_xll.EQNXTDZ($A$1,$B16,AQ$1,$B$1)</f>
        <v>420</v>
      </c>
      <c r="AR16">
        <f>_xll.EQNXTDZ($A$1,$B16,AR$1,$B$1)</f>
        <v>394</v>
      </c>
      <c r="AS16">
        <f>_xll.EQNXTDZ($A$1,$B16,AS$1,$B$1)</f>
        <v>423</v>
      </c>
      <c r="AT16">
        <f>_xll.EQNXTDZ($A$1,$B16,AT$1,$B$1)</f>
        <v>441</v>
      </c>
      <c r="AU16">
        <f>_xll.EQNXTDZ($A$1,$B16,AU$1,$B$1)</f>
        <v>499</v>
      </c>
      <c r="AV16">
        <f>_xll.EQNXTDZ($A$1,$B16,AV$1,$B$1)</f>
        <v>503</v>
      </c>
      <c r="AW16">
        <f>_xll.EQNXTDZ($A$1,$B16,AW$1,$B$1)</f>
        <v>496</v>
      </c>
      <c r="AX16">
        <f>_xll.EQNXTDZ($A$1,$B16,AX$1,$B$1)</f>
        <v>486</v>
      </c>
      <c r="AY16">
        <f>_xll.EQNXTDZ($A$1,$B16,AY$1,$B$1)</f>
        <v>550</v>
      </c>
      <c r="AZ16">
        <f>_xll.EQNXTDZ($A$1,$B16,AZ$1,$B$1)</f>
        <v>543</v>
      </c>
      <c r="BA16">
        <f>_xll.EQNXTDZ($A$1,$B16,BA$1,$B$1)</f>
        <v>549</v>
      </c>
      <c r="BB16">
        <f>_xll.EQNXTDZ($A$1,$B16,BB$1,$B$1)</f>
        <v>561</v>
      </c>
      <c r="BC16">
        <f>_xll.EQNXTDZ($A$1,$B16,BC$1,$B$1)</f>
        <v>605</v>
      </c>
      <c r="BD16">
        <f>_xll.EQNXTDZ($A$1,$B16,BD$1,$B$1)</f>
        <v>627</v>
      </c>
      <c r="BE16">
        <f>_xll.EQNXTDZ($A$1,$B16,BE$1,$B$1)</f>
        <v>651</v>
      </c>
      <c r="BF16">
        <f>_xll.EQNXTDZ($A$1,$B16,BF$1,$B$1)</f>
        <v>788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156</v>
      </c>
      <c r="D22">
        <f>_xll.EQNXTDZ($A$1,$B22,D$1,$B$1)</f>
        <v>154</v>
      </c>
      <c r="E22">
        <f>_xll.EQNXTDZ($A$1,$B22,E$1,$B$1)</f>
        <v>162</v>
      </c>
      <c r="F22">
        <f>_xll.EQNXTDZ($A$1,$B22,F$1,$B$1)</f>
        <v>220</v>
      </c>
      <c r="G22">
        <f>_xll.EQNXTDZ($A$1,$B22,G$1,$B$1)</f>
        <v>208</v>
      </c>
      <c r="H22">
        <f>_xll.EQNXTDZ($A$1,$B22,H$1,$B$1)</f>
        <v>179</v>
      </c>
      <c r="I22">
        <f>_xll.EQNXTDZ($A$1,$B22,I$1,$B$1)</f>
        <v>215</v>
      </c>
      <c r="J22">
        <f>_xll.EQNXTDZ($A$1,$B22,J$1,$B$1)</f>
        <v>350</v>
      </c>
      <c r="K22">
        <f>_xll.EQNXTDZ($A$1,$B22,K$1,$B$1)</f>
        <v>345</v>
      </c>
      <c r="L22">
        <f>_xll.EQNXTDZ($A$1,$B22,L$1,$B$1)</f>
        <v>273</v>
      </c>
      <c r="M22">
        <f>_xll.EQNXTDZ($A$1,$B22,M$1,$B$1)</f>
        <v>240</v>
      </c>
      <c r="N22">
        <f>_xll.EQNXTDZ($A$1,$B22,N$1,$B$1)</f>
        <v>162</v>
      </c>
      <c r="O22">
        <f>_xll.EQNXTDZ($A$1,$B22,O$1,$B$1)</f>
        <v>912</v>
      </c>
      <c r="P22">
        <f>_xll.EQNXTDZ($A$1,$B22,P$1,$B$1)</f>
        <v>717</v>
      </c>
      <c r="Q22">
        <f>_xll.EQNXTDZ($A$1,$B22,Q$1,$B$1)</f>
        <v>618</v>
      </c>
      <c r="R22">
        <f>_xll.EQNXTDZ($A$1,$B22,R$1,$B$1)</f>
        <v>487</v>
      </c>
      <c r="S22">
        <f>_xll.EQNXTDZ($A$1,$B22,S$1,$B$1)</f>
        <v>437</v>
      </c>
      <c r="T22">
        <f>_xll.EQNXTDZ($A$1,$B22,T$1,$B$1)</f>
        <v>330</v>
      </c>
      <c r="U22">
        <f>_xll.EQNXTDZ($A$1,$B22,U$1,$B$1)</f>
        <v>316</v>
      </c>
      <c r="V22">
        <f>_xll.EQNXTDZ($A$1,$B22,V$1,$B$1)</f>
        <v>295</v>
      </c>
      <c r="W22">
        <f>_xll.EQNXTDZ($A$1,$B22,W$1,$B$1)</f>
        <v>297</v>
      </c>
      <c r="X22">
        <f>_xll.EQNXTDZ($A$1,$B22,X$1,$B$1)</f>
        <v>329</v>
      </c>
      <c r="Y22">
        <f>_xll.EQNXTDZ($A$1,$B22,Y$1,$B$1)</f>
        <v>359</v>
      </c>
      <c r="Z22">
        <f>_xll.EQNXTDZ($A$1,$B22,Z$1,$B$1)</f>
        <v>364</v>
      </c>
      <c r="AA22">
        <f>_xll.EQNXTDZ($A$1,$B22,AA$1,$B$1)</f>
        <v>477</v>
      </c>
      <c r="AB22">
        <f>_xll.EQNXTDZ($A$1,$B22,AB$1,$B$1)</f>
        <v>473</v>
      </c>
      <c r="AC22">
        <f>_xll.EQNXTDZ($A$1,$B22,AC$1,$B$1)</f>
        <v>561</v>
      </c>
      <c r="AD22">
        <f>_xll.EQNXTDZ($A$1,$B22,AD$1,$B$1)</f>
        <v>473</v>
      </c>
      <c r="AE22">
        <f>_xll.EQNXTDZ($A$1,$B22,AE$1,$B$1)</f>
        <v>541</v>
      </c>
      <c r="AF22">
        <f>_xll.EQNXTDZ($A$1,$B22,AF$1,$B$1)</f>
        <v>541</v>
      </c>
      <c r="AG22">
        <f>_xll.EQNXTDZ($A$1,$B22,AG$1,$B$1)</f>
        <v>540</v>
      </c>
      <c r="AH22">
        <f>_xll.EQNXTDZ($A$1,$B22,AH$1,$B$1)</f>
        <v>548</v>
      </c>
      <c r="AI22">
        <f>_xll.EQNXTDZ($A$1,$B22,AI$1,$B$1)</f>
        <v>661</v>
      </c>
      <c r="AJ22">
        <f>_xll.EQNXTDZ($A$1,$B22,AJ$1,$B$1)</f>
        <v>635</v>
      </c>
      <c r="AK22">
        <f>_xll.EQNXTDZ($A$1,$B22,AK$1,$B$1)</f>
        <v>607</v>
      </c>
      <c r="AL22">
        <f>_xll.EQNXTDZ($A$1,$B22,AL$1,$B$1)</f>
        <v>582</v>
      </c>
      <c r="AM22">
        <f>_xll.EQNXTDZ($A$1,$B22,AM$1,$B$1)</f>
        <v>677</v>
      </c>
      <c r="AN22">
        <f>_xll.EQNXTDZ($A$1,$B22,AN$1,$B$1)</f>
        <v>660</v>
      </c>
      <c r="AO22">
        <f>_xll.EQNXTDZ($A$1,$B22,AO$1,$B$1)</f>
        <v>538</v>
      </c>
      <c r="AP22">
        <f>_xll.EQNXTDZ($A$1,$B22,AP$1,$B$1)</f>
        <v>561</v>
      </c>
      <c r="AQ22">
        <f>_xll.EQNXTDZ($A$1,$B22,AQ$1,$B$1)</f>
        <v>712</v>
      </c>
      <c r="AR22">
        <f>_xll.EQNXTDZ($A$1,$B22,AR$1,$B$1)</f>
        <v>679</v>
      </c>
      <c r="AS22">
        <f>_xll.EQNXTDZ($A$1,$B22,AS$1,$B$1)</f>
        <v>724</v>
      </c>
      <c r="AT22">
        <f>_xll.EQNXTDZ($A$1,$B22,AT$1,$B$1)</f>
        <v>727</v>
      </c>
      <c r="AU22">
        <f>_xll.EQNXTDZ($A$1,$B22,AU$1,$B$1)</f>
        <v>791</v>
      </c>
      <c r="AV22">
        <f>_xll.EQNXTDZ($A$1,$B22,AV$1,$B$1)</f>
        <v>825</v>
      </c>
      <c r="AW22">
        <f>_xll.EQNXTDZ($A$1,$B22,AW$1,$B$1)</f>
        <v>869</v>
      </c>
      <c r="AX22">
        <f>_xll.EQNXTDZ($A$1,$B22,AX$1,$B$1)</f>
        <v>883</v>
      </c>
      <c r="AY22">
        <f>_xll.EQNXTDZ($A$1,$B22,AY$1,$B$1)</f>
        <v>904</v>
      </c>
      <c r="AZ22">
        <f>_xll.EQNXTDZ($A$1,$B22,AZ$1,$B$1)</f>
        <v>939</v>
      </c>
      <c r="BA22">
        <f>_xll.EQNXTDZ($A$1,$B22,BA$1,$B$1)</f>
        <v>914</v>
      </c>
      <c r="BB22">
        <f>_xll.EQNXTDZ($A$1,$B22,BB$1,$B$1)</f>
        <v>964</v>
      </c>
      <c r="BC22">
        <f>_xll.EQNXTDZ($A$1,$B22,BC$1,$B$1)</f>
        <v>1032</v>
      </c>
      <c r="BD22">
        <f>_xll.EQNXTDZ($A$1,$B22,BD$1,$B$1)</f>
        <v>1083</v>
      </c>
      <c r="BE22">
        <f>_xll.EQNXTDZ($A$1,$B22,BE$1,$B$1)</f>
        <v>1088</v>
      </c>
      <c r="BF22">
        <f>_xll.EQNXTDZ($A$1,$B22,BF$1,$B$1)</f>
        <v>1356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14</v>
      </c>
      <c r="D23">
        <f>_xll.EQNXTDZ($A$1,$B23,D$1,$B$1)</f>
        <v>12</v>
      </c>
      <c r="E23">
        <f>_xll.EQNXTDZ($A$1,$B23,E$1,$B$1)</f>
        <v>9</v>
      </c>
      <c r="F23">
        <f>_xll.EQNXTDZ($A$1,$B23,F$1,$B$1)</f>
        <v>8</v>
      </c>
      <c r="G23">
        <f>_xll.EQNXTDZ($A$1,$B23,G$1,$B$1)</f>
        <v>8</v>
      </c>
      <c r="H23">
        <f>_xll.EQNXTDZ($A$1,$B23,H$1,$B$1)</f>
        <v>10</v>
      </c>
      <c r="I23">
        <f>_xll.EQNXTDZ($A$1,$B23,I$1,$B$1)</f>
        <v>10</v>
      </c>
      <c r="J23">
        <f>_xll.EQNXTDZ($A$1,$B23,J$1,$B$1)</f>
        <v>10</v>
      </c>
      <c r="K23">
        <f>_xll.EQNXTDZ($A$1,$B23,K$1,$B$1)</f>
        <v>49</v>
      </c>
      <c r="L23">
        <f>_xll.EQNXTDZ($A$1,$B23,L$1,$B$1)</f>
        <v>72</v>
      </c>
      <c r="M23">
        <f>_xll.EQNXTDZ($A$1,$B23,M$1,$B$1)</f>
        <v>65</v>
      </c>
      <c r="N23">
        <f>_xll.EQNXTDZ($A$1,$B23,N$1,$B$1)</f>
        <v>100</v>
      </c>
      <c r="O23">
        <f>_xll.EQNXTDZ($A$1,$B23,O$1,$B$1)</f>
        <v>75</v>
      </c>
      <c r="P23">
        <f>_xll.EQNXTDZ($A$1,$B23,P$1,$B$1)</f>
        <v>71</v>
      </c>
      <c r="Q23">
        <f>_xll.EQNXTDZ($A$1,$B23,Q$1,$B$1)</f>
        <v>55</v>
      </c>
      <c r="R23">
        <f>_xll.EQNXTDZ($A$1,$B23,R$1,$B$1)</f>
        <v>24</v>
      </c>
      <c r="S23">
        <f>_xll.EQNXTDZ($A$1,$B23,S$1,$B$1)</f>
        <v>26</v>
      </c>
      <c r="T23">
        <f>_xll.EQNXTDZ($A$1,$B23,T$1,$B$1)</f>
        <v>43</v>
      </c>
      <c r="U23">
        <f>_xll.EQNXTDZ($A$1,$B23,U$1,$B$1)</f>
        <v>50</v>
      </c>
      <c r="V23">
        <f>_xll.EQNXTDZ($A$1,$B23,V$1,$B$1)</f>
        <v>104</v>
      </c>
      <c r="W23">
        <f>_xll.EQNXTDZ($A$1,$B23,W$1,$B$1)</f>
        <v>105</v>
      </c>
      <c r="X23">
        <f>_xll.EQNXTDZ($A$1,$B23,X$1,$B$1)</f>
        <v>78</v>
      </c>
      <c r="Y23">
        <f>_xll.EQNXTDZ($A$1,$B23,Y$1,$B$1)</f>
        <v>74</v>
      </c>
      <c r="Z23">
        <f>_xll.EQNXTDZ($A$1,$B23,Z$1,$B$1)</f>
        <v>42</v>
      </c>
      <c r="AA23">
        <f>_xll.EQNXTDZ($A$1,$B23,AA$1,$B$1)</f>
        <v>27</v>
      </c>
      <c r="AB23">
        <f>_xll.EQNXTDZ($A$1,$B23,AB$1,$B$1)</f>
        <v>10</v>
      </c>
      <c r="AC23">
        <f>_xll.EQNXTDZ($A$1,$B23,AC$1,$B$1)</f>
        <v>3</v>
      </c>
      <c r="AD23">
        <f>_xll.EQNXTDZ($A$1,$B23,AD$1,$B$1)</f>
        <v>17</v>
      </c>
      <c r="AE23">
        <f>_xll.EQNXTDZ($A$1,$B23,AE$1,$B$1)</f>
        <v>20</v>
      </c>
      <c r="AF23">
        <f>_xll.EQNXTDZ($A$1,$B23,AF$1,$B$1)</f>
        <v>34</v>
      </c>
      <c r="AG23">
        <f>_xll.EQNXTDZ($A$1,$B23,AG$1,$B$1)</f>
        <v>53</v>
      </c>
      <c r="AH23">
        <f>_xll.EQNXTDZ($A$1,$B23,AH$1,$B$1)</f>
        <v>15</v>
      </c>
      <c r="AI23">
        <f>_xll.EQNXTDZ($A$1,$B23,AI$1,$B$1)</f>
        <v>4</v>
      </c>
      <c r="AJ23">
        <f>_xll.EQNXTDZ($A$1,$B23,AJ$1,$B$1)</f>
        <v>6</v>
      </c>
      <c r="AK23">
        <f>_xll.EQNXTDZ($A$1,$B23,AK$1,$B$1)</f>
        <v>8</v>
      </c>
      <c r="AL23">
        <f>_xll.EQNXTDZ($A$1,$B23,AL$1,$B$1)</f>
        <v>39</v>
      </c>
      <c r="AM23">
        <f>_xll.EQNXTDZ($A$1,$B23,AM$1,$B$1)</f>
        <v>40</v>
      </c>
      <c r="AN23">
        <f>_xll.EQNXTDZ($A$1,$B23,AN$1,$B$1)</f>
        <v>51</v>
      </c>
      <c r="AO23">
        <f>_xll.EQNXTDZ($A$1,$B23,AO$1,$B$1)</f>
        <v>48</v>
      </c>
      <c r="AP23">
        <f>_xll.EQNXTDZ($A$1,$B23,AP$1,$B$1)</f>
        <v>56</v>
      </c>
      <c r="AQ23">
        <f>_xll.EQNXTDZ($A$1,$B23,AQ$1,$B$1)</f>
        <v>30</v>
      </c>
      <c r="AR23">
        <f>_xll.EQNXTDZ($A$1,$B23,AR$1,$B$1)</f>
        <v>16</v>
      </c>
      <c r="AS23">
        <f>_xll.EQNXTDZ($A$1,$B23,AS$1,$B$1)</f>
        <v>-10</v>
      </c>
      <c r="AT23">
        <f>_xll.EQNXTDZ($A$1,$B23,AT$1,$B$1)</f>
        <v>9</v>
      </c>
      <c r="AU23">
        <f>_xll.EQNXTDZ($A$1,$B23,AU$1,$B$1)</f>
        <v>34</v>
      </c>
      <c r="AV23">
        <f>_xll.EQNXTDZ($A$1,$B23,AV$1,$B$1)</f>
        <v>26</v>
      </c>
      <c r="AW23">
        <f>_xll.EQNXTDZ($A$1,$B23,AW$1,$B$1)</f>
        <v>-33</v>
      </c>
      <c r="AX23">
        <f>_xll.EQNXTDZ($A$1,$B23,AX$1,$B$1)</f>
        <v>31</v>
      </c>
      <c r="AY23">
        <f>_xll.EQNXTDZ($A$1,$B23,AY$1,$B$1)</f>
        <v>24</v>
      </c>
      <c r="AZ23">
        <f>_xll.EQNXTDZ($A$1,$B23,AZ$1,$B$1)</f>
        <v>-16</v>
      </c>
      <c r="BA23">
        <f>_xll.EQNXTDZ($A$1,$B23,BA$1,$B$1)</f>
        <v>33</v>
      </c>
      <c r="BB23">
        <f>_xll.EQNXTDZ($A$1,$B23,BB$1,$B$1)</f>
        <v>-18</v>
      </c>
      <c r="BC23">
        <f>_xll.EQNXTDZ($A$1,$B23,BC$1,$B$1)</f>
        <v>-37</v>
      </c>
      <c r="BD23">
        <f>_xll.EQNXTDZ($A$1,$B23,BD$1,$B$1)</f>
        <v>-27</v>
      </c>
      <c r="BE23">
        <f>_xll.EQNXTDZ($A$1,$B23,BE$1,$B$1)</f>
        <v>-13</v>
      </c>
      <c r="BF23">
        <f>_xll.EQNXTDZ($A$1,$B23,BF$1,$B$1)</f>
        <v>-17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170</v>
      </c>
      <c r="D24">
        <f>_xll.EQNXTDZ($A$1,$B24,D$1,$B$1)</f>
        <v>166</v>
      </c>
      <c r="E24">
        <f>_xll.EQNXTDZ($A$1,$B24,E$1,$B$1)</f>
        <v>171</v>
      </c>
      <c r="F24">
        <f>_xll.EQNXTDZ($A$1,$B24,F$1,$B$1)</f>
        <v>228</v>
      </c>
      <c r="G24">
        <f>_xll.EQNXTDZ($A$1,$B24,G$1,$B$1)</f>
        <v>216</v>
      </c>
      <c r="H24">
        <f>_xll.EQNXTDZ($A$1,$B24,H$1,$B$1)</f>
        <v>189</v>
      </c>
      <c r="I24">
        <f>_xll.EQNXTDZ($A$1,$B24,I$1,$B$1)</f>
        <v>225</v>
      </c>
      <c r="J24">
        <f>_xll.EQNXTDZ($A$1,$B24,J$1,$B$1)</f>
        <v>360</v>
      </c>
      <c r="K24">
        <f>_xll.EQNXTDZ($A$1,$B24,K$1,$B$1)</f>
        <v>394</v>
      </c>
      <c r="L24">
        <f>_xll.EQNXTDZ($A$1,$B24,L$1,$B$1)</f>
        <v>345</v>
      </c>
      <c r="M24">
        <f>_xll.EQNXTDZ($A$1,$B24,M$1,$B$1)</f>
        <v>305</v>
      </c>
      <c r="N24">
        <f>_xll.EQNXTDZ($A$1,$B24,N$1,$B$1)</f>
        <v>262</v>
      </c>
      <c r="O24">
        <f>_xll.EQNXTDZ($A$1,$B24,O$1,$B$1)</f>
        <v>987</v>
      </c>
      <c r="P24">
        <f>_xll.EQNXTDZ($A$1,$B24,P$1,$B$1)</f>
        <v>788</v>
      </c>
      <c r="Q24">
        <f>_xll.EQNXTDZ($A$1,$B24,Q$1,$B$1)</f>
        <v>673</v>
      </c>
      <c r="R24">
        <f>_xll.EQNXTDZ($A$1,$B24,R$1,$B$1)</f>
        <v>511</v>
      </c>
      <c r="S24">
        <f>_xll.EQNXTDZ($A$1,$B24,S$1,$B$1)</f>
        <v>463</v>
      </c>
      <c r="T24">
        <f>_xll.EQNXTDZ($A$1,$B24,T$1,$B$1)</f>
        <v>373</v>
      </c>
      <c r="U24">
        <f>_xll.EQNXTDZ($A$1,$B24,U$1,$B$1)</f>
        <v>366</v>
      </c>
      <c r="V24">
        <f>_xll.EQNXTDZ($A$1,$B24,V$1,$B$1)</f>
        <v>399</v>
      </c>
      <c r="W24">
        <f>_xll.EQNXTDZ($A$1,$B24,W$1,$B$1)</f>
        <v>402</v>
      </c>
      <c r="X24">
        <f>_xll.EQNXTDZ($A$1,$B24,X$1,$B$1)</f>
        <v>407</v>
      </c>
      <c r="Y24">
        <f>_xll.EQNXTDZ($A$1,$B24,Y$1,$B$1)</f>
        <v>433</v>
      </c>
      <c r="Z24">
        <f>_xll.EQNXTDZ($A$1,$B24,Z$1,$B$1)</f>
        <v>406</v>
      </c>
      <c r="AA24">
        <f>_xll.EQNXTDZ($A$1,$B24,AA$1,$B$1)</f>
        <v>504</v>
      </c>
      <c r="AB24">
        <f>_xll.EQNXTDZ($A$1,$B24,AB$1,$B$1)</f>
        <v>483</v>
      </c>
      <c r="AC24">
        <f>_xll.EQNXTDZ($A$1,$B24,AC$1,$B$1)</f>
        <v>564</v>
      </c>
      <c r="AD24">
        <f>_xll.EQNXTDZ($A$1,$B24,AD$1,$B$1)</f>
        <v>490</v>
      </c>
      <c r="AE24">
        <f>_xll.EQNXTDZ($A$1,$B24,AE$1,$B$1)</f>
        <v>561</v>
      </c>
      <c r="AF24">
        <f>_xll.EQNXTDZ($A$1,$B24,AF$1,$B$1)</f>
        <v>575</v>
      </c>
      <c r="AG24">
        <f>_xll.EQNXTDZ($A$1,$B24,AG$1,$B$1)</f>
        <v>593</v>
      </c>
      <c r="AH24">
        <f>_xll.EQNXTDZ($A$1,$B24,AH$1,$B$1)</f>
        <v>563</v>
      </c>
      <c r="AI24">
        <f>_xll.EQNXTDZ($A$1,$B24,AI$1,$B$1)</f>
        <v>665</v>
      </c>
      <c r="AJ24">
        <f>_xll.EQNXTDZ($A$1,$B24,AJ$1,$B$1)</f>
        <v>641</v>
      </c>
      <c r="AK24">
        <f>_xll.EQNXTDZ($A$1,$B24,AK$1,$B$1)</f>
        <v>615</v>
      </c>
      <c r="AL24">
        <f>_xll.EQNXTDZ($A$1,$B24,AL$1,$B$1)</f>
        <v>621</v>
      </c>
      <c r="AM24">
        <f>_xll.EQNXTDZ($A$1,$B24,AM$1,$B$1)</f>
        <v>717</v>
      </c>
      <c r="AN24">
        <f>_xll.EQNXTDZ($A$1,$B24,AN$1,$B$1)</f>
        <v>711</v>
      </c>
      <c r="AO24">
        <f>_xll.EQNXTDZ($A$1,$B24,AO$1,$B$1)</f>
        <v>586</v>
      </c>
      <c r="AP24">
        <f>_xll.EQNXTDZ($A$1,$B24,AP$1,$B$1)</f>
        <v>617</v>
      </c>
      <c r="AQ24">
        <f>_xll.EQNXTDZ($A$1,$B24,AQ$1,$B$1)</f>
        <v>742</v>
      </c>
      <c r="AR24">
        <f>_xll.EQNXTDZ($A$1,$B24,AR$1,$B$1)</f>
        <v>695</v>
      </c>
      <c r="AS24">
        <f>_xll.EQNXTDZ($A$1,$B24,AS$1,$B$1)</f>
        <v>714</v>
      </c>
      <c r="AT24">
        <f>_xll.EQNXTDZ($A$1,$B24,AT$1,$B$1)</f>
        <v>736</v>
      </c>
      <c r="AU24">
        <f>_xll.EQNXTDZ($A$1,$B24,AU$1,$B$1)</f>
        <v>825</v>
      </c>
      <c r="AV24">
        <f>_xll.EQNXTDZ($A$1,$B24,AV$1,$B$1)</f>
        <v>851</v>
      </c>
      <c r="AW24">
        <f>_xll.EQNXTDZ($A$1,$B24,AW$1,$B$1)</f>
        <v>836</v>
      </c>
      <c r="AX24">
        <f>_xll.EQNXTDZ($A$1,$B24,AX$1,$B$1)</f>
        <v>914</v>
      </c>
      <c r="AY24">
        <f>_xll.EQNXTDZ($A$1,$B24,AY$1,$B$1)</f>
        <v>928</v>
      </c>
      <c r="AZ24">
        <f>_xll.EQNXTDZ($A$1,$B24,AZ$1,$B$1)</f>
        <v>923</v>
      </c>
      <c r="BA24">
        <f>_xll.EQNXTDZ($A$1,$B24,BA$1,$B$1)</f>
        <v>947</v>
      </c>
      <c r="BB24">
        <f>_xll.EQNXTDZ($A$1,$B24,BB$1,$B$1)</f>
        <v>946</v>
      </c>
      <c r="BC24">
        <f>_xll.EQNXTDZ($A$1,$B24,BC$1,$B$1)</f>
        <v>995</v>
      </c>
      <c r="BD24">
        <f>_xll.EQNXTDZ($A$1,$B24,BD$1,$B$1)</f>
        <v>1056</v>
      </c>
      <c r="BE24">
        <f>_xll.EQNXTDZ($A$1,$B24,BE$1,$B$1)</f>
        <v>1075</v>
      </c>
      <c r="BF24">
        <f>_xll.EQNXTDZ($A$1,$B24,BF$1,$B$1)</f>
        <v>1339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10</v>
      </c>
      <c r="D25">
        <f>_xll.EQNXTDZ($A$1,$B25,D$1,$B$1)</f>
        <v>7</v>
      </c>
      <c r="E25">
        <f>_xll.EQNXTDZ($A$1,$B25,E$1,$B$1)</f>
        <v>7</v>
      </c>
      <c r="F25">
        <f>_xll.EQNXTDZ($A$1,$B25,F$1,$B$1)</f>
        <v>10</v>
      </c>
      <c r="G25">
        <f>_xll.EQNXTDZ($A$1,$B25,G$1,$B$1)</f>
        <v>8</v>
      </c>
      <c r="H25">
        <f>_xll.EQNXTDZ($A$1,$B25,H$1,$B$1)</f>
        <v>15</v>
      </c>
      <c r="I25">
        <f>_xll.EQNXTDZ($A$1,$B25,I$1,$B$1)</f>
        <v>16</v>
      </c>
      <c r="J25">
        <f>_xll.EQNXTDZ($A$1,$B25,J$1,$B$1)</f>
        <v>20</v>
      </c>
      <c r="K25">
        <f>_xll.EQNXTDZ($A$1,$B25,K$1,$B$1)</f>
        <v>24</v>
      </c>
      <c r="L25">
        <f>_xll.EQNXTDZ($A$1,$B25,L$1,$B$1)</f>
        <v>54</v>
      </c>
      <c r="M25">
        <f>_xll.EQNXTDZ($A$1,$B25,M$1,$B$1)</f>
        <v>50</v>
      </c>
      <c r="N25">
        <f>_xll.EQNXTDZ($A$1,$B25,N$1,$B$1)</f>
        <v>47</v>
      </c>
      <c r="O25">
        <f>_xll.EQNXTDZ($A$1,$B25,O$1,$B$1)</f>
        <v>55</v>
      </c>
      <c r="P25">
        <f>_xll.EQNXTDZ($A$1,$B25,P$1,$B$1)</f>
        <v>48</v>
      </c>
      <c r="Q25">
        <f>_xll.EQNXTDZ($A$1,$B25,Q$1,$B$1)</f>
        <v>43</v>
      </c>
      <c r="R25">
        <f>_xll.EQNXTDZ($A$1,$B25,R$1,$B$1)</f>
        <v>38</v>
      </c>
      <c r="S25">
        <f>_xll.EQNXTDZ($A$1,$B25,S$1,$B$1)</f>
        <v>49</v>
      </c>
      <c r="T25">
        <f>_xll.EQNXTDZ($A$1,$B25,T$1,$B$1)</f>
        <v>51</v>
      </c>
      <c r="U25">
        <f>_xll.EQNXTDZ($A$1,$B25,U$1,$B$1)</f>
        <v>48</v>
      </c>
      <c r="V25">
        <f>_xll.EQNXTDZ($A$1,$B25,V$1,$B$1)</f>
        <v>58</v>
      </c>
      <c r="W25">
        <f>_xll.EQNXTDZ($A$1,$B25,W$1,$B$1)</f>
        <v>56</v>
      </c>
      <c r="X25">
        <f>_xll.EQNXTDZ($A$1,$B25,X$1,$B$1)</f>
        <v>51</v>
      </c>
      <c r="Y25">
        <f>_xll.EQNXTDZ($A$1,$B25,Y$1,$B$1)</f>
        <v>80</v>
      </c>
      <c r="Z25">
        <f>_xll.EQNXTDZ($A$1,$B25,Z$1,$B$1)</f>
        <v>121</v>
      </c>
      <c r="AA25">
        <f>_xll.EQNXTDZ($A$1,$B25,AA$1,$B$1)</f>
        <v>122</v>
      </c>
      <c r="AB25">
        <f>_xll.EQNXTDZ($A$1,$B25,AB$1,$B$1)</f>
        <v>126</v>
      </c>
      <c r="AC25">
        <f>_xll.EQNXTDZ($A$1,$B25,AC$1,$B$1)</f>
        <v>133</v>
      </c>
      <c r="AD25">
        <f>_xll.EQNXTDZ($A$1,$B25,AD$1,$B$1)</f>
        <v>123</v>
      </c>
      <c r="AE25">
        <f>_xll.EQNXTDZ($A$1,$B25,AE$1,$B$1)</f>
        <v>122</v>
      </c>
      <c r="AF25">
        <f>_xll.EQNXTDZ($A$1,$B25,AF$1,$B$1)</f>
        <v>116</v>
      </c>
      <c r="AG25">
        <f>_xll.EQNXTDZ($A$1,$B25,AG$1,$B$1)</f>
        <v>111</v>
      </c>
      <c r="AH25">
        <f>_xll.EQNXTDZ($A$1,$B25,AH$1,$B$1)</f>
        <v>102</v>
      </c>
      <c r="AI25">
        <f>_xll.EQNXTDZ($A$1,$B25,AI$1,$B$1)</f>
        <v>102</v>
      </c>
      <c r="AJ25">
        <f>_xll.EQNXTDZ($A$1,$B25,AJ$1,$B$1)</f>
        <v>92</v>
      </c>
      <c r="AK25">
        <f>_xll.EQNXTDZ($A$1,$B25,AK$1,$B$1)</f>
        <v>91</v>
      </c>
      <c r="AL25">
        <f>_xll.EQNXTDZ($A$1,$B25,AL$1,$B$1)</f>
        <v>73</v>
      </c>
      <c r="AM25">
        <f>_xll.EQNXTDZ($A$1,$B25,AM$1,$B$1)</f>
        <v>68</v>
      </c>
      <c r="AN25">
        <f>_xll.EQNXTDZ($A$1,$B25,AN$1,$B$1)</f>
        <v>71</v>
      </c>
      <c r="AO25">
        <f>_xll.EQNXTDZ($A$1,$B25,AO$1,$B$1)</f>
        <v>62</v>
      </c>
      <c r="AP25">
        <f>_xll.EQNXTDZ($A$1,$B25,AP$1,$B$1)</f>
        <v>57</v>
      </c>
      <c r="AQ25">
        <f>_xll.EQNXTDZ($A$1,$B25,AQ$1,$B$1)</f>
        <v>55</v>
      </c>
      <c r="AR25">
        <f>_xll.EQNXTDZ($A$1,$B25,AR$1,$B$1)</f>
        <v>69</v>
      </c>
      <c r="AS25">
        <f>_xll.EQNXTDZ($A$1,$B25,AS$1,$B$1)</f>
        <v>102</v>
      </c>
      <c r="AT25">
        <f>_xll.EQNXTDZ($A$1,$B25,AT$1,$B$1)</f>
        <v>107</v>
      </c>
      <c r="AU25">
        <f>_xll.EQNXTDZ($A$1,$B25,AU$1,$B$1)</f>
        <v>103</v>
      </c>
      <c r="AV25">
        <f>_xll.EQNXTDZ($A$1,$B25,AV$1,$B$1)</f>
        <v>91</v>
      </c>
      <c r="AW25">
        <f>_xll.EQNXTDZ($A$1,$B25,AW$1,$B$1)</f>
        <v>80</v>
      </c>
      <c r="AX25">
        <f>_xll.EQNXTDZ($A$1,$B25,AX$1,$B$1)</f>
        <v>80</v>
      </c>
      <c r="AY25">
        <f>_xll.EQNXTDZ($A$1,$B25,AY$1,$B$1)</f>
        <v>75</v>
      </c>
      <c r="AZ25">
        <f>_xll.EQNXTDZ($A$1,$B25,AZ$1,$B$1)</f>
        <v>64</v>
      </c>
      <c r="BA25">
        <f>_xll.EQNXTDZ($A$1,$B25,BA$1,$B$1)</f>
        <v>57</v>
      </c>
      <c r="BB25">
        <f>_xll.EQNXTDZ($A$1,$B25,BB$1,$B$1)</f>
        <v>56</v>
      </c>
      <c r="BC25">
        <f>_xll.EQNXTDZ($A$1,$B25,BC$1,$B$1)</f>
        <v>56</v>
      </c>
      <c r="BD25">
        <f>_xll.EQNXTDZ($A$1,$B25,BD$1,$B$1)</f>
        <v>48</v>
      </c>
      <c r="BE25">
        <f>_xll.EQNXTDZ($A$1,$B25,BE$1,$B$1)</f>
        <v>45</v>
      </c>
      <c r="BF25">
        <f>_xll.EQNXTDZ($A$1,$B25,BF$1,$B$1)</f>
        <v>236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-37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-194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-357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-485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88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-24</v>
      </c>
      <c r="BC26">
        <f>_xll.EQNXTDZ($A$1,$B26,BC$1,$B$1)</f>
        <v>0</v>
      </c>
      <c r="BD26">
        <f>_xll.EQNXTDZ($A$1,$B26,BD$1,$B$1)</f>
        <v>-13</v>
      </c>
      <c r="BE26">
        <f>_xll.EQNXTDZ($A$1,$B26,BE$1,$B$1)</f>
        <v>-10</v>
      </c>
      <c r="BF26">
        <f>_xll.EQNXTDZ($A$1,$B26,BF$1,$B$1)</f>
        <v>-66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160</v>
      </c>
      <c r="D27">
        <f>_xll.EQNXTDZ($A$1,$B27,D$1,$B$1)</f>
        <v>159</v>
      </c>
      <c r="E27">
        <f>_xll.EQNXTDZ($A$1,$B27,E$1,$B$1)</f>
        <v>164</v>
      </c>
      <c r="F27">
        <f>_xll.EQNXTDZ($A$1,$B27,F$1,$B$1)</f>
        <v>181</v>
      </c>
      <c r="G27">
        <f>_xll.EQNXTDZ($A$1,$B27,G$1,$B$1)</f>
        <v>208</v>
      </c>
      <c r="H27">
        <f>_xll.EQNXTDZ($A$1,$B27,H$1,$B$1)</f>
        <v>174</v>
      </c>
      <c r="I27">
        <f>_xll.EQNXTDZ($A$1,$B27,I$1,$B$1)</f>
        <v>209</v>
      </c>
      <c r="J27">
        <f>_xll.EQNXTDZ($A$1,$B27,J$1,$B$1)</f>
        <v>340</v>
      </c>
      <c r="K27">
        <f>_xll.EQNXTDZ($A$1,$B27,K$1,$B$1)</f>
        <v>370</v>
      </c>
      <c r="L27">
        <f>_xll.EQNXTDZ($A$1,$B27,L$1,$B$1)</f>
        <v>291</v>
      </c>
      <c r="M27">
        <f>_xll.EQNXTDZ($A$1,$B27,M$1,$B$1)</f>
        <v>255</v>
      </c>
      <c r="N27">
        <f>_xll.EQNXTDZ($A$1,$B27,N$1,$B$1)</f>
        <v>215</v>
      </c>
      <c r="O27">
        <f>_xll.EQNXTDZ($A$1,$B27,O$1,$B$1)</f>
        <v>932</v>
      </c>
      <c r="P27">
        <f>_xll.EQNXTDZ($A$1,$B27,P$1,$B$1)</f>
        <v>740</v>
      </c>
      <c r="Q27">
        <f>_xll.EQNXTDZ($A$1,$B27,Q$1,$B$1)</f>
        <v>436</v>
      </c>
      <c r="R27">
        <f>_xll.EQNXTDZ($A$1,$B27,R$1,$B$1)</f>
        <v>473</v>
      </c>
      <c r="S27">
        <f>_xll.EQNXTDZ($A$1,$B27,S$1,$B$1)</f>
        <v>414</v>
      </c>
      <c r="T27">
        <f>_xll.EQNXTDZ($A$1,$B27,T$1,$B$1)</f>
        <v>322</v>
      </c>
      <c r="U27">
        <f>_xll.EQNXTDZ($A$1,$B27,U$1,$B$1)</f>
        <v>318</v>
      </c>
      <c r="V27">
        <f>_xll.EQNXTDZ($A$1,$B27,V$1,$B$1)</f>
        <v>341</v>
      </c>
      <c r="W27">
        <f>_xll.EQNXTDZ($A$1,$B27,W$1,$B$1)</f>
        <v>346</v>
      </c>
      <c r="X27">
        <f>_xll.EQNXTDZ($A$1,$B27,X$1,$B$1)</f>
        <v>356</v>
      </c>
      <c r="Y27">
        <f>_xll.EQNXTDZ($A$1,$B27,Y$1,$B$1)</f>
        <v>353</v>
      </c>
      <c r="Z27">
        <f>_xll.EQNXTDZ($A$1,$B27,Z$1,$B$1)</f>
        <v>285</v>
      </c>
      <c r="AA27">
        <f>_xll.EQNXTDZ($A$1,$B27,AA$1,$B$1)</f>
        <v>382</v>
      </c>
      <c r="AB27">
        <f>_xll.EQNXTDZ($A$1,$B27,AB$1,$B$1)</f>
        <v>357</v>
      </c>
      <c r="AC27">
        <f>_xll.EQNXTDZ($A$1,$B27,AC$1,$B$1)</f>
        <v>431</v>
      </c>
      <c r="AD27">
        <f>_xll.EQNXTDZ($A$1,$B27,AD$1,$B$1)</f>
        <v>10</v>
      </c>
      <c r="AE27">
        <f>_xll.EQNXTDZ($A$1,$B27,AE$1,$B$1)</f>
        <v>439</v>
      </c>
      <c r="AF27">
        <f>_xll.EQNXTDZ($A$1,$B27,AF$1,$B$1)</f>
        <v>459</v>
      </c>
      <c r="AG27">
        <f>_xll.EQNXTDZ($A$1,$B27,AG$1,$B$1)</f>
        <v>482</v>
      </c>
      <c r="AH27">
        <f>_xll.EQNXTDZ($A$1,$B27,AH$1,$B$1)</f>
        <v>461</v>
      </c>
      <c r="AI27">
        <f>_xll.EQNXTDZ($A$1,$B27,AI$1,$B$1)</f>
        <v>563</v>
      </c>
      <c r="AJ27">
        <f>_xll.EQNXTDZ($A$1,$B27,AJ$1,$B$1)</f>
        <v>549</v>
      </c>
      <c r="AK27">
        <f>_xll.EQNXTDZ($A$1,$B27,AK$1,$B$1)</f>
        <v>524</v>
      </c>
      <c r="AL27">
        <f>_xll.EQNXTDZ($A$1,$B27,AL$1,$B$1)</f>
        <v>548</v>
      </c>
      <c r="AM27">
        <f>_xll.EQNXTDZ($A$1,$B27,AM$1,$B$1)</f>
        <v>649</v>
      </c>
      <c r="AN27">
        <f>_xll.EQNXTDZ($A$1,$B27,AN$1,$B$1)</f>
        <v>640</v>
      </c>
      <c r="AO27">
        <f>_xll.EQNXTDZ($A$1,$B27,AO$1,$B$1)</f>
        <v>524</v>
      </c>
      <c r="AP27">
        <f>_xll.EQNXTDZ($A$1,$B27,AP$1,$B$1)</f>
        <v>75</v>
      </c>
      <c r="AQ27">
        <f>_xll.EQNXTDZ($A$1,$B27,AQ$1,$B$1)</f>
        <v>687</v>
      </c>
      <c r="AR27">
        <f>_xll.EQNXTDZ($A$1,$B27,AR$1,$B$1)</f>
        <v>626</v>
      </c>
      <c r="AS27">
        <f>_xll.EQNXTDZ($A$1,$B27,AS$1,$B$1)</f>
        <v>612</v>
      </c>
      <c r="AT27">
        <f>_xll.EQNXTDZ($A$1,$B27,AT$1,$B$1)</f>
        <v>629</v>
      </c>
      <c r="AU27">
        <f>_xll.EQNXTDZ($A$1,$B27,AU$1,$B$1)</f>
        <v>722</v>
      </c>
      <c r="AV27">
        <f>_xll.EQNXTDZ($A$1,$B27,AV$1,$B$1)</f>
        <v>760</v>
      </c>
      <c r="AW27">
        <f>_xll.EQNXTDZ($A$1,$B27,AW$1,$B$1)</f>
        <v>844</v>
      </c>
      <c r="AX27">
        <f>_xll.EQNXTDZ($A$1,$B27,AX$1,$B$1)</f>
        <v>834</v>
      </c>
      <c r="AY27">
        <f>_xll.EQNXTDZ($A$1,$B27,AY$1,$B$1)</f>
        <v>853</v>
      </c>
      <c r="AZ27">
        <f>_xll.EQNXTDZ($A$1,$B27,AZ$1,$B$1)</f>
        <v>859</v>
      </c>
      <c r="BA27">
        <f>_xll.EQNXTDZ($A$1,$B27,BA$1,$B$1)</f>
        <v>890</v>
      </c>
      <c r="BB27">
        <f>_xll.EQNXTDZ($A$1,$B27,BB$1,$B$1)</f>
        <v>866</v>
      </c>
      <c r="BC27">
        <f>_xll.EQNXTDZ($A$1,$B27,BC$1,$B$1)</f>
        <v>939</v>
      </c>
      <c r="BD27">
        <f>_xll.EQNXTDZ($A$1,$B27,BD$1,$B$1)</f>
        <v>995</v>
      </c>
      <c r="BE27">
        <f>_xll.EQNXTDZ($A$1,$B27,BE$1,$B$1)</f>
        <v>1020</v>
      </c>
      <c r="BF27">
        <f>_xll.EQNXTDZ($A$1,$B27,BF$1,$B$1)</f>
        <v>1037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20</v>
      </c>
      <c r="D28">
        <f>_xll.EQNXTDZ($A$1,$B28,D$1,$B$1)</f>
        <v>20</v>
      </c>
      <c r="E28">
        <f>_xll.EQNXTDZ($A$1,$B28,E$1,$B$1)</f>
        <v>21</v>
      </c>
      <c r="F28">
        <f>_xll.EQNXTDZ($A$1,$B28,F$1,$B$1)</f>
        <v>22</v>
      </c>
      <c r="G28">
        <f>_xll.EQNXTDZ($A$1,$B28,G$1,$B$1)</f>
        <v>21</v>
      </c>
      <c r="H28">
        <f>_xll.EQNXTDZ($A$1,$B28,H$1,$B$1)</f>
        <v>22</v>
      </c>
      <c r="I28">
        <f>_xll.EQNXTDZ($A$1,$B28,I$1,$B$1)</f>
        <v>21</v>
      </c>
      <c r="J28">
        <f>_xll.EQNXTDZ($A$1,$B28,J$1,$B$1)</f>
        <v>23</v>
      </c>
      <c r="K28">
        <f>_xll.EQNXTDZ($A$1,$B28,K$1,$B$1)</f>
        <v>21</v>
      </c>
      <c r="L28">
        <f>_xll.EQNXTDZ($A$1,$B28,L$1,$B$1)</f>
        <v>56</v>
      </c>
      <c r="M28">
        <f>_xll.EQNXTDZ($A$1,$B28,M$1,$B$1)</f>
        <v>54</v>
      </c>
      <c r="N28">
        <f>_xll.EQNXTDZ($A$1,$B28,N$1,$B$1)</f>
        <v>60</v>
      </c>
      <c r="O28">
        <f>_xll.EQNXTDZ($A$1,$B28,O$1,$B$1)</f>
        <v>57</v>
      </c>
      <c r="P28">
        <f>_xll.EQNXTDZ($A$1,$B28,P$1,$B$1)</f>
        <v>59</v>
      </c>
      <c r="Q28">
        <f>_xll.EQNXTDZ($A$1,$B28,Q$1,$B$1)</f>
        <v>59</v>
      </c>
      <c r="R28">
        <f>_xll.EQNXTDZ($A$1,$B28,R$1,$B$1)</f>
        <v>63</v>
      </c>
      <c r="S28">
        <f>_xll.EQNXTDZ($A$1,$B28,S$1,$B$1)</f>
        <v>68</v>
      </c>
      <c r="T28">
        <f>_xll.EQNXTDZ($A$1,$B28,T$1,$B$1)</f>
        <v>69</v>
      </c>
      <c r="U28">
        <f>_xll.EQNXTDZ($A$1,$B28,U$1,$B$1)</f>
        <v>73</v>
      </c>
      <c r="V28">
        <f>_xll.EQNXTDZ($A$1,$B28,V$1,$B$1)</f>
        <v>97</v>
      </c>
      <c r="W28">
        <f>_xll.EQNXTDZ($A$1,$B28,W$1,$B$1)</f>
        <v>80</v>
      </c>
      <c r="X28">
        <f>_xll.EQNXTDZ($A$1,$B28,X$1,$B$1)</f>
        <v>84</v>
      </c>
      <c r="Y28">
        <f>_xll.EQNXTDZ($A$1,$B28,Y$1,$B$1)</f>
        <v>94</v>
      </c>
      <c r="Z28">
        <f>_xll.EQNXTDZ($A$1,$B28,Z$1,$B$1)</f>
        <v>151</v>
      </c>
      <c r="AA28">
        <f>_xll.EQNXTDZ($A$1,$B28,AA$1,$B$1)</f>
        <v>150</v>
      </c>
      <c r="AB28">
        <f>_xll.EQNXTDZ($A$1,$B28,AB$1,$B$1)</f>
        <v>152</v>
      </c>
      <c r="AC28">
        <f>_xll.EQNXTDZ($A$1,$B28,AC$1,$B$1)</f>
        <v>156</v>
      </c>
      <c r="AD28">
        <f>_xll.EQNXTDZ($A$1,$B28,AD$1,$B$1)</f>
        <v>160</v>
      </c>
      <c r="AE28">
        <f>_xll.EQNXTDZ($A$1,$B28,AE$1,$B$1)</f>
        <v>160</v>
      </c>
      <c r="AF28">
        <f>_xll.EQNXTDZ($A$1,$B28,AF$1,$B$1)</f>
        <v>163</v>
      </c>
      <c r="AG28">
        <f>_xll.EQNXTDZ($A$1,$B28,AG$1,$B$1)</f>
        <v>163</v>
      </c>
      <c r="AH28">
        <f>_xll.EQNXTDZ($A$1,$B28,AH$1,$B$1)</f>
        <v>168</v>
      </c>
      <c r="AI28">
        <f>_xll.EQNXTDZ($A$1,$B28,AI$1,$B$1)</f>
        <v>161</v>
      </c>
      <c r="AJ28">
        <f>_xll.EQNXTDZ($A$1,$B28,AJ$1,$B$1)</f>
        <v>165</v>
      </c>
      <c r="AK28">
        <f>_xll.EQNXTDZ($A$1,$B28,AK$1,$B$1)</f>
        <v>167</v>
      </c>
      <c r="AL28">
        <f>_xll.EQNXTDZ($A$1,$B28,AL$1,$B$1)</f>
        <v>165</v>
      </c>
      <c r="AM28">
        <f>_xll.EQNXTDZ($A$1,$B28,AM$1,$B$1)</f>
        <v>165</v>
      </c>
      <c r="AN28">
        <f>_xll.EQNXTDZ($A$1,$B28,AN$1,$B$1)</f>
        <v>168</v>
      </c>
      <c r="AO28">
        <f>_xll.EQNXTDZ($A$1,$B28,AO$1,$B$1)</f>
        <v>167</v>
      </c>
      <c r="AP28">
        <f>_xll.EQNXTDZ($A$1,$B28,AP$1,$B$1)</f>
        <v>162</v>
      </c>
      <c r="AQ28">
        <f>_xll.EQNXTDZ($A$1,$B28,AQ$1,$B$1)</f>
        <v>155</v>
      </c>
      <c r="AR28">
        <f>_xll.EQNXTDZ($A$1,$B28,AR$1,$B$1)</f>
        <v>163</v>
      </c>
      <c r="AS28">
        <f>_xll.EQNXTDZ($A$1,$B28,AS$1,$B$1)</f>
        <v>193</v>
      </c>
      <c r="AT28">
        <f>_xll.EQNXTDZ($A$1,$B28,AT$1,$B$1)</f>
        <v>196</v>
      </c>
      <c r="AU28">
        <f>_xll.EQNXTDZ($A$1,$B28,AU$1,$B$1)</f>
        <v>191</v>
      </c>
      <c r="AV28">
        <f>_xll.EQNXTDZ($A$1,$B28,AV$1,$B$1)</f>
        <v>201</v>
      </c>
      <c r="AW28">
        <f>_xll.EQNXTDZ($A$1,$B28,AW$1,$B$1)</f>
        <v>213</v>
      </c>
      <c r="AX28">
        <f>_xll.EQNXTDZ($A$1,$B28,AX$1,$B$1)</f>
        <v>203</v>
      </c>
      <c r="AY28">
        <f>_xll.EQNXTDZ($A$1,$B28,AY$1,$B$1)</f>
        <v>197</v>
      </c>
      <c r="AZ28">
        <f>_xll.EQNXTDZ($A$1,$B28,AZ$1,$B$1)</f>
        <v>198</v>
      </c>
      <c r="BA28">
        <f>_xll.EQNXTDZ($A$1,$B28,BA$1,$B$1)</f>
        <v>199</v>
      </c>
      <c r="BB28">
        <f>_xll.EQNXTDZ($A$1,$B28,BB$1,$B$1)</f>
        <v>201</v>
      </c>
      <c r="BC28">
        <f>_xll.EQNXTDZ($A$1,$B28,BC$1,$B$1)</f>
        <v>201</v>
      </c>
      <c r="BD28">
        <f>_xll.EQNXTDZ($A$1,$B28,BD$1,$B$1)</f>
        <v>204</v>
      </c>
      <c r="BE28">
        <f>_xll.EQNXTDZ($A$1,$B28,BE$1,$B$1)</f>
        <v>206</v>
      </c>
      <c r="BF28">
        <f>_xll.EQNXTDZ($A$1,$B28,BF$1,$B$1)</f>
        <v>508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37</v>
      </c>
      <c r="D29">
        <f>_xll.EQNXTDZ($A$1,$B29,D$1,$B$1)</f>
        <v>31</v>
      </c>
      <c r="E29">
        <f>_xll.EQNXTDZ($A$1,$B29,E$1,$B$1)</f>
        <v>31</v>
      </c>
      <c r="F29">
        <f>_xll.EQNXTDZ($A$1,$B29,F$1,$B$1)</f>
        <v>48</v>
      </c>
      <c r="G29">
        <f>_xll.EQNXTDZ($A$1,$B29,G$1,$B$1)</f>
        <v>38</v>
      </c>
      <c r="H29">
        <f>_xll.EQNXTDZ($A$1,$B29,H$1,$B$1)</f>
        <v>39</v>
      </c>
      <c r="I29">
        <f>_xll.EQNXTDZ($A$1,$B29,I$1,$B$1)</f>
        <v>30</v>
      </c>
      <c r="J29">
        <f>_xll.EQNXTDZ($A$1,$B29,J$1,$B$1)</f>
        <v>73</v>
      </c>
      <c r="K29">
        <f>_xll.EQNXTDZ($A$1,$B29,K$1,$B$1)</f>
        <v>93</v>
      </c>
      <c r="L29">
        <f>_xll.EQNXTDZ($A$1,$B29,L$1,$B$1)</f>
        <v>37</v>
      </c>
      <c r="M29">
        <f>_xll.EQNXTDZ($A$1,$B29,M$1,$B$1)</f>
        <v>34</v>
      </c>
      <c r="N29">
        <f>_xll.EQNXTDZ($A$1,$B29,N$1,$B$1)</f>
        <v>25</v>
      </c>
      <c r="O29">
        <f>_xll.EQNXTDZ($A$1,$B29,O$1,$B$1)</f>
        <v>225</v>
      </c>
      <c r="P29">
        <f>_xll.EQNXTDZ($A$1,$B29,P$1,$B$1)</f>
        <v>172</v>
      </c>
      <c r="Q29">
        <f>_xll.EQNXTDZ($A$1,$B29,Q$1,$B$1)</f>
        <v>87</v>
      </c>
      <c r="R29">
        <f>_xll.EQNXTDZ($A$1,$B29,R$1,$B$1)</f>
        <v>126</v>
      </c>
      <c r="S29">
        <f>_xll.EQNXTDZ($A$1,$B29,S$1,$B$1)</f>
        <v>54</v>
      </c>
      <c r="T29">
        <f>_xll.EQNXTDZ($A$1,$B29,T$1,$B$1)</f>
        <v>46</v>
      </c>
      <c r="U29">
        <f>_xll.EQNXTDZ($A$1,$B29,U$1,$B$1)</f>
        <v>16</v>
      </c>
      <c r="V29">
        <f>_xll.EQNXTDZ($A$1,$B29,V$1,$B$1)</f>
        <v>38</v>
      </c>
      <c r="W29">
        <f>_xll.EQNXTDZ($A$1,$B29,W$1,$B$1)</f>
        <v>78</v>
      </c>
      <c r="X29">
        <f>_xll.EQNXTDZ($A$1,$B29,X$1,$B$1)</f>
        <v>68</v>
      </c>
      <c r="Y29">
        <f>_xll.EQNXTDZ($A$1,$B29,Y$1,$B$1)</f>
        <v>201</v>
      </c>
      <c r="Z29">
        <f>_xll.EQNXTDZ($A$1,$B29,Z$1,$B$1)</f>
        <v>-94</v>
      </c>
      <c r="AA29">
        <f>_xll.EQNXTDZ($A$1,$B29,AA$1,$B$1)</f>
        <v>69</v>
      </c>
      <c r="AB29">
        <f>_xll.EQNXTDZ($A$1,$B29,AB$1,$B$1)</f>
        <v>26</v>
      </c>
      <c r="AC29">
        <f>_xll.EQNXTDZ($A$1,$B29,AC$1,$B$1)</f>
        <v>29</v>
      </c>
      <c r="AD29">
        <f>_xll.EQNXTDZ($A$1,$B29,AD$1,$B$1)</f>
        <v>2</v>
      </c>
      <c r="AE29">
        <f>_xll.EQNXTDZ($A$1,$B29,AE$1,$B$1)</f>
        <v>63</v>
      </c>
      <c r="AF29">
        <f>_xll.EQNXTDZ($A$1,$B29,AF$1,$B$1)</f>
        <v>52</v>
      </c>
      <c r="AG29">
        <f>_xll.EQNXTDZ($A$1,$B29,AG$1,$B$1)</f>
        <v>68</v>
      </c>
      <c r="AH29">
        <f>_xll.EQNXTDZ($A$1,$B29,AH$1,$B$1)</f>
        <v>-21</v>
      </c>
      <c r="AI29">
        <f>_xll.EQNXTDZ($A$1,$B29,AI$1,$B$1)</f>
        <v>81</v>
      </c>
      <c r="AJ29">
        <f>_xll.EQNXTDZ($A$1,$B29,AJ$1,$B$1)</f>
        <v>74</v>
      </c>
      <c r="AK29">
        <f>_xll.EQNXTDZ($A$1,$B29,AK$1,$B$1)</f>
        <v>60</v>
      </c>
      <c r="AL29">
        <f>_xll.EQNXTDZ($A$1,$B29,AL$1,$B$1)</f>
        <v>59</v>
      </c>
      <c r="AM29">
        <f>_xll.EQNXTDZ($A$1,$B29,AM$1,$B$1)</f>
        <v>154</v>
      </c>
      <c r="AN29">
        <f>_xll.EQNXTDZ($A$1,$B29,AN$1,$B$1)</f>
        <v>156</v>
      </c>
      <c r="AO29">
        <f>_xll.EQNXTDZ($A$1,$B29,AO$1,$B$1)</f>
        <v>108</v>
      </c>
      <c r="AP29">
        <f>_xll.EQNXTDZ($A$1,$B29,AP$1,$B$1)</f>
        <v>31</v>
      </c>
      <c r="AQ29">
        <f>_xll.EQNXTDZ($A$1,$B29,AQ$1,$B$1)</f>
        <v>178</v>
      </c>
      <c r="AR29">
        <f>_xll.EQNXTDZ($A$1,$B29,AR$1,$B$1)</f>
        <v>151</v>
      </c>
      <c r="AS29">
        <f>_xll.EQNXTDZ($A$1,$B29,AS$1,$B$1)</f>
        <v>127</v>
      </c>
      <c r="AT29">
        <f>_xll.EQNXTDZ($A$1,$B29,AT$1,$B$1)</f>
        <v>146</v>
      </c>
      <c r="AU29">
        <f>_xll.EQNXTDZ($A$1,$B29,AU$1,$B$1)</f>
        <v>153</v>
      </c>
      <c r="AV29">
        <f>_xll.EQNXTDZ($A$1,$B29,AV$1,$B$1)</f>
        <v>173</v>
      </c>
      <c r="AW29">
        <f>_xll.EQNXTDZ($A$1,$B29,AW$1,$B$1)</f>
        <v>188</v>
      </c>
      <c r="AX29">
        <f>_xll.EQNXTDZ($A$1,$B29,AX$1,$B$1)</f>
        <v>182</v>
      </c>
      <c r="AY29">
        <f>_xll.EQNXTDZ($A$1,$B29,AY$1,$B$1)</f>
        <v>199</v>
      </c>
      <c r="AZ29">
        <f>_xll.EQNXTDZ($A$1,$B29,AZ$1,$B$1)</f>
        <v>208</v>
      </c>
      <c r="BA29">
        <f>_xll.EQNXTDZ($A$1,$B29,BA$1,$B$1)</f>
        <v>188</v>
      </c>
      <c r="BB29">
        <f>_xll.EQNXTDZ($A$1,$B29,BB$1,$B$1)</f>
        <v>167</v>
      </c>
      <c r="BC29">
        <f>_xll.EQNXTDZ($A$1,$B29,BC$1,$B$1)</f>
        <v>190</v>
      </c>
      <c r="BD29">
        <f>_xll.EQNXTDZ($A$1,$B29,BD$1,$B$1)</f>
        <v>200</v>
      </c>
      <c r="BE29">
        <f>_xll.EQNXTDZ($A$1,$B29,BE$1,$B$1)</f>
        <v>179</v>
      </c>
      <c r="BF29">
        <f>_xll.EQNXTDZ($A$1,$B29,BF$1,$B$1)</f>
        <v>165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103</v>
      </c>
      <c r="D30">
        <f>_xll.EQNXTDZ($A$1,$B30,D$1,$B$1)</f>
        <v>108</v>
      </c>
      <c r="E30">
        <f>_xll.EQNXTDZ($A$1,$B30,E$1,$B$1)</f>
        <v>112</v>
      </c>
      <c r="F30">
        <f>_xll.EQNXTDZ($A$1,$B30,F$1,$B$1)</f>
        <v>111</v>
      </c>
      <c r="G30">
        <f>_xll.EQNXTDZ($A$1,$B30,G$1,$B$1)</f>
        <v>149</v>
      </c>
      <c r="H30">
        <f>_xll.EQNXTDZ($A$1,$B30,H$1,$B$1)</f>
        <v>113</v>
      </c>
      <c r="I30">
        <f>_xll.EQNXTDZ($A$1,$B30,I$1,$B$1)</f>
        <v>158</v>
      </c>
      <c r="J30">
        <f>_xll.EQNXTDZ($A$1,$B30,J$1,$B$1)</f>
        <v>244</v>
      </c>
      <c r="K30">
        <f>_xll.EQNXTDZ($A$1,$B30,K$1,$B$1)</f>
        <v>256</v>
      </c>
      <c r="L30">
        <f>_xll.EQNXTDZ($A$1,$B30,L$1,$B$1)</f>
        <v>198</v>
      </c>
      <c r="M30">
        <f>_xll.EQNXTDZ($A$1,$B30,M$1,$B$1)</f>
        <v>167</v>
      </c>
      <c r="N30">
        <f>_xll.EQNXTDZ($A$1,$B30,N$1,$B$1)</f>
        <v>130</v>
      </c>
      <c r="O30">
        <f>_xll.EQNXTDZ($A$1,$B30,O$1,$B$1)</f>
        <v>650</v>
      </c>
      <c r="P30">
        <f>_xll.EQNXTDZ($A$1,$B30,P$1,$B$1)</f>
        <v>509</v>
      </c>
      <c r="Q30">
        <f>_xll.EQNXTDZ($A$1,$B30,Q$1,$B$1)</f>
        <v>290</v>
      </c>
      <c r="R30">
        <f>_xll.EQNXTDZ($A$1,$B30,R$1,$B$1)</f>
        <v>284</v>
      </c>
      <c r="S30">
        <f>_xll.EQNXTDZ($A$1,$B30,S$1,$B$1)</f>
        <v>292</v>
      </c>
      <c r="T30">
        <f>_xll.EQNXTDZ($A$1,$B30,T$1,$B$1)</f>
        <v>207</v>
      </c>
      <c r="U30">
        <f>_xll.EQNXTDZ($A$1,$B30,U$1,$B$1)</f>
        <v>229</v>
      </c>
      <c r="V30">
        <f>_xll.EQNXTDZ($A$1,$B30,V$1,$B$1)</f>
        <v>206</v>
      </c>
      <c r="W30">
        <f>_xll.EQNXTDZ($A$1,$B30,W$1,$B$1)</f>
        <v>188</v>
      </c>
      <c r="X30">
        <f>_xll.EQNXTDZ($A$1,$B30,X$1,$B$1)</f>
        <v>204</v>
      </c>
      <c r="Y30">
        <f>_xll.EQNXTDZ($A$1,$B30,Y$1,$B$1)</f>
        <v>58</v>
      </c>
      <c r="Z30">
        <f>_xll.EQNXTDZ($A$1,$B30,Z$1,$B$1)</f>
        <v>228</v>
      </c>
      <c r="AA30">
        <f>_xll.EQNXTDZ($A$1,$B30,AA$1,$B$1)</f>
        <v>163</v>
      </c>
      <c r="AB30">
        <f>_xll.EQNXTDZ($A$1,$B30,AB$1,$B$1)</f>
        <v>179</v>
      </c>
      <c r="AC30">
        <f>_xll.EQNXTDZ($A$1,$B30,AC$1,$B$1)</f>
        <v>246</v>
      </c>
      <c r="AD30">
        <f>_xll.EQNXTDZ($A$1,$B30,AD$1,$B$1)</f>
        <v>-152</v>
      </c>
      <c r="AE30">
        <f>_xll.EQNXTDZ($A$1,$B30,AE$1,$B$1)</f>
        <v>216</v>
      </c>
      <c r="AF30">
        <f>_xll.EQNXTDZ($A$1,$B30,AF$1,$B$1)</f>
        <v>244</v>
      </c>
      <c r="AG30">
        <f>_xll.EQNXTDZ($A$1,$B30,AG$1,$B$1)</f>
        <v>251</v>
      </c>
      <c r="AH30">
        <f>_xll.EQNXTDZ($A$1,$B30,AH$1,$B$1)</f>
        <v>314</v>
      </c>
      <c r="AI30">
        <f>_xll.EQNXTDZ($A$1,$B30,AI$1,$B$1)</f>
        <v>321</v>
      </c>
      <c r="AJ30">
        <f>_xll.EQNXTDZ($A$1,$B30,AJ$1,$B$1)</f>
        <v>310</v>
      </c>
      <c r="AK30">
        <f>_xll.EQNXTDZ($A$1,$B30,AK$1,$B$1)</f>
        <v>297</v>
      </c>
      <c r="AL30">
        <f>_xll.EQNXTDZ($A$1,$B30,AL$1,$B$1)</f>
        <v>324</v>
      </c>
      <c r="AM30">
        <f>_xll.EQNXTDZ($A$1,$B30,AM$1,$B$1)</f>
        <v>330</v>
      </c>
      <c r="AN30">
        <f>_xll.EQNXTDZ($A$1,$B30,AN$1,$B$1)</f>
        <v>316</v>
      </c>
      <c r="AO30">
        <f>_xll.EQNXTDZ($A$1,$B30,AO$1,$B$1)</f>
        <v>249</v>
      </c>
      <c r="AP30">
        <f>_xll.EQNXTDZ($A$1,$B30,AP$1,$B$1)</f>
        <v>-118</v>
      </c>
      <c r="AQ30">
        <f>_xll.EQNXTDZ($A$1,$B30,AQ$1,$B$1)</f>
        <v>354</v>
      </c>
      <c r="AR30">
        <f>_xll.EQNXTDZ($A$1,$B30,AR$1,$B$1)</f>
        <v>312</v>
      </c>
      <c r="AS30">
        <f>_xll.EQNXTDZ($A$1,$B30,AS$1,$B$1)</f>
        <v>292</v>
      </c>
      <c r="AT30">
        <f>_xll.EQNXTDZ($A$1,$B30,AT$1,$B$1)</f>
        <v>287</v>
      </c>
      <c r="AU30">
        <f>_xll.EQNXTDZ($A$1,$B30,AU$1,$B$1)</f>
        <v>378</v>
      </c>
      <c r="AV30">
        <f>_xll.EQNXTDZ($A$1,$B30,AV$1,$B$1)</f>
        <v>386</v>
      </c>
      <c r="AW30">
        <f>_xll.EQNXTDZ($A$1,$B30,AW$1,$B$1)</f>
        <v>443</v>
      </c>
      <c r="AX30">
        <f>_xll.EQNXTDZ($A$1,$B30,AX$1,$B$1)</f>
        <v>449</v>
      </c>
      <c r="AY30">
        <f>_xll.EQNXTDZ($A$1,$B30,AY$1,$B$1)</f>
        <v>457</v>
      </c>
      <c r="AZ30">
        <f>_xll.EQNXTDZ($A$1,$B30,AZ$1,$B$1)</f>
        <v>453</v>
      </c>
      <c r="BA30">
        <f>_xll.EQNXTDZ($A$1,$B30,BA$1,$B$1)</f>
        <v>503</v>
      </c>
      <c r="BB30">
        <f>_xll.EQNXTDZ($A$1,$B30,BB$1,$B$1)</f>
        <v>498</v>
      </c>
      <c r="BC30">
        <f>_xll.EQNXTDZ($A$1,$B30,BC$1,$B$1)</f>
        <v>548</v>
      </c>
      <c r="BD30">
        <f>_xll.EQNXTDZ($A$1,$B30,BD$1,$B$1)</f>
        <v>591</v>
      </c>
      <c r="BE30">
        <f>_xll.EQNXTDZ($A$1,$B30,BE$1,$B$1)</f>
        <v>635</v>
      </c>
      <c r="BF30">
        <f>_xll.EQNXTDZ($A$1,$B30,BF$1,$B$1)</f>
        <v>364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-1</v>
      </c>
      <c r="D34">
        <f>_xll.EQNXTDZ($A$1,$B34,D$1,$B$1)</f>
        <v>-1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25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102</v>
      </c>
      <c r="D38">
        <f>_xll.EQNXTDZ($A$1,$B38,D$1,$B$1)</f>
        <v>107</v>
      </c>
      <c r="E38">
        <f>_xll.EQNXTDZ($A$1,$B38,E$1,$B$1)</f>
        <v>112</v>
      </c>
      <c r="F38">
        <f>_xll.EQNXTDZ($A$1,$B38,F$1,$B$1)</f>
        <v>111</v>
      </c>
      <c r="G38">
        <f>_xll.EQNXTDZ($A$1,$B38,G$1,$B$1)</f>
        <v>149</v>
      </c>
      <c r="H38">
        <f>_xll.EQNXTDZ($A$1,$B38,H$1,$B$1)</f>
        <v>113</v>
      </c>
      <c r="I38">
        <f>_xll.EQNXTDZ($A$1,$B38,I$1,$B$1)</f>
        <v>158</v>
      </c>
      <c r="J38">
        <f>_xll.EQNXTDZ($A$1,$B38,J$1,$B$1)</f>
        <v>244</v>
      </c>
      <c r="K38">
        <f>_xll.EQNXTDZ($A$1,$B38,K$1,$B$1)</f>
        <v>256</v>
      </c>
      <c r="L38">
        <f>_xll.EQNXTDZ($A$1,$B38,L$1,$B$1)</f>
        <v>198</v>
      </c>
      <c r="M38">
        <f>_xll.EQNXTDZ($A$1,$B38,M$1,$B$1)</f>
        <v>167</v>
      </c>
      <c r="N38">
        <f>_xll.EQNXTDZ($A$1,$B38,N$1,$B$1)</f>
        <v>130</v>
      </c>
      <c r="O38">
        <f>_xll.EQNXTDZ($A$1,$B38,O$1,$B$1)</f>
        <v>650</v>
      </c>
      <c r="P38">
        <f>_xll.EQNXTDZ($A$1,$B38,P$1,$B$1)</f>
        <v>509</v>
      </c>
      <c r="Q38">
        <f>_xll.EQNXTDZ($A$1,$B38,Q$1,$B$1)</f>
        <v>290</v>
      </c>
      <c r="R38">
        <f>_xll.EQNXTDZ($A$1,$B38,R$1,$B$1)</f>
        <v>284</v>
      </c>
      <c r="S38">
        <f>_xll.EQNXTDZ($A$1,$B38,S$1,$B$1)</f>
        <v>292</v>
      </c>
      <c r="T38">
        <f>_xll.EQNXTDZ($A$1,$B38,T$1,$B$1)</f>
        <v>207</v>
      </c>
      <c r="U38">
        <f>_xll.EQNXTDZ($A$1,$B38,U$1,$B$1)</f>
        <v>229</v>
      </c>
      <c r="V38">
        <f>_xll.EQNXTDZ($A$1,$B38,V$1,$B$1)</f>
        <v>206</v>
      </c>
      <c r="W38">
        <f>_xll.EQNXTDZ($A$1,$B38,W$1,$B$1)</f>
        <v>188</v>
      </c>
      <c r="X38">
        <f>_xll.EQNXTDZ($A$1,$B38,X$1,$B$1)</f>
        <v>204</v>
      </c>
      <c r="Y38">
        <f>_xll.EQNXTDZ($A$1,$B38,Y$1,$B$1)</f>
        <v>58</v>
      </c>
      <c r="Z38">
        <f>_xll.EQNXTDZ($A$1,$B38,Z$1,$B$1)</f>
        <v>228</v>
      </c>
      <c r="AA38">
        <f>_xll.EQNXTDZ($A$1,$B38,AA$1,$B$1)</f>
        <v>163</v>
      </c>
      <c r="AB38">
        <f>_xll.EQNXTDZ($A$1,$B38,AB$1,$B$1)</f>
        <v>179</v>
      </c>
      <c r="AC38">
        <f>_xll.EQNXTDZ($A$1,$B38,AC$1,$B$1)</f>
        <v>246</v>
      </c>
      <c r="AD38">
        <f>_xll.EQNXTDZ($A$1,$B38,AD$1,$B$1)</f>
        <v>-152</v>
      </c>
      <c r="AE38">
        <f>_xll.EQNXTDZ($A$1,$B38,AE$1,$B$1)</f>
        <v>216</v>
      </c>
      <c r="AF38">
        <f>_xll.EQNXTDZ($A$1,$B38,AF$1,$B$1)</f>
        <v>244</v>
      </c>
      <c r="AG38">
        <f>_xll.EQNXTDZ($A$1,$B38,AG$1,$B$1)</f>
        <v>251</v>
      </c>
      <c r="AH38">
        <f>_xll.EQNXTDZ($A$1,$B38,AH$1,$B$1)</f>
        <v>314</v>
      </c>
      <c r="AI38">
        <f>_xll.EQNXTDZ($A$1,$B38,AI$1,$B$1)</f>
        <v>321</v>
      </c>
      <c r="AJ38">
        <f>_xll.EQNXTDZ($A$1,$B38,AJ$1,$B$1)</f>
        <v>310</v>
      </c>
      <c r="AK38">
        <f>_xll.EQNXTDZ($A$1,$B38,AK$1,$B$1)</f>
        <v>297</v>
      </c>
      <c r="AL38">
        <f>_xll.EQNXTDZ($A$1,$B38,AL$1,$B$1)</f>
        <v>324</v>
      </c>
      <c r="AM38">
        <f>_xll.EQNXTDZ($A$1,$B38,AM$1,$B$1)</f>
        <v>330</v>
      </c>
      <c r="AN38">
        <f>_xll.EQNXTDZ($A$1,$B38,AN$1,$B$1)</f>
        <v>316</v>
      </c>
      <c r="AO38">
        <f>_xll.EQNXTDZ($A$1,$B38,AO$1,$B$1)</f>
        <v>249</v>
      </c>
      <c r="AP38">
        <f>_xll.EQNXTDZ($A$1,$B38,AP$1,$B$1)</f>
        <v>-118</v>
      </c>
      <c r="AQ38">
        <f>_xll.EQNXTDZ($A$1,$B38,AQ$1,$B$1)</f>
        <v>354</v>
      </c>
      <c r="AR38">
        <f>_xll.EQNXTDZ($A$1,$B38,AR$1,$B$1)</f>
        <v>312</v>
      </c>
      <c r="AS38">
        <f>_xll.EQNXTDZ($A$1,$B38,AS$1,$B$1)</f>
        <v>292</v>
      </c>
      <c r="AT38">
        <f>_xll.EQNXTDZ($A$1,$B38,AT$1,$B$1)</f>
        <v>287</v>
      </c>
      <c r="AU38">
        <f>_xll.EQNXTDZ($A$1,$B38,AU$1,$B$1)</f>
        <v>378</v>
      </c>
      <c r="AV38">
        <f>_xll.EQNXTDZ($A$1,$B38,AV$1,$B$1)</f>
        <v>386</v>
      </c>
      <c r="AW38">
        <f>_xll.EQNXTDZ($A$1,$B38,AW$1,$B$1)</f>
        <v>443</v>
      </c>
      <c r="AX38">
        <f>_xll.EQNXTDZ($A$1,$B38,AX$1,$B$1)</f>
        <v>449</v>
      </c>
      <c r="AY38">
        <f>_xll.EQNXTDZ($A$1,$B38,AY$1,$B$1)</f>
        <v>457</v>
      </c>
      <c r="AZ38">
        <f>_xll.EQNXTDZ($A$1,$B38,AZ$1,$B$1)</f>
        <v>453</v>
      </c>
      <c r="BA38">
        <f>_xll.EQNXTDZ($A$1,$B38,BA$1,$B$1)</f>
        <v>503</v>
      </c>
      <c r="BB38">
        <f>_xll.EQNXTDZ($A$1,$B38,BB$1,$B$1)</f>
        <v>498</v>
      </c>
      <c r="BC38">
        <f>_xll.EQNXTDZ($A$1,$B38,BC$1,$B$1)</f>
        <v>548</v>
      </c>
      <c r="BD38">
        <f>_xll.EQNXTDZ($A$1,$B38,BD$1,$B$1)</f>
        <v>591</v>
      </c>
      <c r="BE38">
        <f>_xll.EQNXTDZ($A$1,$B38,BE$1,$B$1)</f>
        <v>635</v>
      </c>
      <c r="BF38">
        <f>_xll.EQNXTDZ($A$1,$B38,BF$1,$B$1)</f>
        <v>389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-58</v>
      </c>
      <c r="P40">
        <f>_xll.EQNXTDZ($A$1,$B40,P$1,$B$1)</f>
        <v>22</v>
      </c>
      <c r="Q40">
        <f>_xll.EQNXTDZ($A$1,$B40,Q$1,$B$1)</f>
        <v>-2</v>
      </c>
      <c r="R40">
        <f>_xll.EQNXTDZ($A$1,$B40,R$1,$B$1)</f>
        <v>-4</v>
      </c>
      <c r="S40">
        <f>_xll.EQNXTDZ($A$1,$B40,S$1,$B$1)</f>
        <v>-19</v>
      </c>
      <c r="T40">
        <f>_xll.EQNXTDZ($A$1,$B40,T$1,$B$1)</f>
        <v>47</v>
      </c>
      <c r="U40">
        <f>_xll.EQNXTDZ($A$1,$B40,U$1,$B$1)</f>
        <v>19</v>
      </c>
      <c r="V40">
        <f>_xll.EQNXTDZ($A$1,$B40,V$1,$B$1)</f>
        <v>79</v>
      </c>
      <c r="W40">
        <f>_xll.EQNXTDZ($A$1,$B40,W$1,$B$1)</f>
        <v>-54</v>
      </c>
      <c r="X40">
        <f>_xll.EQNXTDZ($A$1,$B40,X$1,$B$1)</f>
        <v>-64</v>
      </c>
      <c r="Y40">
        <f>_xll.EQNXTDZ($A$1,$B40,Y$1,$B$1)</f>
        <v>21</v>
      </c>
      <c r="Z40">
        <f>_xll.EQNXTDZ($A$1,$B40,Z$1,$B$1)</f>
        <v>-44</v>
      </c>
      <c r="AA40">
        <f>_xll.EQNXTDZ($A$1,$B40,AA$1,$B$1)</f>
        <v>-49</v>
      </c>
      <c r="AB40">
        <f>_xll.EQNXTDZ($A$1,$B40,AB$1,$B$1)</f>
        <v>-96</v>
      </c>
      <c r="AC40">
        <f>_xll.EQNXTDZ($A$1,$B40,AC$1,$B$1)</f>
        <v>125</v>
      </c>
      <c r="AD40">
        <f>_xll.EQNXTDZ($A$1,$B40,AD$1,$B$1)</f>
        <v>53</v>
      </c>
      <c r="AE40">
        <f>_xll.EQNXTDZ($A$1,$B40,AE$1,$B$1)</f>
        <v>2</v>
      </c>
      <c r="AF40">
        <f>_xll.EQNXTDZ($A$1,$B40,AF$1,$B$1)</f>
        <v>-32</v>
      </c>
      <c r="AG40">
        <f>_xll.EQNXTDZ($A$1,$B40,AG$1,$B$1)</f>
        <v>-56</v>
      </c>
      <c r="AH40">
        <f>_xll.EQNXTDZ($A$1,$B40,AH$1,$B$1)</f>
        <v>-106</v>
      </c>
      <c r="AI40">
        <f>_xll.EQNXTDZ($A$1,$B40,AI$1,$B$1)</f>
        <v>15</v>
      </c>
      <c r="AJ40">
        <f>_xll.EQNXTDZ($A$1,$B40,AJ$1,$B$1)</f>
        <v>62</v>
      </c>
      <c r="AK40">
        <f>_xll.EQNXTDZ($A$1,$B40,AK$1,$B$1)</f>
        <v>0</v>
      </c>
      <c r="AL40">
        <f>_xll.EQNXTDZ($A$1,$B40,AL$1,$B$1)</f>
        <v>23</v>
      </c>
      <c r="AM40">
        <f>_xll.EQNXTDZ($A$1,$B40,AM$1,$B$1)</f>
        <v>-36</v>
      </c>
      <c r="AN40">
        <f>_xll.EQNXTDZ($A$1,$B40,AN$1,$B$1)</f>
        <v>25</v>
      </c>
      <c r="AO40">
        <f>_xll.EQNXTDZ($A$1,$B40,AO$1,$B$1)</f>
        <v>12</v>
      </c>
      <c r="AP40">
        <f>_xll.EQNXTDZ($A$1,$B40,AP$1,$B$1)</f>
        <v>11</v>
      </c>
      <c r="AQ40">
        <f>_xll.EQNXTDZ($A$1,$B40,AQ$1,$B$1)</f>
        <v>-80</v>
      </c>
      <c r="AR40">
        <f>_xll.EQNXTDZ($A$1,$B40,AR$1,$B$1)</f>
        <v>-59</v>
      </c>
      <c r="AS40">
        <f>_xll.EQNXTDZ($A$1,$B40,AS$1,$B$1)</f>
        <v>-41</v>
      </c>
      <c r="AT40">
        <f>_xll.EQNXTDZ($A$1,$B40,AT$1,$B$1)</f>
        <v>43</v>
      </c>
      <c r="AU40">
        <f>_xll.EQNXTDZ($A$1,$B40,AU$1,$B$1)</f>
        <v>40</v>
      </c>
      <c r="AV40">
        <f>_xll.EQNXTDZ($A$1,$B40,AV$1,$B$1)</f>
        <v>-23</v>
      </c>
      <c r="AW40">
        <f>_xll.EQNXTDZ($A$1,$B40,AW$1,$B$1)</f>
        <v>-1</v>
      </c>
      <c r="AX40">
        <f>_xll.EQNXTDZ($A$1,$B40,AX$1,$B$1)</f>
        <v>1</v>
      </c>
      <c r="AY40">
        <f>_xll.EQNXTDZ($A$1,$B40,AY$1,$B$1)</f>
        <v>-34</v>
      </c>
      <c r="AZ40">
        <f>_xll.EQNXTDZ($A$1,$B40,AZ$1,$B$1)</f>
        <v>-25</v>
      </c>
      <c r="BA40">
        <f>_xll.EQNXTDZ($A$1,$B40,BA$1,$B$1)</f>
        <v>-70</v>
      </c>
      <c r="BB40">
        <f>_xll.EQNXTDZ($A$1,$B40,BB$1,$B$1)</f>
        <v>36</v>
      </c>
      <c r="BC40">
        <f>_xll.EQNXTDZ($A$1,$B40,BC$1,$B$1)</f>
        <v>-2</v>
      </c>
      <c r="BD40">
        <f>_xll.EQNXTDZ($A$1,$B40,BD$1,$B$1)</f>
        <v>-76</v>
      </c>
      <c r="BE40">
        <f>_xll.EQNXTDZ($A$1,$B40,BE$1,$B$1)</f>
        <v>-16</v>
      </c>
      <c r="BF40">
        <f>_xll.EQNXTDZ($A$1,$B40,BF$1,$B$1)</f>
        <v>-86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592</v>
      </c>
      <c r="P41">
        <f>_xll.EQNXTDZ($A$1,$B41,P$1,$B$1)</f>
        <v>531</v>
      </c>
      <c r="Q41">
        <f>_xll.EQNXTDZ($A$1,$B41,Q$1,$B$1)</f>
        <v>288</v>
      </c>
      <c r="R41">
        <f>_xll.EQNXTDZ($A$1,$B41,R$1,$B$1)</f>
        <v>280</v>
      </c>
      <c r="S41">
        <f>_xll.EQNXTDZ($A$1,$B41,S$1,$B$1)</f>
        <v>273</v>
      </c>
      <c r="T41">
        <f>_xll.EQNXTDZ($A$1,$B41,T$1,$B$1)</f>
        <v>254</v>
      </c>
      <c r="U41">
        <f>_xll.EQNXTDZ($A$1,$B41,U$1,$B$1)</f>
        <v>248</v>
      </c>
      <c r="V41">
        <f>_xll.EQNXTDZ($A$1,$B41,V$1,$B$1)</f>
        <v>285</v>
      </c>
      <c r="W41">
        <f>_xll.EQNXTDZ($A$1,$B41,W$1,$B$1)</f>
        <v>134</v>
      </c>
      <c r="X41">
        <f>_xll.EQNXTDZ($A$1,$B41,X$1,$B$1)</f>
        <v>140</v>
      </c>
      <c r="Y41">
        <f>_xll.EQNXTDZ($A$1,$B41,Y$1,$B$1)</f>
        <v>79</v>
      </c>
      <c r="Z41">
        <f>_xll.EQNXTDZ($A$1,$B41,Z$1,$B$1)</f>
        <v>184</v>
      </c>
      <c r="AA41">
        <f>_xll.EQNXTDZ($A$1,$B41,AA$1,$B$1)</f>
        <v>114</v>
      </c>
      <c r="AB41">
        <f>_xll.EQNXTDZ($A$1,$B41,AB$1,$B$1)</f>
        <v>83</v>
      </c>
      <c r="AC41">
        <f>_xll.EQNXTDZ($A$1,$B41,AC$1,$B$1)</f>
        <v>371</v>
      </c>
      <c r="AD41">
        <f>_xll.EQNXTDZ($A$1,$B41,AD$1,$B$1)</f>
        <v>-99</v>
      </c>
      <c r="AE41">
        <f>_xll.EQNXTDZ($A$1,$B41,AE$1,$B$1)</f>
        <v>218</v>
      </c>
      <c r="AF41">
        <f>_xll.EQNXTDZ($A$1,$B41,AF$1,$B$1)</f>
        <v>212</v>
      </c>
      <c r="AG41">
        <f>_xll.EQNXTDZ($A$1,$B41,AG$1,$B$1)</f>
        <v>195</v>
      </c>
      <c r="AH41">
        <f>_xll.EQNXTDZ($A$1,$B41,AH$1,$B$1)</f>
        <v>208</v>
      </c>
      <c r="AI41">
        <f>_xll.EQNXTDZ($A$1,$B41,AI$1,$B$1)</f>
        <v>336</v>
      </c>
      <c r="AJ41">
        <f>_xll.EQNXTDZ($A$1,$B41,AJ$1,$B$1)</f>
        <v>372</v>
      </c>
      <c r="AK41">
        <f>_xll.EQNXTDZ($A$1,$B41,AK$1,$B$1)</f>
        <v>297</v>
      </c>
      <c r="AL41">
        <f>_xll.EQNXTDZ($A$1,$B41,AL$1,$B$1)</f>
        <v>347</v>
      </c>
      <c r="AM41">
        <f>_xll.EQNXTDZ($A$1,$B41,AM$1,$B$1)</f>
        <v>294</v>
      </c>
      <c r="AN41">
        <f>_xll.EQNXTDZ($A$1,$B41,AN$1,$B$1)</f>
        <v>341</v>
      </c>
      <c r="AO41">
        <f>_xll.EQNXTDZ($A$1,$B41,AO$1,$B$1)</f>
        <v>261</v>
      </c>
      <c r="AP41">
        <f>_xll.EQNXTDZ($A$1,$B41,AP$1,$B$1)</f>
        <v>-107</v>
      </c>
      <c r="AQ41">
        <f>_xll.EQNXTDZ($A$1,$B41,AQ$1,$B$1)</f>
        <v>274</v>
      </c>
      <c r="AR41">
        <f>_xll.EQNXTDZ($A$1,$B41,AR$1,$B$1)</f>
        <v>253</v>
      </c>
      <c r="AS41">
        <f>_xll.EQNXTDZ($A$1,$B41,AS$1,$B$1)</f>
        <v>251</v>
      </c>
      <c r="AT41">
        <f>_xll.EQNXTDZ($A$1,$B41,AT$1,$B$1)</f>
        <v>330</v>
      </c>
      <c r="AU41">
        <f>_xll.EQNXTDZ($A$1,$B41,AU$1,$B$1)</f>
        <v>418</v>
      </c>
      <c r="AV41">
        <f>_xll.EQNXTDZ($A$1,$B41,AV$1,$B$1)</f>
        <v>363</v>
      </c>
      <c r="AW41">
        <f>_xll.EQNXTDZ($A$1,$B41,AW$1,$B$1)</f>
        <v>442</v>
      </c>
      <c r="AX41">
        <f>_xll.EQNXTDZ($A$1,$B41,AX$1,$B$1)</f>
        <v>450</v>
      </c>
      <c r="AY41">
        <f>_xll.EQNXTDZ($A$1,$B41,AY$1,$B$1)</f>
        <v>423</v>
      </c>
      <c r="AZ41">
        <f>_xll.EQNXTDZ($A$1,$B41,AZ$1,$B$1)</f>
        <v>428</v>
      </c>
      <c r="BA41">
        <f>_xll.EQNXTDZ($A$1,$B41,BA$1,$B$1)</f>
        <v>433</v>
      </c>
      <c r="BB41">
        <f>_xll.EQNXTDZ($A$1,$B41,BB$1,$B$1)</f>
        <v>534</v>
      </c>
      <c r="BC41">
        <f>_xll.EQNXTDZ($A$1,$B41,BC$1,$B$1)</f>
        <v>546</v>
      </c>
      <c r="BD41">
        <f>_xll.EQNXTDZ($A$1,$B41,BD$1,$B$1)</f>
        <v>515</v>
      </c>
      <c r="BE41">
        <f>_xll.EQNXTDZ($A$1,$B41,BE$1,$B$1)</f>
        <v>619</v>
      </c>
      <c r="BF41">
        <f>_xll.EQNXTDZ($A$1,$B41,BF$1,$B$1)</f>
        <v>302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102</v>
      </c>
      <c r="D42">
        <f>_xll.EQNXTDZ($A$1,$B42,D$1,$B$1)</f>
        <v>107</v>
      </c>
      <c r="E42">
        <f>_xll.EQNXTDZ($A$1,$B42,E$1,$B$1)</f>
        <v>112</v>
      </c>
      <c r="F42">
        <f>_xll.EQNXTDZ($A$1,$B42,F$1,$B$1)</f>
        <v>111</v>
      </c>
      <c r="G42">
        <f>_xll.EQNXTDZ($A$1,$B42,G$1,$B$1)</f>
        <v>149</v>
      </c>
      <c r="H42">
        <f>_xll.EQNXTDZ($A$1,$B42,H$1,$B$1)</f>
        <v>113</v>
      </c>
      <c r="I42">
        <f>_xll.EQNXTDZ($A$1,$B42,I$1,$B$1)</f>
        <v>158</v>
      </c>
      <c r="J42">
        <f>_xll.EQNXTDZ($A$1,$B42,J$1,$B$1)</f>
        <v>244</v>
      </c>
      <c r="K42">
        <f>_xll.EQNXTDZ($A$1,$B42,K$1,$B$1)</f>
        <v>256</v>
      </c>
      <c r="L42">
        <f>_xll.EQNXTDZ($A$1,$B42,L$1,$B$1)</f>
        <v>198</v>
      </c>
      <c r="M42">
        <f>_xll.EQNXTDZ($A$1,$B42,M$1,$B$1)</f>
        <v>167</v>
      </c>
      <c r="N42">
        <f>_xll.EQNXTDZ($A$1,$B42,N$1,$B$1)</f>
        <v>130</v>
      </c>
      <c r="O42">
        <f>_xll.EQNXTDZ($A$1,$B42,O$1,$B$1)</f>
        <v>650</v>
      </c>
      <c r="P42">
        <f>_xll.EQNXTDZ($A$1,$B42,P$1,$B$1)</f>
        <v>509</v>
      </c>
      <c r="Q42">
        <f>_xll.EQNXTDZ($A$1,$B42,Q$1,$B$1)</f>
        <v>290</v>
      </c>
      <c r="R42">
        <f>_xll.EQNXTDZ($A$1,$B42,R$1,$B$1)</f>
        <v>284</v>
      </c>
      <c r="S42">
        <f>_xll.EQNXTDZ($A$1,$B42,S$1,$B$1)</f>
        <v>292</v>
      </c>
      <c r="T42">
        <f>_xll.EQNXTDZ($A$1,$B42,T$1,$B$1)</f>
        <v>207</v>
      </c>
      <c r="U42">
        <f>_xll.EQNXTDZ($A$1,$B42,U$1,$B$1)</f>
        <v>229</v>
      </c>
      <c r="V42">
        <f>_xll.EQNXTDZ($A$1,$B42,V$1,$B$1)</f>
        <v>206</v>
      </c>
      <c r="W42">
        <f>_xll.EQNXTDZ($A$1,$B42,W$1,$B$1)</f>
        <v>188</v>
      </c>
      <c r="X42">
        <f>_xll.EQNXTDZ($A$1,$B42,X$1,$B$1)</f>
        <v>204</v>
      </c>
      <c r="Y42">
        <f>_xll.EQNXTDZ($A$1,$B42,Y$1,$B$1)</f>
        <v>58</v>
      </c>
      <c r="Z42">
        <f>_xll.EQNXTDZ($A$1,$B42,Z$1,$B$1)</f>
        <v>228</v>
      </c>
      <c r="AA42">
        <f>_xll.EQNXTDZ($A$1,$B42,AA$1,$B$1)</f>
        <v>163</v>
      </c>
      <c r="AB42">
        <f>_xll.EQNXTDZ($A$1,$B42,AB$1,$B$1)</f>
        <v>179</v>
      </c>
      <c r="AC42">
        <f>_xll.EQNXTDZ($A$1,$B42,AC$1,$B$1)</f>
        <v>246</v>
      </c>
      <c r="AD42">
        <f>_xll.EQNXTDZ($A$1,$B42,AD$1,$B$1)</f>
        <v>-152</v>
      </c>
      <c r="AE42">
        <f>_xll.EQNXTDZ($A$1,$B42,AE$1,$B$1)</f>
        <v>216</v>
      </c>
      <c r="AF42">
        <f>_xll.EQNXTDZ($A$1,$B42,AF$1,$B$1)</f>
        <v>244</v>
      </c>
      <c r="AG42">
        <f>_xll.EQNXTDZ($A$1,$B42,AG$1,$B$1)</f>
        <v>251</v>
      </c>
      <c r="AH42">
        <f>_xll.EQNXTDZ($A$1,$B42,AH$1,$B$1)</f>
        <v>314</v>
      </c>
      <c r="AI42">
        <f>_xll.EQNXTDZ($A$1,$B42,AI$1,$B$1)</f>
        <v>321</v>
      </c>
      <c r="AJ42">
        <f>_xll.EQNXTDZ($A$1,$B42,AJ$1,$B$1)</f>
        <v>310</v>
      </c>
      <c r="AK42">
        <f>_xll.EQNXTDZ($A$1,$B42,AK$1,$B$1)</f>
        <v>297</v>
      </c>
      <c r="AL42">
        <f>_xll.EQNXTDZ($A$1,$B42,AL$1,$B$1)</f>
        <v>324</v>
      </c>
      <c r="AM42">
        <f>_xll.EQNXTDZ($A$1,$B42,AM$1,$B$1)</f>
        <v>330</v>
      </c>
      <c r="AN42">
        <f>_xll.EQNXTDZ($A$1,$B42,AN$1,$B$1)</f>
        <v>316</v>
      </c>
      <c r="AO42">
        <f>_xll.EQNXTDZ($A$1,$B42,AO$1,$B$1)</f>
        <v>249</v>
      </c>
      <c r="AP42">
        <f>_xll.EQNXTDZ($A$1,$B42,AP$1,$B$1)</f>
        <v>-118</v>
      </c>
      <c r="AQ42">
        <f>_xll.EQNXTDZ($A$1,$B42,AQ$1,$B$1)</f>
        <v>354</v>
      </c>
      <c r="AR42">
        <f>_xll.EQNXTDZ($A$1,$B42,AR$1,$B$1)</f>
        <v>312</v>
      </c>
      <c r="AS42">
        <f>_xll.EQNXTDZ($A$1,$B42,AS$1,$B$1)</f>
        <v>292</v>
      </c>
      <c r="AT42">
        <f>_xll.EQNXTDZ($A$1,$B42,AT$1,$B$1)</f>
        <v>287</v>
      </c>
      <c r="AU42">
        <f>_xll.EQNXTDZ($A$1,$B42,AU$1,$B$1)</f>
        <v>378</v>
      </c>
      <c r="AV42">
        <f>_xll.EQNXTDZ($A$1,$B42,AV$1,$B$1)</f>
        <v>386</v>
      </c>
      <c r="AW42">
        <f>_xll.EQNXTDZ($A$1,$B42,AW$1,$B$1)</f>
        <v>443</v>
      </c>
      <c r="AX42">
        <f>_xll.EQNXTDZ($A$1,$B42,AX$1,$B$1)</f>
        <v>449</v>
      </c>
      <c r="AY42">
        <f>_xll.EQNXTDZ($A$1,$B42,AY$1,$B$1)</f>
        <v>457</v>
      </c>
      <c r="AZ42">
        <f>_xll.EQNXTDZ($A$1,$B42,AZ$1,$B$1)</f>
        <v>453</v>
      </c>
      <c r="BA42">
        <f>_xll.EQNXTDZ($A$1,$B42,BA$1,$B$1)</f>
        <v>503</v>
      </c>
      <c r="BB42">
        <f>_xll.EQNXTDZ($A$1,$B42,BB$1,$B$1)</f>
        <v>498</v>
      </c>
      <c r="BC42">
        <f>_xll.EQNXTDZ($A$1,$B42,BC$1,$B$1)</f>
        <v>548</v>
      </c>
      <c r="BD42">
        <f>_xll.EQNXTDZ($A$1,$B42,BD$1,$B$1)</f>
        <v>591</v>
      </c>
      <c r="BE42">
        <f>_xll.EQNXTDZ($A$1,$B42,BE$1,$B$1)</f>
        <v>635</v>
      </c>
      <c r="BF42">
        <f>_xll.EQNXTDZ($A$1,$B42,BF$1,$B$1)</f>
        <v>389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42</v>
      </c>
      <c r="D45">
        <f>_xll.EQNXTDZ($A$1,$B45,D$1,$B$1)</f>
        <v>42</v>
      </c>
      <c r="E45">
        <f>_xll.EQNXTDZ($A$1,$B45,E$1,$B$1)</f>
        <v>42</v>
      </c>
      <c r="F45">
        <f>_xll.EQNXTDZ($A$1,$B45,F$1,$B$1)</f>
        <v>42</v>
      </c>
      <c r="G45">
        <f>_xll.EQNXTDZ($A$1,$B45,G$1,$B$1)</f>
        <v>42</v>
      </c>
      <c r="H45">
        <f>_xll.EQNXTDZ($A$1,$B45,H$1,$B$1)</f>
        <v>85</v>
      </c>
      <c r="I45">
        <f>_xll.EQNXTDZ($A$1,$B45,I$1,$B$1)</f>
        <v>85</v>
      </c>
      <c r="J45">
        <f>_xll.EQNXTDZ($A$1,$B45,J$1,$B$1)</f>
        <v>85</v>
      </c>
      <c r="K45">
        <f>_xll.EQNXTDZ($A$1,$B45,K$1,$B$1)</f>
        <v>85</v>
      </c>
      <c r="L45">
        <f>_xll.EQNXTDZ($A$1,$B45,L$1,$B$1)</f>
        <v>85</v>
      </c>
      <c r="M45">
        <f>_xll.EQNXTDZ($A$1,$B45,M$1,$B$1)</f>
        <v>85</v>
      </c>
      <c r="N45">
        <f>_xll.EQNXTDZ($A$1,$B45,N$1,$B$1)</f>
        <v>85</v>
      </c>
      <c r="O45">
        <f>_xll.EQNXTDZ($A$1,$B45,O$1,$B$1)</f>
        <v>85</v>
      </c>
      <c r="P45">
        <f>_xll.EQNXTDZ($A$1,$B45,P$1,$B$1)</f>
        <v>85</v>
      </c>
      <c r="Q45">
        <f>_xll.EQNXTDZ($A$1,$B45,Q$1,$B$1)</f>
        <v>85</v>
      </c>
      <c r="R45">
        <f>_xll.EQNXTDZ($A$1,$B45,R$1,$B$1)</f>
        <v>85</v>
      </c>
      <c r="S45">
        <f>_xll.EQNXTDZ($A$1,$B45,S$1,$B$1)</f>
        <v>85</v>
      </c>
      <c r="T45">
        <f>_xll.EQNXTDZ($A$1,$B45,T$1,$B$1)</f>
        <v>85</v>
      </c>
      <c r="U45">
        <f>_xll.EQNXTDZ($A$1,$B45,U$1,$B$1)</f>
        <v>85</v>
      </c>
      <c r="V45">
        <f>_xll.EQNXTDZ($A$1,$B45,V$1,$B$1)</f>
        <v>84.62</v>
      </c>
      <c r="W45">
        <f>_xll.EQNXTDZ($A$1,$B45,W$1,$B$1)</f>
        <v>84.62</v>
      </c>
      <c r="X45">
        <f>_xll.EQNXTDZ($A$1,$B45,X$1,$B$1)</f>
        <v>84.62</v>
      </c>
      <c r="Y45">
        <f>_xll.EQNXTDZ($A$1,$B45,Y$1,$B$1)</f>
        <v>84.62</v>
      </c>
      <c r="Z45">
        <f>_xll.EQNXTDZ($A$1,$B45,Z$1,$B$1)</f>
        <v>84.62</v>
      </c>
      <c r="AA45">
        <f>_xll.EQNXTDZ($A$1,$B45,AA$1,$B$1)</f>
        <v>84.62</v>
      </c>
      <c r="AB45">
        <f>_xll.EQNXTDZ($A$1,$B45,AB$1,$B$1)</f>
        <v>84.62</v>
      </c>
      <c r="AC45">
        <f>_xll.EQNXTDZ($A$1,$B45,AC$1,$B$1)</f>
        <v>84.62</v>
      </c>
      <c r="AD45">
        <f>_xll.EQNXTDZ($A$1,$B45,AD$1,$B$1)</f>
        <v>84.62</v>
      </c>
      <c r="AE45">
        <f>_xll.EQNXTDZ($A$1,$B45,AE$1,$B$1)</f>
        <v>84.62</v>
      </c>
      <c r="AF45">
        <f>_xll.EQNXTDZ($A$1,$B45,AF$1,$B$1)</f>
        <v>84.62</v>
      </c>
      <c r="AG45">
        <f>_xll.EQNXTDZ($A$1,$B45,AG$1,$B$1)</f>
        <v>84.62</v>
      </c>
      <c r="AH45">
        <f>_xll.EQNXTDZ($A$1,$B45,AH$1,$B$1)</f>
        <v>84.62</v>
      </c>
      <c r="AI45">
        <f>_xll.EQNXTDZ($A$1,$B45,AI$1,$B$1)</f>
        <v>84.62</v>
      </c>
      <c r="AJ45">
        <f>_xll.EQNXTDZ($A$1,$B45,AJ$1,$B$1)</f>
        <v>84.62</v>
      </c>
      <c r="AK45">
        <f>_xll.EQNXTDZ($A$1,$B45,AK$1,$B$1)</f>
        <v>84.62</v>
      </c>
      <c r="AL45">
        <f>_xll.EQNXTDZ($A$1,$B45,AL$1,$B$1)</f>
        <v>84.62</v>
      </c>
      <c r="AM45">
        <f>_xll.EQNXTDZ($A$1,$B45,AM$1,$B$1)</f>
        <v>84.62</v>
      </c>
      <c r="AN45">
        <f>_xll.EQNXTDZ($A$1,$B45,AN$1,$B$1)</f>
        <v>84.62</v>
      </c>
      <c r="AO45">
        <f>_xll.EQNXTDZ($A$1,$B45,AO$1,$B$1)</f>
        <v>84.62</v>
      </c>
      <c r="AP45">
        <f>_xll.EQNXTDZ($A$1,$B45,AP$1,$B$1)</f>
        <v>84.62</v>
      </c>
      <c r="AQ45">
        <f>_xll.EQNXTDZ($A$1,$B45,AQ$1,$B$1)</f>
        <v>84.62</v>
      </c>
      <c r="AR45">
        <f>_xll.EQNXTDZ($A$1,$B45,AR$1,$B$1)</f>
        <v>169.23</v>
      </c>
      <c r="AS45">
        <f>_xll.EQNXTDZ($A$1,$B45,AS$1,$B$1)</f>
        <v>169.23</v>
      </c>
      <c r="AT45">
        <f>_xll.EQNXTDZ($A$1,$B45,AT$1,$B$1)</f>
        <v>169.23</v>
      </c>
      <c r="AU45">
        <f>_xll.EQNXTDZ($A$1,$B45,AU$1,$B$1)</f>
        <v>169.23</v>
      </c>
      <c r="AV45">
        <f>_xll.EQNXTDZ($A$1,$B45,AV$1,$B$1)</f>
        <v>169.23</v>
      </c>
      <c r="AW45">
        <f>_xll.EQNXTDZ($A$1,$B45,AW$1,$B$1)</f>
        <v>169.23</v>
      </c>
      <c r="AX45">
        <f>_xll.EQNXTDZ($A$1,$B45,AX$1,$B$1)</f>
        <v>169.23</v>
      </c>
      <c r="AY45">
        <f>_xll.EQNXTDZ($A$1,$B45,AY$1,$B$1)</f>
        <v>169.23</v>
      </c>
      <c r="AZ45">
        <f>_xll.EQNXTDZ($A$1,$B45,AZ$1,$B$1)</f>
        <v>169.23</v>
      </c>
      <c r="BA45">
        <f>_xll.EQNXTDZ($A$1,$B45,BA$1,$B$1)</f>
        <v>169.23</v>
      </c>
      <c r="BB45">
        <f>_xll.EQNXTDZ($A$1,$B45,BB$1,$B$1)</f>
        <v>169.23</v>
      </c>
      <c r="BC45">
        <f>_xll.EQNXTDZ($A$1,$B45,BC$1,$B$1)</f>
        <v>169.23</v>
      </c>
      <c r="BD45">
        <f>_xll.EQNXTDZ($A$1,$B45,BD$1,$B$1)</f>
        <v>169.23</v>
      </c>
      <c r="BE45">
        <f>_xll.EQNXTDZ($A$1,$B45,BE$1,$B$1)</f>
        <v>169.23</v>
      </c>
      <c r="BF45">
        <f>_xll.EQNXTDZ($A$1,$B45,BF$1,$B$1)</f>
        <v>169.23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149.96250000000001</v>
      </c>
      <c r="D48" s="55">
        <f>_xll.EQNXTDZ($A$1,$B48,D$5)</f>
        <v>173.66249999999999</v>
      </c>
      <c r="E48" s="55">
        <f>_xll.EQNXTDZ($A$1,$B48,E$5)</f>
        <v>181.63749999999999</v>
      </c>
      <c r="F48" s="55">
        <f>_xll.EQNXTDZ($A$1,$B48,F$5)</f>
        <v>173.8125</v>
      </c>
      <c r="G48" s="55">
        <f>_xll.EQNXTDZ($A$1,$B48,G$5)</f>
        <v>205.45</v>
      </c>
      <c r="H48" s="55">
        <f>_xll.EQNXTDZ($A$1,$B48,H$5)</f>
        <v>218.42500000000001</v>
      </c>
      <c r="I48" s="55">
        <f>_xll.EQNXTDZ($A$1,$B48,I$5)</f>
        <v>237.02500000000001</v>
      </c>
      <c r="J48" s="55">
        <f>_xll.EQNXTDZ($A$1,$B48,J$5)</f>
        <v>261.82499999999999</v>
      </c>
      <c r="K48" s="55">
        <f>_xll.EQNXTDZ($A$1,$B48,K$5)</f>
        <v>354.82499999999999</v>
      </c>
      <c r="L48" s="55">
        <f>_xll.EQNXTDZ($A$1,$B48,L$5)</f>
        <v>434.125</v>
      </c>
      <c r="M48" s="55">
        <f>_xll.EQNXTDZ($A$1,$B48,M$5)</f>
        <v>565.65</v>
      </c>
      <c r="N48" s="55">
        <f>_xll.EQNXTDZ($A$1,$B48,N$5)</f>
        <v>580.42499999999995</v>
      </c>
      <c r="O48" s="55">
        <f>_xll.EQNXTDZ($A$1,$B48,O$5)</f>
        <v>649.25</v>
      </c>
      <c r="P48" s="55">
        <f>_xll.EQNXTDZ($A$1,$B48,P$5)</f>
        <v>749.92499999999995</v>
      </c>
      <c r="Q48" s="55">
        <f>_xll.EQNXTDZ($A$1,$B48,Q$5)</f>
        <v>726.82500000000005</v>
      </c>
      <c r="R48" s="55">
        <f>_xll.EQNXTDZ($A$1,$B48,R$5)</f>
        <v>669.85</v>
      </c>
      <c r="S48" s="55">
        <f>_xll.EQNXTDZ($A$1,$B48,S$5)</f>
        <v>685.375</v>
      </c>
      <c r="T48" s="55">
        <f>_xll.EQNXTDZ($A$1,$B48,T$5)</f>
        <v>812.07500000000005</v>
      </c>
      <c r="U48" s="55">
        <f>_xll.EQNXTDZ($A$1,$B48,U$5)</f>
        <v>657.75</v>
      </c>
      <c r="V48" s="55">
        <f>_xll.EQNXTDZ($A$1,$B48,V$5)</f>
        <v>774.625</v>
      </c>
      <c r="W48" s="55">
        <f>_xll.EQNXTDZ($A$1,$B48,W$5)</f>
        <v>606.5</v>
      </c>
      <c r="X48" s="55">
        <f>_xll.EQNXTDZ($A$1,$B48,X$5)</f>
        <v>615.625</v>
      </c>
      <c r="Y48" s="55">
        <f>_xll.EQNXTDZ($A$1,$B48,Y$5)</f>
        <v>708.32500000000005</v>
      </c>
      <c r="Z48" s="55">
        <f>_xll.EQNXTDZ($A$1,$B48,Z$5)</f>
        <v>623.95000000000005</v>
      </c>
      <c r="AA48" s="55">
        <f>_xll.EQNXTDZ($A$1,$B48,AA$5)</f>
        <v>701.25</v>
      </c>
      <c r="AB48" s="55">
        <f>_xll.EQNXTDZ($A$1,$B48,AB$5)</f>
        <v>825.125</v>
      </c>
      <c r="AC48" s="55">
        <f>_xll.EQNXTDZ($A$1,$B48,AC$5)</f>
        <v>885.625</v>
      </c>
      <c r="AD48" s="55">
        <f>_xll.EQNXTDZ($A$1,$B48,AD$5)</f>
        <v>976.1</v>
      </c>
      <c r="AE48" s="55">
        <f>_xll.EQNXTDZ($A$1,$B48,AE$5)</f>
        <v>774.4</v>
      </c>
      <c r="AF48" s="55">
        <f>_xll.EQNXTDZ($A$1,$B48,AF$5)</f>
        <v>833.2</v>
      </c>
      <c r="AG48" s="55">
        <f>_xll.EQNXTDZ($A$1,$B48,AG$5)</f>
        <v>923.47500000000002</v>
      </c>
      <c r="AH48" s="55">
        <f>_xll.EQNXTDZ($A$1,$B48,AH$5)</f>
        <v>985.75</v>
      </c>
      <c r="AI48" s="55">
        <f>_xll.EQNXTDZ($A$1,$B48,AI$5)</f>
        <v>1185.45</v>
      </c>
      <c r="AJ48" s="55">
        <f>_xll.EQNXTDZ($A$1,$B48,AJ$5)</f>
        <v>1400.1</v>
      </c>
      <c r="AK48" s="55">
        <f>_xll.EQNXTDZ($A$1,$B48,AK$5)</f>
        <v>1400.35</v>
      </c>
      <c r="AL48" s="55">
        <f>_xll.EQNXTDZ($A$1,$B48,AL$5)</f>
        <v>1270.5999999999999</v>
      </c>
      <c r="AM48" s="55">
        <f>_xll.EQNXTDZ($A$1,$B48,AM$5)</f>
        <v>1451.325</v>
      </c>
      <c r="AN48" s="55">
        <f>_xll.EQNXTDZ($A$1,$B48,AN$5)</f>
        <v>1538.4</v>
      </c>
      <c r="AO48" s="55">
        <f>_xll.EQNXTDZ($A$1,$B48,AO$5)</f>
        <v>1639.575</v>
      </c>
      <c r="AP48" s="55">
        <f>_xll.EQNXTDZ($A$1,$B48,AP$5)</f>
        <v>1398.15</v>
      </c>
      <c r="AQ48" s="55">
        <f>_xll.EQNXTDZ($A$1,$B48,AQ$5)</f>
        <v>1429.7</v>
      </c>
      <c r="AR48" s="55">
        <f>_xll.EQNXTDZ($A$1,$B48,AR$5)</f>
        <v>1558.65</v>
      </c>
      <c r="AS48" s="55">
        <f>_xll.EQNXTDZ($A$1,$B48,AS$5)</f>
        <v>1551.65</v>
      </c>
      <c r="AT48" s="55">
        <f>_xll.EQNXTDZ($A$1,$B48,AT$5)</f>
        <v>1537.35</v>
      </c>
      <c r="AU48" s="55">
        <f>_xll.EQNXTDZ($A$1,$B48,AU$5)</f>
        <v>1905.2</v>
      </c>
      <c r="AV48" s="55">
        <f>_xll.EQNXTDZ($A$1,$B48,AV$5)</f>
        <v>1928.35</v>
      </c>
      <c r="AW48" s="55">
        <f>_xll.EQNXTDZ($A$1,$B48,AW$5)</f>
        <v>2305</v>
      </c>
      <c r="AX48" s="55">
        <f>_xll.EQNXTDZ($A$1,$B48,AX$5)</f>
        <v>2601.15</v>
      </c>
      <c r="AY48" s="55">
        <f>_xll.EQNXTDZ($A$1,$B48,AY$5)</f>
        <v>2789.9</v>
      </c>
      <c r="AZ48" s="55">
        <f>_xll.EQNXTDZ($A$1,$B48,AZ$5)</f>
        <v>3399.75</v>
      </c>
      <c r="BA48" s="55">
        <f>_xll.EQNXTDZ($A$1,$B48,BA$5)</f>
        <v>3359.95</v>
      </c>
      <c r="BB48" s="55">
        <f>_xll.EQNXTDZ($A$1,$B48,BB$5)</f>
        <v>3234.6</v>
      </c>
      <c r="BC48" s="55">
        <f>_xll.EQNXTDZ($A$1,$B48,BC$5)</f>
        <v>3409.7</v>
      </c>
      <c r="BD48" s="55">
        <f>_xll.EQNXTDZ($A$1,$B48,BD$5)</f>
        <v>3600.65</v>
      </c>
      <c r="BE48" s="55">
        <f>_xll.EQNXTDZ($A$1,$B48,BE$5)</f>
        <v>3841.7</v>
      </c>
      <c r="BF48" s="55">
        <f>_xll.EQNXTDZ($A$1,$B48,BF$5)</f>
        <v>4220.6499999999996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71.510000000000005</v>
      </c>
      <c r="D49" s="55">
        <f>_xll.EQNXTDZ($A$1,$B49,D$5)</f>
        <v>71.510000000000005</v>
      </c>
      <c r="E49" s="55">
        <f>_xll.EQNXTDZ($A$1,$B49,E$5)</f>
        <v>71.510000000000005</v>
      </c>
      <c r="F49" s="55">
        <f>_xll.EQNXTDZ($A$1,$B49,F$5)</f>
        <v>71.510000000000005</v>
      </c>
      <c r="G49" s="55">
        <f>_xll.EQNXTDZ($A$1,$B49,G$5)</f>
        <v>71.510000000000005</v>
      </c>
      <c r="H49" s="55">
        <f>_xll.EQNXTDZ($A$1,$B49,H$5)</f>
        <v>71.510000000000005</v>
      </c>
      <c r="I49" s="55">
        <f>_xll.EQNXTDZ($A$1,$B49,I$5)</f>
        <v>71.510000000000005</v>
      </c>
      <c r="J49" s="55">
        <f>_xll.EQNXTDZ($A$1,$B49,J$5)</f>
        <v>71.510000000000005</v>
      </c>
      <c r="K49" s="55">
        <f>_xll.EQNXTDZ($A$1,$B49,K$5)</f>
        <v>71.510000000000005</v>
      </c>
      <c r="L49" s="55">
        <f>_xll.EQNXTDZ($A$1,$B49,L$5)</f>
        <v>71.510000000000005</v>
      </c>
      <c r="M49" s="55">
        <f>_xll.EQNXTDZ($A$1,$B49,M$5)</f>
        <v>71.510000000000005</v>
      </c>
      <c r="N49" s="55">
        <f>_xll.EQNXTDZ($A$1,$B49,N$5)</f>
        <v>71.25</v>
      </c>
      <c r="O49" s="55">
        <f>_xll.EQNXTDZ($A$1,$B49,O$5)</f>
        <v>71.25</v>
      </c>
      <c r="P49" s="55">
        <f>_xll.EQNXTDZ($A$1,$B49,P$5)</f>
        <v>71.25</v>
      </c>
      <c r="Q49" s="55">
        <f>_xll.EQNXTDZ($A$1,$B49,Q$5)</f>
        <v>71.25</v>
      </c>
      <c r="R49" s="55">
        <f>_xll.EQNXTDZ($A$1,$B49,R$5)</f>
        <v>71.25</v>
      </c>
      <c r="S49" s="55">
        <f>_xll.EQNXTDZ($A$1,$B49,S$5)</f>
        <v>71.25</v>
      </c>
      <c r="T49" s="55">
        <f>_xll.EQNXTDZ($A$1,$B49,T$5)</f>
        <v>71.25</v>
      </c>
      <c r="U49" s="55">
        <f>_xll.EQNXTDZ($A$1,$B49,U$5)</f>
        <v>71.25</v>
      </c>
      <c r="V49" s="55">
        <f>_xll.EQNXTDZ($A$1,$B49,V$5)</f>
        <v>71.25</v>
      </c>
      <c r="W49" s="55">
        <f>_xll.EQNXTDZ($A$1,$B49,W$5)</f>
        <v>71.25</v>
      </c>
      <c r="X49" s="55">
        <f>_xll.EQNXTDZ($A$1,$B49,X$5)</f>
        <v>71.25</v>
      </c>
      <c r="Y49" s="55">
        <f>_xll.EQNXTDZ($A$1,$B49,Y$5)</f>
        <v>71.25</v>
      </c>
      <c r="Z49" s="55">
        <f>_xll.EQNXTDZ($A$1,$B49,Z$5)</f>
        <v>71.25</v>
      </c>
      <c r="AA49" s="55">
        <f>_xll.EQNXTDZ($A$1,$B49,AA$5)</f>
        <v>71.25</v>
      </c>
      <c r="AB49" s="55">
        <f>_xll.EQNXTDZ($A$1,$B49,AB$5)</f>
        <v>71.25</v>
      </c>
      <c r="AC49" s="55">
        <f>_xll.EQNXTDZ($A$1,$B49,AC$5)</f>
        <v>71.25</v>
      </c>
      <c r="AD49" s="55">
        <f>_xll.EQNXTDZ($A$1,$B49,AD$5)</f>
        <v>71.25</v>
      </c>
      <c r="AE49" s="55">
        <f>_xll.EQNXTDZ($A$1,$B49,AE$5)</f>
        <v>71.25</v>
      </c>
      <c r="AF49" s="55">
        <f>_xll.EQNXTDZ($A$1,$B49,AF$5)</f>
        <v>71.25</v>
      </c>
      <c r="AG49" s="55">
        <f>_xll.EQNXTDZ($A$1,$B49,AG$5)</f>
        <v>71.25</v>
      </c>
      <c r="AH49" s="55">
        <f>_xll.EQNXTDZ($A$1,$B49,AH$5)</f>
        <v>71.25</v>
      </c>
      <c r="AI49" s="55">
        <f>_xll.EQNXTDZ($A$1,$B49,AI$5)</f>
        <v>71.25</v>
      </c>
      <c r="AJ49" s="55">
        <f>_xll.EQNXTDZ($A$1,$B49,AJ$5)</f>
        <v>71.25</v>
      </c>
      <c r="AK49" s="55">
        <f>_xll.EQNXTDZ($A$1,$B49,AK$5)</f>
        <v>71.25</v>
      </c>
      <c r="AL49" s="55">
        <f>_xll.EQNXTDZ($A$1,$B49,AL$5)</f>
        <v>71.25</v>
      </c>
      <c r="AM49" s="55">
        <f>_xll.EQNXTDZ($A$1,$B49,AM$5)</f>
        <v>71.25</v>
      </c>
      <c r="AN49" s="55">
        <f>_xll.EQNXTDZ($A$1,$B49,AN$5)</f>
        <v>71.25</v>
      </c>
      <c r="AO49" s="55">
        <f>_xll.EQNXTDZ($A$1,$B49,AO$5)</f>
        <v>71.25</v>
      </c>
      <c r="AP49" s="55">
        <f>_xll.EQNXTDZ($A$1,$B49,AP$5)</f>
        <v>71.25</v>
      </c>
      <c r="AQ49" s="55">
        <f>_xll.EQNXTDZ($A$1,$B49,AQ$5)</f>
        <v>71.25</v>
      </c>
      <c r="AR49" s="55">
        <f>_xll.EQNXTDZ($A$1,$B49,AR$5)</f>
        <v>71.25</v>
      </c>
      <c r="AS49" s="55">
        <f>_xll.EQNXTDZ($A$1,$B49,AS$5)</f>
        <v>71.25</v>
      </c>
      <c r="AT49" s="55">
        <f>_xll.EQNXTDZ($A$1,$B49,AT$5)</f>
        <v>71.25</v>
      </c>
      <c r="AU49" s="55">
        <f>_xll.EQNXTDZ($A$1,$B49,AU$5)</f>
        <v>71.25</v>
      </c>
      <c r="AV49" s="55">
        <f>_xll.EQNXTDZ($A$1,$B49,AV$5)</f>
        <v>71.25</v>
      </c>
      <c r="AW49" s="55">
        <f>_xll.EQNXTDZ($A$1,$B49,AW$5)</f>
        <v>71.25</v>
      </c>
      <c r="AX49" s="55">
        <f>_xll.EQNXTDZ($A$1,$B49,AX$5)</f>
        <v>71.25</v>
      </c>
      <c r="AY49" s="55">
        <f>_xll.EQNXTDZ($A$1,$B49,AY$5)</f>
        <v>71.25</v>
      </c>
      <c r="AZ49" s="55">
        <f>_xll.EQNXTDZ($A$1,$B49,AZ$5)</f>
        <v>71.25</v>
      </c>
      <c r="BA49" s="55">
        <f>_xll.EQNXTDZ($A$1,$B49,BA$5)</f>
        <v>68.31</v>
      </c>
      <c r="BB49" s="55">
        <f>_xll.EQNXTDZ($A$1,$B49,BB$5)</f>
        <v>68.31</v>
      </c>
      <c r="BC49" s="55">
        <f>_xll.EQNXTDZ($A$1,$B49,BC$5)</f>
        <v>68.31</v>
      </c>
      <c r="BD49" s="55">
        <f>_xll.EQNXTDZ($A$1,$B49,BD$5)</f>
        <v>68.31</v>
      </c>
      <c r="BE49" s="55">
        <f>_xll.EQNXTDZ($A$1,$B49,BE$5)</f>
        <v>68.31</v>
      </c>
      <c r="BF49" s="55">
        <f>_xll.EQNXTDZ($A$1,$B49,BF$5)</f>
        <v>68.31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36.49</v>
      </c>
      <c r="AG50" s="55">
        <f>_xll.EQNXTDZ($A$1,$B50,AG$5)</f>
        <v>36.49</v>
      </c>
      <c r="AH50" s="55">
        <f>_xll.EQNXTDZ($A$1,$B50,AH$5)</f>
        <v>36.49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42.31</v>
      </c>
      <c r="E56" s="55">
        <f>_xll.EQNXTDZ($A$1,$B56,E$5,$B$1)</f>
        <v>0</v>
      </c>
      <c r="F56" s="55">
        <f>_xll.EQNXTDZ($A$1,$B56,F$5,$B$1)</f>
        <v>42</v>
      </c>
      <c r="G56" s="55">
        <f>_xll.EQNXTDZ($A$1,$B56,G$5,$B$1)</f>
        <v>0</v>
      </c>
      <c r="H56" s="55">
        <f>_xll.EQNXTDZ($A$1,$B56,H$5,$B$1)</f>
        <v>85</v>
      </c>
      <c r="I56" s="55">
        <f>_xll.EQNXTDZ($A$1,$B56,I$5,$B$1)</f>
        <v>0</v>
      </c>
      <c r="J56" s="55">
        <f>_xll.EQNXTDZ($A$1,$B56,J$5,$B$1)</f>
        <v>85</v>
      </c>
      <c r="K56" s="55">
        <f>_xll.EQNXTDZ($A$1,$B56,K$5,$B$1)</f>
        <v>0</v>
      </c>
      <c r="L56" s="55">
        <f>_xll.EQNXTDZ($A$1,$B56,L$5,$B$1)</f>
        <v>85</v>
      </c>
      <c r="M56" s="55">
        <f>_xll.EQNXTDZ($A$1,$B56,M$5,$B$1)</f>
        <v>0</v>
      </c>
      <c r="N56" s="55">
        <f>_xll.EQNXTDZ($A$1,$B56,N$5,$B$1)</f>
        <v>85</v>
      </c>
      <c r="O56" s="55">
        <f>_xll.EQNXTDZ($A$1,$B56,O$5,$B$1)</f>
        <v>0</v>
      </c>
      <c r="P56" s="55">
        <f>_xll.EQNXTDZ($A$1,$B56,P$5,$B$1)</f>
        <v>85</v>
      </c>
      <c r="Q56" s="55">
        <f>_xll.EQNXTDZ($A$1,$B56,Q$5,$B$1)</f>
        <v>0</v>
      </c>
      <c r="R56" s="55">
        <f>_xll.EQNXTDZ($A$1,$B56,R$5,$B$1)</f>
        <v>85</v>
      </c>
      <c r="S56" s="55">
        <f>_xll.EQNXTDZ($A$1,$B56,S$5,$B$1)</f>
        <v>0</v>
      </c>
      <c r="T56" s="55">
        <f>_xll.EQNXTDZ($A$1,$B56,T$5,$B$1)</f>
        <v>85</v>
      </c>
      <c r="U56" s="55">
        <f>_xll.EQNXTDZ($A$1,$B56,U$5,$B$1)</f>
        <v>0</v>
      </c>
      <c r="V56" s="55">
        <f>_xll.EQNXTDZ($A$1,$B56,V$5,$B$1)</f>
        <v>85</v>
      </c>
      <c r="W56" s="55">
        <f>_xll.EQNXTDZ($A$1,$B56,W$5,$B$1)</f>
        <v>0</v>
      </c>
      <c r="X56" s="55">
        <f>_xll.EQNXTDZ($A$1,$B56,X$5,$B$1)</f>
        <v>85</v>
      </c>
      <c r="Y56" s="55">
        <f>_xll.EQNXTDZ($A$1,$B56,Y$5,$B$1)</f>
        <v>0</v>
      </c>
      <c r="Z56" s="55">
        <f>_xll.EQNXTDZ($A$1,$B56,Z$5,$B$1)</f>
        <v>85</v>
      </c>
      <c r="AA56" s="55">
        <f>_xll.EQNXTDZ($A$1,$B56,AA$5,$B$1)</f>
        <v>0</v>
      </c>
      <c r="AB56" s="55">
        <f>_xll.EQNXTDZ($A$1,$B56,AB$5,$B$1)</f>
        <v>85</v>
      </c>
      <c r="AC56" s="55">
        <f>_xll.EQNXTDZ($A$1,$B56,AC$5,$B$1)</f>
        <v>0</v>
      </c>
      <c r="AD56" s="55">
        <f>_xll.EQNXTDZ($A$1,$B56,AD$5,$B$1)</f>
        <v>85</v>
      </c>
      <c r="AE56" s="55">
        <f>_xll.EQNXTDZ($A$1,$B56,AE$5,$B$1)</f>
        <v>0</v>
      </c>
      <c r="AF56" s="55">
        <f>_xll.EQNXTDZ($A$1,$B56,AF$5,$B$1)</f>
        <v>85</v>
      </c>
      <c r="AG56" s="55">
        <f>_xll.EQNXTDZ($A$1,$B56,AG$5,$B$1)</f>
        <v>0</v>
      </c>
      <c r="AH56" s="55">
        <f>_xll.EQNXTDZ($A$1,$B56,AH$5,$B$1)</f>
        <v>85</v>
      </c>
      <c r="AI56" s="55">
        <f>_xll.EQNXTDZ($A$1,$B56,AI$5,$B$1)</f>
        <v>0</v>
      </c>
      <c r="AJ56" s="55">
        <f>_xll.EQNXTDZ($A$1,$B56,AJ$5,$B$1)</f>
        <v>85</v>
      </c>
      <c r="AK56" s="55">
        <f>_xll.EQNXTDZ($A$1,$B56,AK$5,$B$1)</f>
        <v>0</v>
      </c>
      <c r="AL56" s="55">
        <f>_xll.EQNXTDZ($A$1,$B56,AL$5,$B$1)</f>
        <v>85</v>
      </c>
      <c r="AM56" s="55">
        <f>_xll.EQNXTDZ($A$1,$B56,AM$5,$B$1)</f>
        <v>0</v>
      </c>
      <c r="AN56" s="55">
        <f>_xll.EQNXTDZ($A$1,$B56,AN$5,$B$1)</f>
        <v>85</v>
      </c>
      <c r="AO56" s="55">
        <f>_xll.EQNXTDZ($A$1,$B56,AO$5,$B$1)</f>
        <v>0</v>
      </c>
      <c r="AP56" s="55">
        <f>_xll.EQNXTDZ($A$1,$B56,AP$5,$B$1)</f>
        <v>85</v>
      </c>
      <c r="AQ56" s="55">
        <f>_xll.EQNXTDZ($A$1,$B56,AQ$5,$B$1)</f>
        <v>0</v>
      </c>
      <c r="AR56" s="55">
        <f>_xll.EQNXTDZ($A$1,$B56,AR$5,$B$1)</f>
        <v>169</v>
      </c>
      <c r="AS56" s="55">
        <f>_xll.EQNXTDZ($A$1,$B56,AS$5,$B$1)</f>
        <v>0</v>
      </c>
      <c r="AT56" s="55">
        <f>_xll.EQNXTDZ($A$1,$B56,AT$5,$B$1)</f>
        <v>169</v>
      </c>
      <c r="AU56" s="55">
        <f>_xll.EQNXTDZ($A$1,$B56,AU$5,$B$1)</f>
        <v>0</v>
      </c>
      <c r="AV56" s="55">
        <f>_xll.EQNXTDZ($A$1,$B56,AV$5,$B$1)</f>
        <v>169</v>
      </c>
      <c r="AW56" s="55">
        <f>_xll.EQNXTDZ($A$1,$B56,AW$5,$B$1)</f>
        <v>0</v>
      </c>
      <c r="AX56" s="55">
        <f>_xll.EQNXTDZ($A$1,$B56,AX$5,$B$1)</f>
        <v>169</v>
      </c>
      <c r="AY56" s="55">
        <f>_xll.EQNXTDZ($A$1,$B56,AY$5,$B$1)</f>
        <v>0</v>
      </c>
      <c r="AZ56" s="55">
        <f>_xll.EQNXTDZ($A$1,$B56,AZ$5,$B$1)</f>
        <v>169</v>
      </c>
      <c r="BA56" s="55">
        <f>_xll.EQNXTDZ($A$1,$B56,BA$5,$B$1)</f>
        <v>0</v>
      </c>
      <c r="BB56" s="55">
        <f>_xll.EQNXTDZ($A$1,$B56,BB$5,$B$1)</f>
        <v>169</v>
      </c>
      <c r="BC56" s="55">
        <f>_xll.EQNXTDZ($A$1,$B56,BC$5,$B$1)</f>
        <v>0</v>
      </c>
      <c r="BD56" s="55">
        <f>_xll.EQNXTDZ($A$1,$B56,BD$5,$B$1)</f>
        <v>169</v>
      </c>
      <c r="BE56" s="55">
        <f>_xll.EQNXTDZ($A$1,$B56,BE$5,$B$1)</f>
        <v>0</v>
      </c>
      <c r="BF56" s="55">
        <f>_xll.EQNXTDZ($A$1,$B56,BF$5,$B$1)</f>
        <v>169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1401.04</v>
      </c>
      <c r="E58" s="55">
        <f>_xll.EQNXTDZ($A$1,$B58,E$5,$B$1)</f>
        <v>0</v>
      </c>
      <c r="F58" s="55">
        <f>_xll.EQNXTDZ($A$1,$B58,F$5,$B$1)</f>
        <v>1380</v>
      </c>
      <c r="G58" s="55">
        <f>_xll.EQNXTDZ($A$1,$B58,G$5,$B$1)</f>
        <v>0</v>
      </c>
      <c r="H58" s="55">
        <f>_xll.EQNXTDZ($A$1,$B58,H$5,$B$1)</f>
        <v>1416</v>
      </c>
      <c r="I58" s="55">
        <f>_xll.EQNXTDZ($A$1,$B58,I$5,$B$1)</f>
        <v>0</v>
      </c>
      <c r="J58" s="55">
        <f>_xll.EQNXTDZ($A$1,$B58,J$5,$B$1)</f>
        <v>1818</v>
      </c>
      <c r="K58" s="55">
        <f>_xll.EQNXTDZ($A$1,$B58,K$5,$B$1)</f>
        <v>0</v>
      </c>
      <c r="L58" s="55">
        <f>_xll.EQNXTDZ($A$1,$B58,L$5,$B$1)</f>
        <v>2292</v>
      </c>
      <c r="M58" s="55">
        <f>_xll.EQNXTDZ($A$1,$B58,M$5,$B$1)</f>
        <v>0</v>
      </c>
      <c r="N58" s="55">
        <f>_xll.EQNXTDZ($A$1,$B58,N$5,$B$1)</f>
        <v>2406</v>
      </c>
      <c r="O58" s="55">
        <f>_xll.EQNXTDZ($A$1,$B58,O$5,$B$1)</f>
        <v>0</v>
      </c>
      <c r="P58" s="55">
        <f>_xll.EQNXTDZ($A$1,$B58,P$5,$B$1)</f>
        <v>3299</v>
      </c>
      <c r="Q58" s="55">
        <f>_xll.EQNXTDZ($A$1,$B58,Q$5,$B$1)</f>
        <v>0</v>
      </c>
      <c r="R58" s="55">
        <f>_xll.EQNXTDZ($A$1,$B58,R$5,$B$1)</f>
        <v>3409</v>
      </c>
      <c r="S58" s="55">
        <f>_xll.EQNXTDZ($A$1,$B58,S$5,$B$1)</f>
        <v>0</v>
      </c>
      <c r="T58" s="55">
        <f>_xll.EQNXTDZ($A$1,$B58,T$5,$B$1)</f>
        <v>3938</v>
      </c>
      <c r="U58" s="55">
        <f>_xll.EQNXTDZ($A$1,$B58,U$5,$B$1)</f>
        <v>0</v>
      </c>
      <c r="V58" s="55">
        <f>_xll.EQNXTDZ($A$1,$B58,V$5,$B$1)</f>
        <v>4266</v>
      </c>
      <c r="W58" s="55">
        <f>_xll.EQNXTDZ($A$1,$B58,W$5,$B$1)</f>
        <v>0</v>
      </c>
      <c r="X58" s="55">
        <f>_xll.EQNXTDZ($A$1,$B58,X$5,$B$1)</f>
        <v>4458</v>
      </c>
      <c r="Y58" s="55">
        <f>_xll.EQNXTDZ($A$1,$B58,Y$5,$B$1)</f>
        <v>0</v>
      </c>
      <c r="Z58" s="55">
        <f>_xll.EQNXTDZ($A$1,$B58,Z$5,$B$1)</f>
        <v>4537</v>
      </c>
      <c r="AA58" s="55">
        <f>_xll.EQNXTDZ($A$1,$B58,AA$5,$B$1)</f>
        <v>0</v>
      </c>
      <c r="AB58" s="55">
        <f>_xll.EQNXTDZ($A$1,$B58,AB$5,$B$1)</f>
        <v>4650</v>
      </c>
      <c r="AC58" s="55">
        <f>_xll.EQNXTDZ($A$1,$B58,AC$5,$B$1)</f>
        <v>0</v>
      </c>
      <c r="AD58" s="55">
        <f>_xll.EQNXTDZ($A$1,$B58,AD$5,$B$1)</f>
        <v>4639</v>
      </c>
      <c r="AE58" s="55">
        <f>_xll.EQNXTDZ($A$1,$B58,AE$5,$B$1)</f>
        <v>0</v>
      </c>
      <c r="AF58" s="55">
        <f>_xll.EQNXTDZ($A$1,$B58,AF$5,$B$1)</f>
        <v>4988</v>
      </c>
      <c r="AG58" s="55">
        <f>_xll.EQNXTDZ($A$1,$B58,AG$5,$B$1)</f>
        <v>0</v>
      </c>
      <c r="AH58" s="55">
        <f>_xll.EQNXTDZ($A$1,$B58,AH$5,$B$1)</f>
        <v>4739</v>
      </c>
      <c r="AI58" s="55">
        <f>_xll.EQNXTDZ($A$1,$B58,AI$5,$B$1)</f>
        <v>0</v>
      </c>
      <c r="AJ58" s="55">
        <f>_xll.EQNXTDZ($A$1,$B58,AJ$5,$B$1)</f>
        <v>5446</v>
      </c>
      <c r="AK58" s="55">
        <f>_xll.EQNXTDZ($A$1,$B58,AK$5,$B$1)</f>
        <v>0</v>
      </c>
      <c r="AL58" s="55">
        <f>_xll.EQNXTDZ($A$1,$B58,AL$5,$B$1)</f>
        <v>5753</v>
      </c>
      <c r="AM58" s="55">
        <f>_xll.EQNXTDZ($A$1,$B58,AM$5,$B$1)</f>
        <v>0</v>
      </c>
      <c r="AN58" s="55">
        <f>_xll.EQNXTDZ($A$1,$B58,AN$5,$B$1)</f>
        <v>6134</v>
      </c>
      <c r="AO58" s="55">
        <f>_xll.EQNXTDZ($A$1,$B58,AO$5,$B$1)</f>
        <v>0</v>
      </c>
      <c r="AP58" s="55">
        <f>_xll.EQNXTDZ($A$1,$B58,AP$5,$B$1)</f>
        <v>5868</v>
      </c>
      <c r="AQ58" s="55">
        <f>_xll.EQNXTDZ($A$1,$B58,AQ$5,$B$1)</f>
        <v>0</v>
      </c>
      <c r="AR58" s="55">
        <f>_xll.EQNXTDZ($A$1,$B58,AR$5,$B$1)</f>
        <v>5922</v>
      </c>
      <c r="AS58" s="55">
        <f>_xll.EQNXTDZ($A$1,$B58,AS$5,$B$1)</f>
        <v>0</v>
      </c>
      <c r="AT58" s="55">
        <f>_xll.EQNXTDZ($A$1,$B58,AT$5,$B$1)</f>
        <v>6029</v>
      </c>
      <c r="AU58" s="55">
        <f>_xll.EQNXTDZ($A$1,$B58,AU$5,$B$1)</f>
        <v>0</v>
      </c>
      <c r="AV58" s="55">
        <f>_xll.EQNXTDZ($A$1,$B58,AV$5,$B$1)</f>
        <v>6538</v>
      </c>
      <c r="AW58" s="55">
        <f>_xll.EQNXTDZ($A$1,$B58,AW$5,$B$1)</f>
        <v>0</v>
      </c>
      <c r="AX58" s="55">
        <f>_xll.EQNXTDZ($A$1,$B58,AX$5,$B$1)</f>
        <v>6687</v>
      </c>
      <c r="AY58" s="55">
        <f>_xll.EQNXTDZ($A$1,$B58,AY$5,$B$1)</f>
        <v>0</v>
      </c>
      <c r="AZ58" s="55">
        <f>_xll.EQNXTDZ($A$1,$B58,AZ$5,$B$1)</f>
        <v>7335</v>
      </c>
      <c r="BA58" s="55">
        <f>_xll.EQNXTDZ($A$1,$B58,BA$5,$B$1)</f>
        <v>0</v>
      </c>
      <c r="BB58" s="55">
        <f>_xll.EQNXTDZ($A$1,$B58,BB$5,$B$1)</f>
        <v>7422</v>
      </c>
      <c r="BC58" s="55">
        <f>_xll.EQNXTDZ($A$1,$B58,BC$5,$B$1)</f>
        <v>0</v>
      </c>
      <c r="BD58" s="55">
        <f>_xll.EQNXTDZ($A$1,$B58,BD$5,$B$1)</f>
        <v>8280</v>
      </c>
      <c r="BE58" s="55">
        <f>_xll.EQNXTDZ($A$1,$B58,BE$5,$B$1)</f>
        <v>0</v>
      </c>
      <c r="BF58" s="55">
        <f>_xll.EQNXTDZ($A$1,$B58,BF$5,$B$1)</f>
        <v>8220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1443.35</v>
      </c>
      <c r="E59" s="55">
        <f>_xll.EQNXTDZ($A$1,$B59,E$5,$B$1)</f>
        <v>0</v>
      </c>
      <c r="F59" s="55">
        <f>_xll.EQNXTDZ($A$1,$B59,F$5,$B$1)</f>
        <v>1422</v>
      </c>
      <c r="G59" s="55">
        <f>_xll.EQNXTDZ($A$1,$B59,G$5,$B$1)</f>
        <v>0</v>
      </c>
      <c r="H59" s="55">
        <f>_xll.EQNXTDZ($A$1,$B59,H$5,$B$1)</f>
        <v>1501</v>
      </c>
      <c r="I59" s="55">
        <f>_xll.EQNXTDZ($A$1,$B59,I$5,$B$1)</f>
        <v>0</v>
      </c>
      <c r="J59" s="55">
        <f>_xll.EQNXTDZ($A$1,$B59,J$5,$B$1)</f>
        <v>1903</v>
      </c>
      <c r="K59" s="55">
        <f>_xll.EQNXTDZ($A$1,$B59,K$5,$B$1)</f>
        <v>0</v>
      </c>
      <c r="L59" s="55">
        <f>_xll.EQNXTDZ($A$1,$B59,L$5,$B$1)</f>
        <v>2377</v>
      </c>
      <c r="M59" s="55">
        <f>_xll.EQNXTDZ($A$1,$B59,M$5,$B$1)</f>
        <v>0</v>
      </c>
      <c r="N59" s="55">
        <f>_xll.EQNXTDZ($A$1,$B59,N$5,$B$1)</f>
        <v>2491</v>
      </c>
      <c r="O59" s="55">
        <f>_xll.EQNXTDZ($A$1,$B59,O$5,$B$1)</f>
        <v>0</v>
      </c>
      <c r="P59" s="55">
        <f>_xll.EQNXTDZ($A$1,$B59,P$5,$B$1)</f>
        <v>3384</v>
      </c>
      <c r="Q59" s="55">
        <f>_xll.EQNXTDZ($A$1,$B59,Q$5,$B$1)</f>
        <v>0</v>
      </c>
      <c r="R59" s="55">
        <f>_xll.EQNXTDZ($A$1,$B59,R$5,$B$1)</f>
        <v>3494</v>
      </c>
      <c r="S59" s="55">
        <f>_xll.EQNXTDZ($A$1,$B59,S$5,$B$1)</f>
        <v>0</v>
      </c>
      <c r="T59" s="55">
        <f>_xll.EQNXTDZ($A$1,$B59,T$5,$B$1)</f>
        <v>4023</v>
      </c>
      <c r="U59" s="55">
        <f>_xll.EQNXTDZ($A$1,$B59,U$5,$B$1)</f>
        <v>0</v>
      </c>
      <c r="V59" s="55">
        <f>_xll.EQNXTDZ($A$1,$B59,V$5,$B$1)</f>
        <v>4351</v>
      </c>
      <c r="W59" s="55">
        <f>_xll.EQNXTDZ($A$1,$B59,W$5,$B$1)</f>
        <v>0</v>
      </c>
      <c r="X59" s="55">
        <f>_xll.EQNXTDZ($A$1,$B59,X$5,$B$1)</f>
        <v>4543</v>
      </c>
      <c r="Y59" s="55">
        <f>_xll.EQNXTDZ($A$1,$B59,Y$5,$B$1)</f>
        <v>0</v>
      </c>
      <c r="Z59" s="55">
        <f>_xll.EQNXTDZ($A$1,$B59,Z$5,$B$1)</f>
        <v>4622</v>
      </c>
      <c r="AA59" s="55">
        <f>_xll.EQNXTDZ($A$1,$B59,AA$5,$B$1)</f>
        <v>0</v>
      </c>
      <c r="AB59" s="55">
        <f>_xll.EQNXTDZ($A$1,$B59,AB$5,$B$1)</f>
        <v>4735</v>
      </c>
      <c r="AC59" s="55">
        <f>_xll.EQNXTDZ($A$1,$B59,AC$5,$B$1)</f>
        <v>0</v>
      </c>
      <c r="AD59" s="55">
        <f>_xll.EQNXTDZ($A$1,$B59,AD$5,$B$1)</f>
        <v>4724</v>
      </c>
      <c r="AE59" s="55">
        <f>_xll.EQNXTDZ($A$1,$B59,AE$5,$B$1)</f>
        <v>0</v>
      </c>
      <c r="AF59" s="55">
        <f>_xll.EQNXTDZ($A$1,$B59,AF$5,$B$1)</f>
        <v>5073</v>
      </c>
      <c r="AG59" s="55">
        <f>_xll.EQNXTDZ($A$1,$B59,AG$5,$B$1)</f>
        <v>0</v>
      </c>
      <c r="AH59" s="55">
        <f>_xll.EQNXTDZ($A$1,$B59,AH$5,$B$1)</f>
        <v>4824</v>
      </c>
      <c r="AI59" s="55">
        <f>_xll.EQNXTDZ($A$1,$B59,AI$5,$B$1)</f>
        <v>0</v>
      </c>
      <c r="AJ59" s="55">
        <f>_xll.EQNXTDZ($A$1,$B59,AJ$5,$B$1)</f>
        <v>5531</v>
      </c>
      <c r="AK59" s="55">
        <f>_xll.EQNXTDZ($A$1,$B59,AK$5,$B$1)</f>
        <v>0</v>
      </c>
      <c r="AL59" s="55">
        <f>_xll.EQNXTDZ($A$1,$B59,AL$5,$B$1)</f>
        <v>5838</v>
      </c>
      <c r="AM59" s="55">
        <f>_xll.EQNXTDZ($A$1,$B59,AM$5,$B$1)</f>
        <v>0</v>
      </c>
      <c r="AN59" s="55">
        <f>_xll.EQNXTDZ($A$1,$B59,AN$5,$B$1)</f>
        <v>6219</v>
      </c>
      <c r="AO59" s="55">
        <f>_xll.EQNXTDZ($A$1,$B59,AO$5,$B$1)</f>
        <v>0</v>
      </c>
      <c r="AP59" s="55">
        <f>_xll.EQNXTDZ($A$1,$B59,AP$5,$B$1)</f>
        <v>5953</v>
      </c>
      <c r="AQ59" s="55">
        <f>_xll.EQNXTDZ($A$1,$B59,AQ$5,$B$1)</f>
        <v>0</v>
      </c>
      <c r="AR59" s="55">
        <f>_xll.EQNXTDZ($A$1,$B59,AR$5,$B$1)</f>
        <v>6091</v>
      </c>
      <c r="AS59" s="55">
        <f>_xll.EQNXTDZ($A$1,$B59,AS$5,$B$1)</f>
        <v>0</v>
      </c>
      <c r="AT59" s="55">
        <f>_xll.EQNXTDZ($A$1,$B59,AT$5,$B$1)</f>
        <v>6198</v>
      </c>
      <c r="AU59" s="55">
        <f>_xll.EQNXTDZ($A$1,$B59,AU$5,$B$1)</f>
        <v>0</v>
      </c>
      <c r="AV59" s="55">
        <f>_xll.EQNXTDZ($A$1,$B59,AV$5,$B$1)</f>
        <v>6707</v>
      </c>
      <c r="AW59" s="55">
        <f>_xll.EQNXTDZ($A$1,$B59,AW$5,$B$1)</f>
        <v>0</v>
      </c>
      <c r="AX59" s="55">
        <f>_xll.EQNXTDZ($A$1,$B59,AX$5,$B$1)</f>
        <v>6856</v>
      </c>
      <c r="AY59" s="55">
        <f>_xll.EQNXTDZ($A$1,$B59,AY$5,$B$1)</f>
        <v>0</v>
      </c>
      <c r="AZ59" s="55">
        <f>_xll.EQNXTDZ($A$1,$B59,AZ$5,$B$1)</f>
        <v>7504</v>
      </c>
      <c r="BA59" s="55">
        <f>_xll.EQNXTDZ($A$1,$B59,BA$5,$B$1)</f>
        <v>0</v>
      </c>
      <c r="BB59" s="55">
        <f>_xll.EQNXTDZ($A$1,$B59,BB$5,$B$1)</f>
        <v>7591</v>
      </c>
      <c r="BC59" s="55">
        <f>_xll.EQNXTDZ($A$1,$B59,BC$5,$B$1)</f>
        <v>0</v>
      </c>
      <c r="BD59" s="55">
        <f>_xll.EQNXTDZ($A$1,$B59,BD$5,$B$1)</f>
        <v>8449</v>
      </c>
      <c r="BE59" s="55">
        <f>_xll.EQNXTDZ($A$1,$B59,BE$5,$B$1)</f>
        <v>0</v>
      </c>
      <c r="BF59" s="55">
        <f>_xll.EQNXTDZ($A$1,$B59,BF$5,$B$1)</f>
        <v>8389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5.62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</v>
      </c>
      <c r="AA60" s="55">
        <f>_xll.EQNXTDZ($A$1,$B60,AA$5,$B$1)</f>
        <v>0</v>
      </c>
      <c r="AB60" s="55">
        <f>_xll.EQNXTDZ($A$1,$B60,AB$5,$B$1)</f>
        <v>1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9196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239.22</v>
      </c>
      <c r="E61" s="55">
        <f>_xll.EQNXTDZ($A$1,$B61,E$5,$B$1)</f>
        <v>0</v>
      </c>
      <c r="F61" s="55">
        <f>_xll.EQNXTDZ($A$1,$B61,F$5,$B$1)</f>
        <v>455</v>
      </c>
      <c r="G61" s="55">
        <f>_xll.EQNXTDZ($A$1,$B61,G$5,$B$1)</f>
        <v>0</v>
      </c>
      <c r="H61" s="55">
        <f>_xll.EQNXTDZ($A$1,$B61,H$5,$B$1)</f>
        <v>419</v>
      </c>
      <c r="I61" s="55">
        <f>_xll.EQNXTDZ($A$1,$B61,I$5,$B$1)</f>
        <v>0</v>
      </c>
      <c r="J61" s="55">
        <f>_xll.EQNXTDZ($A$1,$B61,J$5,$B$1)</f>
        <v>745</v>
      </c>
      <c r="K61" s="55">
        <f>_xll.EQNXTDZ($A$1,$B61,K$5,$B$1)</f>
        <v>0</v>
      </c>
      <c r="L61" s="55">
        <f>_xll.EQNXTDZ($A$1,$B61,L$5,$B$1)</f>
        <v>2105</v>
      </c>
      <c r="M61" s="55">
        <f>_xll.EQNXTDZ($A$1,$B61,M$5,$B$1)</f>
        <v>0</v>
      </c>
      <c r="N61" s="55">
        <f>_xll.EQNXTDZ($A$1,$B61,N$5,$B$1)</f>
        <v>2185</v>
      </c>
      <c r="O61" s="55">
        <f>_xll.EQNXTDZ($A$1,$B61,O$5,$B$1)</f>
        <v>0</v>
      </c>
      <c r="P61" s="55">
        <f>_xll.EQNXTDZ($A$1,$B61,P$5,$B$1)</f>
        <v>2274</v>
      </c>
      <c r="Q61" s="55">
        <f>_xll.EQNXTDZ($A$1,$B61,Q$5,$B$1)</f>
        <v>0</v>
      </c>
      <c r="R61" s="55">
        <f>_xll.EQNXTDZ($A$1,$B61,R$5,$B$1)</f>
        <v>1850</v>
      </c>
      <c r="S61" s="55">
        <f>_xll.EQNXTDZ($A$1,$B61,S$5,$B$1)</f>
        <v>0</v>
      </c>
      <c r="T61" s="55">
        <f>_xll.EQNXTDZ($A$1,$B61,T$5,$B$1)</f>
        <v>2064</v>
      </c>
      <c r="U61" s="55">
        <f>_xll.EQNXTDZ($A$1,$B61,U$5,$B$1)</f>
        <v>0</v>
      </c>
      <c r="V61" s="55">
        <f>_xll.EQNXTDZ($A$1,$B61,V$5,$B$1)</f>
        <v>2241</v>
      </c>
      <c r="W61" s="55">
        <f>_xll.EQNXTDZ($A$1,$B61,W$5,$B$1)</f>
        <v>0</v>
      </c>
      <c r="X61" s="55">
        <f>_xll.EQNXTDZ($A$1,$B61,X$5,$B$1)</f>
        <v>2099</v>
      </c>
      <c r="Y61" s="55">
        <f>_xll.EQNXTDZ($A$1,$B61,Y$5,$B$1)</f>
        <v>0</v>
      </c>
      <c r="Z61" s="55">
        <f>_xll.EQNXTDZ($A$1,$B61,Z$5,$B$1)</f>
        <v>4111</v>
      </c>
      <c r="AA61" s="55">
        <f>_xll.EQNXTDZ($A$1,$B61,AA$5,$B$1)</f>
        <v>0</v>
      </c>
      <c r="AB61" s="55">
        <f>_xll.EQNXTDZ($A$1,$B61,AB$5,$B$1)</f>
        <v>4016</v>
      </c>
      <c r="AC61" s="55">
        <f>_xll.EQNXTDZ($A$1,$B61,AC$5,$B$1)</f>
        <v>0</v>
      </c>
      <c r="AD61" s="55">
        <f>_xll.EQNXTDZ($A$1,$B61,AD$5,$B$1)</f>
        <v>3913</v>
      </c>
      <c r="AE61" s="55">
        <f>_xll.EQNXTDZ($A$1,$B61,AE$5,$B$1)</f>
        <v>0</v>
      </c>
      <c r="AF61" s="55">
        <f>_xll.EQNXTDZ($A$1,$B61,AF$5,$B$1)</f>
        <v>3957</v>
      </c>
      <c r="AG61" s="55">
        <f>_xll.EQNXTDZ($A$1,$B61,AG$5,$B$1)</f>
        <v>0</v>
      </c>
      <c r="AH61" s="55">
        <f>_xll.EQNXTDZ($A$1,$B61,AH$5,$B$1)</f>
        <v>3275</v>
      </c>
      <c r="AI61" s="55">
        <f>_xll.EQNXTDZ($A$1,$B61,AI$5,$B$1)</f>
        <v>0</v>
      </c>
      <c r="AJ61" s="55">
        <f>_xll.EQNXTDZ($A$1,$B61,AJ$5,$B$1)</f>
        <v>3657</v>
      </c>
      <c r="AK61" s="55">
        <f>_xll.EQNXTDZ($A$1,$B61,AK$5,$B$1)</f>
        <v>0</v>
      </c>
      <c r="AL61" s="55">
        <f>_xll.EQNXTDZ($A$1,$B61,AL$5,$B$1)</f>
        <v>2941</v>
      </c>
      <c r="AM61" s="55">
        <f>_xll.EQNXTDZ($A$1,$B61,AM$5,$B$1)</f>
        <v>0</v>
      </c>
      <c r="AN61" s="55">
        <f>_xll.EQNXTDZ($A$1,$B61,AN$5,$B$1)</f>
        <v>2394</v>
      </c>
      <c r="AO61" s="55">
        <f>_xll.EQNXTDZ($A$1,$B61,AO$5,$B$1)</f>
        <v>0</v>
      </c>
      <c r="AP61" s="55">
        <f>_xll.EQNXTDZ($A$1,$B61,AP$5,$B$1)</f>
        <v>2123</v>
      </c>
      <c r="AQ61" s="55">
        <f>_xll.EQNXTDZ($A$1,$B61,AQ$5,$B$1)</f>
        <v>0</v>
      </c>
      <c r="AR61" s="55">
        <f>_xll.EQNXTDZ($A$1,$B61,AR$5,$B$1)</f>
        <v>2405</v>
      </c>
      <c r="AS61" s="55">
        <f>_xll.EQNXTDZ($A$1,$B61,AS$5,$B$1)</f>
        <v>0</v>
      </c>
      <c r="AT61" s="55">
        <f>_xll.EQNXTDZ($A$1,$B61,AT$5,$B$1)</f>
        <v>2496</v>
      </c>
      <c r="AU61" s="55">
        <f>_xll.EQNXTDZ($A$1,$B61,AU$5,$B$1)</f>
        <v>0</v>
      </c>
      <c r="AV61" s="55">
        <f>_xll.EQNXTDZ($A$1,$B61,AV$5,$B$1)</f>
        <v>2110</v>
      </c>
      <c r="AW61" s="55">
        <f>_xll.EQNXTDZ($A$1,$B61,AW$5,$B$1)</f>
        <v>0</v>
      </c>
      <c r="AX61" s="55">
        <f>_xll.EQNXTDZ($A$1,$B61,AX$5,$B$1)</f>
        <v>1604</v>
      </c>
      <c r="AY61" s="55">
        <f>_xll.EQNXTDZ($A$1,$B61,AY$5,$B$1)</f>
        <v>0</v>
      </c>
      <c r="AZ61" s="55">
        <f>_xll.EQNXTDZ($A$1,$B61,AZ$5,$B$1)</f>
        <v>1414</v>
      </c>
      <c r="BA61" s="55">
        <f>_xll.EQNXTDZ($A$1,$B61,BA$5,$B$1)</f>
        <v>0</v>
      </c>
      <c r="BB61" s="55">
        <f>_xll.EQNXTDZ($A$1,$B61,BB$5,$B$1)</f>
        <v>1192</v>
      </c>
      <c r="BC61" s="55">
        <f>_xll.EQNXTDZ($A$1,$B61,BC$5,$B$1)</f>
        <v>0</v>
      </c>
      <c r="BD61" s="55">
        <f>_xll.EQNXTDZ($A$1,$B61,BD$5,$B$1)</f>
        <v>1045</v>
      </c>
      <c r="BE61" s="55">
        <f>_xll.EQNXTDZ($A$1,$B61,BE$5,$B$1)</f>
        <v>0</v>
      </c>
      <c r="BF61" s="55">
        <f>_xll.EQNXTDZ($A$1,$B61,BF$5,$B$1)</f>
        <v>11651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239.22</v>
      </c>
      <c r="E63" s="55">
        <f>_xll.EQNXTDZ($A$1,$B63,E$5,$B$1)</f>
        <v>0</v>
      </c>
      <c r="F63" s="55">
        <f>_xll.EQNXTDZ($A$1,$B63,F$5,$B$1)</f>
        <v>455</v>
      </c>
      <c r="G63" s="55">
        <f>_xll.EQNXTDZ($A$1,$B63,G$5,$B$1)</f>
        <v>0</v>
      </c>
      <c r="H63" s="55">
        <f>_xll.EQNXTDZ($A$1,$B63,H$5,$B$1)</f>
        <v>419</v>
      </c>
      <c r="I63" s="55">
        <f>_xll.EQNXTDZ($A$1,$B63,I$5,$B$1)</f>
        <v>0</v>
      </c>
      <c r="J63" s="55">
        <f>_xll.EQNXTDZ($A$1,$B63,J$5,$B$1)</f>
        <v>745</v>
      </c>
      <c r="K63" s="55">
        <f>_xll.EQNXTDZ($A$1,$B63,K$5,$B$1)</f>
        <v>0</v>
      </c>
      <c r="L63" s="55">
        <f>_xll.EQNXTDZ($A$1,$B63,L$5,$B$1)</f>
        <v>2105</v>
      </c>
      <c r="M63" s="55">
        <f>_xll.EQNXTDZ($A$1,$B63,M$5,$B$1)</f>
        <v>0</v>
      </c>
      <c r="N63" s="55">
        <f>_xll.EQNXTDZ($A$1,$B63,N$5,$B$1)</f>
        <v>2185</v>
      </c>
      <c r="O63" s="55">
        <f>_xll.EQNXTDZ($A$1,$B63,O$5,$B$1)</f>
        <v>0</v>
      </c>
      <c r="P63" s="55">
        <f>_xll.EQNXTDZ($A$1,$B63,P$5,$B$1)</f>
        <v>2274</v>
      </c>
      <c r="Q63" s="55">
        <f>_xll.EQNXTDZ($A$1,$B63,Q$5,$B$1)</f>
        <v>0</v>
      </c>
      <c r="R63" s="55">
        <f>_xll.EQNXTDZ($A$1,$B63,R$5,$B$1)</f>
        <v>1850</v>
      </c>
      <c r="S63" s="55">
        <f>_xll.EQNXTDZ($A$1,$B63,S$5,$B$1)</f>
        <v>0</v>
      </c>
      <c r="T63" s="55">
        <f>_xll.EQNXTDZ($A$1,$B63,T$5,$B$1)</f>
        <v>2064</v>
      </c>
      <c r="U63" s="55">
        <f>_xll.EQNXTDZ($A$1,$B63,U$5,$B$1)</f>
        <v>0</v>
      </c>
      <c r="V63" s="55">
        <f>_xll.EQNXTDZ($A$1,$B63,V$5,$B$1)</f>
        <v>2241</v>
      </c>
      <c r="W63" s="55">
        <f>_xll.EQNXTDZ($A$1,$B63,W$5,$B$1)</f>
        <v>0</v>
      </c>
      <c r="X63" s="55">
        <f>_xll.EQNXTDZ($A$1,$B63,X$5,$B$1)</f>
        <v>2099</v>
      </c>
      <c r="Y63" s="55">
        <f>_xll.EQNXTDZ($A$1,$B63,Y$5,$B$1)</f>
        <v>0</v>
      </c>
      <c r="Z63" s="55">
        <f>_xll.EQNXTDZ($A$1,$B63,Z$5,$B$1)</f>
        <v>4111</v>
      </c>
      <c r="AA63" s="55">
        <f>_xll.EQNXTDZ($A$1,$B63,AA$5,$B$1)</f>
        <v>0</v>
      </c>
      <c r="AB63" s="55">
        <f>_xll.EQNXTDZ($A$1,$B63,AB$5,$B$1)</f>
        <v>4016</v>
      </c>
      <c r="AC63" s="55">
        <f>_xll.EQNXTDZ($A$1,$B63,AC$5,$B$1)</f>
        <v>0</v>
      </c>
      <c r="AD63" s="55">
        <f>_xll.EQNXTDZ($A$1,$B63,AD$5,$B$1)</f>
        <v>3913</v>
      </c>
      <c r="AE63" s="55">
        <f>_xll.EQNXTDZ($A$1,$B63,AE$5,$B$1)</f>
        <v>0</v>
      </c>
      <c r="AF63" s="55">
        <f>_xll.EQNXTDZ($A$1,$B63,AF$5,$B$1)</f>
        <v>3957</v>
      </c>
      <c r="AG63" s="55">
        <f>_xll.EQNXTDZ($A$1,$B63,AG$5,$B$1)</f>
        <v>0</v>
      </c>
      <c r="AH63" s="55">
        <f>_xll.EQNXTDZ($A$1,$B63,AH$5,$B$1)</f>
        <v>3275</v>
      </c>
      <c r="AI63" s="55">
        <f>_xll.EQNXTDZ($A$1,$B63,AI$5,$B$1)</f>
        <v>0</v>
      </c>
      <c r="AJ63" s="55">
        <f>_xll.EQNXTDZ($A$1,$B63,AJ$5,$B$1)</f>
        <v>3657</v>
      </c>
      <c r="AK63" s="55">
        <f>_xll.EQNXTDZ($A$1,$B63,AK$5,$B$1)</f>
        <v>0</v>
      </c>
      <c r="AL63" s="55">
        <f>_xll.EQNXTDZ($A$1,$B63,AL$5,$B$1)</f>
        <v>2941</v>
      </c>
      <c r="AM63" s="55">
        <f>_xll.EQNXTDZ($A$1,$B63,AM$5,$B$1)</f>
        <v>0</v>
      </c>
      <c r="AN63" s="55">
        <f>_xll.EQNXTDZ($A$1,$B63,AN$5,$B$1)</f>
        <v>2394</v>
      </c>
      <c r="AO63" s="55">
        <f>_xll.EQNXTDZ($A$1,$B63,AO$5,$B$1)</f>
        <v>0</v>
      </c>
      <c r="AP63" s="55">
        <f>_xll.EQNXTDZ($A$1,$B63,AP$5,$B$1)</f>
        <v>2123</v>
      </c>
      <c r="AQ63" s="55">
        <f>_xll.EQNXTDZ($A$1,$B63,AQ$5,$B$1)</f>
        <v>0</v>
      </c>
      <c r="AR63" s="55">
        <f>_xll.EQNXTDZ($A$1,$B63,AR$5,$B$1)</f>
        <v>2405</v>
      </c>
      <c r="AS63" s="55">
        <f>_xll.EQNXTDZ($A$1,$B63,AS$5,$B$1)</f>
        <v>0</v>
      </c>
      <c r="AT63" s="55">
        <f>_xll.EQNXTDZ($A$1,$B63,AT$5,$B$1)</f>
        <v>2496</v>
      </c>
      <c r="AU63" s="55">
        <f>_xll.EQNXTDZ($A$1,$B63,AU$5,$B$1)</f>
        <v>0</v>
      </c>
      <c r="AV63" s="55">
        <f>_xll.EQNXTDZ($A$1,$B63,AV$5,$B$1)</f>
        <v>2110</v>
      </c>
      <c r="AW63" s="55">
        <f>_xll.EQNXTDZ($A$1,$B63,AW$5,$B$1)</f>
        <v>0</v>
      </c>
      <c r="AX63" s="55">
        <f>_xll.EQNXTDZ($A$1,$B63,AX$5,$B$1)</f>
        <v>1604</v>
      </c>
      <c r="AY63" s="55">
        <f>_xll.EQNXTDZ($A$1,$B63,AY$5,$B$1)</f>
        <v>0</v>
      </c>
      <c r="AZ63" s="55">
        <f>_xll.EQNXTDZ($A$1,$B63,AZ$5,$B$1)</f>
        <v>1414</v>
      </c>
      <c r="BA63" s="55">
        <f>_xll.EQNXTDZ($A$1,$B63,BA$5,$B$1)</f>
        <v>0</v>
      </c>
      <c r="BB63" s="55">
        <f>_xll.EQNXTDZ($A$1,$B63,BB$5,$B$1)</f>
        <v>1192</v>
      </c>
      <c r="BC63" s="55">
        <f>_xll.EQNXTDZ($A$1,$B63,BC$5,$B$1)</f>
        <v>0</v>
      </c>
      <c r="BD63" s="55">
        <f>_xll.EQNXTDZ($A$1,$B63,BD$5,$B$1)</f>
        <v>1045</v>
      </c>
      <c r="BE63" s="55">
        <f>_xll.EQNXTDZ($A$1,$B63,BE$5,$B$1)</f>
        <v>0</v>
      </c>
      <c r="BF63" s="55">
        <f>_xll.EQNXTDZ($A$1,$B63,BF$5,$B$1)</f>
        <v>11651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6.16</v>
      </c>
      <c r="E64" s="55">
        <f>_xll.EQNXTDZ($A$1,$B64,E$5,$B$1)</f>
        <v>0</v>
      </c>
      <c r="F64" s="55">
        <f>_xll.EQNXTDZ($A$1,$B64,F$5,$B$1)</f>
        <v>10</v>
      </c>
      <c r="G64" s="55">
        <f>_xll.EQNXTDZ($A$1,$B64,G$5,$B$1)</f>
        <v>0</v>
      </c>
      <c r="H64" s="55">
        <f>_xll.EQNXTDZ($A$1,$B64,H$5,$B$1)</f>
        <v>7</v>
      </c>
      <c r="I64" s="55">
        <f>_xll.EQNXTDZ($A$1,$B64,I$5,$B$1)</f>
        <v>0</v>
      </c>
      <c r="J64" s="55">
        <f>_xll.EQNXTDZ($A$1,$B64,J$5,$B$1)</f>
        <v>10</v>
      </c>
      <c r="K64" s="55">
        <f>_xll.EQNXTDZ($A$1,$B64,K$5,$B$1)</f>
        <v>0</v>
      </c>
      <c r="L64" s="55">
        <f>_xll.EQNXTDZ($A$1,$B64,L$5,$B$1)</f>
        <v>7</v>
      </c>
      <c r="M64" s="55">
        <f>_xll.EQNXTDZ($A$1,$B64,M$5,$B$1)</f>
        <v>0</v>
      </c>
      <c r="N64" s="55">
        <f>_xll.EQNXTDZ($A$1,$B64,N$5,$B$1)</f>
        <v>8</v>
      </c>
      <c r="O64" s="55">
        <f>_xll.EQNXTDZ($A$1,$B64,O$5,$B$1)</f>
        <v>0</v>
      </c>
      <c r="P64" s="55">
        <f>_xll.EQNXTDZ($A$1,$B64,P$5,$B$1)</f>
        <v>9</v>
      </c>
      <c r="Q64" s="55">
        <f>_xll.EQNXTDZ($A$1,$B64,Q$5,$B$1)</f>
        <v>0</v>
      </c>
      <c r="R64" s="55">
        <f>_xll.EQNXTDZ($A$1,$B64,R$5,$B$1)</f>
        <v>10</v>
      </c>
      <c r="S64" s="55">
        <f>_xll.EQNXTDZ($A$1,$B64,S$5,$B$1)</f>
        <v>0</v>
      </c>
      <c r="T64" s="55">
        <f>_xll.EQNXTDZ($A$1,$B64,T$5,$B$1)</f>
        <v>10</v>
      </c>
      <c r="U64" s="55">
        <f>_xll.EQNXTDZ($A$1,$B64,U$5,$B$1)</f>
        <v>0</v>
      </c>
      <c r="V64" s="55">
        <f>_xll.EQNXTDZ($A$1,$B64,V$5,$B$1)</f>
        <v>8</v>
      </c>
      <c r="W64" s="55">
        <f>_xll.EQNXTDZ($A$1,$B64,W$5,$B$1)</f>
        <v>0</v>
      </c>
      <c r="X64" s="55">
        <f>_xll.EQNXTDZ($A$1,$B64,X$5,$B$1)</f>
        <v>10</v>
      </c>
      <c r="Y64" s="55">
        <f>_xll.EQNXTDZ($A$1,$B64,Y$5,$B$1)</f>
        <v>0</v>
      </c>
      <c r="Z64" s="55">
        <f>_xll.EQNXTDZ($A$1,$B64,Z$5,$B$1)</f>
        <v>20</v>
      </c>
      <c r="AA64" s="55">
        <f>_xll.EQNXTDZ($A$1,$B64,AA$5,$B$1)</f>
        <v>0</v>
      </c>
      <c r="AB64" s="55">
        <f>_xll.EQNXTDZ($A$1,$B64,AB$5,$B$1)</f>
        <v>76</v>
      </c>
      <c r="AC64" s="55">
        <f>_xll.EQNXTDZ($A$1,$B64,AC$5,$B$1)</f>
        <v>0</v>
      </c>
      <c r="AD64" s="55">
        <f>_xll.EQNXTDZ($A$1,$B64,AD$5,$B$1)</f>
        <v>22</v>
      </c>
      <c r="AE64" s="55">
        <f>_xll.EQNXTDZ($A$1,$B64,AE$5,$B$1)</f>
        <v>0</v>
      </c>
      <c r="AF64" s="55">
        <f>_xll.EQNXTDZ($A$1,$B64,AF$5,$B$1)</f>
        <v>25</v>
      </c>
      <c r="AG64" s="55">
        <f>_xll.EQNXTDZ($A$1,$B64,AG$5,$B$1)</f>
        <v>0</v>
      </c>
      <c r="AH64" s="55">
        <f>_xll.EQNXTDZ($A$1,$B64,AH$5,$B$1)</f>
        <v>119</v>
      </c>
      <c r="AI64" s="55">
        <f>_xll.EQNXTDZ($A$1,$B64,AI$5,$B$1)</f>
        <v>0</v>
      </c>
      <c r="AJ64" s="55">
        <f>_xll.EQNXTDZ($A$1,$B64,AJ$5,$B$1)</f>
        <v>54</v>
      </c>
      <c r="AK64" s="55">
        <f>_xll.EQNXTDZ($A$1,$B64,AK$5,$B$1)</f>
        <v>0</v>
      </c>
      <c r="AL64" s="55">
        <f>_xll.EQNXTDZ($A$1,$B64,AL$5,$B$1)</f>
        <v>35</v>
      </c>
      <c r="AM64" s="55">
        <f>_xll.EQNXTDZ($A$1,$B64,AM$5,$B$1)</f>
        <v>0</v>
      </c>
      <c r="AN64" s="55">
        <f>_xll.EQNXTDZ($A$1,$B64,AN$5,$B$1)</f>
        <v>43</v>
      </c>
      <c r="AO64" s="55">
        <f>_xll.EQNXTDZ($A$1,$B64,AO$5,$B$1)</f>
        <v>0</v>
      </c>
      <c r="AP64" s="55">
        <f>_xll.EQNXTDZ($A$1,$B64,AP$5,$B$1)</f>
        <v>46</v>
      </c>
      <c r="AQ64" s="55">
        <f>_xll.EQNXTDZ($A$1,$B64,AQ$5,$B$1)</f>
        <v>0</v>
      </c>
      <c r="AR64" s="55">
        <f>_xll.EQNXTDZ($A$1,$B64,AR$5,$B$1)</f>
        <v>79</v>
      </c>
      <c r="AS64" s="55">
        <f>_xll.EQNXTDZ($A$1,$B64,AS$5,$B$1)</f>
        <v>0</v>
      </c>
      <c r="AT64" s="55">
        <f>_xll.EQNXTDZ($A$1,$B64,AT$5,$B$1)</f>
        <v>76</v>
      </c>
      <c r="AU64" s="55">
        <f>_xll.EQNXTDZ($A$1,$B64,AU$5,$B$1)</f>
        <v>0</v>
      </c>
      <c r="AV64" s="55">
        <f>_xll.EQNXTDZ($A$1,$B64,AV$5,$B$1)</f>
        <v>61</v>
      </c>
      <c r="AW64" s="55">
        <f>_xll.EQNXTDZ($A$1,$B64,AW$5,$B$1)</f>
        <v>0</v>
      </c>
      <c r="AX64" s="55">
        <f>_xll.EQNXTDZ($A$1,$B64,AX$5,$B$1)</f>
        <v>74</v>
      </c>
      <c r="AY64" s="55">
        <f>_xll.EQNXTDZ($A$1,$B64,AY$5,$B$1)</f>
        <v>0</v>
      </c>
      <c r="AZ64" s="55">
        <f>_xll.EQNXTDZ($A$1,$B64,AZ$5,$B$1)</f>
        <v>84</v>
      </c>
      <c r="BA64" s="55">
        <f>_xll.EQNXTDZ($A$1,$B64,BA$5,$B$1)</f>
        <v>0</v>
      </c>
      <c r="BB64" s="55">
        <f>_xll.EQNXTDZ($A$1,$B64,BB$5,$B$1)</f>
        <v>160</v>
      </c>
      <c r="BC64" s="55">
        <f>_xll.EQNXTDZ($A$1,$B64,BC$5,$B$1)</f>
        <v>0</v>
      </c>
      <c r="BD64" s="55">
        <f>_xll.EQNXTDZ($A$1,$B64,BD$5,$B$1)</f>
        <v>260</v>
      </c>
      <c r="BE64" s="55">
        <f>_xll.EQNXTDZ($A$1,$B64,BE$5,$B$1)</f>
        <v>0</v>
      </c>
      <c r="BF64" s="55">
        <f>_xll.EQNXTDZ($A$1,$B64,BF$5,$B$1)</f>
        <v>298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120.67</v>
      </c>
      <c r="E66" s="55">
        <f>_xll.EQNXTDZ($A$1,$B66,E$5,$B$1)</f>
        <v>0</v>
      </c>
      <c r="F66" s="55">
        <f>_xll.EQNXTDZ($A$1,$B66,F$5,$B$1)</f>
        <v>130</v>
      </c>
      <c r="G66" s="55">
        <f>_xll.EQNXTDZ($A$1,$B66,G$5,$B$1)</f>
        <v>0</v>
      </c>
      <c r="H66" s="55">
        <f>_xll.EQNXTDZ($A$1,$B66,H$5,$B$1)</f>
        <v>153</v>
      </c>
      <c r="I66" s="55">
        <f>_xll.EQNXTDZ($A$1,$B66,I$5,$B$1)</f>
        <v>0</v>
      </c>
      <c r="J66" s="55">
        <f>_xll.EQNXTDZ($A$1,$B66,J$5,$B$1)</f>
        <v>190</v>
      </c>
      <c r="K66" s="55">
        <f>_xll.EQNXTDZ($A$1,$B66,K$5,$B$1)</f>
        <v>0</v>
      </c>
      <c r="L66" s="55">
        <f>_xll.EQNXTDZ($A$1,$B66,L$5,$B$1)</f>
        <v>200</v>
      </c>
      <c r="M66" s="55">
        <f>_xll.EQNXTDZ($A$1,$B66,M$5,$B$1)</f>
        <v>0</v>
      </c>
      <c r="N66" s="55">
        <f>_xll.EQNXTDZ($A$1,$B66,N$5,$B$1)</f>
        <v>207</v>
      </c>
      <c r="O66" s="55">
        <f>_xll.EQNXTDZ($A$1,$B66,O$5,$B$1)</f>
        <v>0</v>
      </c>
      <c r="P66" s="55">
        <f>_xll.EQNXTDZ($A$1,$B66,P$5,$B$1)</f>
        <v>266</v>
      </c>
      <c r="Q66" s="55">
        <f>_xll.EQNXTDZ($A$1,$B66,Q$5,$B$1)</f>
        <v>0</v>
      </c>
      <c r="R66" s="55">
        <f>_xll.EQNXTDZ($A$1,$B66,R$5,$B$1)</f>
        <v>246</v>
      </c>
      <c r="S66" s="55">
        <f>_xll.EQNXTDZ($A$1,$B66,S$5,$B$1)</f>
        <v>0</v>
      </c>
      <c r="T66" s="55">
        <f>_xll.EQNXTDZ($A$1,$B66,T$5,$B$1)</f>
        <v>245</v>
      </c>
      <c r="U66" s="55">
        <f>_xll.EQNXTDZ($A$1,$B66,U$5,$B$1)</f>
        <v>0</v>
      </c>
      <c r="V66" s="55">
        <f>_xll.EQNXTDZ($A$1,$B66,V$5,$B$1)</f>
        <v>263</v>
      </c>
      <c r="W66" s="55">
        <f>_xll.EQNXTDZ($A$1,$B66,W$5,$B$1)</f>
        <v>0</v>
      </c>
      <c r="X66" s="55">
        <f>_xll.EQNXTDZ($A$1,$B66,X$5,$B$1)</f>
        <v>274</v>
      </c>
      <c r="Y66" s="55">
        <f>_xll.EQNXTDZ($A$1,$B66,Y$5,$B$1)</f>
        <v>0</v>
      </c>
      <c r="Z66" s="55">
        <f>_xll.EQNXTDZ($A$1,$B66,Z$5,$B$1)</f>
        <v>287</v>
      </c>
      <c r="AA66" s="55">
        <f>_xll.EQNXTDZ($A$1,$B66,AA$5,$B$1)</f>
        <v>0</v>
      </c>
      <c r="AB66" s="55">
        <f>_xll.EQNXTDZ($A$1,$B66,AB$5,$B$1)</f>
        <v>303</v>
      </c>
      <c r="AC66" s="55">
        <f>_xll.EQNXTDZ($A$1,$B66,AC$5,$B$1)</f>
        <v>0</v>
      </c>
      <c r="AD66" s="55">
        <f>_xll.EQNXTDZ($A$1,$B66,AD$5,$B$1)</f>
        <v>289</v>
      </c>
      <c r="AE66" s="55">
        <f>_xll.EQNXTDZ($A$1,$B66,AE$5,$B$1)</f>
        <v>0</v>
      </c>
      <c r="AF66" s="55">
        <f>_xll.EQNXTDZ($A$1,$B66,AF$5,$B$1)</f>
        <v>316</v>
      </c>
      <c r="AG66" s="55">
        <f>_xll.EQNXTDZ($A$1,$B66,AG$5,$B$1)</f>
        <v>0</v>
      </c>
      <c r="AH66" s="55">
        <f>_xll.EQNXTDZ($A$1,$B66,AH$5,$B$1)</f>
        <v>338</v>
      </c>
      <c r="AI66" s="55">
        <f>_xll.EQNXTDZ($A$1,$B66,AI$5,$B$1)</f>
        <v>0</v>
      </c>
      <c r="AJ66" s="55">
        <f>_xll.EQNXTDZ($A$1,$B66,AJ$5,$B$1)</f>
        <v>353</v>
      </c>
      <c r="AK66" s="55">
        <f>_xll.EQNXTDZ($A$1,$B66,AK$5,$B$1)</f>
        <v>0</v>
      </c>
      <c r="AL66" s="55">
        <f>_xll.EQNXTDZ($A$1,$B66,AL$5,$B$1)</f>
        <v>370</v>
      </c>
      <c r="AM66" s="55">
        <f>_xll.EQNXTDZ($A$1,$B66,AM$5,$B$1)</f>
        <v>0</v>
      </c>
      <c r="AN66" s="55">
        <f>_xll.EQNXTDZ($A$1,$B66,AN$5,$B$1)</f>
        <v>377</v>
      </c>
      <c r="AO66" s="55">
        <f>_xll.EQNXTDZ($A$1,$B66,AO$5,$B$1)</f>
        <v>0</v>
      </c>
      <c r="AP66" s="55">
        <f>_xll.EQNXTDZ($A$1,$B66,AP$5,$B$1)</f>
        <v>369</v>
      </c>
      <c r="AQ66" s="55">
        <f>_xll.EQNXTDZ($A$1,$B66,AQ$5,$B$1)</f>
        <v>0</v>
      </c>
      <c r="AR66" s="55">
        <f>_xll.EQNXTDZ($A$1,$B66,AR$5,$B$1)</f>
        <v>390</v>
      </c>
      <c r="AS66" s="55">
        <f>_xll.EQNXTDZ($A$1,$B66,AS$5,$B$1)</f>
        <v>0</v>
      </c>
      <c r="AT66" s="55">
        <f>_xll.EQNXTDZ($A$1,$B66,AT$5,$B$1)</f>
        <v>393</v>
      </c>
      <c r="AU66" s="55">
        <f>_xll.EQNXTDZ($A$1,$B66,AU$5,$B$1)</f>
        <v>0</v>
      </c>
      <c r="AV66" s="55">
        <f>_xll.EQNXTDZ($A$1,$B66,AV$5,$B$1)</f>
        <v>408</v>
      </c>
      <c r="AW66" s="55">
        <f>_xll.EQNXTDZ($A$1,$B66,AW$5,$B$1)</f>
        <v>0</v>
      </c>
      <c r="AX66" s="55">
        <f>_xll.EQNXTDZ($A$1,$B66,AX$5,$B$1)</f>
        <v>445</v>
      </c>
      <c r="AY66" s="55">
        <f>_xll.EQNXTDZ($A$1,$B66,AY$5,$B$1)</f>
        <v>0</v>
      </c>
      <c r="AZ66" s="55">
        <f>_xll.EQNXTDZ($A$1,$B66,AZ$5,$B$1)</f>
        <v>446</v>
      </c>
      <c r="BA66" s="55">
        <f>_xll.EQNXTDZ($A$1,$B66,BA$5,$B$1)</f>
        <v>0</v>
      </c>
      <c r="BB66" s="55">
        <f>_xll.EQNXTDZ($A$1,$B66,BB$5,$B$1)</f>
        <v>501</v>
      </c>
      <c r="BC66" s="55">
        <f>_xll.EQNXTDZ($A$1,$B66,BC$5,$B$1)</f>
        <v>0</v>
      </c>
      <c r="BD66" s="55">
        <f>_xll.EQNXTDZ($A$1,$B66,BD$5,$B$1)</f>
        <v>541</v>
      </c>
      <c r="BE66" s="55">
        <f>_xll.EQNXTDZ($A$1,$B66,BE$5,$B$1)</f>
        <v>0</v>
      </c>
      <c r="BF66" s="55">
        <f>_xll.EQNXTDZ($A$1,$B66,BF$5,$B$1)</f>
        <v>765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1815.02</v>
      </c>
      <c r="E67" s="55">
        <f>_xll.EQNXTDZ($A$1,$B67,E$5,$B$1)</f>
        <v>0</v>
      </c>
      <c r="F67" s="55">
        <f>_xll.EQNXTDZ($A$1,$B67,F$5,$B$1)</f>
        <v>2017</v>
      </c>
      <c r="G67" s="55">
        <f>_xll.EQNXTDZ($A$1,$B67,G$5,$B$1)</f>
        <v>0</v>
      </c>
      <c r="H67" s="55">
        <f>_xll.EQNXTDZ($A$1,$B67,H$5,$B$1)</f>
        <v>2080</v>
      </c>
      <c r="I67" s="55">
        <f>_xll.EQNXTDZ($A$1,$B67,I$5,$B$1)</f>
        <v>0</v>
      </c>
      <c r="J67" s="55">
        <f>_xll.EQNXTDZ($A$1,$B67,J$5,$B$1)</f>
        <v>2848</v>
      </c>
      <c r="K67" s="55">
        <f>_xll.EQNXTDZ($A$1,$B67,K$5,$B$1)</f>
        <v>0</v>
      </c>
      <c r="L67" s="55">
        <f>_xll.EQNXTDZ($A$1,$B67,L$5,$B$1)</f>
        <v>4689</v>
      </c>
      <c r="M67" s="55">
        <f>_xll.EQNXTDZ($A$1,$B67,M$5,$B$1)</f>
        <v>0</v>
      </c>
      <c r="N67" s="55">
        <f>_xll.EQNXTDZ($A$1,$B67,N$5,$B$1)</f>
        <v>4891</v>
      </c>
      <c r="O67" s="55">
        <f>_xll.EQNXTDZ($A$1,$B67,O$5,$B$1)</f>
        <v>0</v>
      </c>
      <c r="P67" s="55">
        <f>_xll.EQNXTDZ($A$1,$B67,P$5,$B$1)</f>
        <v>5933</v>
      </c>
      <c r="Q67" s="55">
        <f>_xll.EQNXTDZ($A$1,$B67,Q$5,$B$1)</f>
        <v>0</v>
      </c>
      <c r="R67" s="55">
        <f>_xll.EQNXTDZ($A$1,$B67,R$5,$B$1)</f>
        <v>5600</v>
      </c>
      <c r="S67" s="55">
        <f>_xll.EQNXTDZ($A$1,$B67,S$5,$B$1)</f>
        <v>0</v>
      </c>
      <c r="T67" s="55">
        <f>_xll.EQNXTDZ($A$1,$B67,T$5,$B$1)</f>
        <v>6342</v>
      </c>
      <c r="U67" s="55">
        <f>_xll.EQNXTDZ($A$1,$B67,U$5,$B$1)</f>
        <v>0</v>
      </c>
      <c r="V67" s="55">
        <f>_xll.EQNXTDZ($A$1,$B67,V$5,$B$1)</f>
        <v>6863</v>
      </c>
      <c r="W67" s="55">
        <f>_xll.EQNXTDZ($A$1,$B67,W$5,$B$1)</f>
        <v>0</v>
      </c>
      <c r="X67" s="55">
        <f>_xll.EQNXTDZ($A$1,$B67,X$5,$B$1)</f>
        <v>6926</v>
      </c>
      <c r="Y67" s="55">
        <f>_xll.EQNXTDZ($A$1,$B67,Y$5,$B$1)</f>
        <v>0</v>
      </c>
      <c r="Z67" s="55">
        <f>_xll.EQNXTDZ($A$1,$B67,Z$5,$B$1)</f>
        <v>9041</v>
      </c>
      <c r="AA67" s="55">
        <f>_xll.EQNXTDZ($A$1,$B67,AA$5,$B$1)</f>
        <v>0</v>
      </c>
      <c r="AB67" s="55">
        <f>_xll.EQNXTDZ($A$1,$B67,AB$5,$B$1)</f>
        <v>9131</v>
      </c>
      <c r="AC67" s="55">
        <f>_xll.EQNXTDZ($A$1,$B67,AC$5,$B$1)</f>
        <v>0</v>
      </c>
      <c r="AD67" s="55">
        <f>_xll.EQNXTDZ($A$1,$B67,AD$5,$B$1)</f>
        <v>8948</v>
      </c>
      <c r="AE67" s="55">
        <f>_xll.EQNXTDZ($A$1,$B67,AE$5,$B$1)</f>
        <v>0</v>
      </c>
      <c r="AF67" s="55">
        <f>_xll.EQNXTDZ($A$1,$B67,AF$5,$B$1)</f>
        <v>9371</v>
      </c>
      <c r="AG67" s="55">
        <f>_xll.EQNXTDZ($A$1,$B67,AG$5,$B$1)</f>
        <v>0</v>
      </c>
      <c r="AH67" s="55">
        <f>_xll.EQNXTDZ($A$1,$B67,AH$5,$B$1)</f>
        <v>8556</v>
      </c>
      <c r="AI67" s="55">
        <f>_xll.EQNXTDZ($A$1,$B67,AI$5,$B$1)</f>
        <v>0</v>
      </c>
      <c r="AJ67" s="55">
        <f>_xll.EQNXTDZ($A$1,$B67,AJ$5,$B$1)</f>
        <v>9595</v>
      </c>
      <c r="AK67" s="55">
        <f>_xll.EQNXTDZ($A$1,$B67,AK$5,$B$1)</f>
        <v>0</v>
      </c>
      <c r="AL67" s="55">
        <f>_xll.EQNXTDZ($A$1,$B67,AL$5,$B$1)</f>
        <v>9184</v>
      </c>
      <c r="AM67" s="55">
        <f>_xll.EQNXTDZ($A$1,$B67,AM$5,$B$1)</f>
        <v>0</v>
      </c>
      <c r="AN67" s="55">
        <f>_xll.EQNXTDZ($A$1,$B67,AN$5,$B$1)</f>
        <v>9033</v>
      </c>
      <c r="AO67" s="55">
        <f>_xll.EQNXTDZ($A$1,$B67,AO$5,$B$1)</f>
        <v>0</v>
      </c>
      <c r="AP67" s="55">
        <f>_xll.EQNXTDZ($A$1,$B67,AP$5,$B$1)</f>
        <v>8491</v>
      </c>
      <c r="AQ67" s="55">
        <f>_xll.EQNXTDZ($A$1,$B67,AQ$5,$B$1)</f>
        <v>0</v>
      </c>
      <c r="AR67" s="55">
        <f>_xll.EQNXTDZ($A$1,$B67,AR$5,$B$1)</f>
        <v>8965</v>
      </c>
      <c r="AS67" s="55">
        <f>_xll.EQNXTDZ($A$1,$B67,AS$5,$B$1)</f>
        <v>0</v>
      </c>
      <c r="AT67" s="55">
        <f>_xll.EQNXTDZ($A$1,$B67,AT$5,$B$1)</f>
        <v>9163</v>
      </c>
      <c r="AU67" s="55">
        <f>_xll.EQNXTDZ($A$1,$B67,AU$5,$B$1)</f>
        <v>0</v>
      </c>
      <c r="AV67" s="55">
        <f>_xll.EQNXTDZ($A$1,$B67,AV$5,$B$1)</f>
        <v>9286</v>
      </c>
      <c r="AW67" s="55">
        <f>_xll.EQNXTDZ($A$1,$B67,AW$5,$B$1)</f>
        <v>0</v>
      </c>
      <c r="AX67" s="55">
        <f>_xll.EQNXTDZ($A$1,$B67,AX$5,$B$1)</f>
        <v>8979</v>
      </c>
      <c r="AY67" s="55">
        <f>_xll.EQNXTDZ($A$1,$B67,AY$5,$B$1)</f>
        <v>0</v>
      </c>
      <c r="AZ67" s="55">
        <f>_xll.EQNXTDZ($A$1,$B67,AZ$5,$B$1)</f>
        <v>9448</v>
      </c>
      <c r="BA67" s="55">
        <f>_xll.EQNXTDZ($A$1,$B67,BA$5,$B$1)</f>
        <v>0</v>
      </c>
      <c r="BB67" s="55">
        <f>_xll.EQNXTDZ($A$1,$B67,BB$5,$B$1)</f>
        <v>9444</v>
      </c>
      <c r="BC67" s="55">
        <f>_xll.EQNXTDZ($A$1,$B67,BC$5,$B$1)</f>
        <v>0</v>
      </c>
      <c r="BD67" s="55">
        <f>_xll.EQNXTDZ($A$1,$B67,BD$5,$B$1)</f>
        <v>10295</v>
      </c>
      <c r="BE67" s="55">
        <f>_xll.EQNXTDZ($A$1,$B67,BE$5,$B$1)</f>
        <v>0</v>
      </c>
      <c r="BF67" s="55">
        <f>_xll.EQNXTDZ($A$1,$B67,BF$5,$B$1)</f>
        <v>30299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1021.46</v>
      </c>
      <c r="E68" s="55">
        <f>_xll.EQNXTDZ($A$1,$B68,E$5,$B$1)</f>
        <v>0</v>
      </c>
      <c r="F68" s="55">
        <f>_xll.EQNXTDZ($A$1,$B68,F$5,$B$1)</f>
        <v>1105</v>
      </c>
      <c r="G68" s="55">
        <f>_xll.EQNXTDZ($A$1,$B68,G$5,$B$1)</f>
        <v>0</v>
      </c>
      <c r="H68" s="55">
        <f>_xll.EQNXTDZ($A$1,$B68,H$5,$B$1)</f>
        <v>1276</v>
      </c>
      <c r="I68" s="55">
        <f>_xll.EQNXTDZ($A$1,$B68,I$5,$B$1)</f>
        <v>0</v>
      </c>
      <c r="J68" s="55">
        <f>_xll.EQNXTDZ($A$1,$B68,J$5,$B$1)</f>
        <v>1409</v>
      </c>
      <c r="K68" s="55">
        <f>_xll.EQNXTDZ($A$1,$B68,K$5,$B$1)</f>
        <v>0</v>
      </c>
      <c r="L68" s="55">
        <f>_xll.EQNXTDZ($A$1,$B68,L$5,$B$1)</f>
        <v>3468</v>
      </c>
      <c r="M68" s="55">
        <f>_xll.EQNXTDZ($A$1,$B68,M$5,$B$1)</f>
        <v>0</v>
      </c>
      <c r="N68" s="55">
        <f>_xll.EQNXTDZ($A$1,$B68,N$5,$B$1)</f>
        <v>3495</v>
      </c>
      <c r="O68" s="55">
        <f>_xll.EQNXTDZ($A$1,$B68,O$5,$B$1)</f>
        <v>0</v>
      </c>
      <c r="P68" s="55">
        <f>_xll.EQNXTDZ($A$1,$B68,P$5,$B$1)</f>
        <v>3685</v>
      </c>
      <c r="Q68" s="55">
        <f>_xll.EQNXTDZ($A$1,$B68,Q$5,$B$1)</f>
        <v>0</v>
      </c>
      <c r="R68" s="55">
        <f>_xll.EQNXTDZ($A$1,$B68,R$5,$B$1)</f>
        <v>2734</v>
      </c>
      <c r="S68" s="55">
        <f>_xll.EQNXTDZ($A$1,$B68,S$5,$B$1)</f>
        <v>0</v>
      </c>
      <c r="T68" s="55">
        <f>_xll.EQNXTDZ($A$1,$B68,T$5,$B$1)</f>
        <v>3185</v>
      </c>
      <c r="U68" s="55">
        <f>_xll.EQNXTDZ($A$1,$B68,U$5,$B$1)</f>
        <v>0</v>
      </c>
      <c r="V68" s="55">
        <f>_xll.EQNXTDZ($A$1,$B68,V$5,$B$1)</f>
        <v>3585</v>
      </c>
      <c r="W68" s="55">
        <f>_xll.EQNXTDZ($A$1,$B68,W$5,$B$1)</f>
        <v>0</v>
      </c>
      <c r="X68" s="55">
        <f>_xll.EQNXTDZ($A$1,$B68,X$5,$B$1)</f>
        <v>3753</v>
      </c>
      <c r="Y68" s="55">
        <f>_xll.EQNXTDZ($A$1,$B68,Y$5,$B$1)</f>
        <v>0</v>
      </c>
      <c r="Z68" s="55">
        <f>_xll.EQNXTDZ($A$1,$B68,Z$5,$B$1)</f>
        <v>7680</v>
      </c>
      <c r="AA68" s="55">
        <f>_xll.EQNXTDZ($A$1,$B68,AA$5,$B$1)</f>
        <v>0</v>
      </c>
      <c r="AB68" s="55">
        <f>_xll.EQNXTDZ($A$1,$B68,AB$5,$B$1)</f>
        <v>7528</v>
      </c>
      <c r="AC68" s="55">
        <f>_xll.EQNXTDZ($A$1,$B68,AC$5,$B$1)</f>
        <v>0</v>
      </c>
      <c r="AD68" s="55">
        <f>_xll.EQNXTDZ($A$1,$B68,AD$5,$B$1)</f>
        <v>7551</v>
      </c>
      <c r="AE68" s="55">
        <f>_xll.EQNXTDZ($A$1,$B68,AE$5,$B$1)</f>
        <v>0</v>
      </c>
      <c r="AF68" s="55">
        <f>_xll.EQNXTDZ($A$1,$B68,AF$5,$B$1)</f>
        <v>7301</v>
      </c>
      <c r="AG68" s="55">
        <f>_xll.EQNXTDZ($A$1,$B68,AG$5,$B$1)</f>
        <v>0</v>
      </c>
      <c r="AH68" s="55">
        <f>_xll.EQNXTDZ($A$1,$B68,AH$5,$B$1)</f>
        <v>7191</v>
      </c>
      <c r="AI68" s="55">
        <f>_xll.EQNXTDZ($A$1,$B68,AI$5,$B$1)</f>
        <v>0</v>
      </c>
      <c r="AJ68" s="55">
        <f>_xll.EQNXTDZ($A$1,$B68,AJ$5,$B$1)</f>
        <v>6933</v>
      </c>
      <c r="AK68" s="55">
        <f>_xll.EQNXTDZ($A$1,$B68,AK$5,$B$1)</f>
        <v>0</v>
      </c>
      <c r="AL68" s="55">
        <f>_xll.EQNXTDZ($A$1,$B68,AL$5,$B$1)</f>
        <v>6743</v>
      </c>
      <c r="AM68" s="55">
        <f>_xll.EQNXTDZ($A$1,$B68,AM$5,$B$1)</f>
        <v>0</v>
      </c>
      <c r="AN68" s="55">
        <f>_xll.EQNXTDZ($A$1,$B68,AN$5,$B$1)</f>
        <v>6765</v>
      </c>
      <c r="AO68" s="55">
        <f>_xll.EQNXTDZ($A$1,$B68,AO$5,$B$1)</f>
        <v>0</v>
      </c>
      <c r="AP68" s="55">
        <f>_xll.EQNXTDZ($A$1,$B68,AP$5,$B$1)</f>
        <v>6121</v>
      </c>
      <c r="AQ68" s="55">
        <f>_xll.EQNXTDZ($A$1,$B68,AQ$5,$B$1)</f>
        <v>0</v>
      </c>
      <c r="AR68" s="55">
        <f>_xll.EQNXTDZ($A$1,$B68,AR$5,$B$1)</f>
        <v>6100</v>
      </c>
      <c r="AS68" s="55">
        <f>_xll.EQNXTDZ($A$1,$B68,AS$5,$B$1)</f>
        <v>0</v>
      </c>
      <c r="AT68" s="55">
        <f>_xll.EQNXTDZ($A$1,$B68,AT$5,$B$1)</f>
        <v>7716</v>
      </c>
      <c r="AU68" s="55">
        <f>_xll.EQNXTDZ($A$1,$B68,AU$5,$B$1)</f>
        <v>0</v>
      </c>
      <c r="AV68" s="55">
        <f>_xll.EQNXTDZ($A$1,$B68,AV$5,$B$1)</f>
        <v>7886</v>
      </c>
      <c r="AW68" s="55">
        <f>_xll.EQNXTDZ($A$1,$B68,AW$5,$B$1)</f>
        <v>0</v>
      </c>
      <c r="AX68" s="55">
        <f>_xll.EQNXTDZ($A$1,$B68,AX$5,$B$1)</f>
        <v>7722</v>
      </c>
      <c r="AY68" s="55">
        <f>_xll.EQNXTDZ($A$1,$B68,AY$5,$B$1)</f>
        <v>0</v>
      </c>
      <c r="AZ68" s="55">
        <f>_xll.EQNXTDZ($A$1,$B68,AZ$5,$B$1)</f>
        <v>7401</v>
      </c>
      <c r="BA68" s="55">
        <f>_xll.EQNXTDZ($A$1,$B68,BA$5,$B$1)</f>
        <v>0</v>
      </c>
      <c r="BB68" s="55">
        <f>_xll.EQNXTDZ($A$1,$B68,BB$5,$B$1)</f>
        <v>7472</v>
      </c>
      <c r="BC68" s="55">
        <f>_xll.EQNXTDZ($A$1,$B68,BC$5,$B$1)</f>
        <v>0</v>
      </c>
      <c r="BD68" s="55">
        <f>_xll.EQNXTDZ($A$1,$B68,BD$5,$B$1)</f>
        <v>7208</v>
      </c>
      <c r="BE68" s="55">
        <f>_xll.EQNXTDZ($A$1,$B68,BE$5,$B$1)</f>
        <v>0</v>
      </c>
      <c r="BF68" s="55">
        <f>_xll.EQNXTDZ($A$1,$B68,BF$5,$B$1)</f>
        <v>28711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1021.46</v>
      </c>
      <c r="E71" s="55">
        <f>_xll.EQNXTDZ($A$1,$B71,E$5,$B$1)</f>
        <v>0</v>
      </c>
      <c r="F71" s="55">
        <f>_xll.EQNXTDZ($A$1,$B71,F$5,$B$1)</f>
        <v>1105</v>
      </c>
      <c r="G71" s="55">
        <f>_xll.EQNXTDZ($A$1,$B71,G$5,$B$1)</f>
        <v>0</v>
      </c>
      <c r="H71" s="55">
        <f>_xll.EQNXTDZ($A$1,$B71,H$5,$B$1)</f>
        <v>1276</v>
      </c>
      <c r="I71" s="55">
        <f>_xll.EQNXTDZ($A$1,$B71,I$5,$B$1)</f>
        <v>0</v>
      </c>
      <c r="J71" s="55">
        <f>_xll.EQNXTDZ($A$1,$B71,J$5,$B$1)</f>
        <v>1409</v>
      </c>
      <c r="K71" s="55">
        <f>_xll.EQNXTDZ($A$1,$B71,K$5,$B$1)</f>
        <v>0</v>
      </c>
      <c r="L71" s="55">
        <f>_xll.EQNXTDZ($A$1,$B71,L$5,$B$1)</f>
        <v>3468</v>
      </c>
      <c r="M71" s="55">
        <f>_xll.EQNXTDZ($A$1,$B71,M$5,$B$1)</f>
        <v>0</v>
      </c>
      <c r="N71" s="55">
        <f>_xll.EQNXTDZ($A$1,$B71,N$5,$B$1)</f>
        <v>3495</v>
      </c>
      <c r="O71" s="55">
        <f>_xll.EQNXTDZ($A$1,$B71,O$5,$B$1)</f>
        <v>0</v>
      </c>
      <c r="P71" s="55">
        <f>_xll.EQNXTDZ($A$1,$B71,P$5,$B$1)</f>
        <v>3685</v>
      </c>
      <c r="Q71" s="55">
        <f>_xll.EQNXTDZ($A$1,$B71,Q$5,$B$1)</f>
        <v>0</v>
      </c>
      <c r="R71" s="55">
        <f>_xll.EQNXTDZ($A$1,$B71,R$5,$B$1)</f>
        <v>2734</v>
      </c>
      <c r="S71" s="55">
        <f>_xll.EQNXTDZ($A$1,$B71,S$5,$B$1)</f>
        <v>0</v>
      </c>
      <c r="T71" s="55">
        <f>_xll.EQNXTDZ($A$1,$B71,T$5,$B$1)</f>
        <v>3185</v>
      </c>
      <c r="U71" s="55">
        <f>_xll.EQNXTDZ($A$1,$B71,U$5,$B$1)</f>
        <v>0</v>
      </c>
      <c r="V71" s="55">
        <f>_xll.EQNXTDZ($A$1,$B71,V$5,$B$1)</f>
        <v>3585</v>
      </c>
      <c r="W71" s="55">
        <f>_xll.EQNXTDZ($A$1,$B71,W$5,$B$1)</f>
        <v>0</v>
      </c>
      <c r="X71" s="55">
        <f>_xll.EQNXTDZ($A$1,$B71,X$5,$B$1)</f>
        <v>3753</v>
      </c>
      <c r="Y71" s="55">
        <f>_xll.EQNXTDZ($A$1,$B71,Y$5,$B$1)</f>
        <v>0</v>
      </c>
      <c r="Z71" s="55">
        <f>_xll.EQNXTDZ($A$1,$B71,Z$5,$B$1)</f>
        <v>7680</v>
      </c>
      <c r="AA71" s="55">
        <f>_xll.EQNXTDZ($A$1,$B71,AA$5,$B$1)</f>
        <v>0</v>
      </c>
      <c r="AB71" s="55">
        <f>_xll.EQNXTDZ($A$1,$B71,AB$5,$B$1)</f>
        <v>7528</v>
      </c>
      <c r="AC71" s="55">
        <f>_xll.EQNXTDZ($A$1,$B71,AC$5,$B$1)</f>
        <v>0</v>
      </c>
      <c r="AD71" s="55">
        <f>_xll.EQNXTDZ($A$1,$B71,AD$5,$B$1)</f>
        <v>7551</v>
      </c>
      <c r="AE71" s="55">
        <f>_xll.EQNXTDZ($A$1,$B71,AE$5,$B$1)</f>
        <v>0</v>
      </c>
      <c r="AF71" s="55">
        <f>_xll.EQNXTDZ($A$1,$B71,AF$5,$B$1)</f>
        <v>7301</v>
      </c>
      <c r="AG71" s="55">
        <f>_xll.EQNXTDZ($A$1,$B71,AG$5,$B$1)</f>
        <v>0</v>
      </c>
      <c r="AH71" s="55">
        <f>_xll.EQNXTDZ($A$1,$B71,AH$5,$B$1)</f>
        <v>7191</v>
      </c>
      <c r="AI71" s="55">
        <f>_xll.EQNXTDZ($A$1,$B71,AI$5,$B$1)</f>
        <v>0</v>
      </c>
      <c r="AJ71" s="55">
        <f>_xll.EQNXTDZ($A$1,$B71,AJ$5,$B$1)</f>
        <v>6933</v>
      </c>
      <c r="AK71" s="55">
        <f>_xll.EQNXTDZ($A$1,$B71,AK$5,$B$1)</f>
        <v>0</v>
      </c>
      <c r="AL71" s="55">
        <f>_xll.EQNXTDZ($A$1,$B71,AL$5,$B$1)</f>
        <v>6743</v>
      </c>
      <c r="AM71" s="55">
        <f>_xll.EQNXTDZ($A$1,$B71,AM$5,$B$1)</f>
        <v>0</v>
      </c>
      <c r="AN71" s="55">
        <f>_xll.EQNXTDZ($A$1,$B71,AN$5,$B$1)</f>
        <v>6765</v>
      </c>
      <c r="AO71" s="55">
        <f>_xll.EQNXTDZ($A$1,$B71,AO$5,$B$1)</f>
        <v>0</v>
      </c>
      <c r="AP71" s="55">
        <f>_xll.EQNXTDZ($A$1,$B71,AP$5,$B$1)</f>
        <v>6121</v>
      </c>
      <c r="AQ71" s="55">
        <f>_xll.EQNXTDZ($A$1,$B71,AQ$5,$B$1)</f>
        <v>0</v>
      </c>
      <c r="AR71" s="55">
        <f>_xll.EQNXTDZ($A$1,$B71,AR$5,$B$1)</f>
        <v>6100</v>
      </c>
      <c r="AS71" s="55">
        <f>_xll.EQNXTDZ($A$1,$B71,AS$5,$B$1)</f>
        <v>0</v>
      </c>
      <c r="AT71" s="55">
        <f>_xll.EQNXTDZ($A$1,$B71,AT$5,$B$1)</f>
        <v>7716</v>
      </c>
      <c r="AU71" s="55">
        <f>_xll.EQNXTDZ($A$1,$B71,AU$5,$B$1)</f>
        <v>0</v>
      </c>
      <c r="AV71" s="55">
        <f>_xll.EQNXTDZ($A$1,$B71,AV$5,$B$1)</f>
        <v>7886</v>
      </c>
      <c r="AW71" s="55">
        <f>_xll.EQNXTDZ($A$1,$B71,AW$5,$B$1)</f>
        <v>0</v>
      </c>
      <c r="AX71" s="55">
        <f>_xll.EQNXTDZ($A$1,$B71,AX$5,$B$1)</f>
        <v>7722</v>
      </c>
      <c r="AY71" s="55">
        <f>_xll.EQNXTDZ($A$1,$B71,AY$5,$B$1)</f>
        <v>0</v>
      </c>
      <c r="AZ71" s="55">
        <f>_xll.EQNXTDZ($A$1,$B71,AZ$5,$B$1)</f>
        <v>7401</v>
      </c>
      <c r="BA71" s="55">
        <f>_xll.EQNXTDZ($A$1,$B71,BA$5,$B$1)</f>
        <v>0</v>
      </c>
      <c r="BB71" s="55">
        <f>_xll.EQNXTDZ($A$1,$B71,BB$5,$B$1)</f>
        <v>7472</v>
      </c>
      <c r="BC71" s="55">
        <f>_xll.EQNXTDZ($A$1,$B71,BC$5,$B$1)</f>
        <v>0</v>
      </c>
      <c r="BD71" s="55">
        <f>_xll.EQNXTDZ($A$1,$B71,BD$5,$B$1)</f>
        <v>7208</v>
      </c>
      <c r="BE71" s="55">
        <f>_xll.EQNXTDZ($A$1,$B71,BE$5,$B$1)</f>
        <v>0</v>
      </c>
      <c r="BF71" s="55">
        <f>_xll.EQNXTDZ($A$1,$B71,BF$5,$B$1)</f>
        <v>28711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16</v>
      </c>
      <c r="M72" s="55">
        <f>_xll.EQNXTDZ($A$1,$B72,M$5,$B$1)</f>
        <v>0</v>
      </c>
      <c r="N72" s="55">
        <f>_xll.EQNXTDZ($A$1,$B72,N$5,$B$1)</f>
        <v>16</v>
      </c>
      <c r="O72" s="55">
        <f>_xll.EQNXTDZ($A$1,$B72,O$5,$B$1)</f>
        <v>0</v>
      </c>
      <c r="P72" s="55">
        <f>_xll.EQNXTDZ($A$1,$B72,P$5,$B$1)</f>
        <v>231</v>
      </c>
      <c r="Q72" s="55">
        <f>_xll.EQNXTDZ($A$1,$B72,Q$5,$B$1)</f>
        <v>0</v>
      </c>
      <c r="R72" s="55">
        <f>_xll.EQNXTDZ($A$1,$B72,R$5,$B$1)</f>
        <v>125</v>
      </c>
      <c r="S72" s="55">
        <f>_xll.EQNXTDZ($A$1,$B72,S$5,$B$1)</f>
        <v>0</v>
      </c>
      <c r="T72" s="55">
        <f>_xll.EQNXTDZ($A$1,$B72,T$5,$B$1)</f>
        <v>125</v>
      </c>
      <c r="U72" s="55">
        <f>_xll.EQNXTDZ($A$1,$B72,U$5,$B$1)</f>
        <v>0</v>
      </c>
      <c r="V72" s="55">
        <f>_xll.EQNXTDZ($A$1,$B72,V$5,$B$1)</f>
        <v>160</v>
      </c>
      <c r="W72" s="55">
        <f>_xll.EQNXTDZ($A$1,$B72,W$5,$B$1)</f>
        <v>0</v>
      </c>
      <c r="X72" s="55">
        <f>_xll.EQNXTDZ($A$1,$B72,X$5,$B$1)</f>
        <v>158</v>
      </c>
      <c r="Y72" s="55">
        <f>_xll.EQNXTDZ($A$1,$B72,Y$5,$B$1)</f>
        <v>0</v>
      </c>
      <c r="Z72" s="55">
        <f>_xll.EQNXTDZ($A$1,$B72,Z$5,$B$1)</f>
        <v>399</v>
      </c>
      <c r="AA72" s="55">
        <f>_xll.EQNXTDZ($A$1,$B72,AA$5,$B$1)</f>
        <v>0</v>
      </c>
      <c r="AB72" s="55">
        <f>_xll.EQNXTDZ($A$1,$B72,AB$5,$B$1)</f>
        <v>415</v>
      </c>
      <c r="AC72" s="55">
        <f>_xll.EQNXTDZ($A$1,$B72,AC$5,$B$1)</f>
        <v>0</v>
      </c>
      <c r="AD72" s="55">
        <f>_xll.EQNXTDZ($A$1,$B72,AD$5,$B$1)</f>
        <v>335</v>
      </c>
      <c r="AE72" s="55">
        <f>_xll.EQNXTDZ($A$1,$B72,AE$5,$B$1)</f>
        <v>0</v>
      </c>
      <c r="AF72" s="55">
        <f>_xll.EQNXTDZ($A$1,$B72,AF$5,$B$1)</f>
        <v>336</v>
      </c>
      <c r="AG72" s="55">
        <f>_xll.EQNXTDZ($A$1,$B72,AG$5,$B$1)</f>
        <v>0</v>
      </c>
      <c r="AH72" s="55">
        <f>_xll.EQNXTDZ($A$1,$B72,AH$5,$B$1)</f>
        <v>342</v>
      </c>
      <c r="AI72" s="55">
        <f>_xll.EQNXTDZ($A$1,$B72,AI$5,$B$1)</f>
        <v>0</v>
      </c>
      <c r="AJ72" s="55">
        <f>_xll.EQNXTDZ($A$1,$B72,AJ$5,$B$1)</f>
        <v>341</v>
      </c>
      <c r="AK72" s="55">
        <f>_xll.EQNXTDZ($A$1,$B72,AK$5,$B$1)</f>
        <v>0</v>
      </c>
      <c r="AL72" s="55">
        <f>_xll.EQNXTDZ($A$1,$B72,AL$5,$B$1)</f>
        <v>341</v>
      </c>
      <c r="AM72" s="55">
        <f>_xll.EQNXTDZ($A$1,$B72,AM$5,$B$1)</f>
        <v>0</v>
      </c>
      <c r="AN72" s="55">
        <f>_xll.EQNXTDZ($A$1,$B72,AN$5,$B$1)</f>
        <v>342</v>
      </c>
      <c r="AO72" s="55">
        <f>_xll.EQNXTDZ($A$1,$B72,AO$5,$B$1)</f>
        <v>0</v>
      </c>
      <c r="AP72" s="55">
        <f>_xll.EQNXTDZ($A$1,$B72,AP$5,$B$1)</f>
        <v>259</v>
      </c>
      <c r="AQ72" s="55">
        <f>_xll.EQNXTDZ($A$1,$B72,AQ$5,$B$1)</f>
        <v>0</v>
      </c>
      <c r="AR72" s="55">
        <f>_xll.EQNXTDZ($A$1,$B72,AR$5,$B$1)</f>
        <v>258</v>
      </c>
      <c r="AS72" s="55">
        <f>_xll.EQNXTDZ($A$1,$B72,AS$5,$B$1)</f>
        <v>0</v>
      </c>
      <c r="AT72" s="55">
        <f>_xll.EQNXTDZ($A$1,$B72,AT$5,$B$1)</f>
        <v>338</v>
      </c>
      <c r="AU72" s="55">
        <f>_xll.EQNXTDZ($A$1,$B72,AU$5,$B$1)</f>
        <v>0</v>
      </c>
      <c r="AV72" s="55">
        <f>_xll.EQNXTDZ($A$1,$B72,AV$5,$B$1)</f>
        <v>337</v>
      </c>
      <c r="AW72" s="55">
        <f>_xll.EQNXTDZ($A$1,$B72,AW$5,$B$1)</f>
        <v>0</v>
      </c>
      <c r="AX72" s="55">
        <f>_xll.EQNXTDZ($A$1,$B72,AX$5,$B$1)</f>
        <v>338</v>
      </c>
      <c r="AY72" s="55">
        <f>_xll.EQNXTDZ($A$1,$B72,AY$5,$B$1)</f>
        <v>0</v>
      </c>
      <c r="AZ72" s="55">
        <f>_xll.EQNXTDZ($A$1,$B72,AZ$5,$B$1)</f>
        <v>339</v>
      </c>
      <c r="BA72" s="55">
        <f>_xll.EQNXTDZ($A$1,$B72,BA$5,$B$1)</f>
        <v>0</v>
      </c>
      <c r="BB72" s="55">
        <f>_xll.EQNXTDZ($A$1,$B72,BB$5,$B$1)</f>
        <v>339</v>
      </c>
      <c r="BC72" s="55">
        <f>_xll.EQNXTDZ($A$1,$B72,BC$5,$B$1)</f>
        <v>0</v>
      </c>
      <c r="BD72" s="55">
        <f>_xll.EQNXTDZ($A$1,$B72,BD$5,$B$1)</f>
        <v>340</v>
      </c>
      <c r="BE72" s="55">
        <f>_xll.EQNXTDZ($A$1,$B72,BE$5,$B$1)</f>
        <v>0</v>
      </c>
      <c r="BF72" s="55">
        <f>_xll.EQNXTDZ($A$1,$B72,BF$5,$B$1)</f>
        <v>3990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1042</v>
      </c>
      <c r="S74" s="55">
        <f>_xll.EQNXTDZ($A$1,$B74,S$5,$B$1)</f>
        <v>0</v>
      </c>
      <c r="T74" s="55">
        <f>_xll.EQNXTDZ($A$1,$B74,T$5,$B$1)</f>
        <v>781</v>
      </c>
      <c r="U74" s="55">
        <f>_xll.EQNXTDZ($A$1,$B74,U$5,$B$1)</f>
        <v>0</v>
      </c>
      <c r="V74" s="55">
        <f>_xll.EQNXTDZ($A$1,$B74,V$5,$B$1)</f>
        <v>463</v>
      </c>
      <c r="W74" s="55">
        <f>_xll.EQNXTDZ($A$1,$B74,W$5,$B$1)</f>
        <v>0</v>
      </c>
      <c r="X74" s="55">
        <f>_xll.EQNXTDZ($A$1,$B74,X$5,$B$1)</f>
        <v>509</v>
      </c>
      <c r="Y74" s="55">
        <f>_xll.EQNXTDZ($A$1,$B74,Y$5,$B$1)</f>
        <v>0</v>
      </c>
      <c r="Z74" s="55">
        <f>_xll.EQNXTDZ($A$1,$B74,Z$5,$B$1)</f>
        <v>423</v>
      </c>
      <c r="AA74" s="55">
        <f>_xll.EQNXTDZ($A$1,$B74,AA$5,$B$1)</f>
        <v>0</v>
      </c>
      <c r="AB74" s="55">
        <f>_xll.EQNXTDZ($A$1,$B74,AB$5,$B$1)</f>
        <v>449</v>
      </c>
      <c r="AC74" s="55">
        <f>_xll.EQNXTDZ($A$1,$B74,AC$5,$B$1)</f>
        <v>0</v>
      </c>
      <c r="AD74" s="55">
        <f>_xll.EQNXTDZ($A$1,$B74,AD$5,$B$1)</f>
        <v>479</v>
      </c>
      <c r="AE74" s="55">
        <f>_xll.EQNXTDZ($A$1,$B74,AE$5,$B$1)</f>
        <v>0</v>
      </c>
      <c r="AF74" s="55">
        <f>_xll.EQNXTDZ($A$1,$B74,AF$5,$B$1)</f>
        <v>525</v>
      </c>
      <c r="AG74" s="55">
        <f>_xll.EQNXTDZ($A$1,$B74,AG$5,$B$1)</f>
        <v>0</v>
      </c>
      <c r="AH74" s="55">
        <f>_xll.EQNXTDZ($A$1,$B74,AH$5,$B$1)</f>
        <v>577</v>
      </c>
      <c r="AI74" s="55">
        <f>_xll.EQNXTDZ($A$1,$B74,AI$5,$B$1)</f>
        <v>0</v>
      </c>
      <c r="AJ74" s="55">
        <f>_xll.EQNXTDZ($A$1,$B74,AJ$5,$B$1)</f>
        <v>687</v>
      </c>
      <c r="AK74" s="55">
        <f>_xll.EQNXTDZ($A$1,$B74,AK$5,$B$1)</f>
        <v>0</v>
      </c>
      <c r="AL74" s="55">
        <f>_xll.EQNXTDZ($A$1,$B74,AL$5,$B$1)</f>
        <v>744</v>
      </c>
      <c r="AM74" s="55">
        <f>_xll.EQNXTDZ($A$1,$B74,AM$5,$B$1)</f>
        <v>0</v>
      </c>
      <c r="AN74" s="55">
        <f>_xll.EQNXTDZ($A$1,$B74,AN$5,$B$1)</f>
        <v>532</v>
      </c>
      <c r="AO74" s="55">
        <f>_xll.EQNXTDZ($A$1,$B74,AO$5,$B$1)</f>
        <v>0</v>
      </c>
      <c r="AP74" s="55">
        <f>_xll.EQNXTDZ($A$1,$B74,AP$5,$B$1)</f>
        <v>544</v>
      </c>
      <c r="AQ74" s="55">
        <f>_xll.EQNXTDZ($A$1,$B74,AQ$5,$B$1)</f>
        <v>0</v>
      </c>
      <c r="AR74" s="55">
        <f>_xll.EQNXTDZ($A$1,$B74,AR$5,$B$1)</f>
        <v>609</v>
      </c>
      <c r="AS74" s="55">
        <f>_xll.EQNXTDZ($A$1,$B74,AS$5,$B$1)</f>
        <v>0</v>
      </c>
      <c r="AT74" s="55">
        <f>_xll.EQNXTDZ($A$1,$B74,AT$5,$B$1)</f>
        <v>688</v>
      </c>
      <c r="AU74" s="55">
        <f>_xll.EQNXTDZ($A$1,$B74,AU$5,$B$1)</f>
        <v>0</v>
      </c>
      <c r="AV74" s="55">
        <f>_xll.EQNXTDZ($A$1,$B74,AV$5,$B$1)</f>
        <v>263</v>
      </c>
      <c r="AW74" s="55">
        <f>_xll.EQNXTDZ($A$1,$B74,AW$5,$B$1)</f>
        <v>0</v>
      </c>
      <c r="AX74" s="55">
        <f>_xll.EQNXTDZ($A$1,$B74,AX$5,$B$1)</f>
        <v>281</v>
      </c>
      <c r="AY74" s="55">
        <f>_xll.EQNXTDZ($A$1,$B74,AY$5,$B$1)</f>
        <v>0</v>
      </c>
      <c r="AZ74" s="55">
        <f>_xll.EQNXTDZ($A$1,$B74,AZ$5,$B$1)</f>
        <v>412</v>
      </c>
      <c r="BA74" s="55">
        <f>_xll.EQNXTDZ($A$1,$B74,BA$5,$B$1)</f>
        <v>0</v>
      </c>
      <c r="BB74" s="55">
        <f>_xll.EQNXTDZ($A$1,$B74,BB$5,$B$1)</f>
        <v>367</v>
      </c>
      <c r="BC74" s="55">
        <f>_xll.EQNXTDZ($A$1,$B74,BC$5,$B$1)</f>
        <v>0</v>
      </c>
      <c r="BD74" s="55">
        <f>_xll.EQNXTDZ($A$1,$B74,BD$5,$B$1)</f>
        <v>488</v>
      </c>
      <c r="BE74" s="55">
        <f>_xll.EQNXTDZ($A$1,$B74,BE$5,$B$1)</f>
        <v>0</v>
      </c>
      <c r="BF74" s="55">
        <f>_xll.EQNXTDZ($A$1,$B74,BF$5,$B$1)</f>
        <v>457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37.520000000000003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2</v>
      </c>
      <c r="AC77" s="55">
        <f>_xll.EQNXTDZ($A$1,$B77,AC$5,$B$1)</f>
        <v>0</v>
      </c>
      <c r="AD77" s="55">
        <f>_xll.EQNXTDZ($A$1,$B77,AD$5,$B$1)</f>
        <v>2</v>
      </c>
      <c r="AE77" s="55">
        <f>_xll.EQNXTDZ($A$1,$B77,AE$5,$B$1)</f>
        <v>0</v>
      </c>
      <c r="AF77" s="55">
        <f>_xll.EQNXTDZ($A$1,$B77,AF$5,$B$1)</f>
        <v>2</v>
      </c>
      <c r="AG77" s="55">
        <f>_xll.EQNXTDZ($A$1,$B77,AG$5,$B$1)</f>
        <v>0</v>
      </c>
      <c r="AH77" s="55">
        <f>_xll.EQNXTDZ($A$1,$B77,AH$5,$B$1)</f>
        <v>2</v>
      </c>
      <c r="AI77" s="55">
        <f>_xll.EQNXTDZ($A$1,$B77,AI$5,$B$1)</f>
        <v>0</v>
      </c>
      <c r="AJ77" s="55">
        <f>_xll.EQNXTDZ($A$1,$B77,AJ$5,$B$1)</f>
        <v>2</v>
      </c>
      <c r="AK77" s="55">
        <f>_xll.EQNXTDZ($A$1,$B77,AK$5,$B$1)</f>
        <v>0</v>
      </c>
      <c r="AL77" s="55">
        <f>_xll.EQNXTDZ($A$1,$B77,AL$5,$B$1)</f>
        <v>42</v>
      </c>
      <c r="AM77" s="55">
        <f>_xll.EQNXTDZ($A$1,$B77,AM$5,$B$1)</f>
        <v>0</v>
      </c>
      <c r="AN77" s="55">
        <f>_xll.EQNXTDZ($A$1,$B77,AN$5,$B$1)</f>
        <v>42</v>
      </c>
      <c r="AO77" s="55">
        <f>_xll.EQNXTDZ($A$1,$B77,AO$5,$B$1)</f>
        <v>0</v>
      </c>
      <c r="AP77" s="55">
        <f>_xll.EQNXTDZ($A$1,$B77,AP$5,$B$1)</f>
        <v>42</v>
      </c>
      <c r="AQ77" s="55">
        <f>_xll.EQNXTDZ($A$1,$B77,AQ$5,$B$1)</f>
        <v>0</v>
      </c>
      <c r="AR77" s="55">
        <f>_xll.EQNXTDZ($A$1,$B77,AR$5,$B$1)</f>
        <v>42</v>
      </c>
      <c r="AS77" s="55">
        <f>_xll.EQNXTDZ($A$1,$B77,AS$5,$B$1)</f>
        <v>0</v>
      </c>
      <c r="AT77" s="55">
        <f>_xll.EQNXTDZ($A$1,$B77,AT$5,$B$1)</f>
        <v>43</v>
      </c>
      <c r="AU77" s="55">
        <f>_xll.EQNXTDZ($A$1,$B77,AU$5,$B$1)</f>
        <v>0</v>
      </c>
      <c r="AV77" s="55">
        <f>_xll.EQNXTDZ($A$1,$B77,AV$5,$B$1)</f>
        <v>43</v>
      </c>
      <c r="AW77" s="55">
        <f>_xll.EQNXTDZ($A$1,$B77,AW$5,$B$1)</f>
        <v>0</v>
      </c>
      <c r="AX77" s="55">
        <f>_xll.EQNXTDZ($A$1,$B77,AX$5,$B$1)</f>
        <v>32</v>
      </c>
      <c r="AY77" s="55">
        <f>_xll.EQNXTDZ($A$1,$B77,AY$5,$B$1)</f>
        <v>0</v>
      </c>
      <c r="AZ77" s="55">
        <f>_xll.EQNXTDZ($A$1,$B77,AZ$5,$B$1)</f>
        <v>42</v>
      </c>
      <c r="BA77" s="55">
        <f>_xll.EQNXTDZ($A$1,$B77,BA$5,$B$1)</f>
        <v>0</v>
      </c>
      <c r="BB77" s="55">
        <f>_xll.EQNXTDZ($A$1,$B77,BB$5,$B$1)</f>
        <v>44</v>
      </c>
      <c r="BC77" s="55">
        <f>_xll.EQNXTDZ($A$1,$B77,BC$5,$B$1)</f>
        <v>0</v>
      </c>
      <c r="BD77" s="55">
        <f>_xll.EQNXTDZ($A$1,$B77,BD$5,$B$1)</f>
        <v>44</v>
      </c>
      <c r="BE77" s="55">
        <f>_xll.EQNXTDZ($A$1,$B77,BE$5,$B$1)</f>
        <v>0</v>
      </c>
      <c r="BF77" s="55">
        <f>_xll.EQNXTDZ($A$1,$B77,BF$5,$B$1)</f>
        <v>96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51.92</v>
      </c>
      <c r="E78" s="55">
        <f>_xll.EQNXTDZ($A$1,$B78,E$5,$B$1)</f>
        <v>0</v>
      </c>
      <c r="F78" s="55">
        <f>_xll.EQNXTDZ($A$1,$B78,F$5,$B$1)</f>
        <v>63</v>
      </c>
      <c r="G78" s="55">
        <f>_xll.EQNXTDZ($A$1,$B78,G$5,$B$1)</f>
        <v>0</v>
      </c>
      <c r="H78" s="55">
        <f>_xll.EQNXTDZ($A$1,$B78,H$5,$B$1)</f>
        <v>84</v>
      </c>
      <c r="I78" s="55">
        <f>_xll.EQNXTDZ($A$1,$B78,I$5,$B$1)</f>
        <v>0</v>
      </c>
      <c r="J78" s="55">
        <f>_xll.EQNXTDZ($A$1,$B78,J$5,$B$1)</f>
        <v>129</v>
      </c>
      <c r="K78" s="55">
        <f>_xll.EQNXTDZ($A$1,$B78,K$5,$B$1)</f>
        <v>0</v>
      </c>
      <c r="L78" s="55">
        <f>_xll.EQNXTDZ($A$1,$B78,L$5,$B$1)</f>
        <v>120</v>
      </c>
      <c r="M78" s="55">
        <f>_xll.EQNXTDZ($A$1,$B78,M$5,$B$1)</f>
        <v>0</v>
      </c>
      <c r="N78" s="55">
        <f>_xll.EQNXTDZ($A$1,$B78,N$5,$B$1)</f>
        <v>207</v>
      </c>
      <c r="O78" s="55">
        <f>_xll.EQNXTDZ($A$1,$B78,O$5,$B$1)</f>
        <v>0</v>
      </c>
      <c r="P78" s="55">
        <f>_xll.EQNXTDZ($A$1,$B78,P$5,$B$1)</f>
        <v>204</v>
      </c>
      <c r="Q78" s="55">
        <f>_xll.EQNXTDZ($A$1,$B78,Q$5,$B$1)</f>
        <v>0</v>
      </c>
      <c r="R78" s="55">
        <f>_xll.EQNXTDZ($A$1,$B78,R$5,$B$1)</f>
        <v>1</v>
      </c>
      <c r="S78" s="55">
        <f>_xll.EQNXTDZ($A$1,$B78,S$5,$B$1)</f>
        <v>0</v>
      </c>
      <c r="T78" s="55">
        <f>_xll.EQNXTDZ($A$1,$B78,T$5,$B$1)</f>
        <v>115</v>
      </c>
      <c r="U78" s="55">
        <f>_xll.EQNXTDZ($A$1,$B78,U$5,$B$1)</f>
        <v>0</v>
      </c>
      <c r="V78" s="55">
        <f>_xll.EQNXTDZ($A$1,$B78,V$5,$B$1)</f>
        <v>2</v>
      </c>
      <c r="W78" s="55">
        <f>_xll.EQNXTDZ($A$1,$B78,W$5,$B$1)</f>
        <v>0</v>
      </c>
      <c r="X78" s="55">
        <f>_xll.EQNXTDZ($A$1,$B78,X$5,$B$1)</f>
        <v>2</v>
      </c>
      <c r="Y78" s="55">
        <f>_xll.EQNXTDZ($A$1,$B78,Y$5,$B$1)</f>
        <v>0</v>
      </c>
      <c r="Z78" s="55">
        <f>_xll.EQNXTDZ($A$1,$B78,Z$5,$B$1)</f>
        <v>3</v>
      </c>
      <c r="AA78" s="55">
        <f>_xll.EQNXTDZ($A$1,$B78,AA$5,$B$1)</f>
        <v>0</v>
      </c>
      <c r="AB78" s="55">
        <f>_xll.EQNXTDZ($A$1,$B78,AB$5,$B$1)</f>
        <v>3</v>
      </c>
      <c r="AC78" s="55">
        <f>_xll.EQNXTDZ($A$1,$B78,AC$5,$B$1)</f>
        <v>0</v>
      </c>
      <c r="AD78" s="55">
        <f>_xll.EQNXTDZ($A$1,$B78,AD$5,$B$1)</f>
        <v>3</v>
      </c>
      <c r="AE78" s="55">
        <f>_xll.EQNXTDZ($A$1,$B78,AE$5,$B$1)</f>
        <v>0</v>
      </c>
      <c r="AF78" s="55">
        <f>_xll.EQNXTDZ($A$1,$B78,AF$5,$B$1)</f>
        <v>2</v>
      </c>
      <c r="AG78" s="55">
        <f>_xll.EQNXTDZ($A$1,$B78,AG$5,$B$1)</f>
        <v>0</v>
      </c>
      <c r="AH78" s="55">
        <f>_xll.EQNXTDZ($A$1,$B78,AH$5,$B$1)</f>
        <v>2</v>
      </c>
      <c r="AI78" s="55">
        <f>_xll.EQNXTDZ($A$1,$B78,AI$5,$B$1)</f>
        <v>0</v>
      </c>
      <c r="AJ78" s="55">
        <f>_xll.EQNXTDZ($A$1,$B78,AJ$5,$B$1)</f>
        <v>2</v>
      </c>
      <c r="AK78" s="55">
        <f>_xll.EQNXTDZ($A$1,$B78,AK$5,$B$1)</f>
        <v>0</v>
      </c>
      <c r="AL78" s="55">
        <f>_xll.EQNXTDZ($A$1,$B78,AL$5,$B$1)</f>
        <v>2</v>
      </c>
      <c r="AM78" s="55">
        <f>_xll.EQNXTDZ($A$1,$B78,AM$5,$B$1)</f>
        <v>0</v>
      </c>
      <c r="AN78" s="55">
        <f>_xll.EQNXTDZ($A$1,$B78,AN$5,$B$1)</f>
        <v>2</v>
      </c>
      <c r="AO78" s="55">
        <f>_xll.EQNXTDZ($A$1,$B78,AO$5,$B$1)</f>
        <v>0</v>
      </c>
      <c r="AP78" s="55">
        <f>_xll.EQNXTDZ($A$1,$B78,AP$5,$B$1)</f>
        <v>2</v>
      </c>
      <c r="AQ78" s="55">
        <f>_xll.EQNXTDZ($A$1,$B78,AQ$5,$B$1)</f>
        <v>0</v>
      </c>
      <c r="AR78" s="55">
        <f>_xll.EQNXTDZ($A$1,$B78,AR$5,$B$1)</f>
        <v>2</v>
      </c>
      <c r="AS78" s="55">
        <f>_xll.EQNXTDZ($A$1,$B78,AS$5,$B$1)</f>
        <v>0</v>
      </c>
      <c r="AT78" s="55">
        <f>_xll.EQNXTDZ($A$1,$B78,AT$5,$B$1)</f>
        <v>2</v>
      </c>
      <c r="AU78" s="55">
        <f>_xll.EQNXTDZ($A$1,$B78,AU$5,$B$1)</f>
        <v>0</v>
      </c>
      <c r="AV78" s="55">
        <f>_xll.EQNXTDZ($A$1,$B78,AV$5,$B$1)</f>
        <v>2</v>
      </c>
      <c r="AW78" s="55">
        <f>_xll.EQNXTDZ($A$1,$B78,AW$5,$B$1)</f>
        <v>0</v>
      </c>
      <c r="AX78" s="55">
        <f>_xll.EQNXTDZ($A$1,$B78,AX$5,$B$1)</f>
        <v>3</v>
      </c>
      <c r="AY78" s="55">
        <f>_xll.EQNXTDZ($A$1,$B78,AY$5,$B$1)</f>
        <v>0</v>
      </c>
      <c r="AZ78" s="55">
        <f>_xll.EQNXTDZ($A$1,$B78,AZ$5,$B$1)</f>
        <v>3</v>
      </c>
      <c r="BA78" s="55">
        <f>_xll.EQNXTDZ($A$1,$B78,BA$5,$B$1)</f>
        <v>0</v>
      </c>
      <c r="BB78" s="55">
        <f>_xll.EQNXTDZ($A$1,$B78,BB$5,$B$1)</f>
        <v>3</v>
      </c>
      <c r="BC78" s="55">
        <f>_xll.EQNXTDZ($A$1,$B78,BC$5,$B$1)</f>
        <v>0</v>
      </c>
      <c r="BD78" s="55">
        <f>_xll.EQNXTDZ($A$1,$B78,BD$5,$B$1)</f>
        <v>4</v>
      </c>
      <c r="BE78" s="55">
        <f>_xll.EQNXTDZ($A$1,$B78,BE$5,$B$1)</f>
        <v>0</v>
      </c>
      <c r="BF78" s="55">
        <f>_xll.EQNXTDZ($A$1,$B78,BF$5,$B$1)</f>
        <v>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18.239999999999998</v>
      </c>
      <c r="E79" s="55">
        <f>_xll.EQNXTDZ($A$1,$B79,E$5,$B$1)</f>
        <v>0</v>
      </c>
      <c r="F79" s="55">
        <f>_xll.EQNXTDZ($A$1,$B79,F$5,$B$1)</f>
        <v>24</v>
      </c>
      <c r="G79" s="55">
        <f>_xll.EQNXTDZ($A$1,$B79,G$5,$B$1)</f>
        <v>0</v>
      </c>
      <c r="H79" s="55">
        <f>_xll.EQNXTDZ($A$1,$B79,H$5,$B$1)</f>
        <v>66</v>
      </c>
      <c r="I79" s="55">
        <f>_xll.EQNXTDZ($A$1,$B79,I$5,$B$1)</f>
        <v>0</v>
      </c>
      <c r="J79" s="55">
        <f>_xll.EQNXTDZ($A$1,$B79,J$5,$B$1)</f>
        <v>61</v>
      </c>
      <c r="K79" s="55">
        <f>_xll.EQNXTDZ($A$1,$B79,K$5,$B$1)</f>
        <v>0</v>
      </c>
      <c r="L79" s="55">
        <f>_xll.EQNXTDZ($A$1,$B79,L$5,$B$1)</f>
        <v>53</v>
      </c>
      <c r="M79" s="55">
        <f>_xll.EQNXTDZ($A$1,$B79,M$5,$B$1)</f>
        <v>0</v>
      </c>
      <c r="N79" s="55">
        <f>_xll.EQNXTDZ($A$1,$B79,N$5,$B$1)</f>
        <v>50</v>
      </c>
      <c r="O79" s="55">
        <f>_xll.EQNXTDZ($A$1,$B79,O$5,$B$1)</f>
        <v>0</v>
      </c>
      <c r="P79" s="55">
        <f>_xll.EQNXTDZ($A$1,$B79,P$5,$B$1)</f>
        <v>59</v>
      </c>
      <c r="Q79" s="55">
        <f>_xll.EQNXTDZ($A$1,$B79,Q$5,$B$1)</f>
        <v>0</v>
      </c>
      <c r="R79" s="55">
        <f>_xll.EQNXTDZ($A$1,$B79,R$5,$B$1)</f>
        <v>184</v>
      </c>
      <c r="S79" s="55">
        <f>_xll.EQNXTDZ($A$1,$B79,S$5,$B$1)</f>
        <v>0</v>
      </c>
      <c r="T79" s="55">
        <f>_xll.EQNXTDZ($A$1,$B79,T$5,$B$1)</f>
        <v>125</v>
      </c>
      <c r="U79" s="55">
        <f>_xll.EQNXTDZ($A$1,$B79,U$5,$B$1)</f>
        <v>0</v>
      </c>
      <c r="V79" s="55">
        <f>_xll.EQNXTDZ($A$1,$B79,V$5,$B$1)</f>
        <v>303</v>
      </c>
      <c r="W79" s="55">
        <f>_xll.EQNXTDZ($A$1,$B79,W$5,$B$1)</f>
        <v>0</v>
      </c>
      <c r="X79" s="55">
        <f>_xll.EQNXTDZ($A$1,$B79,X$5,$B$1)</f>
        <v>196</v>
      </c>
      <c r="Y79" s="55">
        <f>_xll.EQNXTDZ($A$1,$B79,Y$5,$B$1)</f>
        <v>0</v>
      </c>
      <c r="Z79" s="55">
        <f>_xll.EQNXTDZ($A$1,$B79,Z$5,$B$1)</f>
        <v>200</v>
      </c>
      <c r="AA79" s="55">
        <f>_xll.EQNXTDZ($A$1,$B79,AA$5,$B$1)</f>
        <v>0</v>
      </c>
      <c r="AB79" s="55">
        <f>_xll.EQNXTDZ($A$1,$B79,AB$5,$B$1)</f>
        <v>503</v>
      </c>
      <c r="AC79" s="55">
        <f>_xll.EQNXTDZ($A$1,$B79,AC$5,$B$1)</f>
        <v>0</v>
      </c>
      <c r="AD79" s="55">
        <f>_xll.EQNXTDZ($A$1,$B79,AD$5,$B$1)</f>
        <v>343</v>
      </c>
      <c r="AE79" s="55">
        <f>_xll.EQNXTDZ($A$1,$B79,AE$5,$B$1)</f>
        <v>0</v>
      </c>
      <c r="AF79" s="55">
        <f>_xll.EQNXTDZ($A$1,$B79,AF$5,$B$1)</f>
        <v>368</v>
      </c>
      <c r="AG79" s="55">
        <f>_xll.EQNXTDZ($A$1,$B79,AG$5,$B$1)</f>
        <v>0</v>
      </c>
      <c r="AH79" s="55">
        <f>_xll.EQNXTDZ($A$1,$B79,AH$5,$B$1)</f>
        <v>482</v>
      </c>
      <c r="AI79" s="55">
        <f>_xll.EQNXTDZ($A$1,$B79,AI$5,$B$1)</f>
        <v>0</v>
      </c>
      <c r="AJ79" s="55">
        <f>_xll.EQNXTDZ($A$1,$B79,AJ$5,$B$1)</f>
        <v>403</v>
      </c>
      <c r="AK79" s="55">
        <f>_xll.EQNXTDZ($A$1,$B79,AK$5,$B$1)</f>
        <v>0</v>
      </c>
      <c r="AL79" s="55">
        <f>_xll.EQNXTDZ($A$1,$B79,AL$5,$B$1)</f>
        <v>260</v>
      </c>
      <c r="AM79" s="55">
        <f>_xll.EQNXTDZ($A$1,$B79,AM$5,$B$1)</f>
        <v>0</v>
      </c>
      <c r="AN79" s="55">
        <f>_xll.EQNXTDZ($A$1,$B79,AN$5,$B$1)</f>
        <v>239</v>
      </c>
      <c r="AO79" s="55">
        <f>_xll.EQNXTDZ($A$1,$B79,AO$5,$B$1)</f>
        <v>0</v>
      </c>
      <c r="AP79" s="55">
        <f>_xll.EQNXTDZ($A$1,$B79,AP$5,$B$1)</f>
        <v>473</v>
      </c>
      <c r="AQ79" s="55">
        <f>_xll.EQNXTDZ($A$1,$B79,AQ$5,$B$1)</f>
        <v>0</v>
      </c>
      <c r="AR79" s="55">
        <f>_xll.EQNXTDZ($A$1,$B79,AR$5,$B$1)</f>
        <v>469</v>
      </c>
      <c r="AS79" s="55">
        <f>_xll.EQNXTDZ($A$1,$B79,AS$5,$B$1)</f>
        <v>0</v>
      </c>
      <c r="AT79" s="55">
        <f>_xll.EQNXTDZ($A$1,$B79,AT$5,$B$1)</f>
        <v>367</v>
      </c>
      <c r="AU79" s="55">
        <f>_xll.EQNXTDZ($A$1,$B79,AU$5,$B$1)</f>
        <v>0</v>
      </c>
      <c r="AV79" s="55">
        <f>_xll.EQNXTDZ($A$1,$B79,AV$5,$B$1)</f>
        <v>365</v>
      </c>
      <c r="AW79" s="55">
        <f>_xll.EQNXTDZ($A$1,$B79,AW$5,$B$1)</f>
        <v>0</v>
      </c>
      <c r="AX79" s="55">
        <f>_xll.EQNXTDZ($A$1,$B79,AX$5,$B$1)</f>
        <v>519</v>
      </c>
      <c r="AY79" s="55">
        <f>_xll.EQNXTDZ($A$1,$B79,AY$5,$B$1)</f>
        <v>0</v>
      </c>
      <c r="AZ79" s="55">
        <f>_xll.EQNXTDZ($A$1,$B79,AZ$5,$B$1)</f>
        <v>431</v>
      </c>
      <c r="BA79" s="55">
        <f>_xll.EQNXTDZ($A$1,$B79,BA$5,$B$1)</f>
        <v>0</v>
      </c>
      <c r="BB79" s="55">
        <f>_xll.EQNXTDZ($A$1,$B79,BB$5,$B$1)</f>
        <v>547</v>
      </c>
      <c r="BC79" s="55">
        <f>_xll.EQNXTDZ($A$1,$B79,BC$5,$B$1)</f>
        <v>0</v>
      </c>
      <c r="BD79" s="55">
        <f>_xll.EQNXTDZ($A$1,$B79,BD$5,$B$1)</f>
        <v>607</v>
      </c>
      <c r="BE79" s="55">
        <f>_xll.EQNXTDZ($A$1,$B79,BE$5,$B$1)</f>
        <v>0</v>
      </c>
      <c r="BF79" s="55">
        <f>_xll.EQNXTDZ($A$1,$B79,BF$5,$B$1)</f>
        <v>965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81.25</v>
      </c>
      <c r="E80" s="55">
        <f>_xll.EQNXTDZ($A$1,$B80,E$5,$B$1)</f>
        <v>0</v>
      </c>
      <c r="F80" s="55">
        <f>_xll.EQNXTDZ($A$1,$B80,F$5,$B$1)</f>
        <v>60</v>
      </c>
      <c r="G80" s="55">
        <f>_xll.EQNXTDZ($A$1,$B80,G$5,$B$1)</f>
        <v>0</v>
      </c>
      <c r="H80" s="55">
        <f>_xll.EQNXTDZ($A$1,$B80,H$5,$B$1)</f>
        <v>122</v>
      </c>
      <c r="I80" s="55">
        <f>_xll.EQNXTDZ($A$1,$B80,I$5,$B$1)</f>
        <v>0</v>
      </c>
      <c r="J80" s="55">
        <f>_xll.EQNXTDZ($A$1,$B80,J$5,$B$1)</f>
        <v>186</v>
      </c>
      <c r="K80" s="55">
        <f>_xll.EQNXTDZ($A$1,$B80,K$5,$B$1)</f>
        <v>0</v>
      </c>
      <c r="L80" s="55">
        <f>_xll.EQNXTDZ($A$1,$B80,L$5,$B$1)</f>
        <v>180</v>
      </c>
      <c r="M80" s="55">
        <f>_xll.EQNXTDZ($A$1,$B80,M$5,$B$1)</f>
        <v>0</v>
      </c>
      <c r="N80" s="55">
        <f>_xll.EQNXTDZ($A$1,$B80,N$5,$B$1)</f>
        <v>298</v>
      </c>
      <c r="O80" s="55">
        <f>_xll.EQNXTDZ($A$1,$B80,O$5,$B$1)</f>
        <v>0</v>
      </c>
      <c r="P80" s="55">
        <f>_xll.EQNXTDZ($A$1,$B80,P$5,$B$1)</f>
        <v>968</v>
      </c>
      <c r="Q80" s="55">
        <f>_xll.EQNXTDZ($A$1,$B80,Q$5,$B$1)</f>
        <v>0</v>
      </c>
      <c r="R80" s="55">
        <f>_xll.EQNXTDZ($A$1,$B80,R$5,$B$1)</f>
        <v>780</v>
      </c>
      <c r="S80" s="55">
        <f>_xll.EQNXTDZ($A$1,$B80,S$5,$B$1)</f>
        <v>0</v>
      </c>
      <c r="T80" s="55">
        <f>_xll.EQNXTDZ($A$1,$B80,T$5,$B$1)</f>
        <v>1083</v>
      </c>
      <c r="U80" s="55">
        <f>_xll.EQNXTDZ($A$1,$B80,U$5,$B$1)</f>
        <v>0</v>
      </c>
      <c r="V80" s="55">
        <f>_xll.EQNXTDZ($A$1,$B80,V$5,$B$1)</f>
        <v>804</v>
      </c>
      <c r="W80" s="55">
        <f>_xll.EQNXTDZ($A$1,$B80,W$5,$B$1)</f>
        <v>0</v>
      </c>
      <c r="X80" s="55">
        <f>_xll.EQNXTDZ($A$1,$B80,X$5,$B$1)</f>
        <v>1014</v>
      </c>
      <c r="Y80" s="55">
        <f>_xll.EQNXTDZ($A$1,$B80,Y$5,$B$1)</f>
        <v>0</v>
      </c>
      <c r="Z80" s="55">
        <f>_xll.EQNXTDZ($A$1,$B80,Z$5,$B$1)</f>
        <v>492</v>
      </c>
      <c r="AA80" s="55">
        <f>_xll.EQNXTDZ($A$1,$B80,AA$5,$B$1)</f>
        <v>0</v>
      </c>
      <c r="AB80" s="55">
        <f>_xll.EQNXTDZ($A$1,$B80,AB$5,$B$1)</f>
        <v>708</v>
      </c>
      <c r="AC80" s="55">
        <f>_xll.EQNXTDZ($A$1,$B80,AC$5,$B$1)</f>
        <v>0</v>
      </c>
      <c r="AD80" s="55">
        <f>_xll.EQNXTDZ($A$1,$B80,AD$5,$B$1)</f>
        <v>351</v>
      </c>
      <c r="AE80" s="55">
        <f>_xll.EQNXTDZ($A$1,$B80,AE$5,$B$1)</f>
        <v>0</v>
      </c>
      <c r="AF80" s="55">
        <f>_xll.EQNXTDZ($A$1,$B80,AF$5,$B$1)</f>
        <v>449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560</v>
      </c>
      <c r="AK80" s="55">
        <f>_xll.EQNXTDZ($A$1,$B80,AK$5,$B$1)</f>
        <v>0</v>
      </c>
      <c r="AL80" s="55">
        <f>_xll.EQNXTDZ($A$1,$B80,AL$5,$B$1)</f>
        <v>139</v>
      </c>
      <c r="AM80" s="55">
        <f>_xll.EQNXTDZ($A$1,$B80,AM$5,$B$1)</f>
        <v>0</v>
      </c>
      <c r="AN80" s="55">
        <f>_xll.EQNXTDZ($A$1,$B80,AN$5,$B$1)</f>
        <v>304</v>
      </c>
      <c r="AO80" s="55">
        <f>_xll.EQNXTDZ($A$1,$B80,AO$5,$B$1)</f>
        <v>0</v>
      </c>
      <c r="AP80" s="55">
        <f>_xll.EQNXTDZ($A$1,$B80,AP$5,$B$1)</f>
        <v>184</v>
      </c>
      <c r="AQ80" s="55">
        <f>_xll.EQNXTDZ($A$1,$B80,AQ$5,$B$1)</f>
        <v>0</v>
      </c>
      <c r="AR80" s="55">
        <f>_xll.EQNXTDZ($A$1,$B80,AR$5,$B$1)</f>
        <v>463</v>
      </c>
      <c r="AS80" s="55">
        <f>_xll.EQNXTDZ($A$1,$B80,AS$5,$B$1)</f>
        <v>0</v>
      </c>
      <c r="AT80" s="55">
        <f>_xll.EQNXTDZ($A$1,$B80,AT$5,$B$1)</f>
        <v>156</v>
      </c>
      <c r="AU80" s="55">
        <f>_xll.EQNXTDZ($A$1,$B80,AU$5,$B$1)</f>
        <v>0</v>
      </c>
      <c r="AV80" s="55">
        <f>_xll.EQNXTDZ($A$1,$B80,AV$5,$B$1)</f>
        <v>234</v>
      </c>
      <c r="AW80" s="55">
        <f>_xll.EQNXTDZ($A$1,$B80,AW$5,$B$1)</f>
        <v>0</v>
      </c>
      <c r="AX80" s="55">
        <f>_xll.EQNXTDZ($A$1,$B80,AX$5,$B$1)</f>
        <v>141</v>
      </c>
      <c r="AY80" s="55">
        <f>_xll.EQNXTDZ($A$1,$B80,AY$5,$B$1)</f>
        <v>0</v>
      </c>
      <c r="AZ80" s="55">
        <f>_xll.EQNXTDZ($A$1,$B80,AZ$5,$B$1)</f>
        <v>85</v>
      </c>
      <c r="BA80" s="55">
        <f>_xll.EQNXTDZ($A$1,$B80,BA$5,$B$1)</f>
        <v>0</v>
      </c>
      <c r="BB80" s="55">
        <f>_xll.EQNXTDZ($A$1,$B80,BB$5,$B$1)</f>
        <v>112</v>
      </c>
      <c r="BC80" s="55">
        <f>_xll.EQNXTDZ($A$1,$B80,BC$5,$B$1)</f>
        <v>0</v>
      </c>
      <c r="BD80" s="55">
        <f>_xll.EQNXTDZ($A$1,$B80,BD$5,$B$1)</f>
        <v>89</v>
      </c>
      <c r="BE80" s="55">
        <f>_xll.EQNXTDZ($A$1,$B80,BE$5,$B$1)</f>
        <v>0</v>
      </c>
      <c r="BF80" s="55">
        <f>_xll.EQNXTDZ($A$1,$B80,BF$5,$B$1)</f>
        <v>866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735.01</v>
      </c>
      <c r="E81" s="55">
        <f>_xll.EQNXTDZ($A$1,$B81,E$5,$B$1)</f>
        <v>0</v>
      </c>
      <c r="F81" s="55">
        <f>_xll.EQNXTDZ($A$1,$B81,F$5,$B$1)</f>
        <v>924</v>
      </c>
      <c r="G81" s="55">
        <f>_xll.EQNXTDZ($A$1,$B81,G$5,$B$1)</f>
        <v>0</v>
      </c>
      <c r="H81" s="55">
        <f>_xll.EQNXTDZ($A$1,$B81,H$5,$B$1)</f>
        <v>998</v>
      </c>
      <c r="I81" s="55">
        <f>_xll.EQNXTDZ($A$1,$B81,I$5,$B$1)</f>
        <v>0</v>
      </c>
      <c r="J81" s="55">
        <f>_xll.EQNXTDZ($A$1,$B81,J$5,$B$1)</f>
        <v>1006</v>
      </c>
      <c r="K81" s="55">
        <f>_xll.EQNXTDZ($A$1,$B81,K$5,$B$1)</f>
        <v>0</v>
      </c>
      <c r="L81" s="55">
        <f>_xll.EQNXTDZ($A$1,$B81,L$5,$B$1)</f>
        <v>1024</v>
      </c>
      <c r="M81" s="55">
        <f>_xll.EQNXTDZ($A$1,$B81,M$5,$B$1)</f>
        <v>0</v>
      </c>
      <c r="N81" s="55">
        <f>_xll.EQNXTDZ($A$1,$B81,N$5,$B$1)</f>
        <v>1067</v>
      </c>
      <c r="O81" s="55">
        <f>_xll.EQNXTDZ($A$1,$B81,O$5,$B$1)</f>
        <v>0</v>
      </c>
      <c r="P81" s="55">
        <f>_xll.EQNXTDZ($A$1,$B81,P$5,$B$1)</f>
        <v>1211</v>
      </c>
      <c r="Q81" s="55">
        <f>_xll.EQNXTDZ($A$1,$B81,Q$5,$B$1)</f>
        <v>0</v>
      </c>
      <c r="R81" s="55">
        <f>_xll.EQNXTDZ($A$1,$B81,R$5,$B$1)</f>
        <v>1358</v>
      </c>
      <c r="S81" s="55">
        <f>_xll.EQNXTDZ($A$1,$B81,S$5,$B$1)</f>
        <v>0</v>
      </c>
      <c r="T81" s="55">
        <f>_xll.EQNXTDZ($A$1,$B81,T$5,$B$1)</f>
        <v>1582</v>
      </c>
      <c r="U81" s="55">
        <f>_xll.EQNXTDZ($A$1,$B81,U$5,$B$1)</f>
        <v>0</v>
      </c>
      <c r="V81" s="55">
        <f>_xll.EQNXTDZ($A$1,$B81,V$5,$B$1)</f>
        <v>1559</v>
      </c>
      <c r="W81" s="55">
        <f>_xll.EQNXTDZ($A$1,$B81,W$5,$B$1)</f>
        <v>0</v>
      </c>
      <c r="X81" s="55">
        <f>_xll.EQNXTDZ($A$1,$B81,X$5,$B$1)</f>
        <v>1543</v>
      </c>
      <c r="Y81" s="55">
        <f>_xll.EQNXTDZ($A$1,$B81,Y$5,$B$1)</f>
        <v>0</v>
      </c>
      <c r="Z81" s="55">
        <f>_xll.EQNXTDZ($A$1,$B81,Z$5,$B$1)</f>
        <v>1966</v>
      </c>
      <c r="AA81" s="55">
        <f>_xll.EQNXTDZ($A$1,$B81,AA$5,$B$1)</f>
        <v>0</v>
      </c>
      <c r="AB81" s="55">
        <f>_xll.EQNXTDZ($A$1,$B81,AB$5,$B$1)</f>
        <v>2033</v>
      </c>
      <c r="AC81" s="55">
        <f>_xll.EQNXTDZ($A$1,$B81,AC$5,$B$1)</f>
        <v>0</v>
      </c>
      <c r="AD81" s="55">
        <f>_xll.EQNXTDZ($A$1,$B81,AD$5,$B$1)</f>
        <v>1935</v>
      </c>
      <c r="AE81" s="55">
        <f>_xll.EQNXTDZ($A$1,$B81,AE$5,$B$1)</f>
        <v>0</v>
      </c>
      <c r="AF81" s="55">
        <f>_xll.EQNXTDZ($A$1,$B81,AF$5,$B$1)</f>
        <v>1960</v>
      </c>
      <c r="AG81" s="55">
        <f>_xll.EQNXTDZ($A$1,$B81,AG$5,$B$1)</f>
        <v>0</v>
      </c>
      <c r="AH81" s="55">
        <f>_xll.EQNXTDZ($A$1,$B81,AH$5,$B$1)</f>
        <v>2148</v>
      </c>
      <c r="AI81" s="55">
        <f>_xll.EQNXTDZ($A$1,$B81,AI$5,$B$1)</f>
        <v>0</v>
      </c>
      <c r="AJ81" s="55">
        <f>_xll.EQNXTDZ($A$1,$B81,AJ$5,$B$1)</f>
        <v>2541</v>
      </c>
      <c r="AK81" s="55">
        <f>_xll.EQNXTDZ($A$1,$B81,AK$5,$B$1)</f>
        <v>0</v>
      </c>
      <c r="AL81" s="55">
        <f>_xll.EQNXTDZ($A$1,$B81,AL$5,$B$1)</f>
        <v>2681</v>
      </c>
      <c r="AM81" s="55">
        <f>_xll.EQNXTDZ($A$1,$B81,AM$5,$B$1)</f>
        <v>0</v>
      </c>
      <c r="AN81" s="55">
        <f>_xll.EQNXTDZ($A$1,$B81,AN$5,$B$1)</f>
        <v>2612</v>
      </c>
      <c r="AO81" s="55">
        <f>_xll.EQNXTDZ($A$1,$B81,AO$5,$B$1)</f>
        <v>0</v>
      </c>
      <c r="AP81" s="55">
        <f>_xll.EQNXTDZ($A$1,$B81,AP$5,$B$1)</f>
        <v>2462</v>
      </c>
      <c r="AQ81" s="55">
        <f>_xll.EQNXTDZ($A$1,$B81,AQ$5,$B$1)</f>
        <v>0</v>
      </c>
      <c r="AR81" s="55">
        <f>_xll.EQNXTDZ($A$1,$B81,AR$5,$B$1)</f>
        <v>2328</v>
      </c>
      <c r="AS81" s="55">
        <f>_xll.EQNXTDZ($A$1,$B81,AS$5,$B$1)</f>
        <v>0</v>
      </c>
      <c r="AT81" s="55">
        <f>_xll.EQNXTDZ($A$1,$B81,AT$5,$B$1)</f>
        <v>2230</v>
      </c>
      <c r="AU81" s="55">
        <f>_xll.EQNXTDZ($A$1,$B81,AU$5,$B$1)</f>
        <v>0</v>
      </c>
      <c r="AV81" s="55">
        <f>_xll.EQNXTDZ($A$1,$B81,AV$5,$B$1)</f>
        <v>2218</v>
      </c>
      <c r="AW81" s="55">
        <f>_xll.EQNXTDZ($A$1,$B81,AW$5,$B$1)</f>
        <v>0</v>
      </c>
      <c r="AX81" s="55">
        <f>_xll.EQNXTDZ($A$1,$B81,AX$5,$B$1)</f>
        <v>2279</v>
      </c>
      <c r="AY81" s="55">
        <f>_xll.EQNXTDZ($A$1,$B81,AY$5,$B$1)</f>
        <v>0</v>
      </c>
      <c r="AZ81" s="55">
        <f>_xll.EQNXTDZ($A$1,$B81,AZ$5,$B$1)</f>
        <v>2271</v>
      </c>
      <c r="BA81" s="55">
        <f>_xll.EQNXTDZ($A$1,$B81,BA$5,$B$1)</f>
        <v>0</v>
      </c>
      <c r="BB81" s="55">
        <f>_xll.EQNXTDZ($A$1,$B81,BB$5,$B$1)</f>
        <v>2541</v>
      </c>
      <c r="BC81" s="55">
        <f>_xll.EQNXTDZ($A$1,$B81,BC$5,$B$1)</f>
        <v>0</v>
      </c>
      <c r="BD81" s="55">
        <f>_xll.EQNXTDZ($A$1,$B81,BD$5,$B$1)</f>
        <v>2467</v>
      </c>
      <c r="BE81" s="55">
        <f>_xll.EQNXTDZ($A$1,$B81,BE$5,$B$1)</f>
        <v>0</v>
      </c>
      <c r="BF81" s="55">
        <f>_xll.EQNXTDZ($A$1,$B81,BF$5,$B$1)</f>
        <v>3138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560.87</v>
      </c>
      <c r="E82" s="55">
        <f>_xll.EQNXTDZ($A$1,$B82,E$5,$B$1)</f>
        <v>0</v>
      </c>
      <c r="F82" s="55">
        <f>_xll.EQNXTDZ($A$1,$B82,F$5,$B$1)</f>
        <v>688</v>
      </c>
      <c r="G82" s="55">
        <f>_xll.EQNXTDZ($A$1,$B82,G$5,$B$1)</f>
        <v>0</v>
      </c>
      <c r="H82" s="55">
        <f>_xll.EQNXTDZ($A$1,$B82,H$5,$B$1)</f>
        <v>833</v>
      </c>
      <c r="I82" s="55">
        <f>_xll.EQNXTDZ($A$1,$B82,I$5,$B$1)</f>
        <v>0</v>
      </c>
      <c r="J82" s="55">
        <f>_xll.EQNXTDZ($A$1,$B82,J$5,$B$1)</f>
        <v>1099</v>
      </c>
      <c r="K82" s="55">
        <f>_xll.EQNXTDZ($A$1,$B82,K$5,$B$1)</f>
        <v>0</v>
      </c>
      <c r="L82" s="55">
        <f>_xll.EQNXTDZ($A$1,$B82,L$5,$B$1)</f>
        <v>1223</v>
      </c>
      <c r="M82" s="55">
        <f>_xll.EQNXTDZ($A$1,$B82,M$5,$B$1)</f>
        <v>0</v>
      </c>
      <c r="N82" s="55">
        <f>_xll.EQNXTDZ($A$1,$B82,N$5,$B$1)</f>
        <v>1588</v>
      </c>
      <c r="O82" s="55">
        <f>_xll.EQNXTDZ($A$1,$B82,O$5,$B$1)</f>
        <v>0</v>
      </c>
      <c r="P82" s="55">
        <f>_xll.EQNXTDZ($A$1,$B82,P$5,$B$1)</f>
        <v>1824</v>
      </c>
      <c r="Q82" s="55">
        <f>_xll.EQNXTDZ($A$1,$B82,Q$5,$B$1)</f>
        <v>0</v>
      </c>
      <c r="R82" s="55">
        <f>_xll.EQNXTDZ($A$1,$B82,R$5,$B$1)</f>
        <v>1445</v>
      </c>
      <c r="S82" s="55">
        <f>_xll.EQNXTDZ($A$1,$B82,S$5,$B$1)</f>
        <v>0</v>
      </c>
      <c r="T82" s="55">
        <f>_xll.EQNXTDZ($A$1,$B82,T$5,$B$1)</f>
        <v>1381</v>
      </c>
      <c r="U82" s="55">
        <f>_xll.EQNXTDZ($A$1,$B82,U$5,$B$1)</f>
        <v>0</v>
      </c>
      <c r="V82" s="55">
        <f>_xll.EQNXTDZ($A$1,$B82,V$5,$B$1)</f>
        <v>951</v>
      </c>
      <c r="W82" s="55">
        <f>_xll.EQNXTDZ($A$1,$B82,W$5,$B$1)</f>
        <v>0</v>
      </c>
      <c r="X82" s="55">
        <f>_xll.EQNXTDZ($A$1,$B82,X$5,$B$1)</f>
        <v>1087</v>
      </c>
      <c r="Y82" s="55">
        <f>_xll.EQNXTDZ($A$1,$B82,Y$5,$B$1)</f>
        <v>0</v>
      </c>
      <c r="Z82" s="55">
        <f>_xll.EQNXTDZ($A$1,$B82,Z$5,$B$1)</f>
        <v>1254</v>
      </c>
      <c r="AA82" s="55">
        <f>_xll.EQNXTDZ($A$1,$B82,AA$5,$B$1)</f>
        <v>0</v>
      </c>
      <c r="AB82" s="55">
        <f>_xll.EQNXTDZ($A$1,$B82,AB$5,$B$1)</f>
        <v>1576</v>
      </c>
      <c r="AC82" s="55">
        <f>_xll.EQNXTDZ($A$1,$B82,AC$5,$B$1)</f>
        <v>0</v>
      </c>
      <c r="AD82" s="55">
        <f>_xll.EQNXTDZ($A$1,$B82,AD$5,$B$1)</f>
        <v>1436</v>
      </c>
      <c r="AE82" s="55">
        <f>_xll.EQNXTDZ($A$1,$B82,AE$5,$B$1)</f>
        <v>0</v>
      </c>
      <c r="AF82" s="55">
        <f>_xll.EQNXTDZ($A$1,$B82,AF$5,$B$1)</f>
        <v>1518</v>
      </c>
      <c r="AG82" s="55">
        <f>_xll.EQNXTDZ($A$1,$B82,AG$5,$B$1)</f>
        <v>0</v>
      </c>
      <c r="AH82" s="55">
        <f>_xll.EQNXTDZ($A$1,$B82,AH$5,$B$1)</f>
        <v>1649</v>
      </c>
      <c r="AI82" s="55">
        <f>_xll.EQNXTDZ($A$1,$B82,AI$5,$B$1)</f>
        <v>0</v>
      </c>
      <c r="AJ82" s="55">
        <f>_xll.EQNXTDZ($A$1,$B82,AJ$5,$B$1)</f>
        <v>1556</v>
      </c>
      <c r="AK82" s="55">
        <f>_xll.EQNXTDZ($A$1,$B82,AK$5,$B$1)</f>
        <v>0</v>
      </c>
      <c r="AL82" s="55">
        <f>_xll.EQNXTDZ($A$1,$B82,AL$5,$B$1)</f>
        <v>1523</v>
      </c>
      <c r="AM82" s="55">
        <f>_xll.EQNXTDZ($A$1,$B82,AM$5,$B$1)</f>
        <v>0</v>
      </c>
      <c r="AN82" s="55">
        <f>_xll.EQNXTDZ($A$1,$B82,AN$5,$B$1)</f>
        <v>1561</v>
      </c>
      <c r="AO82" s="55">
        <f>_xll.EQNXTDZ($A$1,$B82,AO$5,$B$1)</f>
        <v>0</v>
      </c>
      <c r="AP82" s="55">
        <f>_xll.EQNXTDZ($A$1,$B82,AP$5,$B$1)</f>
        <v>1633</v>
      </c>
      <c r="AQ82" s="55">
        <f>_xll.EQNXTDZ($A$1,$B82,AQ$5,$B$1)</f>
        <v>0</v>
      </c>
      <c r="AR82" s="55">
        <f>_xll.EQNXTDZ($A$1,$B82,AR$5,$B$1)</f>
        <v>1754</v>
      </c>
      <c r="AS82" s="55">
        <f>_xll.EQNXTDZ($A$1,$B82,AS$5,$B$1)</f>
        <v>0</v>
      </c>
      <c r="AT82" s="55">
        <f>_xll.EQNXTDZ($A$1,$B82,AT$5,$B$1)</f>
        <v>1944</v>
      </c>
      <c r="AU82" s="55">
        <f>_xll.EQNXTDZ($A$1,$B82,AU$5,$B$1)</f>
        <v>0</v>
      </c>
      <c r="AV82" s="55">
        <f>_xll.EQNXTDZ($A$1,$B82,AV$5,$B$1)</f>
        <v>1752</v>
      </c>
      <c r="AW82" s="55">
        <f>_xll.EQNXTDZ($A$1,$B82,AW$5,$B$1)</f>
        <v>0</v>
      </c>
      <c r="AX82" s="55">
        <f>_xll.EQNXTDZ($A$1,$B82,AX$5,$B$1)</f>
        <v>1844</v>
      </c>
      <c r="AY82" s="55">
        <f>_xll.EQNXTDZ($A$1,$B82,AY$5,$B$1)</f>
        <v>0</v>
      </c>
      <c r="AZ82" s="55">
        <f>_xll.EQNXTDZ($A$1,$B82,AZ$5,$B$1)</f>
        <v>1783</v>
      </c>
      <c r="BA82" s="55">
        <f>_xll.EQNXTDZ($A$1,$B82,BA$5,$B$1)</f>
        <v>0</v>
      </c>
      <c r="BB82" s="55">
        <f>_xll.EQNXTDZ($A$1,$B82,BB$5,$B$1)</f>
        <v>1867</v>
      </c>
      <c r="BC82" s="55">
        <f>_xll.EQNXTDZ($A$1,$B82,BC$5,$B$1)</f>
        <v>0</v>
      </c>
      <c r="BD82" s="55">
        <f>_xll.EQNXTDZ($A$1,$B82,BD$5,$B$1)</f>
        <v>2185</v>
      </c>
      <c r="BE82" s="55">
        <f>_xll.EQNXTDZ($A$1,$B82,BE$5,$B$1)</f>
        <v>0</v>
      </c>
      <c r="BF82" s="55">
        <f>_xll.EQNXTDZ($A$1,$B82,BF$5,$B$1)</f>
        <v>3031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381.32</v>
      </c>
      <c r="E83" s="55">
        <f>_xll.EQNXTDZ($A$1,$B83,E$5,$B$1)</f>
        <v>0</v>
      </c>
      <c r="F83" s="55">
        <f>_xll.EQNXTDZ($A$1,$B83,F$5,$B$1)</f>
        <v>627</v>
      </c>
      <c r="G83" s="55">
        <f>_xll.EQNXTDZ($A$1,$B83,G$5,$B$1)</f>
        <v>0</v>
      </c>
      <c r="H83" s="55">
        <f>_xll.EQNXTDZ($A$1,$B83,H$5,$B$1)</f>
        <v>817</v>
      </c>
      <c r="I83" s="55">
        <f>_xll.EQNXTDZ($A$1,$B83,I$5,$B$1)</f>
        <v>0</v>
      </c>
      <c r="J83" s="55">
        <f>_xll.EQNXTDZ($A$1,$B83,J$5,$B$1)</f>
        <v>769</v>
      </c>
      <c r="K83" s="55">
        <f>_xll.EQNXTDZ($A$1,$B83,K$5,$B$1)</f>
        <v>0</v>
      </c>
      <c r="L83" s="55">
        <f>_xll.EQNXTDZ($A$1,$B83,L$5,$B$1)</f>
        <v>581</v>
      </c>
      <c r="M83" s="55">
        <f>_xll.EQNXTDZ($A$1,$B83,M$5,$B$1)</f>
        <v>0</v>
      </c>
      <c r="N83" s="55">
        <f>_xll.EQNXTDZ($A$1,$B83,N$5,$B$1)</f>
        <v>567</v>
      </c>
      <c r="O83" s="55">
        <f>_xll.EQNXTDZ($A$1,$B83,O$5,$B$1)</f>
        <v>0</v>
      </c>
      <c r="P83" s="55">
        <f>_xll.EQNXTDZ($A$1,$B83,P$5,$B$1)</f>
        <v>669</v>
      </c>
      <c r="Q83" s="55">
        <f>_xll.EQNXTDZ($A$1,$B83,Q$5,$B$1)</f>
        <v>0</v>
      </c>
      <c r="R83" s="55">
        <f>_xll.EQNXTDZ($A$1,$B83,R$5,$B$1)</f>
        <v>647</v>
      </c>
      <c r="S83" s="55">
        <f>_xll.EQNXTDZ($A$1,$B83,S$5,$B$1)</f>
        <v>0</v>
      </c>
      <c r="T83" s="55">
        <f>_xll.EQNXTDZ($A$1,$B83,T$5,$B$1)</f>
        <v>766</v>
      </c>
      <c r="U83" s="55">
        <f>_xll.EQNXTDZ($A$1,$B83,U$5,$B$1)</f>
        <v>0</v>
      </c>
      <c r="V83" s="55">
        <f>_xll.EQNXTDZ($A$1,$B83,V$5,$B$1)</f>
        <v>894</v>
      </c>
      <c r="W83" s="55">
        <f>_xll.EQNXTDZ($A$1,$B83,W$5,$B$1)</f>
        <v>0</v>
      </c>
      <c r="X83" s="55">
        <f>_xll.EQNXTDZ($A$1,$B83,X$5,$B$1)</f>
        <v>933</v>
      </c>
      <c r="Y83" s="55">
        <f>_xll.EQNXTDZ($A$1,$B83,Y$5,$B$1)</f>
        <v>0</v>
      </c>
      <c r="Z83" s="55">
        <f>_xll.EQNXTDZ($A$1,$B83,Z$5,$B$1)</f>
        <v>867</v>
      </c>
      <c r="AA83" s="55">
        <f>_xll.EQNXTDZ($A$1,$B83,AA$5,$B$1)</f>
        <v>0</v>
      </c>
      <c r="AB83" s="55">
        <f>_xll.EQNXTDZ($A$1,$B83,AB$5,$B$1)</f>
        <v>969</v>
      </c>
      <c r="AC83" s="55">
        <f>_xll.EQNXTDZ($A$1,$B83,AC$5,$B$1)</f>
        <v>0</v>
      </c>
      <c r="AD83" s="55">
        <f>_xll.EQNXTDZ($A$1,$B83,AD$5,$B$1)</f>
        <v>816</v>
      </c>
      <c r="AE83" s="55">
        <f>_xll.EQNXTDZ($A$1,$B83,AE$5,$B$1)</f>
        <v>0</v>
      </c>
      <c r="AF83" s="55">
        <f>_xll.EQNXTDZ($A$1,$B83,AF$5,$B$1)</f>
        <v>586</v>
      </c>
      <c r="AG83" s="55">
        <f>_xll.EQNXTDZ($A$1,$B83,AG$5,$B$1)</f>
        <v>0</v>
      </c>
      <c r="AH83" s="55">
        <f>_xll.EQNXTDZ($A$1,$B83,AH$5,$B$1)</f>
        <v>666</v>
      </c>
      <c r="AI83" s="55">
        <f>_xll.EQNXTDZ($A$1,$B83,AI$5,$B$1)</f>
        <v>0</v>
      </c>
      <c r="AJ83" s="55">
        <f>_xll.EQNXTDZ($A$1,$B83,AJ$5,$B$1)</f>
        <v>472</v>
      </c>
      <c r="AK83" s="55">
        <f>_xll.EQNXTDZ($A$1,$B83,AK$5,$B$1)</f>
        <v>0</v>
      </c>
      <c r="AL83" s="55">
        <f>_xll.EQNXTDZ($A$1,$B83,AL$5,$B$1)</f>
        <v>604</v>
      </c>
      <c r="AM83" s="55">
        <f>_xll.EQNXTDZ($A$1,$B83,AM$5,$B$1)</f>
        <v>0</v>
      </c>
      <c r="AN83" s="55">
        <f>_xll.EQNXTDZ($A$1,$B83,AN$5,$B$1)</f>
        <v>345</v>
      </c>
      <c r="AO83" s="55">
        <f>_xll.EQNXTDZ($A$1,$B83,AO$5,$B$1)</f>
        <v>0</v>
      </c>
      <c r="AP83" s="55">
        <f>_xll.EQNXTDZ($A$1,$B83,AP$5,$B$1)</f>
        <v>403</v>
      </c>
      <c r="AQ83" s="55">
        <f>_xll.EQNXTDZ($A$1,$B83,AQ$5,$B$1)</f>
        <v>0</v>
      </c>
      <c r="AR83" s="55">
        <f>_xll.EQNXTDZ($A$1,$B83,AR$5,$B$1)</f>
        <v>348</v>
      </c>
      <c r="AS83" s="55">
        <f>_xll.EQNXTDZ($A$1,$B83,AS$5,$B$1)</f>
        <v>0</v>
      </c>
      <c r="AT83" s="55">
        <f>_xll.EQNXTDZ($A$1,$B83,AT$5,$B$1)</f>
        <v>571</v>
      </c>
      <c r="AU83" s="55">
        <f>_xll.EQNXTDZ($A$1,$B83,AU$5,$B$1)</f>
        <v>0</v>
      </c>
      <c r="AV83" s="55">
        <f>_xll.EQNXTDZ($A$1,$B83,AV$5,$B$1)</f>
        <v>556</v>
      </c>
      <c r="AW83" s="55">
        <f>_xll.EQNXTDZ($A$1,$B83,AW$5,$B$1)</f>
        <v>0</v>
      </c>
      <c r="AX83" s="55">
        <f>_xll.EQNXTDZ($A$1,$B83,AX$5,$B$1)</f>
        <v>839</v>
      </c>
      <c r="AY83" s="55">
        <f>_xll.EQNXTDZ($A$1,$B83,AY$5,$B$1)</f>
        <v>0</v>
      </c>
      <c r="AZ83" s="55">
        <f>_xll.EQNXTDZ($A$1,$B83,AZ$5,$B$1)</f>
        <v>1150</v>
      </c>
      <c r="BA83" s="55">
        <f>_xll.EQNXTDZ($A$1,$B83,BA$5,$B$1)</f>
        <v>0</v>
      </c>
      <c r="BB83" s="55">
        <f>_xll.EQNXTDZ($A$1,$B83,BB$5,$B$1)</f>
        <v>579</v>
      </c>
      <c r="BC83" s="55">
        <f>_xll.EQNXTDZ($A$1,$B83,BC$5,$B$1)</f>
        <v>0</v>
      </c>
      <c r="BD83" s="55">
        <f>_xll.EQNXTDZ($A$1,$B83,BD$5,$B$1)</f>
        <v>705</v>
      </c>
      <c r="BE83" s="55">
        <f>_xll.EQNXTDZ($A$1,$B83,BE$5,$B$1)</f>
        <v>0</v>
      </c>
      <c r="BF83" s="55">
        <f>_xll.EQNXTDZ($A$1,$B83,BF$5,$B$1)</f>
        <v>1165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134.19</v>
      </c>
      <c r="E84" s="55">
        <f>_xll.EQNXTDZ($A$1,$B84,E$5,$B$1)</f>
        <v>0</v>
      </c>
      <c r="F84" s="55">
        <f>_xll.EQNXTDZ($A$1,$B84,F$5,$B$1)</f>
        <v>186</v>
      </c>
      <c r="G84" s="55">
        <f>_xll.EQNXTDZ($A$1,$B84,G$5,$B$1)</f>
        <v>0</v>
      </c>
      <c r="H84" s="55">
        <f>_xll.EQNXTDZ($A$1,$B84,H$5,$B$1)</f>
        <v>190</v>
      </c>
      <c r="I84" s="55">
        <f>_xll.EQNXTDZ($A$1,$B84,I$5,$B$1)</f>
        <v>0</v>
      </c>
      <c r="J84" s="55">
        <f>_xll.EQNXTDZ($A$1,$B84,J$5,$B$1)</f>
        <v>259</v>
      </c>
      <c r="K84" s="55">
        <f>_xll.EQNXTDZ($A$1,$B84,K$5,$B$1)</f>
        <v>0</v>
      </c>
      <c r="L84" s="55">
        <f>_xll.EQNXTDZ($A$1,$B84,L$5,$B$1)</f>
        <v>320</v>
      </c>
      <c r="M84" s="55">
        <f>_xll.EQNXTDZ($A$1,$B84,M$5,$B$1)</f>
        <v>0</v>
      </c>
      <c r="N84" s="55">
        <f>_xll.EQNXTDZ($A$1,$B84,N$5,$B$1)</f>
        <v>423</v>
      </c>
      <c r="O84" s="55">
        <f>_xll.EQNXTDZ($A$1,$B84,O$5,$B$1)</f>
        <v>0</v>
      </c>
      <c r="P84" s="55">
        <f>_xll.EQNXTDZ($A$1,$B84,P$5,$B$1)</f>
        <v>382</v>
      </c>
      <c r="Q84" s="55">
        <f>_xll.EQNXTDZ($A$1,$B84,Q$5,$B$1)</f>
        <v>0</v>
      </c>
      <c r="R84" s="55">
        <f>_xll.EQNXTDZ($A$1,$B84,R$5,$B$1)</f>
        <v>458</v>
      </c>
      <c r="S84" s="55">
        <f>_xll.EQNXTDZ($A$1,$B84,S$5,$B$1)</f>
        <v>0</v>
      </c>
      <c r="T84" s="55">
        <f>_xll.EQNXTDZ($A$1,$B84,T$5,$B$1)</f>
        <v>575</v>
      </c>
      <c r="U84" s="55">
        <f>_xll.EQNXTDZ($A$1,$B84,U$5,$B$1)</f>
        <v>0</v>
      </c>
      <c r="V84" s="55">
        <f>_xll.EQNXTDZ($A$1,$B84,V$5,$B$1)</f>
        <v>669</v>
      </c>
      <c r="W84" s="55">
        <f>_xll.EQNXTDZ($A$1,$B84,W$5,$B$1)</f>
        <v>0</v>
      </c>
      <c r="X84" s="55">
        <f>_xll.EQNXTDZ($A$1,$B84,X$5,$B$1)</f>
        <v>3</v>
      </c>
      <c r="Y84" s="55">
        <f>_xll.EQNXTDZ($A$1,$B84,Y$5,$B$1)</f>
        <v>0</v>
      </c>
      <c r="Z84" s="55">
        <f>_xll.EQNXTDZ($A$1,$B84,Z$5,$B$1)</f>
        <v>680</v>
      </c>
      <c r="AA84" s="55">
        <f>_xll.EQNXTDZ($A$1,$B84,AA$5,$B$1)</f>
        <v>0</v>
      </c>
      <c r="AB84" s="55">
        <f>_xll.EQNXTDZ($A$1,$B84,AB$5,$B$1)</f>
        <v>483</v>
      </c>
      <c r="AC84" s="55">
        <f>_xll.EQNXTDZ($A$1,$B84,AC$5,$B$1)</f>
        <v>0</v>
      </c>
      <c r="AD84" s="55">
        <f>_xll.EQNXTDZ($A$1,$B84,AD$5,$B$1)</f>
        <v>496</v>
      </c>
      <c r="AE84" s="55">
        <f>_xll.EQNXTDZ($A$1,$B84,AE$5,$B$1)</f>
        <v>0</v>
      </c>
      <c r="AF84" s="55">
        <f>_xll.EQNXTDZ($A$1,$B84,AF$5,$B$1)</f>
        <v>518</v>
      </c>
      <c r="AG84" s="55">
        <f>_xll.EQNXTDZ($A$1,$B84,AG$5,$B$1)</f>
        <v>0</v>
      </c>
      <c r="AH84" s="55">
        <f>_xll.EQNXTDZ($A$1,$B84,AH$5,$B$1)</f>
        <v>514</v>
      </c>
      <c r="AI84" s="55">
        <f>_xll.EQNXTDZ($A$1,$B84,AI$5,$B$1)</f>
        <v>0</v>
      </c>
      <c r="AJ84" s="55">
        <f>_xll.EQNXTDZ($A$1,$B84,AJ$5,$B$1)</f>
        <v>586</v>
      </c>
      <c r="AK84" s="55">
        <f>_xll.EQNXTDZ($A$1,$B84,AK$5,$B$1)</f>
        <v>0</v>
      </c>
      <c r="AL84" s="55">
        <f>_xll.EQNXTDZ($A$1,$B84,AL$5,$B$1)</f>
        <v>572</v>
      </c>
      <c r="AM84" s="55">
        <f>_xll.EQNXTDZ($A$1,$B84,AM$5,$B$1)</f>
        <v>0</v>
      </c>
      <c r="AN84" s="55">
        <f>_xll.EQNXTDZ($A$1,$B84,AN$5,$B$1)</f>
        <v>534</v>
      </c>
      <c r="AO84" s="55">
        <f>_xll.EQNXTDZ($A$1,$B84,AO$5,$B$1)</f>
        <v>0</v>
      </c>
      <c r="AP84" s="55">
        <f>_xll.EQNXTDZ($A$1,$B84,AP$5,$B$1)</f>
        <v>480</v>
      </c>
      <c r="AQ84" s="55">
        <f>_xll.EQNXTDZ($A$1,$B84,AQ$5,$B$1)</f>
        <v>0</v>
      </c>
      <c r="AR84" s="55">
        <f>_xll.EQNXTDZ($A$1,$B84,AR$5,$B$1)</f>
        <v>322</v>
      </c>
      <c r="AS84" s="55">
        <f>_xll.EQNXTDZ($A$1,$B84,AS$5,$B$1)</f>
        <v>0</v>
      </c>
      <c r="AT84" s="55">
        <f>_xll.EQNXTDZ($A$1,$B84,AT$5,$B$1)</f>
        <v>411</v>
      </c>
      <c r="AU84" s="55">
        <f>_xll.EQNXTDZ($A$1,$B84,AU$5,$B$1)</f>
        <v>0</v>
      </c>
      <c r="AV84" s="55">
        <f>_xll.EQNXTDZ($A$1,$B84,AV$5,$B$1)</f>
        <v>509</v>
      </c>
      <c r="AW84" s="55">
        <f>_xll.EQNXTDZ($A$1,$B84,AW$5,$B$1)</f>
        <v>0</v>
      </c>
      <c r="AX84" s="55">
        <f>_xll.EQNXTDZ($A$1,$B84,AX$5,$B$1)</f>
        <v>505</v>
      </c>
      <c r="AY84" s="55">
        <f>_xll.EQNXTDZ($A$1,$B84,AY$5,$B$1)</f>
        <v>0</v>
      </c>
      <c r="AZ84" s="55">
        <f>_xll.EQNXTDZ($A$1,$B84,AZ$5,$B$1)</f>
        <v>586</v>
      </c>
      <c r="BA84" s="55">
        <f>_xll.EQNXTDZ($A$1,$B84,BA$5,$B$1)</f>
        <v>0</v>
      </c>
      <c r="BB84" s="55">
        <f>_xll.EQNXTDZ($A$1,$B84,BB$5,$B$1)</f>
        <v>519</v>
      </c>
      <c r="BC84" s="55">
        <f>_xll.EQNXTDZ($A$1,$B84,BC$5,$B$1)</f>
        <v>0</v>
      </c>
      <c r="BD84" s="55">
        <f>_xll.EQNXTDZ($A$1,$B84,BD$5,$B$1)</f>
        <v>720</v>
      </c>
      <c r="BE84" s="55">
        <f>_xll.EQNXTDZ($A$1,$B84,BE$5,$B$1)</f>
        <v>0</v>
      </c>
      <c r="BF84" s="55">
        <f>_xll.EQNXTDZ($A$1,$B84,BF$5,$B$1)</f>
        <v>1187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66.03</v>
      </c>
      <c r="E85" s="55">
        <f>_xll.EQNXTDZ($A$1,$B85,E$5,$B$1)</f>
        <v>0</v>
      </c>
      <c r="F85" s="55">
        <f>_xll.EQNXTDZ($A$1,$B85,F$5,$B$1)</f>
        <v>76</v>
      </c>
      <c r="G85" s="55">
        <f>_xll.EQNXTDZ($A$1,$B85,G$5,$B$1)</f>
        <v>0</v>
      </c>
      <c r="H85" s="55">
        <f>_xll.EQNXTDZ($A$1,$B85,H$5,$B$1)</f>
        <v>97</v>
      </c>
      <c r="I85" s="55">
        <f>_xll.EQNXTDZ($A$1,$B85,I$5,$B$1)</f>
        <v>0</v>
      </c>
      <c r="J85" s="55">
        <f>_xll.EQNXTDZ($A$1,$B85,J$5,$B$1)</f>
        <v>85</v>
      </c>
      <c r="K85" s="55">
        <f>_xll.EQNXTDZ($A$1,$B85,K$5,$B$1)</f>
        <v>0</v>
      </c>
      <c r="L85" s="55">
        <f>_xll.EQNXTDZ($A$1,$B85,L$5,$B$1)</f>
        <v>124</v>
      </c>
      <c r="M85" s="55">
        <f>_xll.EQNXTDZ($A$1,$B85,M$5,$B$1)</f>
        <v>0</v>
      </c>
      <c r="N85" s="55">
        <f>_xll.EQNXTDZ($A$1,$B85,N$5,$B$1)</f>
        <v>109</v>
      </c>
      <c r="O85" s="55">
        <f>_xll.EQNXTDZ($A$1,$B85,O$5,$B$1)</f>
        <v>0</v>
      </c>
      <c r="P85" s="55">
        <f>_xll.EQNXTDZ($A$1,$B85,P$5,$B$1)</f>
        <v>113</v>
      </c>
      <c r="Q85" s="55">
        <f>_xll.EQNXTDZ($A$1,$B85,Q$5,$B$1)</f>
        <v>0</v>
      </c>
      <c r="R85" s="55">
        <f>_xll.EQNXTDZ($A$1,$B85,R$5,$B$1)</f>
        <v>2</v>
      </c>
      <c r="S85" s="55">
        <f>_xll.EQNXTDZ($A$1,$B85,S$5,$B$1)</f>
        <v>0</v>
      </c>
      <c r="T85" s="55">
        <f>_xll.EQNXTDZ($A$1,$B85,T$5,$B$1)</f>
        <v>21</v>
      </c>
      <c r="U85" s="55">
        <f>_xll.EQNXTDZ($A$1,$B85,U$5,$B$1)</f>
        <v>0</v>
      </c>
      <c r="V85" s="55">
        <f>_xll.EQNXTDZ($A$1,$B85,V$5,$B$1)</f>
        <v>2</v>
      </c>
      <c r="W85" s="55">
        <f>_xll.EQNXTDZ($A$1,$B85,W$5,$B$1)</f>
        <v>0</v>
      </c>
      <c r="X85" s="55">
        <f>_xll.EQNXTDZ($A$1,$B85,X$5,$B$1)</f>
        <v>588</v>
      </c>
      <c r="Y85" s="55">
        <f>_xll.EQNXTDZ($A$1,$B85,Y$5,$B$1)</f>
        <v>0</v>
      </c>
      <c r="Z85" s="55">
        <f>_xll.EQNXTDZ($A$1,$B85,Z$5,$B$1)</f>
        <v>3</v>
      </c>
      <c r="AA85" s="55">
        <f>_xll.EQNXTDZ($A$1,$B85,AA$5,$B$1)</f>
        <v>0</v>
      </c>
      <c r="AB85" s="55">
        <f>_xll.EQNXTDZ($A$1,$B85,AB$5,$B$1)</f>
        <v>4</v>
      </c>
      <c r="AC85" s="55">
        <f>_xll.EQNXTDZ($A$1,$B85,AC$5,$B$1)</f>
        <v>0</v>
      </c>
      <c r="AD85" s="55">
        <f>_xll.EQNXTDZ($A$1,$B85,AD$5,$B$1)</f>
        <v>4</v>
      </c>
      <c r="AE85" s="55">
        <f>_xll.EQNXTDZ($A$1,$B85,AE$5,$B$1)</f>
        <v>0</v>
      </c>
      <c r="AF85" s="55">
        <f>_xll.EQNXTDZ($A$1,$B85,AF$5,$B$1)</f>
        <v>4</v>
      </c>
      <c r="AG85" s="55">
        <f>_xll.EQNXTDZ($A$1,$B85,AG$5,$B$1)</f>
        <v>0</v>
      </c>
      <c r="AH85" s="55">
        <f>_xll.EQNXTDZ($A$1,$B85,AH$5,$B$1)</f>
        <v>4</v>
      </c>
      <c r="AI85" s="55">
        <f>_xll.EQNXTDZ($A$1,$B85,AI$5,$B$1)</f>
        <v>0</v>
      </c>
      <c r="AJ85" s="55">
        <f>_xll.EQNXTDZ($A$1,$B85,AJ$5,$B$1)</f>
        <v>3</v>
      </c>
      <c r="AK85" s="55">
        <f>_xll.EQNXTDZ($A$1,$B85,AK$5,$B$1)</f>
        <v>0</v>
      </c>
      <c r="AL85" s="55">
        <f>_xll.EQNXTDZ($A$1,$B85,AL$5,$B$1)</f>
        <v>3</v>
      </c>
      <c r="AM85" s="55">
        <f>_xll.EQNXTDZ($A$1,$B85,AM$5,$B$1)</f>
        <v>0</v>
      </c>
      <c r="AN85" s="55">
        <f>_xll.EQNXTDZ($A$1,$B85,AN$5,$B$1)</f>
        <v>3</v>
      </c>
      <c r="AO85" s="55">
        <f>_xll.EQNXTDZ($A$1,$B85,AO$5,$B$1)</f>
        <v>0</v>
      </c>
      <c r="AP85" s="55">
        <f>_xll.EQNXTDZ($A$1,$B85,AP$5,$B$1)</f>
        <v>3</v>
      </c>
      <c r="AQ85" s="55">
        <f>_xll.EQNXTDZ($A$1,$B85,AQ$5,$B$1)</f>
        <v>0</v>
      </c>
      <c r="AR85" s="55">
        <f>_xll.EQNXTDZ($A$1,$B85,AR$5,$B$1)</f>
        <v>3</v>
      </c>
      <c r="AS85" s="55">
        <f>_xll.EQNXTDZ($A$1,$B85,AS$5,$B$1)</f>
        <v>0</v>
      </c>
      <c r="AT85" s="55">
        <f>_xll.EQNXTDZ($A$1,$B85,AT$5,$B$1)</f>
        <v>2</v>
      </c>
      <c r="AU85" s="55">
        <f>_xll.EQNXTDZ($A$1,$B85,AU$5,$B$1)</f>
        <v>0</v>
      </c>
      <c r="AV85" s="55">
        <f>_xll.EQNXTDZ($A$1,$B85,AV$5,$B$1)</f>
        <v>3</v>
      </c>
      <c r="AW85" s="55">
        <f>_xll.EQNXTDZ($A$1,$B85,AW$5,$B$1)</f>
        <v>0</v>
      </c>
      <c r="AX85" s="55">
        <f>_xll.EQNXTDZ($A$1,$B85,AX$5,$B$1)</f>
        <v>3</v>
      </c>
      <c r="AY85" s="55">
        <f>_xll.EQNXTDZ($A$1,$B85,AY$5,$B$1)</f>
        <v>0</v>
      </c>
      <c r="AZ85" s="55">
        <f>_xll.EQNXTDZ($A$1,$B85,AZ$5,$B$1)</f>
        <v>4</v>
      </c>
      <c r="BA85" s="55">
        <f>_xll.EQNXTDZ($A$1,$B85,BA$5,$B$1)</f>
        <v>0</v>
      </c>
      <c r="BB85" s="55">
        <f>_xll.EQNXTDZ($A$1,$B85,BB$5,$B$1)</f>
        <v>5</v>
      </c>
      <c r="BC85" s="55">
        <f>_xll.EQNXTDZ($A$1,$B85,BC$5,$B$1)</f>
        <v>0</v>
      </c>
      <c r="BD85" s="55">
        <f>_xll.EQNXTDZ($A$1,$B85,BD$5,$B$1)</f>
        <v>5</v>
      </c>
      <c r="BE85" s="55">
        <f>_xll.EQNXTDZ($A$1,$B85,BE$5,$B$1)</f>
        <v>0</v>
      </c>
      <c r="BF85" s="55">
        <f>_xll.EQNXTDZ($A$1,$B85,BF$5,$B$1)</f>
        <v>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1958.67</v>
      </c>
      <c r="E86" s="55">
        <f>_xll.EQNXTDZ($A$1,$B86,E$5,$B$1)</f>
        <v>0</v>
      </c>
      <c r="F86" s="55">
        <f>_xll.EQNXTDZ($A$1,$B86,F$5,$B$1)</f>
        <v>2561</v>
      </c>
      <c r="G86" s="55">
        <f>_xll.EQNXTDZ($A$1,$B86,G$5,$B$1)</f>
        <v>0</v>
      </c>
      <c r="H86" s="55">
        <f>_xll.EQNXTDZ($A$1,$B86,H$5,$B$1)</f>
        <v>3057</v>
      </c>
      <c r="I86" s="55">
        <f>_xll.EQNXTDZ($A$1,$B86,I$5,$B$1)</f>
        <v>0</v>
      </c>
      <c r="J86" s="55">
        <f>_xll.EQNXTDZ($A$1,$B86,J$5,$B$1)</f>
        <v>3404</v>
      </c>
      <c r="K86" s="55">
        <f>_xll.EQNXTDZ($A$1,$B86,K$5,$B$1)</f>
        <v>0</v>
      </c>
      <c r="L86" s="55">
        <f>_xll.EQNXTDZ($A$1,$B86,L$5,$B$1)</f>
        <v>3452</v>
      </c>
      <c r="M86" s="55">
        <f>_xll.EQNXTDZ($A$1,$B86,M$5,$B$1)</f>
        <v>0</v>
      </c>
      <c r="N86" s="55">
        <f>_xll.EQNXTDZ($A$1,$B86,N$5,$B$1)</f>
        <v>4052</v>
      </c>
      <c r="O86" s="55">
        <f>_xll.EQNXTDZ($A$1,$B86,O$5,$B$1)</f>
        <v>0</v>
      </c>
      <c r="P86" s="55">
        <f>_xll.EQNXTDZ($A$1,$B86,P$5,$B$1)</f>
        <v>5167</v>
      </c>
      <c r="Q86" s="55">
        <f>_xll.EQNXTDZ($A$1,$B86,Q$5,$B$1)</f>
        <v>0</v>
      </c>
      <c r="R86" s="55">
        <f>_xll.EQNXTDZ($A$1,$B86,R$5,$B$1)</f>
        <v>4690</v>
      </c>
      <c r="S86" s="55">
        <f>_xll.EQNXTDZ($A$1,$B86,S$5,$B$1)</f>
        <v>0</v>
      </c>
      <c r="T86" s="55">
        <f>_xll.EQNXTDZ($A$1,$B86,T$5,$B$1)</f>
        <v>5408</v>
      </c>
      <c r="U86" s="55">
        <f>_xll.EQNXTDZ($A$1,$B86,U$5,$B$1)</f>
        <v>0</v>
      </c>
      <c r="V86" s="55">
        <f>_xll.EQNXTDZ($A$1,$B86,V$5,$B$1)</f>
        <v>4879</v>
      </c>
      <c r="W86" s="55">
        <f>_xll.EQNXTDZ($A$1,$B86,W$5,$B$1)</f>
        <v>0</v>
      </c>
      <c r="X86" s="55">
        <f>_xll.EQNXTDZ($A$1,$B86,X$5,$B$1)</f>
        <v>5168</v>
      </c>
      <c r="Y86" s="55">
        <f>_xll.EQNXTDZ($A$1,$B86,Y$5,$B$1)</f>
        <v>0</v>
      </c>
      <c r="Z86" s="55">
        <f>_xll.EQNXTDZ($A$1,$B86,Z$5,$B$1)</f>
        <v>5262</v>
      </c>
      <c r="AA86" s="55">
        <f>_xll.EQNXTDZ($A$1,$B86,AA$5,$B$1)</f>
        <v>0</v>
      </c>
      <c r="AB86" s="55">
        <f>_xll.EQNXTDZ($A$1,$B86,AB$5,$B$1)</f>
        <v>5773</v>
      </c>
      <c r="AC86" s="55">
        <f>_xll.EQNXTDZ($A$1,$B86,AC$5,$B$1)</f>
        <v>0</v>
      </c>
      <c r="AD86" s="55">
        <f>_xll.EQNXTDZ($A$1,$B86,AD$5,$B$1)</f>
        <v>5038</v>
      </c>
      <c r="AE86" s="55">
        <f>_xll.EQNXTDZ($A$1,$B86,AE$5,$B$1)</f>
        <v>0</v>
      </c>
      <c r="AF86" s="55">
        <f>_xll.EQNXTDZ($A$1,$B86,AF$5,$B$1)</f>
        <v>5035</v>
      </c>
      <c r="AG86" s="55">
        <f>_xll.EQNXTDZ($A$1,$B86,AG$5,$B$1)</f>
        <v>0</v>
      </c>
      <c r="AH86" s="55">
        <f>_xll.EQNXTDZ($A$1,$B86,AH$5,$B$1)</f>
        <v>4981</v>
      </c>
      <c r="AI86" s="55">
        <f>_xll.EQNXTDZ($A$1,$B86,AI$5,$B$1)</f>
        <v>0</v>
      </c>
      <c r="AJ86" s="55">
        <f>_xll.EQNXTDZ($A$1,$B86,AJ$5,$B$1)</f>
        <v>5718</v>
      </c>
      <c r="AK86" s="55">
        <f>_xll.EQNXTDZ($A$1,$B86,AK$5,$B$1)</f>
        <v>0</v>
      </c>
      <c r="AL86" s="55">
        <f>_xll.EQNXTDZ($A$1,$B86,AL$5,$B$1)</f>
        <v>5522</v>
      </c>
      <c r="AM86" s="55">
        <f>_xll.EQNXTDZ($A$1,$B86,AM$5,$B$1)</f>
        <v>0</v>
      </c>
      <c r="AN86" s="55">
        <f>_xll.EQNXTDZ($A$1,$B86,AN$5,$B$1)</f>
        <v>5359</v>
      </c>
      <c r="AO86" s="55">
        <f>_xll.EQNXTDZ($A$1,$B86,AO$5,$B$1)</f>
        <v>0</v>
      </c>
      <c r="AP86" s="55">
        <f>_xll.EQNXTDZ($A$1,$B86,AP$5,$B$1)</f>
        <v>5165</v>
      </c>
      <c r="AQ86" s="55">
        <f>_xll.EQNXTDZ($A$1,$B86,AQ$5,$B$1)</f>
        <v>0</v>
      </c>
      <c r="AR86" s="55">
        <f>_xll.EQNXTDZ($A$1,$B86,AR$5,$B$1)</f>
        <v>5218</v>
      </c>
      <c r="AS86" s="55">
        <f>_xll.EQNXTDZ($A$1,$B86,AS$5,$B$1)</f>
        <v>0</v>
      </c>
      <c r="AT86" s="55">
        <f>_xll.EQNXTDZ($A$1,$B86,AT$5,$B$1)</f>
        <v>5314</v>
      </c>
      <c r="AU86" s="55">
        <f>_xll.EQNXTDZ($A$1,$B86,AU$5,$B$1)</f>
        <v>0</v>
      </c>
      <c r="AV86" s="55">
        <f>_xll.EQNXTDZ($A$1,$B86,AV$5,$B$1)</f>
        <v>5272</v>
      </c>
      <c r="AW86" s="55">
        <f>_xll.EQNXTDZ($A$1,$B86,AW$5,$B$1)</f>
        <v>0</v>
      </c>
      <c r="AX86" s="55">
        <f>_xll.EQNXTDZ($A$1,$B86,AX$5,$B$1)</f>
        <v>5611</v>
      </c>
      <c r="AY86" s="55">
        <f>_xll.EQNXTDZ($A$1,$B86,AY$5,$B$1)</f>
        <v>0</v>
      </c>
      <c r="AZ86" s="55">
        <f>_xll.EQNXTDZ($A$1,$B86,AZ$5,$B$1)</f>
        <v>5879</v>
      </c>
      <c r="BA86" s="55">
        <f>_xll.EQNXTDZ($A$1,$B86,BA$5,$B$1)</f>
        <v>0</v>
      </c>
      <c r="BB86" s="55">
        <f>_xll.EQNXTDZ($A$1,$B86,BB$5,$B$1)</f>
        <v>5623</v>
      </c>
      <c r="BC86" s="55">
        <f>_xll.EQNXTDZ($A$1,$B86,BC$5,$B$1)</f>
        <v>0</v>
      </c>
      <c r="BD86" s="55">
        <f>_xll.EQNXTDZ($A$1,$B86,BD$5,$B$1)</f>
        <v>6171</v>
      </c>
      <c r="BE86" s="55">
        <f>_xll.EQNXTDZ($A$1,$B86,BE$5,$B$1)</f>
        <v>0</v>
      </c>
      <c r="BF86" s="55">
        <f>_xll.EQNXTDZ($A$1,$B86,BF$5,$B$1)</f>
        <v>9392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1085.5899999999999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65.459999999999994</v>
      </c>
      <c r="E88" s="55">
        <f>_xll.EQNXTDZ($A$1,$B88,E$5,$B$1)</f>
        <v>0</v>
      </c>
      <c r="F88" s="55">
        <f>_xll.EQNXTDZ($A$1,$B88,F$5,$B$1)</f>
        <v>125</v>
      </c>
      <c r="G88" s="55">
        <f>_xll.EQNXTDZ($A$1,$B88,G$5,$B$1)</f>
        <v>0</v>
      </c>
      <c r="H88" s="55">
        <f>_xll.EQNXTDZ($A$1,$B88,H$5,$B$1)</f>
        <v>494</v>
      </c>
      <c r="I88" s="55">
        <f>_xll.EQNXTDZ($A$1,$B88,I$5,$B$1)</f>
        <v>0</v>
      </c>
      <c r="J88" s="55">
        <f>_xll.EQNXTDZ($A$1,$B88,J$5,$B$1)</f>
        <v>210</v>
      </c>
      <c r="K88" s="55">
        <f>_xll.EQNXTDZ($A$1,$B88,K$5,$B$1)</f>
        <v>0</v>
      </c>
      <c r="L88" s="55">
        <f>_xll.EQNXTDZ($A$1,$B88,L$5,$B$1)</f>
        <v>136</v>
      </c>
      <c r="M88" s="55">
        <f>_xll.EQNXTDZ($A$1,$B88,M$5,$B$1)</f>
        <v>0</v>
      </c>
      <c r="N88" s="55">
        <f>_xll.EQNXTDZ($A$1,$B88,N$5,$B$1)</f>
        <v>319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3</v>
      </c>
      <c r="S88" s="55">
        <f>_xll.EQNXTDZ($A$1,$B88,S$5,$B$1)</f>
        <v>0</v>
      </c>
      <c r="T88" s="55">
        <f>_xll.EQNXTDZ($A$1,$B88,T$5,$B$1)</f>
        <v>3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250</v>
      </c>
      <c r="Y88" s="55">
        <f>_xll.EQNXTDZ($A$1,$B88,Y$5,$B$1)</f>
        <v>0</v>
      </c>
      <c r="Z88" s="55">
        <f>_xll.EQNXTDZ($A$1,$B88,Z$5,$B$1)</f>
        <v>1626</v>
      </c>
      <c r="AA88" s="55">
        <f>_xll.EQNXTDZ($A$1,$B88,AA$5,$B$1)</f>
        <v>0</v>
      </c>
      <c r="AB88" s="55">
        <f>_xll.EQNXTDZ($A$1,$B88,AB$5,$B$1)</f>
        <v>1680</v>
      </c>
      <c r="AC88" s="55">
        <f>_xll.EQNXTDZ($A$1,$B88,AC$5,$B$1)</f>
        <v>0</v>
      </c>
      <c r="AD88" s="55">
        <f>_xll.EQNXTDZ($A$1,$B88,AD$5,$B$1)</f>
        <v>934</v>
      </c>
      <c r="AE88" s="55">
        <f>_xll.EQNXTDZ($A$1,$B88,AE$5,$B$1)</f>
        <v>0</v>
      </c>
      <c r="AF88" s="55">
        <f>_xll.EQNXTDZ($A$1,$B88,AF$5,$B$1)</f>
        <v>352</v>
      </c>
      <c r="AG88" s="55">
        <f>_xll.EQNXTDZ($A$1,$B88,AG$5,$B$1)</f>
        <v>0</v>
      </c>
      <c r="AH88" s="55">
        <f>_xll.EQNXTDZ($A$1,$B88,AH$5,$B$1)</f>
        <v>1091</v>
      </c>
      <c r="AI88" s="55">
        <f>_xll.EQNXTDZ($A$1,$B88,AI$5,$B$1)</f>
        <v>0</v>
      </c>
      <c r="AJ88" s="55">
        <f>_xll.EQNXTDZ($A$1,$B88,AJ$5,$B$1)</f>
        <v>295</v>
      </c>
      <c r="AK88" s="55">
        <f>_xll.EQNXTDZ($A$1,$B88,AK$5,$B$1)</f>
        <v>0</v>
      </c>
      <c r="AL88" s="55">
        <f>_xll.EQNXTDZ($A$1,$B88,AL$5,$B$1)</f>
        <v>1884</v>
      </c>
      <c r="AM88" s="55">
        <f>_xll.EQNXTDZ($A$1,$B88,AM$5,$B$1)</f>
        <v>0</v>
      </c>
      <c r="AN88" s="55">
        <f>_xll.EQNXTDZ($A$1,$B88,AN$5,$B$1)</f>
        <v>1944</v>
      </c>
      <c r="AO88" s="55">
        <f>_xll.EQNXTDZ($A$1,$B88,AO$5,$B$1)</f>
        <v>0</v>
      </c>
      <c r="AP88" s="55">
        <f>_xll.EQNXTDZ($A$1,$B88,AP$5,$B$1)</f>
        <v>1895</v>
      </c>
      <c r="AQ88" s="55">
        <f>_xll.EQNXTDZ($A$1,$B88,AQ$5,$B$1)</f>
        <v>0</v>
      </c>
      <c r="AR88" s="55">
        <f>_xll.EQNXTDZ($A$1,$B88,AR$5,$B$1)</f>
        <v>1613</v>
      </c>
      <c r="AS88" s="55">
        <f>_xll.EQNXTDZ($A$1,$B88,AS$5,$B$1)</f>
        <v>0</v>
      </c>
      <c r="AT88" s="55">
        <f>_xll.EQNXTDZ($A$1,$B88,AT$5,$B$1)</f>
        <v>2801</v>
      </c>
      <c r="AU88" s="55">
        <f>_xll.EQNXTDZ($A$1,$B88,AU$5,$B$1)</f>
        <v>0</v>
      </c>
      <c r="AV88" s="55">
        <f>_xll.EQNXTDZ($A$1,$B88,AV$5,$B$1)</f>
        <v>2306</v>
      </c>
      <c r="AW88" s="55">
        <f>_xll.EQNXTDZ($A$1,$B88,AW$5,$B$1)</f>
        <v>0</v>
      </c>
      <c r="AX88" s="55">
        <f>_xll.EQNXTDZ($A$1,$B88,AX$5,$B$1)</f>
        <v>2334</v>
      </c>
      <c r="AY88" s="55">
        <f>_xll.EQNXTDZ($A$1,$B88,AY$5,$B$1)</f>
        <v>0</v>
      </c>
      <c r="AZ88" s="55">
        <f>_xll.EQNXTDZ($A$1,$B88,AZ$5,$B$1)</f>
        <v>1634</v>
      </c>
      <c r="BA88" s="55">
        <f>_xll.EQNXTDZ($A$1,$B88,BA$5,$B$1)</f>
        <v>0</v>
      </c>
      <c r="BB88" s="55">
        <f>_xll.EQNXTDZ($A$1,$B88,BB$5,$B$1)</f>
        <v>1834</v>
      </c>
      <c r="BC88" s="55">
        <f>_xll.EQNXTDZ($A$1,$B88,BC$5,$B$1)</f>
        <v>0</v>
      </c>
      <c r="BD88" s="55">
        <f>_xll.EQNXTDZ($A$1,$B88,BD$5,$B$1)</f>
        <v>1545</v>
      </c>
      <c r="BE88" s="55">
        <f>_xll.EQNXTDZ($A$1,$B88,BE$5,$B$1)</f>
        <v>0</v>
      </c>
      <c r="BF88" s="55">
        <f>_xll.EQNXTDZ($A$1,$B88,BF$5,$B$1)</f>
        <v>3147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1067</v>
      </c>
      <c r="G89" s="55">
        <f>_xll.EQNXTDZ($A$1,$B89,G$5,$B$1)</f>
        <v>0</v>
      </c>
      <c r="H89" s="55">
        <f>_xll.EQNXTDZ($A$1,$B89,H$5,$B$1)</f>
        <v>1359</v>
      </c>
      <c r="I89" s="55">
        <f>_xll.EQNXTDZ($A$1,$B89,I$5,$B$1)</f>
        <v>0</v>
      </c>
      <c r="J89" s="55">
        <f>_xll.EQNXTDZ($A$1,$B89,J$5,$B$1)</f>
        <v>1429</v>
      </c>
      <c r="K89" s="55">
        <f>_xll.EQNXTDZ($A$1,$B89,K$5,$B$1)</f>
        <v>0</v>
      </c>
      <c r="L89" s="55">
        <f>_xll.EQNXTDZ($A$1,$B89,L$5,$B$1)</f>
        <v>1772</v>
      </c>
      <c r="M89" s="55">
        <f>_xll.EQNXTDZ($A$1,$B89,M$5,$B$1)</f>
        <v>0</v>
      </c>
      <c r="N89" s="55">
        <f>_xll.EQNXTDZ($A$1,$B89,N$5,$B$1)</f>
        <v>1828</v>
      </c>
      <c r="O89" s="55">
        <f>_xll.EQNXTDZ($A$1,$B89,O$5,$B$1)</f>
        <v>0</v>
      </c>
      <c r="P89" s="55">
        <f>_xll.EQNXTDZ($A$1,$B89,P$5,$B$1)</f>
        <v>2376</v>
      </c>
      <c r="Q89" s="55">
        <f>_xll.EQNXTDZ($A$1,$B89,Q$5,$B$1)</f>
        <v>0</v>
      </c>
      <c r="R89" s="55">
        <f>_xll.EQNXTDZ($A$1,$B89,R$5,$B$1)</f>
        <v>2263</v>
      </c>
      <c r="S89" s="55">
        <f>_xll.EQNXTDZ($A$1,$B89,S$5,$B$1)</f>
        <v>0</v>
      </c>
      <c r="T89" s="55">
        <f>_xll.EQNXTDZ($A$1,$B89,T$5,$B$1)</f>
        <v>2462</v>
      </c>
      <c r="U89" s="55">
        <f>_xll.EQNXTDZ($A$1,$B89,U$5,$B$1)</f>
        <v>0</v>
      </c>
      <c r="V89" s="55">
        <f>_xll.EQNXTDZ($A$1,$B89,V$5,$B$1)</f>
        <v>1749</v>
      </c>
      <c r="W89" s="55">
        <f>_xll.EQNXTDZ($A$1,$B89,W$5,$B$1)</f>
        <v>0</v>
      </c>
      <c r="X89" s="55">
        <f>_xll.EQNXTDZ($A$1,$B89,X$5,$B$1)</f>
        <v>1819</v>
      </c>
      <c r="Y89" s="55">
        <f>_xll.EQNXTDZ($A$1,$B89,Y$5,$B$1)</f>
        <v>0</v>
      </c>
      <c r="Z89" s="55">
        <f>_xll.EQNXTDZ($A$1,$B89,Z$5,$B$1)</f>
        <v>2048</v>
      </c>
      <c r="AA89" s="55">
        <f>_xll.EQNXTDZ($A$1,$B89,AA$5,$B$1)</f>
        <v>0</v>
      </c>
      <c r="AB89" s="55">
        <f>_xll.EQNXTDZ($A$1,$B89,AB$5,$B$1)</f>
        <v>2244</v>
      </c>
      <c r="AC89" s="55">
        <f>_xll.EQNXTDZ($A$1,$B89,AC$5,$B$1)</f>
        <v>0</v>
      </c>
      <c r="AD89" s="55">
        <f>_xll.EQNXTDZ($A$1,$B89,AD$5,$B$1)</f>
        <v>2098</v>
      </c>
      <c r="AE89" s="55">
        <f>_xll.EQNXTDZ($A$1,$B89,AE$5,$B$1)</f>
        <v>0</v>
      </c>
      <c r="AF89" s="55">
        <f>_xll.EQNXTDZ($A$1,$B89,AF$5,$B$1)</f>
        <v>1963</v>
      </c>
      <c r="AG89" s="55">
        <f>_xll.EQNXTDZ($A$1,$B89,AG$5,$B$1)</f>
        <v>0</v>
      </c>
      <c r="AH89" s="55">
        <f>_xll.EQNXTDZ($A$1,$B89,AH$5,$B$1)</f>
        <v>2048</v>
      </c>
      <c r="AI89" s="55">
        <f>_xll.EQNXTDZ($A$1,$B89,AI$5,$B$1)</f>
        <v>0</v>
      </c>
      <c r="AJ89" s="55">
        <f>_xll.EQNXTDZ($A$1,$B89,AJ$5,$B$1)</f>
        <v>2309</v>
      </c>
      <c r="AK89" s="55">
        <f>_xll.EQNXTDZ($A$1,$B89,AK$5,$B$1)</f>
        <v>0</v>
      </c>
      <c r="AL89" s="55">
        <f>_xll.EQNXTDZ($A$1,$B89,AL$5,$B$1)</f>
        <v>2067</v>
      </c>
      <c r="AM89" s="55">
        <f>_xll.EQNXTDZ($A$1,$B89,AM$5,$B$1)</f>
        <v>0</v>
      </c>
      <c r="AN89" s="55">
        <f>_xll.EQNXTDZ($A$1,$B89,AN$5,$B$1)</f>
        <v>1784</v>
      </c>
      <c r="AO89" s="55">
        <f>_xll.EQNXTDZ($A$1,$B89,AO$5,$B$1)</f>
        <v>0</v>
      </c>
      <c r="AP89" s="55">
        <f>_xll.EQNXTDZ($A$1,$B89,AP$5,$B$1)</f>
        <v>1674</v>
      </c>
      <c r="AQ89" s="55">
        <f>_xll.EQNXTDZ($A$1,$B89,AQ$5,$B$1)</f>
        <v>0</v>
      </c>
      <c r="AR89" s="55">
        <f>_xll.EQNXTDZ($A$1,$B89,AR$5,$B$1)</f>
        <v>1477</v>
      </c>
      <c r="AS89" s="55">
        <f>_xll.EQNXTDZ($A$1,$B89,AS$5,$B$1)</f>
        <v>0</v>
      </c>
      <c r="AT89" s="55">
        <f>_xll.EQNXTDZ($A$1,$B89,AT$5,$B$1)</f>
        <v>1679</v>
      </c>
      <c r="AU89" s="55">
        <f>_xll.EQNXTDZ($A$1,$B89,AU$5,$B$1)</f>
        <v>0</v>
      </c>
      <c r="AV89" s="55">
        <f>_xll.EQNXTDZ($A$1,$B89,AV$5,$B$1)</f>
        <v>1661</v>
      </c>
      <c r="AW89" s="55">
        <f>_xll.EQNXTDZ($A$1,$B89,AW$5,$B$1)</f>
        <v>0</v>
      </c>
      <c r="AX89" s="55">
        <f>_xll.EQNXTDZ($A$1,$B89,AX$5,$B$1)</f>
        <v>2089</v>
      </c>
      <c r="AY89" s="55">
        <f>_xll.EQNXTDZ($A$1,$B89,AY$5,$B$1)</f>
        <v>0</v>
      </c>
      <c r="AZ89" s="55">
        <f>_xll.EQNXTDZ($A$1,$B89,AZ$5,$B$1)</f>
        <v>2188</v>
      </c>
      <c r="BA89" s="55">
        <f>_xll.EQNXTDZ($A$1,$B89,BA$5,$B$1)</f>
        <v>0</v>
      </c>
      <c r="BB89" s="55">
        <f>_xll.EQNXTDZ($A$1,$B89,BB$5,$B$1)</f>
        <v>1820</v>
      </c>
      <c r="BC89" s="55">
        <f>_xll.EQNXTDZ($A$1,$B89,BC$5,$B$1)</f>
        <v>0</v>
      </c>
      <c r="BD89" s="55">
        <f>_xll.EQNXTDZ($A$1,$B89,BD$5,$B$1)</f>
        <v>1675</v>
      </c>
      <c r="BE89" s="55">
        <f>_xll.EQNXTDZ($A$1,$B89,BE$5,$B$1)</f>
        <v>0</v>
      </c>
      <c r="BF89" s="55">
        <f>_xll.EQNXTDZ($A$1,$B89,BF$5,$B$1)</f>
        <v>2358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276</v>
      </c>
      <c r="G91" s="55">
        <f>_xll.EQNXTDZ($A$1,$B91,G$5,$B$1)</f>
        <v>0</v>
      </c>
      <c r="H91" s="55">
        <f>_xll.EQNXTDZ($A$1,$B91,H$5,$B$1)</f>
        <v>453</v>
      </c>
      <c r="I91" s="55">
        <f>_xll.EQNXTDZ($A$1,$B91,I$5,$B$1)</f>
        <v>0</v>
      </c>
      <c r="J91" s="55">
        <f>_xll.EQNXTDZ($A$1,$B91,J$5,$B$1)</f>
        <v>372</v>
      </c>
      <c r="K91" s="55">
        <f>_xll.EQNXTDZ($A$1,$B91,K$5,$B$1)</f>
        <v>0</v>
      </c>
      <c r="L91" s="55">
        <f>_xll.EQNXTDZ($A$1,$B91,L$5,$B$1)</f>
        <v>345</v>
      </c>
      <c r="M91" s="55">
        <f>_xll.EQNXTDZ($A$1,$B91,M$5,$B$1)</f>
        <v>0</v>
      </c>
      <c r="N91" s="55">
        <f>_xll.EQNXTDZ($A$1,$B91,N$5,$B$1)</f>
        <v>446</v>
      </c>
      <c r="O91" s="55">
        <f>_xll.EQNXTDZ($A$1,$B91,O$5,$B$1)</f>
        <v>0</v>
      </c>
      <c r="P91" s="55">
        <f>_xll.EQNXTDZ($A$1,$B91,P$5,$B$1)</f>
        <v>569</v>
      </c>
      <c r="Q91" s="55">
        <f>_xll.EQNXTDZ($A$1,$B91,Q$5,$B$1)</f>
        <v>0</v>
      </c>
      <c r="R91" s="55">
        <f>_xll.EQNXTDZ($A$1,$B91,R$5,$B$1)</f>
        <v>894</v>
      </c>
      <c r="S91" s="55">
        <f>_xll.EQNXTDZ($A$1,$B91,S$5,$B$1)</f>
        <v>0</v>
      </c>
      <c r="T91" s="55">
        <f>_xll.EQNXTDZ($A$1,$B91,T$5,$B$1)</f>
        <v>947</v>
      </c>
      <c r="U91" s="55">
        <f>_xll.EQNXTDZ($A$1,$B91,U$5,$B$1)</f>
        <v>0</v>
      </c>
      <c r="V91" s="55">
        <f>_xll.EQNXTDZ($A$1,$B91,V$5,$B$1)</f>
        <v>750</v>
      </c>
      <c r="W91" s="55">
        <f>_xll.EQNXTDZ($A$1,$B91,W$5,$B$1)</f>
        <v>0</v>
      </c>
      <c r="X91" s="55">
        <f>_xll.EQNXTDZ($A$1,$B91,X$5,$B$1)</f>
        <v>738</v>
      </c>
      <c r="Y91" s="55">
        <f>_xll.EQNXTDZ($A$1,$B91,Y$5,$B$1)</f>
        <v>0</v>
      </c>
      <c r="Z91" s="55">
        <f>_xll.EQNXTDZ($A$1,$B91,Z$5,$B$1)</f>
        <v>1201</v>
      </c>
      <c r="AA91" s="55">
        <f>_xll.EQNXTDZ($A$1,$B91,AA$5,$B$1)</f>
        <v>0</v>
      </c>
      <c r="AB91" s="55">
        <f>_xll.EQNXTDZ($A$1,$B91,AB$5,$B$1)</f>
        <v>1699</v>
      </c>
      <c r="AC91" s="55">
        <f>_xll.EQNXTDZ($A$1,$B91,AC$5,$B$1)</f>
        <v>0</v>
      </c>
      <c r="AD91" s="55">
        <f>_xll.EQNXTDZ($A$1,$B91,AD$5,$B$1)</f>
        <v>1720</v>
      </c>
      <c r="AE91" s="55">
        <f>_xll.EQNXTDZ($A$1,$B91,AE$5,$B$1)</f>
        <v>0</v>
      </c>
      <c r="AF91" s="55">
        <f>_xll.EQNXTDZ($A$1,$B91,AF$5,$B$1)</f>
        <v>1880</v>
      </c>
      <c r="AG91" s="55">
        <f>_xll.EQNXTDZ($A$1,$B91,AG$5,$B$1)</f>
        <v>0</v>
      </c>
      <c r="AH91" s="55">
        <f>_xll.EQNXTDZ($A$1,$B91,AH$5,$B$1)</f>
        <v>1896</v>
      </c>
      <c r="AI91" s="55">
        <f>_xll.EQNXTDZ($A$1,$B91,AI$5,$B$1)</f>
        <v>0</v>
      </c>
      <c r="AJ91" s="55">
        <f>_xll.EQNXTDZ($A$1,$B91,AJ$5,$B$1)</f>
        <v>1846</v>
      </c>
      <c r="AK91" s="55">
        <f>_xll.EQNXTDZ($A$1,$B91,AK$5,$B$1)</f>
        <v>0</v>
      </c>
      <c r="AL91" s="55">
        <f>_xll.EQNXTDZ($A$1,$B91,AL$5,$B$1)</f>
        <v>509</v>
      </c>
      <c r="AM91" s="55">
        <f>_xll.EQNXTDZ($A$1,$B91,AM$5,$B$1)</f>
        <v>0</v>
      </c>
      <c r="AN91" s="55">
        <f>_xll.EQNXTDZ($A$1,$B91,AN$5,$B$1)</f>
        <v>448</v>
      </c>
      <c r="AO91" s="55">
        <f>_xll.EQNXTDZ($A$1,$B91,AO$5,$B$1)</f>
        <v>0</v>
      </c>
      <c r="AP91" s="55">
        <f>_xll.EQNXTDZ($A$1,$B91,AP$5,$B$1)</f>
        <v>435</v>
      </c>
      <c r="AQ91" s="55">
        <f>_xll.EQNXTDZ($A$1,$B91,AQ$5,$B$1)</f>
        <v>0</v>
      </c>
      <c r="AR91" s="55">
        <f>_xll.EQNXTDZ($A$1,$B91,AR$5,$B$1)</f>
        <v>479</v>
      </c>
      <c r="AS91" s="55">
        <f>_xll.EQNXTDZ($A$1,$B91,AS$5,$B$1)</f>
        <v>0</v>
      </c>
      <c r="AT91" s="55">
        <f>_xll.EQNXTDZ($A$1,$B91,AT$5,$B$1)</f>
        <v>573</v>
      </c>
      <c r="AU91" s="55">
        <f>_xll.EQNXTDZ($A$1,$B91,AU$5,$B$1)</f>
        <v>0</v>
      </c>
      <c r="AV91" s="55">
        <f>_xll.EQNXTDZ($A$1,$B91,AV$5,$B$1)</f>
        <v>526</v>
      </c>
      <c r="AW91" s="55">
        <f>_xll.EQNXTDZ($A$1,$B91,AW$5,$B$1)</f>
        <v>0</v>
      </c>
      <c r="AX91" s="55">
        <f>_xll.EQNXTDZ($A$1,$B91,AX$5,$B$1)</f>
        <v>603</v>
      </c>
      <c r="AY91" s="55">
        <f>_xll.EQNXTDZ($A$1,$B91,AY$5,$B$1)</f>
        <v>0</v>
      </c>
      <c r="AZ91" s="55">
        <f>_xll.EQNXTDZ($A$1,$B91,AZ$5,$B$1)</f>
        <v>590</v>
      </c>
      <c r="BA91" s="55">
        <f>_xll.EQNXTDZ($A$1,$B91,BA$5,$B$1)</f>
        <v>0</v>
      </c>
      <c r="BB91" s="55">
        <f>_xll.EQNXTDZ($A$1,$B91,BB$5,$B$1)</f>
        <v>655</v>
      </c>
      <c r="BC91" s="55">
        <f>_xll.EQNXTDZ($A$1,$B91,BC$5,$B$1)</f>
        <v>0</v>
      </c>
      <c r="BD91" s="55">
        <f>_xll.EQNXTDZ($A$1,$B91,BD$5,$B$1)</f>
        <v>755</v>
      </c>
      <c r="BE91" s="55">
        <f>_xll.EQNXTDZ($A$1,$B91,BE$5,$B$1)</f>
        <v>0</v>
      </c>
      <c r="BF91" s="55">
        <f>_xll.EQNXTDZ($A$1,$B91,BF$5,$B$1)</f>
        <v>2339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72.41</v>
      </c>
      <c r="E92" s="55">
        <f>_xll.EQNXTDZ($A$1,$B92,E$5,$B$1)</f>
        <v>0</v>
      </c>
      <c r="F92" s="55">
        <f>_xll.EQNXTDZ($A$1,$B92,F$5,$B$1)</f>
        <v>242</v>
      </c>
      <c r="G92" s="55">
        <f>_xll.EQNXTDZ($A$1,$B92,G$5,$B$1)</f>
        <v>0</v>
      </c>
      <c r="H92" s="55">
        <f>_xll.EQNXTDZ($A$1,$B92,H$5,$B$1)</f>
        <v>84</v>
      </c>
      <c r="I92" s="55">
        <f>_xll.EQNXTDZ($A$1,$B92,I$5,$B$1)</f>
        <v>0</v>
      </c>
      <c r="J92" s="55">
        <f>_xll.EQNXTDZ($A$1,$B92,J$5,$B$1)</f>
        <v>163</v>
      </c>
      <c r="K92" s="55">
        <f>_xll.EQNXTDZ($A$1,$B92,K$5,$B$1)</f>
        <v>0</v>
      </c>
      <c r="L92" s="55">
        <f>_xll.EQNXTDZ($A$1,$B92,L$5,$B$1)</f>
        <v>145</v>
      </c>
      <c r="M92" s="55">
        <f>_xll.EQNXTDZ($A$1,$B92,M$5,$B$1)</f>
        <v>0</v>
      </c>
      <c r="N92" s="55">
        <f>_xll.EQNXTDZ($A$1,$B92,N$5,$B$1)</f>
        <v>231</v>
      </c>
      <c r="O92" s="55">
        <f>_xll.EQNXTDZ($A$1,$B92,O$5,$B$1)</f>
        <v>0</v>
      </c>
      <c r="P92" s="55">
        <f>_xll.EQNXTDZ($A$1,$B92,P$5,$B$1)</f>
        <v>354</v>
      </c>
      <c r="Q92" s="55">
        <f>_xll.EQNXTDZ($A$1,$B92,Q$5,$B$1)</f>
        <v>0</v>
      </c>
      <c r="R92" s="55">
        <f>_xll.EQNXTDZ($A$1,$B92,R$5,$B$1)</f>
        <v>127</v>
      </c>
      <c r="S92" s="55">
        <f>_xll.EQNXTDZ($A$1,$B92,S$5,$B$1)</f>
        <v>0</v>
      </c>
      <c r="T92" s="55">
        <f>_xll.EQNXTDZ($A$1,$B92,T$5,$B$1)</f>
        <v>147</v>
      </c>
      <c r="U92" s="55">
        <f>_xll.EQNXTDZ($A$1,$B92,U$5,$B$1)</f>
        <v>0</v>
      </c>
      <c r="V92" s="55">
        <f>_xll.EQNXTDZ($A$1,$B92,V$5,$B$1)</f>
        <v>239</v>
      </c>
      <c r="W92" s="55">
        <f>_xll.EQNXTDZ($A$1,$B92,W$5,$B$1)</f>
        <v>0</v>
      </c>
      <c r="X92" s="55">
        <f>_xll.EQNXTDZ($A$1,$B92,X$5,$B$1)</f>
        <v>269</v>
      </c>
      <c r="Y92" s="55">
        <f>_xll.EQNXTDZ($A$1,$B92,Y$5,$B$1)</f>
        <v>0</v>
      </c>
      <c r="Z92" s="55">
        <f>_xll.EQNXTDZ($A$1,$B92,Z$5,$B$1)</f>
        <v>327</v>
      </c>
      <c r="AA92" s="55">
        <f>_xll.EQNXTDZ($A$1,$B92,AA$5,$B$1)</f>
        <v>0</v>
      </c>
      <c r="AB92" s="55">
        <f>_xll.EQNXTDZ($A$1,$B92,AB$5,$B$1)</f>
        <v>297</v>
      </c>
      <c r="AC92" s="55">
        <f>_xll.EQNXTDZ($A$1,$B92,AC$5,$B$1)</f>
        <v>0</v>
      </c>
      <c r="AD92" s="55">
        <f>_xll.EQNXTDZ($A$1,$B92,AD$5,$B$1)</f>
        <v>414</v>
      </c>
      <c r="AE92" s="55">
        <f>_xll.EQNXTDZ($A$1,$B92,AE$5,$B$1)</f>
        <v>0</v>
      </c>
      <c r="AF92" s="55">
        <f>_xll.EQNXTDZ($A$1,$B92,AF$5,$B$1)</f>
        <v>410</v>
      </c>
      <c r="AG92" s="55">
        <f>_xll.EQNXTDZ($A$1,$B92,AG$5,$B$1)</f>
        <v>0</v>
      </c>
      <c r="AH92" s="55">
        <f>_xll.EQNXTDZ($A$1,$B92,AH$5,$B$1)</f>
        <v>419</v>
      </c>
      <c r="AI92" s="55">
        <f>_xll.EQNXTDZ($A$1,$B92,AI$5,$B$1)</f>
        <v>0</v>
      </c>
      <c r="AJ92" s="55">
        <f>_xll.EQNXTDZ($A$1,$B92,AJ$5,$B$1)</f>
        <v>427</v>
      </c>
      <c r="AK92" s="55">
        <f>_xll.EQNXTDZ($A$1,$B92,AK$5,$B$1)</f>
        <v>0</v>
      </c>
      <c r="AL92" s="55">
        <f>_xll.EQNXTDZ($A$1,$B92,AL$5,$B$1)</f>
        <v>431</v>
      </c>
      <c r="AM92" s="55">
        <f>_xll.EQNXTDZ($A$1,$B92,AM$5,$B$1)</f>
        <v>0</v>
      </c>
      <c r="AN92" s="55">
        <f>_xll.EQNXTDZ($A$1,$B92,AN$5,$B$1)</f>
        <v>391</v>
      </c>
      <c r="AO92" s="55">
        <f>_xll.EQNXTDZ($A$1,$B92,AO$5,$B$1)</f>
        <v>0</v>
      </c>
      <c r="AP92" s="55">
        <f>_xll.EQNXTDZ($A$1,$B92,AP$5,$B$1)</f>
        <v>411</v>
      </c>
      <c r="AQ92" s="55">
        <f>_xll.EQNXTDZ($A$1,$B92,AQ$5,$B$1)</f>
        <v>0</v>
      </c>
      <c r="AR92" s="55">
        <f>_xll.EQNXTDZ($A$1,$B92,AR$5,$B$1)</f>
        <v>381</v>
      </c>
      <c r="AS92" s="55">
        <f>_xll.EQNXTDZ($A$1,$B92,AS$5,$B$1)</f>
        <v>0</v>
      </c>
      <c r="AT92" s="55">
        <f>_xll.EQNXTDZ($A$1,$B92,AT$5,$B$1)</f>
        <v>394</v>
      </c>
      <c r="AU92" s="55">
        <f>_xll.EQNXTDZ($A$1,$B92,AU$5,$B$1)</f>
        <v>0</v>
      </c>
      <c r="AV92" s="55">
        <f>_xll.EQNXTDZ($A$1,$B92,AV$5,$B$1)</f>
        <v>405</v>
      </c>
      <c r="AW92" s="55">
        <f>_xll.EQNXTDZ($A$1,$B92,AW$5,$B$1)</f>
        <v>0</v>
      </c>
      <c r="AX92" s="55">
        <f>_xll.EQNXTDZ($A$1,$B92,AX$5,$B$1)</f>
        <v>400</v>
      </c>
      <c r="AY92" s="55">
        <f>_xll.EQNXTDZ($A$1,$B92,AY$5,$B$1)</f>
        <v>0</v>
      </c>
      <c r="AZ92" s="55">
        <f>_xll.EQNXTDZ($A$1,$B92,AZ$5,$B$1)</f>
        <v>435</v>
      </c>
      <c r="BA92" s="55">
        <f>_xll.EQNXTDZ($A$1,$B92,BA$5,$B$1)</f>
        <v>0</v>
      </c>
      <c r="BB92" s="55">
        <f>_xll.EQNXTDZ($A$1,$B92,BB$5,$B$1)</f>
        <v>408</v>
      </c>
      <c r="BC92" s="55">
        <f>_xll.EQNXTDZ($A$1,$B92,BC$5,$B$1)</f>
        <v>0</v>
      </c>
      <c r="BD92" s="55">
        <f>_xll.EQNXTDZ($A$1,$B92,BD$5,$B$1)</f>
        <v>460</v>
      </c>
      <c r="BE92" s="55">
        <f>_xll.EQNXTDZ($A$1,$B92,BE$5,$B$1)</f>
        <v>0</v>
      </c>
      <c r="BF92" s="55">
        <f>_xll.EQNXTDZ($A$1,$B92,BF$5,$B$1)</f>
        <v>499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1223.46</v>
      </c>
      <c r="E93" s="55">
        <f>_xll.EQNXTDZ($A$1,$B93,E$5,$B$1)</f>
        <v>0</v>
      </c>
      <c r="F93" s="55">
        <f>_xll.EQNXTDZ($A$1,$B93,F$5,$B$1)</f>
        <v>1710</v>
      </c>
      <c r="G93" s="55">
        <f>_xll.EQNXTDZ($A$1,$B93,G$5,$B$1)</f>
        <v>0</v>
      </c>
      <c r="H93" s="55">
        <f>_xll.EQNXTDZ($A$1,$B93,H$5,$B$1)</f>
        <v>2390</v>
      </c>
      <c r="I93" s="55">
        <f>_xll.EQNXTDZ($A$1,$B93,I$5,$B$1)</f>
        <v>0</v>
      </c>
      <c r="J93" s="55">
        <f>_xll.EQNXTDZ($A$1,$B93,J$5,$B$1)</f>
        <v>2174</v>
      </c>
      <c r="K93" s="55">
        <f>_xll.EQNXTDZ($A$1,$B93,K$5,$B$1)</f>
        <v>0</v>
      </c>
      <c r="L93" s="55">
        <f>_xll.EQNXTDZ($A$1,$B93,L$5,$B$1)</f>
        <v>2398</v>
      </c>
      <c r="M93" s="55">
        <f>_xll.EQNXTDZ($A$1,$B93,M$5,$B$1)</f>
        <v>0</v>
      </c>
      <c r="N93" s="55">
        <f>_xll.EQNXTDZ($A$1,$B93,N$5,$B$1)</f>
        <v>2824</v>
      </c>
      <c r="O93" s="55">
        <f>_xll.EQNXTDZ($A$1,$B93,O$5,$B$1)</f>
        <v>0</v>
      </c>
      <c r="P93" s="55">
        <f>_xll.EQNXTDZ($A$1,$B93,P$5,$B$1)</f>
        <v>3299</v>
      </c>
      <c r="Q93" s="55">
        <f>_xll.EQNXTDZ($A$1,$B93,Q$5,$B$1)</f>
        <v>0</v>
      </c>
      <c r="R93" s="55">
        <f>_xll.EQNXTDZ($A$1,$B93,R$5,$B$1)</f>
        <v>3287</v>
      </c>
      <c r="S93" s="55">
        <f>_xll.EQNXTDZ($A$1,$B93,S$5,$B$1)</f>
        <v>0</v>
      </c>
      <c r="T93" s="55">
        <f>_xll.EQNXTDZ($A$1,$B93,T$5,$B$1)</f>
        <v>3559</v>
      </c>
      <c r="U93" s="55">
        <f>_xll.EQNXTDZ($A$1,$B93,U$5,$B$1)</f>
        <v>0</v>
      </c>
      <c r="V93" s="55">
        <f>_xll.EQNXTDZ($A$1,$B93,V$5,$B$1)</f>
        <v>2738</v>
      </c>
      <c r="W93" s="55">
        <f>_xll.EQNXTDZ($A$1,$B93,W$5,$B$1)</f>
        <v>0</v>
      </c>
      <c r="X93" s="55">
        <f>_xll.EQNXTDZ($A$1,$B93,X$5,$B$1)</f>
        <v>3076</v>
      </c>
      <c r="Y93" s="55">
        <f>_xll.EQNXTDZ($A$1,$B93,Y$5,$B$1)</f>
        <v>0</v>
      </c>
      <c r="Z93" s="55">
        <f>_xll.EQNXTDZ($A$1,$B93,Z$5,$B$1)</f>
        <v>5202</v>
      </c>
      <c r="AA93" s="55">
        <f>_xll.EQNXTDZ($A$1,$B93,AA$5,$B$1)</f>
        <v>0</v>
      </c>
      <c r="AB93" s="55">
        <f>_xll.EQNXTDZ($A$1,$B93,AB$5,$B$1)</f>
        <v>5920</v>
      </c>
      <c r="AC93" s="55">
        <f>_xll.EQNXTDZ($A$1,$B93,AC$5,$B$1)</f>
        <v>0</v>
      </c>
      <c r="AD93" s="55">
        <f>_xll.EQNXTDZ($A$1,$B93,AD$5,$B$1)</f>
        <v>5166</v>
      </c>
      <c r="AE93" s="55">
        <f>_xll.EQNXTDZ($A$1,$B93,AE$5,$B$1)</f>
        <v>0</v>
      </c>
      <c r="AF93" s="55">
        <f>_xll.EQNXTDZ($A$1,$B93,AF$5,$B$1)</f>
        <v>4605</v>
      </c>
      <c r="AG93" s="55">
        <f>_xll.EQNXTDZ($A$1,$B93,AG$5,$B$1)</f>
        <v>0</v>
      </c>
      <c r="AH93" s="55">
        <f>_xll.EQNXTDZ($A$1,$B93,AH$5,$B$1)</f>
        <v>5454</v>
      </c>
      <c r="AI93" s="55">
        <f>_xll.EQNXTDZ($A$1,$B93,AI$5,$B$1)</f>
        <v>0</v>
      </c>
      <c r="AJ93" s="55">
        <f>_xll.EQNXTDZ($A$1,$B93,AJ$5,$B$1)</f>
        <v>4877</v>
      </c>
      <c r="AK93" s="55">
        <f>_xll.EQNXTDZ($A$1,$B93,AK$5,$B$1)</f>
        <v>0</v>
      </c>
      <c r="AL93" s="55">
        <f>_xll.EQNXTDZ($A$1,$B93,AL$5,$B$1)</f>
        <v>4891</v>
      </c>
      <c r="AM93" s="55">
        <f>_xll.EQNXTDZ($A$1,$B93,AM$5,$B$1)</f>
        <v>0</v>
      </c>
      <c r="AN93" s="55">
        <f>_xll.EQNXTDZ($A$1,$B93,AN$5,$B$1)</f>
        <v>4567</v>
      </c>
      <c r="AO93" s="55">
        <f>_xll.EQNXTDZ($A$1,$B93,AO$5,$B$1)</f>
        <v>0</v>
      </c>
      <c r="AP93" s="55">
        <f>_xll.EQNXTDZ($A$1,$B93,AP$5,$B$1)</f>
        <v>4415</v>
      </c>
      <c r="AQ93" s="55">
        <f>_xll.EQNXTDZ($A$1,$B93,AQ$5,$B$1)</f>
        <v>0</v>
      </c>
      <c r="AR93" s="55">
        <f>_xll.EQNXTDZ($A$1,$B93,AR$5,$B$1)</f>
        <v>3950</v>
      </c>
      <c r="AS93" s="55">
        <f>_xll.EQNXTDZ($A$1,$B93,AS$5,$B$1)</f>
        <v>0</v>
      </c>
      <c r="AT93" s="55">
        <f>_xll.EQNXTDZ($A$1,$B93,AT$5,$B$1)</f>
        <v>5447</v>
      </c>
      <c r="AU93" s="55">
        <f>_xll.EQNXTDZ($A$1,$B93,AU$5,$B$1)</f>
        <v>0</v>
      </c>
      <c r="AV93" s="55">
        <f>_xll.EQNXTDZ($A$1,$B93,AV$5,$B$1)</f>
        <v>4898</v>
      </c>
      <c r="AW93" s="55">
        <f>_xll.EQNXTDZ($A$1,$B93,AW$5,$B$1)</f>
        <v>0</v>
      </c>
      <c r="AX93" s="55">
        <f>_xll.EQNXTDZ($A$1,$B93,AX$5,$B$1)</f>
        <v>5426</v>
      </c>
      <c r="AY93" s="55">
        <f>_xll.EQNXTDZ($A$1,$B93,AY$5,$B$1)</f>
        <v>0</v>
      </c>
      <c r="AZ93" s="55">
        <f>_xll.EQNXTDZ($A$1,$B93,AZ$5,$B$1)</f>
        <v>4847</v>
      </c>
      <c r="BA93" s="55">
        <f>_xll.EQNXTDZ($A$1,$B93,BA$5,$B$1)</f>
        <v>0</v>
      </c>
      <c r="BB93" s="55">
        <f>_xll.EQNXTDZ($A$1,$B93,BB$5,$B$1)</f>
        <v>4717</v>
      </c>
      <c r="BC93" s="55">
        <f>_xll.EQNXTDZ($A$1,$B93,BC$5,$B$1)</f>
        <v>0</v>
      </c>
      <c r="BD93" s="55">
        <f>_xll.EQNXTDZ($A$1,$B93,BD$5,$B$1)</f>
        <v>4435</v>
      </c>
      <c r="BE93" s="55">
        <f>_xll.EQNXTDZ($A$1,$B93,BE$5,$B$1)</f>
        <v>0</v>
      </c>
      <c r="BF93" s="55">
        <f>_xll.EQNXTDZ($A$1,$B93,BF$5,$B$1)</f>
        <v>8343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735.21</v>
      </c>
      <c r="E94" s="55">
        <f>_xll.EQNXTDZ($A$1,$B94,E$5,$B$1)</f>
        <v>0</v>
      </c>
      <c r="F94" s="55">
        <f>_xll.EQNXTDZ($A$1,$B94,F$5,$B$1)</f>
        <v>851</v>
      </c>
      <c r="G94" s="55">
        <f>_xll.EQNXTDZ($A$1,$B94,G$5,$B$1)</f>
        <v>0</v>
      </c>
      <c r="H94" s="55">
        <f>_xll.EQNXTDZ($A$1,$B94,H$5,$B$1)</f>
        <v>667</v>
      </c>
      <c r="I94" s="55">
        <f>_xll.EQNXTDZ($A$1,$B94,I$5,$B$1)</f>
        <v>0</v>
      </c>
      <c r="J94" s="55">
        <f>_xll.EQNXTDZ($A$1,$B94,J$5,$B$1)</f>
        <v>1230</v>
      </c>
      <c r="K94" s="55">
        <f>_xll.EQNXTDZ($A$1,$B94,K$5,$B$1)</f>
        <v>0</v>
      </c>
      <c r="L94" s="55">
        <f>_xll.EQNXTDZ($A$1,$B94,L$5,$B$1)</f>
        <v>1054</v>
      </c>
      <c r="M94" s="55">
        <f>_xll.EQNXTDZ($A$1,$B94,M$5,$B$1)</f>
        <v>0</v>
      </c>
      <c r="N94" s="55">
        <f>_xll.EQNXTDZ($A$1,$B94,N$5,$B$1)</f>
        <v>1228</v>
      </c>
      <c r="O94" s="55">
        <f>_xll.EQNXTDZ($A$1,$B94,O$5,$B$1)</f>
        <v>0</v>
      </c>
      <c r="P94" s="55">
        <f>_xll.EQNXTDZ($A$1,$B94,P$5,$B$1)</f>
        <v>1868</v>
      </c>
      <c r="Q94" s="55">
        <f>_xll.EQNXTDZ($A$1,$B94,Q$5,$B$1)</f>
        <v>0</v>
      </c>
      <c r="R94" s="55">
        <f>_xll.EQNXTDZ($A$1,$B94,R$5,$B$1)</f>
        <v>1403</v>
      </c>
      <c r="S94" s="55">
        <f>_xll.EQNXTDZ($A$1,$B94,S$5,$B$1)</f>
        <v>0</v>
      </c>
      <c r="T94" s="55">
        <f>_xll.EQNXTDZ($A$1,$B94,T$5,$B$1)</f>
        <v>1849</v>
      </c>
      <c r="U94" s="55">
        <f>_xll.EQNXTDZ($A$1,$B94,U$5,$B$1)</f>
        <v>0</v>
      </c>
      <c r="V94" s="55">
        <f>_xll.EQNXTDZ($A$1,$B94,V$5,$B$1)</f>
        <v>2141</v>
      </c>
      <c r="W94" s="55">
        <f>_xll.EQNXTDZ($A$1,$B94,W$5,$B$1)</f>
        <v>0</v>
      </c>
      <c r="X94" s="55">
        <f>_xll.EQNXTDZ($A$1,$B94,X$5,$B$1)</f>
        <v>2092</v>
      </c>
      <c r="Y94" s="55">
        <f>_xll.EQNXTDZ($A$1,$B94,Y$5,$B$1)</f>
        <v>0</v>
      </c>
      <c r="Z94" s="55">
        <f>_xll.EQNXTDZ($A$1,$B94,Z$5,$B$1)</f>
        <v>60</v>
      </c>
      <c r="AA94" s="55">
        <f>_xll.EQNXTDZ($A$1,$B94,AA$5,$B$1)</f>
        <v>0</v>
      </c>
      <c r="AB94" s="55">
        <f>_xll.EQNXTDZ($A$1,$B94,AB$5,$B$1)</f>
        <v>-147</v>
      </c>
      <c r="AC94" s="55">
        <f>_xll.EQNXTDZ($A$1,$B94,AC$5,$B$1)</f>
        <v>0</v>
      </c>
      <c r="AD94" s="55">
        <f>_xll.EQNXTDZ($A$1,$B94,AD$5,$B$1)</f>
        <v>-128</v>
      </c>
      <c r="AE94" s="55">
        <f>_xll.EQNXTDZ($A$1,$B94,AE$5,$B$1)</f>
        <v>0</v>
      </c>
      <c r="AF94" s="55">
        <f>_xll.EQNXTDZ($A$1,$B94,AF$5,$B$1)</f>
        <v>430</v>
      </c>
      <c r="AG94" s="55">
        <f>_xll.EQNXTDZ($A$1,$B94,AG$5,$B$1)</f>
        <v>0</v>
      </c>
      <c r="AH94" s="55">
        <f>_xll.EQNXTDZ($A$1,$B94,AH$5,$B$1)</f>
        <v>-473</v>
      </c>
      <c r="AI94" s="55">
        <f>_xll.EQNXTDZ($A$1,$B94,AI$5,$B$1)</f>
        <v>0</v>
      </c>
      <c r="AJ94" s="55">
        <f>_xll.EQNXTDZ($A$1,$B94,AJ$5,$B$1)</f>
        <v>841</v>
      </c>
      <c r="AK94" s="55">
        <f>_xll.EQNXTDZ($A$1,$B94,AK$5,$B$1)</f>
        <v>0</v>
      </c>
      <c r="AL94" s="55">
        <f>_xll.EQNXTDZ($A$1,$B94,AL$5,$B$1)</f>
        <v>631</v>
      </c>
      <c r="AM94" s="55">
        <f>_xll.EQNXTDZ($A$1,$B94,AM$5,$B$1)</f>
        <v>0</v>
      </c>
      <c r="AN94" s="55">
        <f>_xll.EQNXTDZ($A$1,$B94,AN$5,$B$1)</f>
        <v>792</v>
      </c>
      <c r="AO94" s="55">
        <f>_xll.EQNXTDZ($A$1,$B94,AO$5,$B$1)</f>
        <v>0</v>
      </c>
      <c r="AP94" s="55">
        <f>_xll.EQNXTDZ($A$1,$B94,AP$5,$B$1)</f>
        <v>750</v>
      </c>
      <c r="AQ94" s="55">
        <f>_xll.EQNXTDZ($A$1,$B94,AQ$5,$B$1)</f>
        <v>0</v>
      </c>
      <c r="AR94" s="55">
        <f>_xll.EQNXTDZ($A$1,$B94,AR$5,$B$1)</f>
        <v>1268</v>
      </c>
      <c r="AS94" s="55">
        <f>_xll.EQNXTDZ($A$1,$B94,AS$5,$B$1)</f>
        <v>0</v>
      </c>
      <c r="AT94" s="55">
        <f>_xll.EQNXTDZ($A$1,$B94,AT$5,$B$1)</f>
        <v>-133</v>
      </c>
      <c r="AU94" s="55">
        <f>_xll.EQNXTDZ($A$1,$B94,AU$5,$B$1)</f>
        <v>0</v>
      </c>
      <c r="AV94" s="55">
        <f>_xll.EQNXTDZ($A$1,$B94,AV$5,$B$1)</f>
        <v>374</v>
      </c>
      <c r="AW94" s="55">
        <f>_xll.EQNXTDZ($A$1,$B94,AW$5,$B$1)</f>
        <v>0</v>
      </c>
      <c r="AX94" s="55">
        <f>_xll.EQNXTDZ($A$1,$B94,AX$5,$B$1)</f>
        <v>185</v>
      </c>
      <c r="AY94" s="55">
        <f>_xll.EQNXTDZ($A$1,$B94,AY$5,$B$1)</f>
        <v>0</v>
      </c>
      <c r="AZ94" s="55">
        <f>_xll.EQNXTDZ($A$1,$B94,AZ$5,$B$1)</f>
        <v>1032</v>
      </c>
      <c r="BA94" s="55">
        <f>_xll.EQNXTDZ($A$1,$B94,BA$5,$B$1)</f>
        <v>0</v>
      </c>
      <c r="BB94" s="55">
        <f>_xll.EQNXTDZ($A$1,$B94,BB$5,$B$1)</f>
        <v>906</v>
      </c>
      <c r="BC94" s="55">
        <f>_xll.EQNXTDZ($A$1,$B94,BC$5,$B$1)</f>
        <v>0</v>
      </c>
      <c r="BD94" s="55">
        <f>_xll.EQNXTDZ($A$1,$B94,BD$5,$B$1)</f>
        <v>1736</v>
      </c>
      <c r="BE94" s="55">
        <f>_xll.EQNXTDZ($A$1,$B94,BE$5,$B$1)</f>
        <v>0</v>
      </c>
      <c r="BF94" s="55">
        <f>_xll.EQNXTDZ($A$1,$B94,BF$5,$B$1)</f>
        <v>1049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-49.33</v>
      </c>
      <c r="E96" s="55">
        <f>_xll.EQNXTDZ($A$1,$B96,E$5,$B$1)</f>
        <v>0</v>
      </c>
      <c r="F96" s="55">
        <f>_xll.EQNXTDZ($A$1,$B96,F$5,$B$1)</f>
        <v>-26</v>
      </c>
      <c r="G96" s="55">
        <f>_xll.EQNXTDZ($A$1,$B96,G$5,$B$1)</f>
        <v>0</v>
      </c>
      <c r="H96" s="55">
        <f>_xll.EQNXTDZ($A$1,$B96,H$5,$B$1)</f>
        <v>-13</v>
      </c>
      <c r="I96" s="55">
        <f>_xll.EQNXTDZ($A$1,$B96,I$5,$B$1)</f>
        <v>0</v>
      </c>
      <c r="J96" s="55">
        <f>_xll.EQNXTDZ($A$1,$B96,J$5,$B$1)</f>
        <v>19</v>
      </c>
      <c r="K96" s="55">
        <f>_xll.EQNXTDZ($A$1,$B96,K$5,$B$1)</f>
        <v>0</v>
      </c>
      <c r="L96" s="55">
        <f>_xll.EQNXTDZ($A$1,$B96,L$5,$B$1)</f>
        <v>-22</v>
      </c>
      <c r="M96" s="55">
        <f>_xll.EQNXTDZ($A$1,$B96,M$5,$B$1)</f>
        <v>0</v>
      </c>
      <c r="N96" s="55">
        <f>_xll.EQNXTDZ($A$1,$B96,N$5,$B$1)</f>
        <v>-105</v>
      </c>
      <c r="O96" s="55">
        <f>_xll.EQNXTDZ($A$1,$B96,O$5,$B$1)</f>
        <v>0</v>
      </c>
      <c r="P96" s="55">
        <f>_xll.EQNXTDZ($A$1,$B96,P$5,$B$1)</f>
        <v>-114</v>
      </c>
      <c r="Q96" s="55">
        <f>_xll.EQNXTDZ($A$1,$B96,Q$5,$B$1)</f>
        <v>0</v>
      </c>
      <c r="R96" s="55">
        <f>_xll.EQNXTDZ($A$1,$B96,R$5,$B$1)</f>
        <v>111</v>
      </c>
      <c r="S96" s="55">
        <f>_xll.EQNXTDZ($A$1,$B96,S$5,$B$1)</f>
        <v>0</v>
      </c>
      <c r="T96" s="55">
        <f>_xll.EQNXTDZ($A$1,$B96,T$5,$B$1)</f>
        <v>162</v>
      </c>
      <c r="U96" s="55">
        <f>_xll.EQNXTDZ($A$1,$B96,U$5,$B$1)</f>
        <v>0</v>
      </c>
      <c r="V96" s="55">
        <f>_xll.EQNXTDZ($A$1,$B96,V$5,$B$1)</f>
        <v>209</v>
      </c>
      <c r="W96" s="55">
        <f>_xll.EQNXTDZ($A$1,$B96,W$5,$B$1)</f>
        <v>0</v>
      </c>
      <c r="X96" s="55">
        <f>_xll.EQNXTDZ($A$1,$B96,X$5,$B$1)</f>
        <v>216</v>
      </c>
      <c r="Y96" s="55">
        <f>_xll.EQNXTDZ($A$1,$B96,Y$5,$B$1)</f>
        <v>0</v>
      </c>
      <c r="Z96" s="55">
        <f>_xll.EQNXTDZ($A$1,$B96,Z$5,$B$1)</f>
        <v>276</v>
      </c>
      <c r="AA96" s="55">
        <f>_xll.EQNXTDZ($A$1,$B96,AA$5,$B$1)</f>
        <v>0</v>
      </c>
      <c r="AB96" s="55">
        <f>_xll.EQNXTDZ($A$1,$B96,AB$5,$B$1)</f>
        <v>378</v>
      </c>
      <c r="AC96" s="55">
        <f>_xll.EQNXTDZ($A$1,$B96,AC$5,$B$1)</f>
        <v>0</v>
      </c>
      <c r="AD96" s="55">
        <f>_xll.EQNXTDZ($A$1,$B96,AD$5,$B$1)</f>
        <v>363</v>
      </c>
      <c r="AE96" s="55">
        <f>_xll.EQNXTDZ($A$1,$B96,AE$5,$B$1)</f>
        <v>0</v>
      </c>
      <c r="AF96" s="55">
        <f>_xll.EQNXTDZ($A$1,$B96,AF$5,$B$1)</f>
        <v>407</v>
      </c>
      <c r="AG96" s="55">
        <f>_xll.EQNXTDZ($A$1,$B96,AG$5,$B$1)</f>
        <v>0</v>
      </c>
      <c r="AH96" s="55">
        <f>_xll.EQNXTDZ($A$1,$B96,AH$5,$B$1)</f>
        <v>433</v>
      </c>
      <c r="AI96" s="55">
        <f>_xll.EQNXTDZ($A$1,$B96,AI$5,$B$1)</f>
        <v>0</v>
      </c>
      <c r="AJ96" s="55">
        <f>_xll.EQNXTDZ($A$1,$B96,AJ$5,$B$1)</f>
        <v>386</v>
      </c>
      <c r="AK96" s="55">
        <f>_xll.EQNXTDZ($A$1,$B96,AK$5,$B$1)</f>
        <v>0</v>
      </c>
      <c r="AL96" s="55">
        <f>_xll.EQNXTDZ($A$1,$B96,AL$5,$B$1)</f>
        <v>421</v>
      </c>
      <c r="AM96" s="55">
        <f>_xll.EQNXTDZ($A$1,$B96,AM$5,$B$1)</f>
        <v>0</v>
      </c>
      <c r="AN96" s="55">
        <f>_xll.EQNXTDZ($A$1,$B96,AN$5,$B$1)</f>
        <v>319</v>
      </c>
      <c r="AO96" s="55">
        <f>_xll.EQNXTDZ($A$1,$B96,AO$5,$B$1)</f>
        <v>0</v>
      </c>
      <c r="AP96" s="55">
        <f>_xll.EQNXTDZ($A$1,$B96,AP$5,$B$1)</f>
        <v>300</v>
      </c>
      <c r="AQ96" s="55">
        <f>_xll.EQNXTDZ($A$1,$B96,AQ$5,$B$1)</f>
        <v>0</v>
      </c>
      <c r="AR96" s="55">
        <f>_xll.EQNXTDZ($A$1,$B96,AR$5,$B$1)</f>
        <v>217</v>
      </c>
      <c r="AS96" s="55">
        <f>_xll.EQNXTDZ($A$1,$B96,AS$5,$B$1)</f>
        <v>0</v>
      </c>
      <c r="AT96" s="55">
        <f>_xll.EQNXTDZ($A$1,$B96,AT$5,$B$1)</f>
        <v>142</v>
      </c>
      <c r="AU96" s="55">
        <f>_xll.EQNXTDZ($A$1,$B96,AU$5,$B$1)</f>
        <v>0</v>
      </c>
      <c r="AV96" s="55">
        <f>_xll.EQNXTDZ($A$1,$B96,AV$5,$B$1)</f>
        <v>16</v>
      </c>
      <c r="AW96" s="55">
        <f>_xll.EQNXTDZ($A$1,$B96,AW$5,$B$1)</f>
        <v>0</v>
      </c>
      <c r="AX96" s="55">
        <f>_xll.EQNXTDZ($A$1,$B96,AX$5,$B$1)</f>
        <v>-101</v>
      </c>
      <c r="AY96" s="55">
        <f>_xll.EQNXTDZ($A$1,$B96,AY$5,$B$1)</f>
        <v>0</v>
      </c>
      <c r="AZ96" s="55">
        <f>_xll.EQNXTDZ($A$1,$B96,AZ$5,$B$1)</f>
        <v>-212</v>
      </c>
      <c r="BA96" s="55">
        <f>_xll.EQNXTDZ($A$1,$B96,BA$5,$B$1)</f>
        <v>0</v>
      </c>
      <c r="BB96" s="55">
        <f>_xll.EQNXTDZ($A$1,$B96,BB$5,$B$1)</f>
        <v>-234</v>
      </c>
      <c r="BC96" s="55">
        <f>_xll.EQNXTDZ($A$1,$B96,BC$5,$B$1)</f>
        <v>0</v>
      </c>
      <c r="BD96" s="55">
        <f>_xll.EQNXTDZ($A$1,$B96,BD$5,$B$1)</f>
        <v>-132</v>
      </c>
      <c r="BE96" s="55">
        <f>_xll.EQNXTDZ($A$1,$B96,BE$5,$B$1)</f>
        <v>0</v>
      </c>
      <c r="BF96" s="55">
        <f>_xll.EQNXTDZ($A$1,$B96,BF$5,$B$1)</f>
        <v>-4972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1815.02</v>
      </c>
      <c r="E97" s="55">
        <f>_xll.EQNXTDZ($A$1,$B97,E$5,$B$1)</f>
        <v>0</v>
      </c>
      <c r="F97" s="55">
        <f>_xll.EQNXTDZ($A$1,$B97,F$5,$B$1)</f>
        <v>2017</v>
      </c>
      <c r="G97" s="55">
        <f>_xll.EQNXTDZ($A$1,$B97,G$5,$B$1)</f>
        <v>0</v>
      </c>
      <c r="H97" s="55">
        <f>_xll.EQNXTDZ($A$1,$B97,H$5,$B$1)</f>
        <v>2080</v>
      </c>
      <c r="I97" s="55">
        <f>_xll.EQNXTDZ($A$1,$B97,I$5,$B$1)</f>
        <v>0</v>
      </c>
      <c r="J97" s="55">
        <f>_xll.EQNXTDZ($A$1,$B97,J$5,$B$1)</f>
        <v>2848</v>
      </c>
      <c r="K97" s="55">
        <f>_xll.EQNXTDZ($A$1,$B97,K$5,$B$1)</f>
        <v>0</v>
      </c>
      <c r="L97" s="55">
        <f>_xll.EQNXTDZ($A$1,$B97,L$5,$B$1)</f>
        <v>4689</v>
      </c>
      <c r="M97" s="55">
        <f>_xll.EQNXTDZ($A$1,$B97,M$5,$B$1)</f>
        <v>0</v>
      </c>
      <c r="N97" s="55">
        <f>_xll.EQNXTDZ($A$1,$B97,N$5,$B$1)</f>
        <v>4891</v>
      </c>
      <c r="O97" s="55">
        <f>_xll.EQNXTDZ($A$1,$B97,O$5,$B$1)</f>
        <v>0</v>
      </c>
      <c r="P97" s="55">
        <f>_xll.EQNXTDZ($A$1,$B97,P$5,$B$1)</f>
        <v>5933</v>
      </c>
      <c r="Q97" s="55">
        <f>_xll.EQNXTDZ($A$1,$B97,Q$5,$B$1)</f>
        <v>0</v>
      </c>
      <c r="R97" s="55">
        <f>_xll.EQNXTDZ($A$1,$B97,R$5,$B$1)</f>
        <v>5600</v>
      </c>
      <c r="S97" s="55">
        <f>_xll.EQNXTDZ($A$1,$B97,S$5,$B$1)</f>
        <v>0</v>
      </c>
      <c r="T97" s="55">
        <f>_xll.EQNXTDZ($A$1,$B97,T$5,$B$1)</f>
        <v>6342</v>
      </c>
      <c r="U97" s="55">
        <f>_xll.EQNXTDZ($A$1,$B97,U$5,$B$1)</f>
        <v>0</v>
      </c>
      <c r="V97" s="55">
        <f>_xll.EQNXTDZ($A$1,$B97,V$5,$B$1)</f>
        <v>6863</v>
      </c>
      <c r="W97" s="55">
        <f>_xll.EQNXTDZ($A$1,$B97,W$5,$B$1)</f>
        <v>0</v>
      </c>
      <c r="X97" s="55">
        <f>_xll.EQNXTDZ($A$1,$B97,X$5,$B$1)</f>
        <v>6926</v>
      </c>
      <c r="Y97" s="55">
        <f>_xll.EQNXTDZ($A$1,$B97,Y$5,$B$1)</f>
        <v>0</v>
      </c>
      <c r="Z97" s="55">
        <f>_xll.EQNXTDZ($A$1,$B97,Z$5,$B$1)</f>
        <v>9041</v>
      </c>
      <c r="AA97" s="55">
        <f>_xll.EQNXTDZ($A$1,$B97,AA$5,$B$1)</f>
        <v>0</v>
      </c>
      <c r="AB97" s="55">
        <f>_xll.EQNXTDZ($A$1,$B97,AB$5,$B$1)</f>
        <v>9131</v>
      </c>
      <c r="AC97" s="55">
        <f>_xll.EQNXTDZ($A$1,$B97,AC$5,$B$1)</f>
        <v>0</v>
      </c>
      <c r="AD97" s="55">
        <f>_xll.EQNXTDZ($A$1,$B97,AD$5,$B$1)</f>
        <v>8948</v>
      </c>
      <c r="AE97" s="55">
        <f>_xll.EQNXTDZ($A$1,$B97,AE$5,$B$1)</f>
        <v>0</v>
      </c>
      <c r="AF97" s="55">
        <f>_xll.EQNXTDZ($A$1,$B97,AF$5,$B$1)</f>
        <v>9371</v>
      </c>
      <c r="AG97" s="55">
        <f>_xll.EQNXTDZ($A$1,$B97,AG$5,$B$1)</f>
        <v>0</v>
      </c>
      <c r="AH97" s="55">
        <f>_xll.EQNXTDZ($A$1,$B97,AH$5,$B$1)</f>
        <v>8556</v>
      </c>
      <c r="AI97" s="55">
        <f>_xll.EQNXTDZ($A$1,$B97,AI$5,$B$1)</f>
        <v>0</v>
      </c>
      <c r="AJ97" s="55">
        <f>_xll.EQNXTDZ($A$1,$B97,AJ$5,$B$1)</f>
        <v>9595</v>
      </c>
      <c r="AK97" s="55">
        <f>_xll.EQNXTDZ($A$1,$B97,AK$5,$B$1)</f>
        <v>0</v>
      </c>
      <c r="AL97" s="55">
        <f>_xll.EQNXTDZ($A$1,$B97,AL$5,$B$1)</f>
        <v>9184</v>
      </c>
      <c r="AM97" s="55">
        <f>_xll.EQNXTDZ($A$1,$B97,AM$5,$B$1)</f>
        <v>0</v>
      </c>
      <c r="AN97" s="55">
        <f>_xll.EQNXTDZ($A$1,$B97,AN$5,$B$1)</f>
        <v>9033</v>
      </c>
      <c r="AO97" s="55">
        <f>_xll.EQNXTDZ($A$1,$B97,AO$5,$B$1)</f>
        <v>0</v>
      </c>
      <c r="AP97" s="55">
        <f>_xll.EQNXTDZ($A$1,$B97,AP$5,$B$1)</f>
        <v>8491</v>
      </c>
      <c r="AQ97" s="55">
        <f>_xll.EQNXTDZ($A$1,$B97,AQ$5,$B$1)</f>
        <v>0</v>
      </c>
      <c r="AR97" s="55">
        <f>_xll.EQNXTDZ($A$1,$B97,AR$5,$B$1)</f>
        <v>8965</v>
      </c>
      <c r="AS97" s="55">
        <f>_xll.EQNXTDZ($A$1,$B97,AS$5,$B$1)</f>
        <v>0</v>
      </c>
      <c r="AT97" s="55">
        <f>_xll.EQNXTDZ($A$1,$B97,AT$5,$B$1)</f>
        <v>9163</v>
      </c>
      <c r="AU97" s="55">
        <f>_xll.EQNXTDZ($A$1,$B97,AU$5,$B$1)</f>
        <v>0</v>
      </c>
      <c r="AV97" s="55">
        <f>_xll.EQNXTDZ($A$1,$B97,AV$5,$B$1)</f>
        <v>9286</v>
      </c>
      <c r="AW97" s="55">
        <f>_xll.EQNXTDZ($A$1,$B97,AW$5,$B$1)</f>
        <v>0</v>
      </c>
      <c r="AX97" s="55">
        <f>_xll.EQNXTDZ($A$1,$B97,AX$5,$B$1)</f>
        <v>8979</v>
      </c>
      <c r="AY97" s="55">
        <f>_xll.EQNXTDZ($A$1,$B97,AY$5,$B$1)</f>
        <v>0</v>
      </c>
      <c r="AZ97" s="55">
        <f>_xll.EQNXTDZ($A$1,$B97,AZ$5,$B$1)</f>
        <v>9448</v>
      </c>
      <c r="BA97" s="55">
        <f>_xll.EQNXTDZ($A$1,$B97,BA$5,$B$1)</f>
        <v>0</v>
      </c>
      <c r="BB97" s="55">
        <f>_xll.EQNXTDZ($A$1,$B97,BB$5,$B$1)</f>
        <v>9444</v>
      </c>
      <c r="BC97" s="55">
        <f>_xll.EQNXTDZ($A$1,$B97,BC$5,$B$1)</f>
        <v>0</v>
      </c>
      <c r="BD97" s="55">
        <f>_xll.EQNXTDZ($A$1,$B97,BD$5,$B$1)</f>
        <v>10295</v>
      </c>
      <c r="BE97" s="55">
        <f>_xll.EQNXTDZ($A$1,$B97,BE$5,$B$1)</f>
        <v>0</v>
      </c>
      <c r="BF97" s="55">
        <f>_xll.EQNXTDZ($A$1,$B97,BF$5,$B$1)</f>
        <v>30299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100420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Torrent Pharmaceuticals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405.85</v>
      </c>
      <c r="D6" s="100">
        <f>_xll.EQNXTDZ($A$1,$B6,D$1,$B$1)</f>
        <v>444.5752</v>
      </c>
      <c r="E6" s="100">
        <f>_xll.EQNXTDZ($A$1,$B6,E$1,$B$1)</f>
        <v>450.9452</v>
      </c>
      <c r="F6" s="100">
        <f>_xll.EQNXTDZ($A$1,$B6,F$1,$B$1)</f>
        <v>509.7013</v>
      </c>
      <c r="G6" s="100">
        <f>_xll.EQNXTDZ($A$1,$B6,G$1,$B$1)</f>
        <v>597.33439999999996</v>
      </c>
      <c r="H6" s="100">
        <f>_xll.EQNXTDZ($A$1,$B6,H$1,$B$1)</f>
        <v>1031.4306999999999</v>
      </c>
      <c r="I6" s="100">
        <f>_xll.EQNXTDZ($A$1,$B6,I$1,$B$1)</f>
        <v>1327.0316</v>
      </c>
      <c r="J6" s="100">
        <f>_xll.EQNXTDZ($A$1,$B6,J$1,$B$1)</f>
        <v>1378.8572999999999</v>
      </c>
      <c r="K6" s="100">
        <f>_xll.EQNXTDZ($A$1,$B6,K$1,$B$1)</f>
        <v>1661.0372</v>
      </c>
      <c r="L6" s="100">
        <f>_xll.EQNXTDZ($A$1,$B6,L$1,$B$1)</f>
        <v>1950.4135000000001</v>
      </c>
      <c r="M6" s="100">
        <f>_xll.EQNXTDZ($A$1,$B6,M$1,$B$1)</f>
        <v>2201.0567000000001</v>
      </c>
      <c r="N6" s="100">
        <f>_xll.EQNXTDZ($A$1,$B6,N$1,$B$1)</f>
        <v>2700.72</v>
      </c>
      <c r="O6" s="100">
        <f>_xll.EQNXTDZ($A$1,$B6,O$1,$B$1)</f>
        <v>3218.24</v>
      </c>
      <c r="P6" s="100">
        <f>_xll.EQNXTDZ($A$1,$B6,P$1,$B$1)</f>
        <v>4192.1000000000004</v>
      </c>
      <c r="Q6" s="100">
        <f>_xll.EQNXTDZ($A$1,$B6,Q$1,$B$1)</f>
        <v>4661.33</v>
      </c>
      <c r="R6" s="100">
        <f>_xll.EQNXTDZ($A$1,$B6,R$1,$B$1)</f>
        <v>6686.93</v>
      </c>
      <c r="S6" s="100">
        <f>_xll.EQNXTDZ($A$1,$B6,S$1,$B$1)</f>
        <v>5856.92</v>
      </c>
      <c r="T6" s="100">
        <f>_xll.EQNXTDZ($A$1,$B6,T$1,$B$1)</f>
        <v>11255.81</v>
      </c>
      <c r="U6" s="100">
        <f>_xll.EQNXTDZ($A$1,$B6,U$1,$B$1)</f>
        <v>14527.33</v>
      </c>
      <c r="V6" s="100">
        <f>_xll.EQNXTDZ($A$1,$B6,V$1,$B$1)</f>
        <v>14953.48</v>
      </c>
      <c r="W6" s="100">
        <f>_xll.EQNXTDZ($A$1,$B6,W$1,$B$1)</f>
        <v>14878.35</v>
      </c>
      <c r="X6" s="100">
        <f>_xll.EQNXTDZ($A$1,$B6,X$1,$B$1)</f>
        <v>15211.13</v>
      </c>
      <c r="Y6" s="100">
        <f>_xll.EQNXTDZ($A$1,$B6,Y$1,$B$1)</f>
        <v>16320.65</v>
      </c>
      <c r="Z6" s="100">
        <f>_xll.EQNXTDZ($A$1,$B6,Z$1,$B$1)</f>
        <v>16705.39</v>
      </c>
      <c r="AA6" s="100">
        <f>_xll.EQNXTDZ($A$1,$B6,AA$1,$B$1)</f>
        <v>16853.82</v>
      </c>
      <c r="AB6" s="100">
        <f>_xll.EQNXTDZ($A$1,$B6,AB$1,$B$1)</f>
        <v>19680.7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5305.98</v>
      </c>
      <c r="U8" s="100">
        <f>_xll.EQNXTDZ($A$1,$B8,U$1,$B$1)</f>
        <v>6854.53</v>
      </c>
      <c r="V8" s="100">
        <f>_xll.EQNXTDZ($A$1,$B8,V$1,$B$1)</f>
        <v>7014.17</v>
      </c>
      <c r="W8" s="100">
        <f>_xll.EQNXTDZ($A$1,$B8,W$1,$B$1)</f>
        <v>6873.78</v>
      </c>
      <c r="X8" s="100">
        <f>_xll.EQNXTDZ($A$1,$B8,X$1,$B$1)</f>
        <v>6703.09</v>
      </c>
      <c r="Y8" s="100">
        <f>_xll.EQNXTDZ($A$1,$B8,Y$1,$B$1)</f>
        <v>6700.5</v>
      </c>
      <c r="Z8" s="100">
        <f>_xll.EQNXTDZ($A$1,$B8,Z$1,$B$1)</f>
        <v>5977.55</v>
      </c>
      <c r="AA8" s="100">
        <f>_xll.EQNXTDZ($A$1,$B8,AA$1,$B$1)</f>
        <v>5337.73</v>
      </c>
      <c r="AB8" s="100">
        <f>_xll.EQNXTDZ($A$1,$B8,AB$1,$B$1)</f>
        <v>5700.97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40.136299999999999</v>
      </c>
      <c r="D9" s="100">
        <f>_xll.EQNXTDZ($A$1,$B9,D$1,$B$1)</f>
        <v>41.900799999999997</v>
      </c>
      <c r="E9" s="100">
        <f>_xll.EQNXTDZ($A$1,$B9,E$1,$B$1)</f>
        <v>45.348100000000002</v>
      </c>
      <c r="F9" s="100">
        <f>_xll.EQNXTDZ($A$1,$B9,F$1,$B$1)</f>
        <v>50.368099999999998</v>
      </c>
      <c r="G9" s="100">
        <f>_xll.EQNXTDZ($A$1,$B9,G$1,$B$1)</f>
        <v>49.581699999999998</v>
      </c>
      <c r="H9" s="100">
        <f>_xll.EQNXTDZ($A$1,$B9,H$1,$B$1)</f>
        <v>64.268299999999996</v>
      </c>
      <c r="I9" s="100">
        <f>_xll.EQNXTDZ($A$1,$B9,I$1,$B$1)</f>
        <v>28.246200000000002</v>
      </c>
      <c r="J9" s="100">
        <f>_xll.EQNXTDZ($A$1,$B9,J$1,$B$1)</f>
        <v>24.009</v>
      </c>
      <c r="K9" s="100">
        <f>_xll.EQNXTDZ($A$1,$B9,K$1,$B$1)</f>
        <v>30.3796</v>
      </c>
      <c r="L9" s="100">
        <f>_xll.EQNXTDZ($A$1,$B9,L$1,$B$1)</f>
        <v>34.375700000000002</v>
      </c>
      <c r="M9" s="100">
        <f>_xll.EQNXTDZ($A$1,$B9,M$1,$B$1)</f>
        <v>3.2641</v>
      </c>
      <c r="N9" s="100">
        <f>_xll.EQNXTDZ($A$1,$B9,N$1,$B$1)</f>
        <v>4.8</v>
      </c>
      <c r="O9" s="100">
        <f>_xll.EQNXTDZ($A$1,$B9,O$1,$B$1)</f>
        <v>7.1</v>
      </c>
      <c r="P9" s="100">
        <f>_xll.EQNXTDZ($A$1,$B9,P$1,$B$1)</f>
        <v>7.38</v>
      </c>
      <c r="Q9" s="100">
        <f>_xll.EQNXTDZ($A$1,$B9,Q$1,$B$1)</f>
        <v>7.88</v>
      </c>
      <c r="R9" s="100">
        <f>_xll.EQNXTDZ($A$1,$B9,R$1,$B$1)</f>
        <v>20.079999999999998</v>
      </c>
      <c r="S9" s="100">
        <f>_xll.EQNXTDZ($A$1,$B9,S$1,$B$1)</f>
        <v>41.23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365.71370000000002</v>
      </c>
      <c r="D10" s="100">
        <f>_xll.EQNXTDZ($A$1,$B10,D$1,$B$1)</f>
        <v>402.67439999999999</v>
      </c>
      <c r="E10" s="100">
        <f>_xll.EQNXTDZ($A$1,$B10,E$1,$B$1)</f>
        <v>405.59710000000001</v>
      </c>
      <c r="F10" s="100">
        <f>_xll.EQNXTDZ($A$1,$B10,F$1,$B$1)</f>
        <v>459.33319999999998</v>
      </c>
      <c r="G10" s="100">
        <f>_xll.EQNXTDZ($A$1,$B10,G$1,$B$1)</f>
        <v>547.7527</v>
      </c>
      <c r="H10" s="100">
        <f>_xll.EQNXTDZ($A$1,$B10,H$1,$B$1)</f>
        <v>967.16240000000005</v>
      </c>
      <c r="I10" s="100">
        <f>_xll.EQNXTDZ($A$1,$B10,I$1,$B$1)</f>
        <v>1298.7854</v>
      </c>
      <c r="J10" s="100">
        <f>_xll.EQNXTDZ($A$1,$B10,J$1,$B$1)</f>
        <v>1354.8483000000001</v>
      </c>
      <c r="K10" s="100">
        <f>_xll.EQNXTDZ($A$1,$B10,K$1,$B$1)</f>
        <v>1630.6576</v>
      </c>
      <c r="L10" s="100">
        <f>_xll.EQNXTDZ($A$1,$B10,L$1,$B$1)</f>
        <v>1916.0378000000001</v>
      </c>
      <c r="M10" s="100">
        <f>_xll.EQNXTDZ($A$1,$B10,M$1,$B$1)</f>
        <v>2197.7926000000002</v>
      </c>
      <c r="N10" s="100">
        <f>_xll.EQNXTDZ($A$1,$B10,N$1,$B$1)</f>
        <v>2695.92</v>
      </c>
      <c r="O10" s="100">
        <f>_xll.EQNXTDZ($A$1,$B10,O$1,$B$1)</f>
        <v>3211.14</v>
      </c>
      <c r="P10" s="100">
        <f>_xll.EQNXTDZ($A$1,$B10,P$1,$B$1)</f>
        <v>4184.72</v>
      </c>
      <c r="Q10" s="100">
        <f>_xll.EQNXTDZ($A$1,$B10,Q$1,$B$1)</f>
        <v>4653.45</v>
      </c>
      <c r="R10" s="100">
        <f>_xll.EQNXTDZ($A$1,$B10,R$1,$B$1)</f>
        <v>6666.85</v>
      </c>
      <c r="S10" s="100">
        <f>_xll.EQNXTDZ($A$1,$B10,S$1,$B$1)</f>
        <v>5815.69</v>
      </c>
      <c r="T10" s="100">
        <f>_xll.EQNXTDZ($A$1,$B10,T$1,$B$1)</f>
        <v>5949.83</v>
      </c>
      <c r="U10" s="100">
        <f>_xll.EQNXTDZ($A$1,$B10,U$1,$B$1)</f>
        <v>7672.8</v>
      </c>
      <c r="V10" s="100">
        <f>_xll.EQNXTDZ($A$1,$B10,V$1,$B$1)</f>
        <v>7939.31</v>
      </c>
      <c r="W10" s="100">
        <f>_xll.EQNXTDZ($A$1,$B10,W$1,$B$1)</f>
        <v>8004.57</v>
      </c>
      <c r="X10" s="100">
        <f>_xll.EQNXTDZ($A$1,$B10,X$1,$B$1)</f>
        <v>8508.0400000000009</v>
      </c>
      <c r="Y10" s="100">
        <f>_xll.EQNXTDZ($A$1,$B10,Y$1,$B$1)</f>
        <v>9620.15</v>
      </c>
      <c r="Z10" s="100">
        <f>_xll.EQNXTDZ($A$1,$B10,Z$1,$B$1)</f>
        <v>10727.84</v>
      </c>
      <c r="AA10" s="100">
        <f>_xll.EQNXTDZ($A$1,$B10,AA$1,$B$1)</f>
        <v>11516.09</v>
      </c>
      <c r="AB10" s="100">
        <f>_xll.EQNXTDZ($A$1,$B10,AB$1,$B$1)</f>
        <v>13979.73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-14.6892</v>
      </c>
      <c r="D11" s="100">
        <f>_xll.EQNXTDZ($A$1,$B11,D$1,$B$1)</f>
        <v>7.2815000000000003</v>
      </c>
      <c r="E11" s="100">
        <f>_xll.EQNXTDZ($A$1,$B11,E$1,$B$1)</f>
        <v>-4.79</v>
      </c>
      <c r="F11" s="100">
        <f>_xll.EQNXTDZ($A$1,$B11,F$1,$B$1)</f>
        <v>-8.8986999999999998</v>
      </c>
      <c r="G11" s="100">
        <f>_xll.EQNXTDZ($A$1,$B11,G$1,$B$1)</f>
        <v>-20.8734</v>
      </c>
      <c r="H11" s="100">
        <f>_xll.EQNXTDZ($A$1,$B11,H$1,$B$1)</f>
        <v>-66.483000000000004</v>
      </c>
      <c r="I11" s="100">
        <f>_xll.EQNXTDZ($A$1,$B11,I$1,$B$1)</f>
        <v>-44.333799999999997</v>
      </c>
      <c r="J11" s="100">
        <f>_xll.EQNXTDZ($A$1,$B11,J$1,$B$1)</f>
        <v>29.129000000000001</v>
      </c>
      <c r="K11" s="100">
        <f>_xll.EQNXTDZ($A$1,$B11,K$1,$B$1)</f>
        <v>-19.664100000000001</v>
      </c>
      <c r="L11" s="100">
        <f>_xll.EQNXTDZ($A$1,$B11,L$1,$B$1)</f>
        <v>-19.877199999999998</v>
      </c>
      <c r="M11" s="100">
        <f>_xll.EQNXTDZ($A$1,$B11,M$1,$B$1)</f>
        <v>-124.0731</v>
      </c>
      <c r="N11" s="100">
        <f>_xll.EQNXTDZ($A$1,$B11,N$1,$B$1)</f>
        <v>-1.83</v>
      </c>
      <c r="O11" s="100">
        <f>_xll.EQNXTDZ($A$1,$B11,O$1,$B$1)</f>
        <v>-208.83</v>
      </c>
      <c r="P11" s="100">
        <f>_xll.EQNXTDZ($A$1,$B11,P$1,$B$1)</f>
        <v>-49.53</v>
      </c>
      <c r="Q11" s="100">
        <f>_xll.EQNXTDZ($A$1,$B11,Q$1,$B$1)</f>
        <v>-54.33</v>
      </c>
      <c r="R11" s="100">
        <f>_xll.EQNXTDZ($A$1,$B11,R$1,$B$1)</f>
        <v>-147.77000000000001</v>
      </c>
      <c r="S11" s="100">
        <f>_xll.EQNXTDZ($A$1,$B11,S$1,$B$1)</f>
        <v>-139.72999999999999</v>
      </c>
      <c r="T11" s="100">
        <f>_xll.EQNXTDZ($A$1,$B11,T$1,$B$1)</f>
        <v>-362.2</v>
      </c>
      <c r="U11" s="100">
        <f>_xll.EQNXTDZ($A$1,$B11,U$1,$B$1)</f>
        <v>83.44</v>
      </c>
      <c r="V11" s="100">
        <f>_xll.EQNXTDZ($A$1,$B11,V$1,$B$1)</f>
        <v>-133.13</v>
      </c>
      <c r="W11" s="100">
        <f>_xll.EQNXTDZ($A$1,$B11,W$1,$B$1)</f>
        <v>-279.24</v>
      </c>
      <c r="X11" s="100">
        <f>_xll.EQNXTDZ($A$1,$B11,X$1,$B$1)</f>
        <v>73.86</v>
      </c>
      <c r="Y11" s="100">
        <f>_xll.EQNXTDZ($A$1,$B11,Y$1,$B$1)</f>
        <v>166.19</v>
      </c>
      <c r="Z11" s="100">
        <f>_xll.EQNXTDZ($A$1,$B11,Z$1,$B$1)</f>
        <v>-155.01</v>
      </c>
      <c r="AA11" s="100">
        <f>_xll.EQNXTDZ($A$1,$B11,AA$1,$B$1)</f>
        <v>-274.92</v>
      </c>
      <c r="AB11" s="100">
        <f>_xll.EQNXTDZ($A$1,$B11,AB$1,$B$1)</f>
        <v>11.4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139.93790000000001</v>
      </c>
      <c r="D12" s="100">
        <f>_xll.EQNXTDZ($A$1,$B12,D$1,$B$1)</f>
        <v>136.38650000000001</v>
      </c>
      <c r="E12" s="100">
        <f>_xll.EQNXTDZ($A$1,$B12,E$1,$B$1)</f>
        <v>134.54470000000001</v>
      </c>
      <c r="F12" s="100">
        <f>_xll.EQNXTDZ($A$1,$B12,F$1,$B$1)</f>
        <v>157.995</v>
      </c>
      <c r="G12" s="100">
        <f>_xll.EQNXTDZ($A$1,$B12,G$1,$B$1)</f>
        <v>185.0677</v>
      </c>
      <c r="H12" s="100">
        <f>_xll.EQNXTDZ($A$1,$B12,H$1,$B$1)</f>
        <v>375.90190000000001</v>
      </c>
      <c r="I12" s="100">
        <f>_xll.EQNXTDZ($A$1,$B12,I$1,$B$1)</f>
        <v>454.50450000000001</v>
      </c>
      <c r="J12" s="100">
        <f>_xll.EQNXTDZ($A$1,$B12,J$1,$B$1)</f>
        <v>406.99439999999998</v>
      </c>
      <c r="K12" s="100">
        <f>_xll.EQNXTDZ($A$1,$B12,K$1,$B$1)</f>
        <v>507.22239999999999</v>
      </c>
      <c r="L12" s="100">
        <f>_xll.EQNXTDZ($A$1,$B12,L$1,$B$1)</f>
        <v>536.59299999999996</v>
      </c>
      <c r="M12" s="100">
        <f>_xll.EQNXTDZ($A$1,$B12,M$1,$B$1)</f>
        <v>740.70590000000004</v>
      </c>
      <c r="N12" s="100">
        <f>_xll.EQNXTDZ($A$1,$B12,N$1,$B$1)</f>
        <v>776.21</v>
      </c>
      <c r="O12" s="100">
        <f>_xll.EQNXTDZ($A$1,$B12,O$1,$B$1)</f>
        <v>1016.81</v>
      </c>
      <c r="P12" s="100">
        <f>_xll.EQNXTDZ($A$1,$B12,P$1,$B$1)</f>
        <v>1157.1099999999999</v>
      </c>
      <c r="Q12" s="100">
        <f>_xll.EQNXTDZ($A$1,$B12,Q$1,$B$1)</f>
        <v>1335.29</v>
      </c>
      <c r="R12" s="100">
        <f>_xll.EQNXTDZ($A$1,$B12,R$1,$B$1)</f>
        <v>1579.9</v>
      </c>
      <c r="S12" s="100">
        <f>_xll.EQNXTDZ($A$1,$B12,S$1,$B$1)</f>
        <v>1769.39</v>
      </c>
      <c r="T12" s="100">
        <f>_xll.EQNXTDZ($A$1,$B12,T$1,$B$1)</f>
        <v>1897.37</v>
      </c>
      <c r="U12" s="100">
        <f>_xll.EQNXTDZ($A$1,$B12,U$1,$B$1)</f>
        <v>1957.82</v>
      </c>
      <c r="V12" s="100">
        <f>_xll.EQNXTDZ($A$1,$B12,V$1,$B$1)</f>
        <v>2114.92</v>
      </c>
      <c r="W12" s="100">
        <f>_xll.EQNXTDZ($A$1,$B12,W$1,$B$1)</f>
        <v>2239.36</v>
      </c>
      <c r="X12" s="100">
        <f>_xll.EQNXTDZ($A$1,$B12,X$1,$B$1)</f>
        <v>2156.89</v>
      </c>
      <c r="Y12" s="100">
        <f>_xll.EQNXTDZ($A$1,$B12,Y$1,$B$1)</f>
        <v>2347.0100000000002</v>
      </c>
      <c r="Z12" s="100">
        <f>_xll.EQNXTDZ($A$1,$B12,Z$1,$B$1)</f>
        <v>2613.96</v>
      </c>
      <c r="AA12" s="100">
        <f>_xll.EQNXTDZ($A$1,$B12,AA$1,$B$1)</f>
        <v>2830.55</v>
      </c>
      <c r="AB12" s="100">
        <f>_xll.EQNXTDZ($A$1,$B12,AB$1,$B$1)</f>
        <v>3112.55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6.3925999999999998</v>
      </c>
      <c r="D13" s="100">
        <f>_xll.EQNXTDZ($A$1,$B13,D$1,$B$1)</f>
        <v>8.1631</v>
      </c>
      <c r="E13" s="100">
        <f>_xll.EQNXTDZ($A$1,$B13,E$1,$B$1)</f>
        <v>7.0617999999999999</v>
      </c>
      <c r="F13" s="100">
        <f>_xll.EQNXTDZ($A$1,$B13,F$1,$B$1)</f>
        <v>8.3989999999999991</v>
      </c>
      <c r="G13" s="100">
        <f>_xll.EQNXTDZ($A$1,$B13,G$1,$B$1)</f>
        <v>10.136900000000001</v>
      </c>
      <c r="H13" s="100">
        <f>_xll.EQNXTDZ($A$1,$B13,H$1,$B$1)</f>
        <v>15.428100000000001</v>
      </c>
      <c r="I13" s="100">
        <f>_xll.EQNXTDZ($A$1,$B13,I$1,$B$1)</f>
        <v>20.482399999999998</v>
      </c>
      <c r="J13" s="100">
        <f>_xll.EQNXTDZ($A$1,$B13,J$1,$B$1)</f>
        <v>21.134399999999999</v>
      </c>
      <c r="K13" s="100">
        <f>_xll.EQNXTDZ($A$1,$B13,K$1,$B$1)</f>
        <v>25.289000000000001</v>
      </c>
      <c r="L13" s="100">
        <f>_xll.EQNXTDZ($A$1,$B13,L$1,$B$1)</f>
        <v>27.3992</v>
      </c>
      <c r="M13" s="100">
        <f>_xll.EQNXTDZ($A$1,$B13,M$1,$B$1)</f>
        <v>42.534100000000002</v>
      </c>
      <c r="N13" s="100">
        <f>_xll.EQNXTDZ($A$1,$B13,N$1,$B$1)</f>
        <v>56.97</v>
      </c>
      <c r="O13" s="100">
        <f>_xll.EQNXTDZ($A$1,$B13,O$1,$B$1)</f>
        <v>62.8</v>
      </c>
      <c r="P13" s="100">
        <f>_xll.EQNXTDZ($A$1,$B13,P$1,$B$1)</f>
        <v>71.88</v>
      </c>
      <c r="Q13" s="100">
        <f>_xll.EQNXTDZ($A$1,$B13,Q$1,$B$1)</f>
        <v>97.41</v>
      </c>
      <c r="R13" s="100">
        <f>_xll.EQNXTDZ($A$1,$B13,R$1,$B$1)</f>
        <v>92.59</v>
      </c>
      <c r="S13" s="100">
        <f>_xll.EQNXTDZ($A$1,$B13,S$1,$B$1)</f>
        <v>107.98</v>
      </c>
      <c r="T13" s="100">
        <f>_xll.EQNXTDZ($A$1,$B13,T$1,$B$1)</f>
        <v>118.77</v>
      </c>
      <c r="U13" s="100">
        <f>_xll.EQNXTDZ($A$1,$B13,U$1,$B$1)</f>
        <v>132.46</v>
      </c>
      <c r="V13" s="100">
        <f>_xll.EQNXTDZ($A$1,$B13,V$1,$B$1)</f>
        <v>128.19</v>
      </c>
      <c r="W13" s="100">
        <f>_xll.EQNXTDZ($A$1,$B13,W$1,$B$1)</f>
        <v>122.94</v>
      </c>
      <c r="X13" s="100">
        <f>_xll.EQNXTDZ($A$1,$B13,X$1,$B$1)</f>
        <v>144.19</v>
      </c>
      <c r="Y13" s="100">
        <f>_xll.EQNXTDZ($A$1,$B13,Y$1,$B$1)</f>
        <v>155.28</v>
      </c>
      <c r="Z13" s="100">
        <f>_xll.EQNXTDZ($A$1,$B13,Z$1,$B$1)</f>
        <v>145.19999999999999</v>
      </c>
      <c r="AA13" s="100">
        <f>_xll.EQNXTDZ($A$1,$B13,AA$1,$B$1)</f>
        <v>137.34</v>
      </c>
      <c r="AB13" s="100">
        <f>_xll.EQNXTDZ($A$1,$B13,AB$1,$B$1)</f>
        <v>160.83000000000001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24.0549</v>
      </c>
      <c r="D14" s="100">
        <f>_xll.EQNXTDZ($A$1,$B14,D$1,$B$1)</f>
        <v>30.482700000000001</v>
      </c>
      <c r="E14" s="100">
        <f>_xll.EQNXTDZ($A$1,$B14,E$1,$B$1)</f>
        <v>41.108899999999998</v>
      </c>
      <c r="F14" s="100">
        <f>_xll.EQNXTDZ($A$1,$B14,F$1,$B$1)</f>
        <v>48.925199999999997</v>
      </c>
      <c r="G14" s="100">
        <f>_xll.EQNXTDZ($A$1,$B14,G$1,$B$1)</f>
        <v>81.293700000000001</v>
      </c>
      <c r="H14" s="100">
        <f>_xll.EQNXTDZ($A$1,$B14,H$1,$B$1)</f>
        <v>173.71170000000001</v>
      </c>
      <c r="I14" s="100">
        <f>_xll.EQNXTDZ($A$1,$B14,I$1,$B$1)</f>
        <v>244.23429999999999</v>
      </c>
      <c r="J14" s="100">
        <f>_xll.EQNXTDZ($A$1,$B14,J$1,$B$1)</f>
        <v>228.13919999999999</v>
      </c>
      <c r="K14" s="100">
        <f>_xll.EQNXTDZ($A$1,$B14,K$1,$B$1)</f>
        <v>250.38499999999999</v>
      </c>
      <c r="L14" s="100">
        <f>_xll.EQNXTDZ($A$1,$B14,L$1,$B$1)</f>
        <v>308.32850000000002</v>
      </c>
      <c r="M14" s="100">
        <f>_xll.EQNXTDZ($A$1,$B14,M$1,$B$1)</f>
        <v>440.43950000000001</v>
      </c>
      <c r="N14" s="100">
        <f>_xll.EQNXTDZ($A$1,$B14,N$1,$B$1)</f>
        <v>531.79999999999995</v>
      </c>
      <c r="O14" s="100">
        <f>_xll.EQNXTDZ($A$1,$B14,O$1,$B$1)</f>
        <v>623.29</v>
      </c>
      <c r="P14" s="100">
        <f>_xll.EQNXTDZ($A$1,$B14,P$1,$B$1)</f>
        <v>741.1</v>
      </c>
      <c r="Q14" s="100">
        <f>_xll.EQNXTDZ($A$1,$B14,Q$1,$B$1)</f>
        <v>841.81</v>
      </c>
      <c r="R14" s="100">
        <f>_xll.EQNXTDZ($A$1,$B14,R$1,$B$1)</f>
        <v>842.35</v>
      </c>
      <c r="S14" s="100">
        <f>_xll.EQNXTDZ($A$1,$B14,S$1,$B$1)</f>
        <v>993.41</v>
      </c>
      <c r="T14" s="100">
        <f>_xll.EQNXTDZ($A$1,$B14,T$1,$B$1)</f>
        <v>1135.25</v>
      </c>
      <c r="U14" s="100">
        <f>_xll.EQNXTDZ($A$1,$B14,U$1,$B$1)</f>
        <v>1403.79</v>
      </c>
      <c r="V14" s="100">
        <f>_xll.EQNXTDZ($A$1,$B14,V$1,$B$1)</f>
        <v>1429.04</v>
      </c>
      <c r="W14" s="100">
        <f>_xll.EQNXTDZ($A$1,$B14,W$1,$B$1)</f>
        <v>1439.62</v>
      </c>
      <c r="X14" s="100">
        <f>_xll.EQNXTDZ($A$1,$B14,X$1,$B$1)</f>
        <v>1526.45</v>
      </c>
      <c r="Y14" s="100">
        <f>_xll.EQNXTDZ($A$1,$B14,Y$1,$B$1)</f>
        <v>1677.69</v>
      </c>
      <c r="Z14" s="100">
        <f>_xll.EQNXTDZ($A$1,$B14,Z$1,$B$1)</f>
        <v>1984.4</v>
      </c>
      <c r="AA14" s="100">
        <f>_xll.EQNXTDZ($A$1,$B14,AA$1,$B$1)</f>
        <v>2203.37</v>
      </c>
      <c r="AB14" s="100">
        <f>_xll.EQNXTDZ($A$1,$B14,AB$1,$B$1)</f>
        <v>2670.85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46.896799999999999</v>
      </c>
      <c r="D15" s="100">
        <f>_xll.EQNXTDZ($A$1,$B15,D$1,$B$1)</f>
        <v>45.473500000000001</v>
      </c>
      <c r="E15" s="100">
        <f>_xll.EQNXTDZ($A$1,$B15,E$1,$B$1)</f>
        <v>52.138100000000001</v>
      </c>
      <c r="F15" s="100">
        <f>_xll.EQNXTDZ($A$1,$B15,F$1,$B$1)</f>
        <v>62.261200000000002</v>
      </c>
      <c r="G15" s="100">
        <f>_xll.EQNXTDZ($A$1,$B15,G$1,$B$1)</f>
        <v>88.773899999999998</v>
      </c>
      <c r="H15" s="100">
        <f>_xll.EQNXTDZ($A$1,$B15,H$1,$B$1)</f>
        <v>115.5684</v>
      </c>
      <c r="I15" s="100">
        <f>_xll.EQNXTDZ($A$1,$B15,I$1,$B$1)</f>
        <v>146.11799999999999</v>
      </c>
      <c r="J15" s="100">
        <f>_xll.EQNXTDZ($A$1,$B15,J$1,$B$1)</f>
        <v>168.2696</v>
      </c>
      <c r="K15" s="100">
        <f>_xll.EQNXTDZ($A$1,$B15,K$1,$B$1)</f>
        <v>200.422</v>
      </c>
      <c r="L15" s="100">
        <f>_xll.EQNXTDZ($A$1,$B15,L$1,$B$1)</f>
        <v>223.19159999999999</v>
      </c>
      <c r="M15" s="100">
        <f>_xll.EQNXTDZ($A$1,$B15,M$1,$B$1)</f>
        <v>210.8879</v>
      </c>
      <c r="N15" s="100">
        <f>_xll.EQNXTDZ($A$1,$B15,N$1,$B$1)</f>
        <v>225.27</v>
      </c>
      <c r="O15" s="100">
        <f>_xll.EQNXTDZ($A$1,$B15,O$1,$B$1)</f>
        <v>278.14999999999998</v>
      </c>
      <c r="P15" s="100">
        <f>_xll.EQNXTDZ($A$1,$B15,P$1,$B$1)</f>
        <v>320.77999999999997</v>
      </c>
      <c r="Q15" s="100">
        <f>_xll.EQNXTDZ($A$1,$B15,Q$1,$B$1)</f>
        <v>345.98</v>
      </c>
      <c r="R15" s="100">
        <f>_xll.EQNXTDZ($A$1,$B15,R$1,$B$1)</f>
        <v>353.45</v>
      </c>
      <c r="S15" s="100">
        <f>_xll.EQNXTDZ($A$1,$B15,S$1,$B$1)</f>
        <v>502.16</v>
      </c>
      <c r="T15" s="100">
        <f>_xll.EQNXTDZ($A$1,$B15,T$1,$B$1)</f>
        <v>457.58</v>
      </c>
      <c r="U15" s="100">
        <f>_xll.EQNXTDZ($A$1,$B15,U$1,$B$1)</f>
        <v>558.84</v>
      </c>
      <c r="V15" s="100">
        <f>_xll.EQNXTDZ($A$1,$B15,V$1,$B$1)</f>
        <v>544.11</v>
      </c>
      <c r="W15" s="100">
        <f>_xll.EQNXTDZ($A$1,$B15,W$1,$B$1)</f>
        <v>550.91999999999996</v>
      </c>
      <c r="X15" s="100">
        <f>_xll.EQNXTDZ($A$1,$B15,X$1,$B$1)</f>
        <v>591.13</v>
      </c>
      <c r="Y15" s="100">
        <f>_xll.EQNXTDZ($A$1,$B15,Y$1,$B$1)</f>
        <v>570.79</v>
      </c>
      <c r="Z15" s="100">
        <f>_xll.EQNXTDZ($A$1,$B15,Z$1,$B$1)</f>
        <v>570.58000000000004</v>
      </c>
      <c r="AA15" s="100">
        <f>_xll.EQNXTDZ($A$1,$B15,AA$1,$B$1)</f>
        <v>594.29</v>
      </c>
      <c r="AB15" s="100">
        <f>_xll.EQNXTDZ($A$1,$B15,AB$1,$B$1)</f>
        <v>743.67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24.9161</v>
      </c>
      <c r="D17" s="100">
        <f>_xll.EQNXTDZ($A$1,$B17,D$1,$B$1)</f>
        <v>28.863900000000001</v>
      </c>
      <c r="E17" s="100">
        <f>_xll.EQNXTDZ($A$1,$B17,E$1,$B$1)</f>
        <v>33.086399999999998</v>
      </c>
      <c r="F17" s="100">
        <f>_xll.EQNXTDZ($A$1,$B17,F$1,$B$1)</f>
        <v>40.2286</v>
      </c>
      <c r="G17" s="100">
        <f>_xll.EQNXTDZ($A$1,$B17,G$1,$B$1)</f>
        <v>49.577100000000002</v>
      </c>
      <c r="H17" s="100">
        <f>_xll.EQNXTDZ($A$1,$B17,H$1,$B$1)</f>
        <v>123.51649999999999</v>
      </c>
      <c r="I17" s="100">
        <f>_xll.EQNXTDZ($A$1,$B17,I$1,$B$1)</f>
        <v>146.45249999999999</v>
      </c>
      <c r="J17" s="100">
        <f>_xll.EQNXTDZ($A$1,$B17,J$1,$B$1)</f>
        <v>136.65450000000001</v>
      </c>
      <c r="K17" s="100">
        <f>_xll.EQNXTDZ($A$1,$B17,K$1,$B$1)</f>
        <v>150.91030000000001</v>
      </c>
      <c r="L17" s="100">
        <f>_xll.EQNXTDZ($A$1,$B17,L$1,$B$1)</f>
        <v>177.6738</v>
      </c>
      <c r="M17" s="100">
        <f>_xll.EQNXTDZ($A$1,$B17,M$1,$B$1)</f>
        <v>206.87899999999999</v>
      </c>
      <c r="N17" s="100">
        <f>_xll.EQNXTDZ($A$1,$B17,N$1,$B$1)</f>
        <v>255.89</v>
      </c>
      <c r="O17" s="100">
        <f>_xll.EQNXTDZ($A$1,$B17,O$1,$B$1)</f>
        <v>324.55</v>
      </c>
      <c r="P17" s="100">
        <f>_xll.EQNXTDZ($A$1,$B17,P$1,$B$1)</f>
        <v>398.98</v>
      </c>
      <c r="Q17" s="100">
        <f>_xll.EQNXTDZ($A$1,$B17,Q$1,$B$1)</f>
        <v>463.28</v>
      </c>
      <c r="R17" s="100">
        <f>_xll.EQNXTDZ($A$1,$B17,R$1,$B$1)</f>
        <v>637.91999999999996</v>
      </c>
      <c r="S17" s="100">
        <f>_xll.EQNXTDZ($A$1,$B17,S$1,$B$1)</f>
        <v>578.04999999999995</v>
      </c>
      <c r="T17" s="100">
        <f>_xll.EQNXTDZ($A$1,$B17,T$1,$B$1)</f>
        <v>677.71</v>
      </c>
      <c r="U17" s="100">
        <f>_xll.EQNXTDZ($A$1,$B17,U$1,$B$1)</f>
        <v>763.9</v>
      </c>
      <c r="V17" s="100">
        <f>_xll.EQNXTDZ($A$1,$B17,V$1,$B$1)</f>
        <v>801.98</v>
      </c>
      <c r="W17" s="100">
        <f>_xll.EQNXTDZ($A$1,$B17,W$1,$B$1)</f>
        <v>633.48</v>
      </c>
      <c r="X17" s="100">
        <f>_xll.EQNXTDZ($A$1,$B17,X$1,$B$1)</f>
        <v>637.65</v>
      </c>
      <c r="Y17" s="100">
        <f>_xll.EQNXTDZ($A$1,$B17,Y$1,$B$1)</f>
        <v>775.3</v>
      </c>
      <c r="Z17" s="100">
        <f>_xll.EQNXTDZ($A$1,$B17,Z$1,$B$1)</f>
        <v>980.72</v>
      </c>
      <c r="AA17" s="100">
        <f>_xll.EQNXTDZ($A$1,$B17,AA$1,$B$1)</f>
        <v>960.6</v>
      </c>
      <c r="AB17" s="100">
        <f>_xll.EQNXTDZ($A$1,$B17,AB$1,$B$1)</f>
        <v>1154.44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59.498899999999999</v>
      </c>
      <c r="D18" s="100">
        <f>_xll.EQNXTDZ($A$1,$B18,D$1,$B$1)</f>
        <v>63.8277</v>
      </c>
      <c r="E18" s="100">
        <f>_xll.EQNXTDZ($A$1,$B18,E$1,$B$1)</f>
        <v>65.269400000000005</v>
      </c>
      <c r="F18" s="100">
        <f>_xll.EQNXTDZ($A$1,$B18,F$1,$B$1)</f>
        <v>54.496699999999997</v>
      </c>
      <c r="G18" s="100">
        <f>_xll.EQNXTDZ($A$1,$B18,G$1,$B$1)</f>
        <v>78.339100000000002</v>
      </c>
      <c r="H18" s="100">
        <f>_xll.EQNXTDZ($A$1,$B18,H$1,$B$1)</f>
        <v>120.1246</v>
      </c>
      <c r="I18" s="100">
        <f>_xll.EQNXTDZ($A$1,$B18,I$1,$B$1)</f>
        <v>162.6103</v>
      </c>
      <c r="J18" s="100">
        <f>_xll.EQNXTDZ($A$1,$B18,J$1,$B$1)</f>
        <v>147.88900000000001</v>
      </c>
      <c r="K18" s="100">
        <f>_xll.EQNXTDZ($A$1,$B18,K$1,$B$1)</f>
        <v>197.3595</v>
      </c>
      <c r="L18" s="100">
        <f>_xll.EQNXTDZ($A$1,$B18,L$1,$B$1)</f>
        <v>225.1011</v>
      </c>
      <c r="M18" s="100">
        <f>_xll.EQNXTDZ($A$1,$B18,M$1,$B$1)</f>
        <v>274.60599999999999</v>
      </c>
      <c r="N18" s="100">
        <f>_xll.EQNXTDZ($A$1,$B18,N$1,$B$1)</f>
        <v>322.29000000000002</v>
      </c>
      <c r="O18" s="100">
        <f>_xll.EQNXTDZ($A$1,$B18,O$1,$B$1)</f>
        <v>393.07</v>
      </c>
      <c r="P18" s="100">
        <f>_xll.EQNXTDZ($A$1,$B18,P$1,$B$1)</f>
        <v>461.53</v>
      </c>
      <c r="Q18" s="100">
        <f>_xll.EQNXTDZ($A$1,$B18,Q$1,$B$1)</f>
        <v>574.4</v>
      </c>
      <c r="R18" s="100">
        <f>_xll.EQNXTDZ($A$1,$B18,R$1,$B$1)</f>
        <v>547.04999999999995</v>
      </c>
      <c r="S18" s="100">
        <f>_xll.EQNXTDZ($A$1,$B18,S$1,$B$1)</f>
        <v>567.70000000000005</v>
      </c>
      <c r="T18" s="100">
        <f>_xll.EQNXTDZ($A$1,$B18,T$1,$B$1)</f>
        <v>641.29999999999995</v>
      </c>
      <c r="U18" s="100">
        <f>_xll.EQNXTDZ($A$1,$B18,U$1,$B$1)</f>
        <v>738.03</v>
      </c>
      <c r="V18" s="100">
        <f>_xll.EQNXTDZ($A$1,$B18,V$1,$B$1)</f>
        <v>807.39</v>
      </c>
      <c r="W18" s="100">
        <f>_xll.EQNXTDZ($A$1,$B18,W$1,$B$1)</f>
        <v>742.63</v>
      </c>
      <c r="X18" s="100">
        <f>_xll.EQNXTDZ($A$1,$B18,X$1,$B$1)</f>
        <v>884.91</v>
      </c>
      <c r="Y18" s="100">
        <f>_xll.EQNXTDZ($A$1,$B18,Y$1,$B$1)</f>
        <v>1026.99</v>
      </c>
      <c r="Z18" s="100">
        <f>_xll.EQNXTDZ($A$1,$B18,Z$1,$B$1)</f>
        <v>1129.68</v>
      </c>
      <c r="AA18" s="100">
        <f>_xll.EQNXTDZ($A$1,$B18,AA$1,$B$1)</f>
        <v>1260.67</v>
      </c>
      <c r="AB18" s="100">
        <f>_xll.EQNXTDZ($A$1,$B18,AB$1,$B$1)</f>
        <v>1490.9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6.3159999999999998</v>
      </c>
      <c r="D19" s="100">
        <f>_xll.EQNXTDZ($A$1,$B19,D$1,$B$1)</f>
        <v>5.0812999999999997</v>
      </c>
      <c r="E19" s="100">
        <f>_xll.EQNXTDZ($A$1,$B19,E$1,$B$1)</f>
        <v>3.8733</v>
      </c>
      <c r="F19" s="100">
        <f>_xll.EQNXTDZ($A$1,$B19,F$1,$B$1)</f>
        <v>4.0400999999999998</v>
      </c>
      <c r="G19" s="100">
        <f>_xll.EQNXTDZ($A$1,$B19,G$1,$B$1)</f>
        <v>1.3345</v>
      </c>
      <c r="H19" s="100">
        <f>_xll.EQNXTDZ($A$1,$B19,H$1,$B$1)</f>
        <v>1.3605</v>
      </c>
      <c r="I19" s="100">
        <f>_xll.EQNXTDZ($A$1,$B19,I$1,$B$1)</f>
        <v>12.978300000000001</v>
      </c>
      <c r="J19" s="100">
        <f>_xll.EQNXTDZ($A$1,$B19,J$1,$B$1)</f>
        <v>13.805899999999999</v>
      </c>
      <c r="K19" s="100">
        <f>_xll.EQNXTDZ($A$1,$B19,K$1,$B$1)</f>
        <v>60.007199999999997</v>
      </c>
      <c r="L19" s="100">
        <f>_xll.EQNXTDZ($A$1,$B19,L$1,$B$1)</f>
        <v>16.852399999999999</v>
      </c>
      <c r="M19" s="100">
        <f>_xll.EQNXTDZ($A$1,$B19,M$1,$B$1)</f>
        <v>18.0275</v>
      </c>
      <c r="N19" s="100">
        <f>_xll.EQNXTDZ($A$1,$B19,N$1,$B$1)</f>
        <v>28.86</v>
      </c>
      <c r="O19" s="100">
        <f>_xll.EQNXTDZ($A$1,$B19,O$1,$B$1)</f>
        <v>29.08</v>
      </c>
      <c r="P19" s="100">
        <f>_xll.EQNXTDZ($A$1,$B19,P$1,$B$1)</f>
        <v>131.38999999999999</v>
      </c>
      <c r="Q19" s="100">
        <f>_xll.EQNXTDZ($A$1,$B19,Q$1,$B$1)</f>
        <v>29.45</v>
      </c>
      <c r="R19" s="100">
        <f>_xll.EQNXTDZ($A$1,$B19,R$1,$B$1)</f>
        <v>31.56</v>
      </c>
      <c r="S19" s="100">
        <f>_xll.EQNXTDZ($A$1,$B19,S$1,$B$1)</f>
        <v>59.46</v>
      </c>
      <c r="T19" s="100">
        <f>_xll.EQNXTDZ($A$1,$B19,T$1,$B$1)</f>
        <v>43</v>
      </c>
      <c r="U19" s="100">
        <f>_xll.EQNXTDZ($A$1,$B19,U$1,$B$1)</f>
        <v>58.03</v>
      </c>
      <c r="V19" s="100">
        <f>_xll.EQNXTDZ($A$1,$B19,V$1,$B$1)</f>
        <v>76.45</v>
      </c>
      <c r="W19" s="100">
        <f>_xll.EQNXTDZ($A$1,$B19,W$1,$B$1)</f>
        <v>74.78</v>
      </c>
      <c r="X19" s="100">
        <f>_xll.EQNXTDZ($A$1,$B19,X$1,$B$1)</f>
        <v>61.69</v>
      </c>
      <c r="Y19" s="100">
        <f>_xll.EQNXTDZ($A$1,$B19,Y$1,$B$1)</f>
        <v>76.930000000000007</v>
      </c>
      <c r="Z19" s="100">
        <f>_xll.EQNXTDZ($A$1,$B19,Z$1,$B$1)</f>
        <v>94.72</v>
      </c>
      <c r="AA19" s="100">
        <f>_xll.EQNXTDZ($A$1,$B19,AA$1,$B$1)</f>
        <v>99.84</v>
      </c>
      <c r="AB19" s="100">
        <f>_xll.EQNXTDZ($A$1,$B19,AB$1,$B$1)</f>
        <v>261.92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293.32400000000001</v>
      </c>
      <c r="D21" s="100">
        <f>_xll.EQNXTDZ($A$1,$B21,D$1,$B$1)</f>
        <v>325.56020000000001</v>
      </c>
      <c r="E21" s="100">
        <f>_xll.EQNXTDZ($A$1,$B21,E$1,$B$1)</f>
        <v>332.29259999999999</v>
      </c>
      <c r="F21" s="100">
        <f>_xll.EQNXTDZ($A$1,$B21,F$1,$B$1)</f>
        <v>367.44709999999998</v>
      </c>
      <c r="G21" s="100">
        <f>_xll.EQNXTDZ($A$1,$B21,G$1,$B$1)</f>
        <v>473.64949999999999</v>
      </c>
      <c r="H21" s="100">
        <f>_xll.EQNXTDZ($A$1,$B21,H$1,$B$1)</f>
        <v>859.12869999999998</v>
      </c>
      <c r="I21" s="100">
        <f>_xll.EQNXTDZ($A$1,$B21,I$1,$B$1)</f>
        <v>1143.0464999999999</v>
      </c>
      <c r="J21" s="100">
        <f>_xll.EQNXTDZ($A$1,$B21,J$1,$B$1)</f>
        <v>1152.0160000000001</v>
      </c>
      <c r="K21" s="100">
        <f>_xll.EQNXTDZ($A$1,$B21,K$1,$B$1)</f>
        <v>1371.9313</v>
      </c>
      <c r="L21" s="100">
        <f>_xll.EQNXTDZ($A$1,$B21,L$1,$B$1)</f>
        <v>1495.2624000000001</v>
      </c>
      <c r="M21" s="100">
        <f>_xll.EQNXTDZ($A$1,$B21,M$1,$B$1)</f>
        <v>1810.0068000000001</v>
      </c>
      <c r="N21" s="100">
        <f>_xll.EQNXTDZ($A$1,$B21,N$1,$B$1)</f>
        <v>2195.46</v>
      </c>
      <c r="O21" s="100">
        <f>_xll.EQNXTDZ($A$1,$B21,O$1,$B$1)</f>
        <v>2518.92</v>
      </c>
      <c r="P21" s="100">
        <f>_xll.EQNXTDZ($A$1,$B21,P$1,$B$1)</f>
        <v>3233.24</v>
      </c>
      <c r="Q21" s="100">
        <f>_xll.EQNXTDZ($A$1,$B21,Q$1,$B$1)</f>
        <v>3633.29</v>
      </c>
      <c r="R21" s="100">
        <f>_xll.EQNXTDZ($A$1,$B21,R$1,$B$1)</f>
        <v>3937.05</v>
      </c>
      <c r="S21" s="100">
        <f>_xll.EQNXTDZ($A$1,$B21,S$1,$B$1)</f>
        <v>4438.42</v>
      </c>
      <c r="T21" s="100">
        <f>_xll.EQNXTDZ($A$1,$B21,T$1,$B$1)</f>
        <v>4608.78</v>
      </c>
      <c r="U21" s="100">
        <f>_xll.EQNXTDZ($A$1,$B21,U$1,$B$1)</f>
        <v>5696.31</v>
      </c>
      <c r="V21" s="100">
        <f>_xll.EQNXTDZ($A$1,$B21,V$1,$B$1)</f>
        <v>5768.95</v>
      </c>
      <c r="W21" s="100">
        <f>_xll.EQNXTDZ($A$1,$B21,W$1,$B$1)</f>
        <v>5524.49</v>
      </c>
      <c r="X21" s="100">
        <f>_xll.EQNXTDZ($A$1,$B21,X$1,$B$1)</f>
        <v>6076.77</v>
      </c>
      <c r="Y21" s="100">
        <f>_xll.EQNXTDZ($A$1,$B21,Y$1,$B$1)</f>
        <v>6796.18</v>
      </c>
      <c r="Z21" s="100">
        <f>_xll.EQNXTDZ($A$1,$B21,Z$1,$B$1)</f>
        <v>7364.25</v>
      </c>
      <c r="AA21" s="100">
        <f>_xll.EQNXTDZ($A$1,$B21,AA$1,$B$1)</f>
        <v>7811.74</v>
      </c>
      <c r="AB21" s="100">
        <f>_xll.EQNXTDZ($A$1,$B21,AB$1,$B$1)</f>
        <v>9606.56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72.389700000000005</v>
      </c>
      <c r="D22" s="100">
        <f>_xll.EQNXTDZ($A$1,$B22,D$1,$B$1)</f>
        <v>77.114199999999997</v>
      </c>
      <c r="E22" s="100">
        <f>_xll.EQNXTDZ($A$1,$B22,E$1,$B$1)</f>
        <v>73.304500000000004</v>
      </c>
      <c r="F22" s="100">
        <f>_xll.EQNXTDZ($A$1,$B22,F$1,$B$1)</f>
        <v>91.886099999999999</v>
      </c>
      <c r="G22" s="100">
        <f>_xll.EQNXTDZ($A$1,$B22,G$1,$B$1)</f>
        <v>74.103200000000001</v>
      </c>
      <c r="H22" s="100">
        <f>_xll.EQNXTDZ($A$1,$B22,H$1,$B$1)</f>
        <v>108.0337</v>
      </c>
      <c r="I22" s="100">
        <f>_xll.EQNXTDZ($A$1,$B22,I$1,$B$1)</f>
        <v>155.7389</v>
      </c>
      <c r="J22" s="100">
        <f>_xll.EQNXTDZ($A$1,$B22,J$1,$B$1)</f>
        <v>202.8323</v>
      </c>
      <c r="K22" s="100">
        <f>_xll.EQNXTDZ($A$1,$B22,K$1,$B$1)</f>
        <v>258.72629999999998</v>
      </c>
      <c r="L22" s="100">
        <f>_xll.EQNXTDZ($A$1,$B22,L$1,$B$1)</f>
        <v>420.77539999999999</v>
      </c>
      <c r="M22" s="100">
        <f>_xll.EQNXTDZ($A$1,$B22,M$1,$B$1)</f>
        <v>387.78579999999999</v>
      </c>
      <c r="N22" s="100">
        <f>_xll.EQNXTDZ($A$1,$B22,N$1,$B$1)</f>
        <v>500.46</v>
      </c>
      <c r="O22" s="100">
        <f>_xll.EQNXTDZ($A$1,$B22,O$1,$B$1)</f>
        <v>692.22</v>
      </c>
      <c r="P22" s="100">
        <f>_xll.EQNXTDZ($A$1,$B22,P$1,$B$1)</f>
        <v>951.48</v>
      </c>
      <c r="Q22" s="100">
        <f>_xll.EQNXTDZ($A$1,$B22,Q$1,$B$1)</f>
        <v>1020.16</v>
      </c>
      <c r="R22" s="100">
        <f>_xll.EQNXTDZ($A$1,$B22,R$1,$B$1)</f>
        <v>2729.8</v>
      </c>
      <c r="S22" s="100">
        <f>_xll.EQNXTDZ($A$1,$B22,S$1,$B$1)</f>
        <v>1377.27</v>
      </c>
      <c r="T22" s="100">
        <f>_xll.EQNXTDZ($A$1,$B22,T$1,$B$1)</f>
        <v>1341.05</v>
      </c>
      <c r="U22" s="100">
        <f>_xll.EQNXTDZ($A$1,$B22,U$1,$B$1)</f>
        <v>1976.49</v>
      </c>
      <c r="V22" s="100">
        <f>_xll.EQNXTDZ($A$1,$B22,V$1,$B$1)</f>
        <v>2170.36</v>
      </c>
      <c r="W22" s="100">
        <f>_xll.EQNXTDZ($A$1,$B22,W$1,$B$1)</f>
        <v>2480.08</v>
      </c>
      <c r="X22" s="100">
        <f>_xll.EQNXTDZ($A$1,$B22,X$1,$B$1)</f>
        <v>2431.27</v>
      </c>
      <c r="Y22" s="100">
        <f>_xll.EQNXTDZ($A$1,$B22,Y$1,$B$1)</f>
        <v>2823.97</v>
      </c>
      <c r="Z22" s="100">
        <f>_xll.EQNXTDZ($A$1,$B22,Z$1,$B$1)</f>
        <v>3363.59</v>
      </c>
      <c r="AA22" s="100">
        <f>_xll.EQNXTDZ($A$1,$B22,AA$1,$B$1)</f>
        <v>3704.35</v>
      </c>
      <c r="AB22" s="100">
        <f>_xll.EQNXTDZ($A$1,$B22,AB$1,$B$1)</f>
        <v>4373.17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8.7222000000000008</v>
      </c>
      <c r="D23" s="100">
        <f>_xll.EQNXTDZ($A$1,$B23,D$1,$B$1)</f>
        <v>7.8742999999999999</v>
      </c>
      <c r="E23" s="100">
        <f>_xll.EQNXTDZ($A$1,$B23,E$1,$B$1)</f>
        <v>4.6654</v>
      </c>
      <c r="F23" s="100">
        <f>_xll.EQNXTDZ($A$1,$B23,F$1,$B$1)</f>
        <v>4.8133999999999997</v>
      </c>
      <c r="G23" s="100">
        <f>_xll.EQNXTDZ($A$1,$B23,G$1,$B$1)</f>
        <v>5.2708000000000004</v>
      </c>
      <c r="H23" s="100">
        <f>_xll.EQNXTDZ($A$1,$B23,H$1,$B$1)</f>
        <v>5.1421999999999999</v>
      </c>
      <c r="I23" s="100">
        <f>_xll.EQNXTDZ($A$1,$B23,I$1,$B$1)</f>
        <v>9.8132000000000001</v>
      </c>
      <c r="J23" s="100">
        <f>_xll.EQNXTDZ($A$1,$B23,J$1,$B$1)</f>
        <v>7.9535999999999998</v>
      </c>
      <c r="K23" s="100">
        <f>_xll.EQNXTDZ($A$1,$B23,K$1,$B$1)</f>
        <v>23.794799999999999</v>
      </c>
      <c r="L23" s="100">
        <f>_xll.EQNXTDZ($A$1,$B23,L$1,$B$1)</f>
        <v>21.6309</v>
      </c>
      <c r="M23" s="100">
        <f>_xll.EQNXTDZ($A$1,$B23,M$1,$B$1)</f>
        <v>56.233899999999998</v>
      </c>
      <c r="N23" s="100">
        <f>_xll.EQNXTDZ($A$1,$B23,N$1,$B$1)</f>
        <v>44.7</v>
      </c>
      <c r="O23" s="100">
        <f>_xll.EQNXTDZ($A$1,$B23,O$1,$B$1)</f>
        <v>43.36</v>
      </c>
      <c r="P23" s="100">
        <f>_xll.EQNXTDZ($A$1,$B23,P$1,$B$1)</f>
        <v>38.130000000000003</v>
      </c>
      <c r="Q23" s="100">
        <f>_xll.EQNXTDZ($A$1,$B23,Q$1,$B$1)</f>
        <v>285.55</v>
      </c>
      <c r="R23" s="100">
        <f>_xll.EQNXTDZ($A$1,$B23,R$1,$B$1)</f>
        <v>228.8</v>
      </c>
      <c r="S23" s="100">
        <f>_xll.EQNXTDZ($A$1,$B23,S$1,$B$1)</f>
        <v>223.3</v>
      </c>
      <c r="T23" s="100">
        <f>_xll.EQNXTDZ($A$1,$B23,T$1,$B$1)</f>
        <v>307.04000000000002</v>
      </c>
      <c r="U23" s="100">
        <f>_xll.EQNXTDZ($A$1,$B23,U$1,$B$1)</f>
        <v>63.62</v>
      </c>
      <c r="V23" s="100">
        <f>_xll.EQNXTDZ($A$1,$B23,V$1,$B$1)</f>
        <v>121.3</v>
      </c>
      <c r="W23" s="100">
        <f>_xll.EQNXTDZ($A$1,$B23,W$1,$B$1)</f>
        <v>56.91</v>
      </c>
      <c r="X23" s="100">
        <f>_xll.EQNXTDZ($A$1,$B23,X$1,$B$1)</f>
        <v>196.56</v>
      </c>
      <c r="Y23" s="100">
        <f>_xll.EQNXTDZ($A$1,$B23,Y$1,$B$1)</f>
        <v>63.22</v>
      </c>
      <c r="Z23" s="100">
        <f>_xll.EQNXTDZ($A$1,$B23,Z$1,$B$1)</f>
        <v>61.97</v>
      </c>
      <c r="AA23" s="100">
        <f>_xll.EQNXTDZ($A$1,$B23,AA$1,$B$1)</f>
        <v>39.909999999999997</v>
      </c>
      <c r="AB23" s="100">
        <f>_xll.EQNXTDZ($A$1,$B23,AB$1,$B$1)</f>
        <v>91.71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81.111900000000006</v>
      </c>
      <c r="D24" s="100">
        <f>_xll.EQNXTDZ($A$1,$B24,D$1,$B$1)</f>
        <v>84.988500000000002</v>
      </c>
      <c r="E24" s="100">
        <f>_xll.EQNXTDZ($A$1,$B24,E$1,$B$1)</f>
        <v>77.969899999999996</v>
      </c>
      <c r="F24" s="100">
        <f>_xll.EQNXTDZ($A$1,$B24,F$1,$B$1)</f>
        <v>96.6995</v>
      </c>
      <c r="G24" s="100">
        <f>_xll.EQNXTDZ($A$1,$B24,G$1,$B$1)</f>
        <v>79.373999999999995</v>
      </c>
      <c r="H24" s="100">
        <f>_xll.EQNXTDZ($A$1,$B24,H$1,$B$1)</f>
        <v>113.1759</v>
      </c>
      <c r="I24" s="100">
        <f>_xll.EQNXTDZ($A$1,$B24,I$1,$B$1)</f>
        <v>165.5521</v>
      </c>
      <c r="J24" s="100">
        <f>_xll.EQNXTDZ($A$1,$B24,J$1,$B$1)</f>
        <v>210.7859</v>
      </c>
      <c r="K24" s="100">
        <f>_xll.EQNXTDZ($A$1,$B24,K$1,$B$1)</f>
        <v>282.52109999999999</v>
      </c>
      <c r="L24" s="100">
        <f>_xll.EQNXTDZ($A$1,$B24,L$1,$B$1)</f>
        <v>442.40629999999999</v>
      </c>
      <c r="M24" s="100">
        <f>_xll.EQNXTDZ($A$1,$B24,M$1,$B$1)</f>
        <v>444.0197</v>
      </c>
      <c r="N24" s="100">
        <f>_xll.EQNXTDZ($A$1,$B24,N$1,$B$1)</f>
        <v>545.16</v>
      </c>
      <c r="O24" s="100">
        <f>_xll.EQNXTDZ($A$1,$B24,O$1,$B$1)</f>
        <v>735.58</v>
      </c>
      <c r="P24" s="100">
        <f>_xll.EQNXTDZ($A$1,$B24,P$1,$B$1)</f>
        <v>989.61</v>
      </c>
      <c r="Q24" s="100">
        <f>_xll.EQNXTDZ($A$1,$B24,Q$1,$B$1)</f>
        <v>1305.71</v>
      </c>
      <c r="R24" s="100">
        <f>_xll.EQNXTDZ($A$1,$B24,R$1,$B$1)</f>
        <v>2958.6</v>
      </c>
      <c r="S24" s="100">
        <f>_xll.EQNXTDZ($A$1,$B24,S$1,$B$1)</f>
        <v>1600.57</v>
      </c>
      <c r="T24" s="100">
        <f>_xll.EQNXTDZ($A$1,$B24,T$1,$B$1)</f>
        <v>1648.09</v>
      </c>
      <c r="U24" s="100">
        <f>_xll.EQNXTDZ($A$1,$B24,U$1,$B$1)</f>
        <v>2040.11</v>
      </c>
      <c r="V24" s="100">
        <f>_xll.EQNXTDZ($A$1,$B24,V$1,$B$1)</f>
        <v>2291.66</v>
      </c>
      <c r="W24" s="100">
        <f>_xll.EQNXTDZ($A$1,$B24,W$1,$B$1)</f>
        <v>2536.9899999999998</v>
      </c>
      <c r="X24" s="100">
        <f>_xll.EQNXTDZ($A$1,$B24,X$1,$B$1)</f>
        <v>2627.83</v>
      </c>
      <c r="Y24" s="100">
        <f>_xll.EQNXTDZ($A$1,$B24,Y$1,$B$1)</f>
        <v>2887.19</v>
      </c>
      <c r="Z24" s="100">
        <f>_xll.EQNXTDZ($A$1,$B24,Z$1,$B$1)</f>
        <v>3425.56</v>
      </c>
      <c r="AA24" s="100">
        <f>_xll.EQNXTDZ($A$1,$B24,AA$1,$B$1)</f>
        <v>3744.26</v>
      </c>
      <c r="AB24" s="100">
        <f>_xll.EQNXTDZ($A$1,$B24,AB$1,$B$1)</f>
        <v>4464.88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11.071400000000001</v>
      </c>
      <c r="D25" s="100">
        <f>_xll.EQNXTDZ($A$1,$B25,D$1,$B$1)</f>
        <v>8.8752999999999993</v>
      </c>
      <c r="E25" s="100">
        <f>_xll.EQNXTDZ($A$1,$B25,E$1,$B$1)</f>
        <v>1.3837999999999999</v>
      </c>
      <c r="F25" s="100">
        <f>_xll.EQNXTDZ($A$1,$B25,F$1,$B$1)</f>
        <v>0.8387</v>
      </c>
      <c r="G25" s="100">
        <f>_xll.EQNXTDZ($A$1,$B25,G$1,$B$1)</f>
        <v>3.7915999999999999</v>
      </c>
      <c r="H25" s="100">
        <f>_xll.EQNXTDZ($A$1,$B25,H$1,$B$1)</f>
        <v>9.9539000000000009</v>
      </c>
      <c r="I25" s="100">
        <f>_xll.EQNXTDZ($A$1,$B25,I$1,$B$1)</f>
        <v>23.643899999999999</v>
      </c>
      <c r="J25" s="100">
        <f>_xll.EQNXTDZ($A$1,$B25,J$1,$B$1)</f>
        <v>22.856000000000002</v>
      </c>
      <c r="K25" s="100">
        <f>_xll.EQNXTDZ($A$1,$B25,K$1,$B$1)</f>
        <v>39.296300000000002</v>
      </c>
      <c r="L25" s="100">
        <f>_xll.EQNXTDZ($A$1,$B25,L$1,$B$1)</f>
        <v>29.101800000000001</v>
      </c>
      <c r="M25" s="100">
        <f>_xll.EQNXTDZ($A$1,$B25,M$1,$B$1)</f>
        <v>39.126399999999997</v>
      </c>
      <c r="N25" s="100">
        <f>_xll.EQNXTDZ($A$1,$B25,N$1,$B$1)</f>
        <v>39.450000000000003</v>
      </c>
      <c r="O25" s="100">
        <f>_xll.EQNXTDZ($A$1,$B25,O$1,$B$1)</f>
        <v>33.799999999999997</v>
      </c>
      <c r="P25" s="100">
        <f>_xll.EQNXTDZ($A$1,$B25,P$1,$B$1)</f>
        <v>58.63</v>
      </c>
      <c r="Q25" s="100">
        <f>_xll.EQNXTDZ($A$1,$B25,Q$1,$B$1)</f>
        <v>175.16</v>
      </c>
      <c r="R25" s="100">
        <f>_xll.EQNXTDZ($A$1,$B25,R$1,$B$1)</f>
        <v>183.98</v>
      </c>
      <c r="S25" s="100">
        <f>_xll.EQNXTDZ($A$1,$B25,S$1,$B$1)</f>
        <v>205.56</v>
      </c>
      <c r="T25" s="100">
        <f>_xll.EQNXTDZ($A$1,$B25,T$1,$B$1)</f>
        <v>308.48</v>
      </c>
      <c r="U25" s="100">
        <f>_xll.EQNXTDZ($A$1,$B25,U$1,$B$1)</f>
        <v>503.75</v>
      </c>
      <c r="V25" s="100">
        <f>_xll.EQNXTDZ($A$1,$B25,V$1,$B$1)</f>
        <v>450.71</v>
      </c>
      <c r="W25" s="100">
        <f>_xll.EQNXTDZ($A$1,$B25,W$1,$B$1)</f>
        <v>352.94</v>
      </c>
      <c r="X25" s="100">
        <f>_xll.EQNXTDZ($A$1,$B25,X$1,$B$1)</f>
        <v>255.06</v>
      </c>
      <c r="Y25" s="100">
        <f>_xll.EQNXTDZ($A$1,$B25,Y$1,$B$1)</f>
        <v>333.44</v>
      </c>
      <c r="Z25" s="100">
        <f>_xll.EQNXTDZ($A$1,$B25,Z$1,$B$1)</f>
        <v>353.56</v>
      </c>
      <c r="AA25" s="100">
        <f>_xll.EQNXTDZ($A$1,$B25,AA$1,$B$1)</f>
        <v>252.31</v>
      </c>
      <c r="AB25" s="100">
        <f>_xll.EQNXTDZ($A$1,$B25,AB$1,$B$1)</f>
        <v>385.07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70.040499999999994</v>
      </c>
      <c r="D26" s="100">
        <f>_xll.EQNXTDZ($A$1,$B26,D$1,$B$1)</f>
        <v>76.113200000000006</v>
      </c>
      <c r="E26" s="100">
        <f>_xll.EQNXTDZ($A$1,$B26,E$1,$B$1)</f>
        <v>76.586100000000002</v>
      </c>
      <c r="F26" s="100">
        <f>_xll.EQNXTDZ($A$1,$B26,F$1,$B$1)</f>
        <v>95.860799999999998</v>
      </c>
      <c r="G26" s="100">
        <f>_xll.EQNXTDZ($A$1,$B26,G$1,$B$1)</f>
        <v>75.582400000000007</v>
      </c>
      <c r="H26" s="100">
        <f>_xll.EQNXTDZ($A$1,$B26,H$1,$B$1)</f>
        <v>103.22199999999999</v>
      </c>
      <c r="I26" s="100">
        <f>_xll.EQNXTDZ($A$1,$B26,I$1,$B$1)</f>
        <v>141.90819999999999</v>
      </c>
      <c r="J26" s="100">
        <f>_xll.EQNXTDZ($A$1,$B26,J$1,$B$1)</f>
        <v>187.9299</v>
      </c>
      <c r="K26" s="100">
        <f>_xll.EQNXTDZ($A$1,$B26,K$1,$B$1)</f>
        <v>243.22479999999999</v>
      </c>
      <c r="L26" s="100">
        <f>_xll.EQNXTDZ($A$1,$B26,L$1,$B$1)</f>
        <v>413.30450000000002</v>
      </c>
      <c r="M26" s="100">
        <f>_xll.EQNXTDZ($A$1,$B26,M$1,$B$1)</f>
        <v>404.89330000000001</v>
      </c>
      <c r="N26" s="100">
        <f>_xll.EQNXTDZ($A$1,$B26,N$1,$B$1)</f>
        <v>505.71</v>
      </c>
      <c r="O26" s="100">
        <f>_xll.EQNXTDZ($A$1,$B26,O$1,$B$1)</f>
        <v>701.78</v>
      </c>
      <c r="P26" s="100">
        <f>_xll.EQNXTDZ($A$1,$B26,P$1,$B$1)</f>
        <v>930.98</v>
      </c>
      <c r="Q26" s="100">
        <f>_xll.EQNXTDZ($A$1,$B26,Q$1,$B$1)</f>
        <v>1130.55</v>
      </c>
      <c r="R26" s="100">
        <f>_xll.EQNXTDZ($A$1,$B26,R$1,$B$1)</f>
        <v>2774.62</v>
      </c>
      <c r="S26" s="100">
        <f>_xll.EQNXTDZ($A$1,$B26,S$1,$B$1)</f>
        <v>1395.01</v>
      </c>
      <c r="T26" s="100">
        <f>_xll.EQNXTDZ($A$1,$B26,T$1,$B$1)</f>
        <v>1339.61</v>
      </c>
      <c r="U26" s="100">
        <f>_xll.EQNXTDZ($A$1,$B26,U$1,$B$1)</f>
        <v>1536.36</v>
      </c>
      <c r="V26" s="100">
        <f>_xll.EQNXTDZ($A$1,$B26,V$1,$B$1)</f>
        <v>1840.95</v>
      </c>
      <c r="W26" s="100">
        <f>_xll.EQNXTDZ($A$1,$B26,W$1,$B$1)</f>
        <v>2184.0500000000002</v>
      </c>
      <c r="X26" s="100">
        <f>_xll.EQNXTDZ($A$1,$B26,X$1,$B$1)</f>
        <v>2372.77</v>
      </c>
      <c r="Y26" s="100">
        <f>_xll.EQNXTDZ($A$1,$B26,Y$1,$B$1)</f>
        <v>2553.75</v>
      </c>
      <c r="Z26" s="100">
        <f>_xll.EQNXTDZ($A$1,$B26,Z$1,$B$1)</f>
        <v>3072</v>
      </c>
      <c r="AA26" s="100">
        <f>_xll.EQNXTDZ($A$1,$B26,AA$1,$B$1)</f>
        <v>3491.95</v>
      </c>
      <c r="AB26" s="100">
        <f>_xll.EQNXTDZ($A$1,$B26,AB$1,$B$1)</f>
        <v>4079.81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10.858700000000001</v>
      </c>
      <c r="D27" s="100">
        <f>_xll.EQNXTDZ($A$1,$B27,D$1,$B$1)</f>
        <v>14.499000000000001</v>
      </c>
      <c r="E27" s="100">
        <f>_xll.EQNXTDZ($A$1,$B27,E$1,$B$1)</f>
        <v>15.248900000000001</v>
      </c>
      <c r="F27" s="100">
        <f>_xll.EQNXTDZ($A$1,$B27,F$1,$B$1)</f>
        <v>16.024100000000001</v>
      </c>
      <c r="G27" s="100">
        <f>_xll.EQNXTDZ($A$1,$B27,G$1,$B$1)</f>
        <v>18.7149</v>
      </c>
      <c r="H27" s="100">
        <f>_xll.EQNXTDZ($A$1,$B27,H$1,$B$1)</f>
        <v>25.518000000000001</v>
      </c>
      <c r="I27" s="100">
        <f>_xll.EQNXTDZ($A$1,$B27,I$1,$B$1)</f>
        <v>32.871299999999998</v>
      </c>
      <c r="J27" s="100">
        <f>_xll.EQNXTDZ($A$1,$B27,J$1,$B$1)</f>
        <v>38.831200000000003</v>
      </c>
      <c r="K27" s="100">
        <f>_xll.EQNXTDZ($A$1,$B27,K$1,$B$1)</f>
        <v>42.279699999999998</v>
      </c>
      <c r="L27" s="100">
        <f>_xll.EQNXTDZ($A$1,$B27,L$1,$B$1)</f>
        <v>66.086100000000002</v>
      </c>
      <c r="M27" s="100">
        <f>_xll.EQNXTDZ($A$1,$B27,M$1,$B$1)</f>
        <v>62.558399999999999</v>
      </c>
      <c r="N27" s="100">
        <f>_xll.EQNXTDZ($A$1,$B27,N$1,$B$1)</f>
        <v>81.73</v>
      </c>
      <c r="O27" s="100">
        <f>_xll.EQNXTDZ($A$1,$B27,O$1,$B$1)</f>
        <v>82.69</v>
      </c>
      <c r="P27" s="100">
        <f>_xll.EQNXTDZ($A$1,$B27,P$1,$B$1)</f>
        <v>87</v>
      </c>
      <c r="Q27" s="100">
        <f>_xll.EQNXTDZ($A$1,$B27,Q$1,$B$1)</f>
        <v>190.74</v>
      </c>
      <c r="R27" s="100">
        <f>_xll.EQNXTDZ($A$1,$B27,R$1,$B$1)</f>
        <v>237.55</v>
      </c>
      <c r="S27" s="100">
        <f>_xll.EQNXTDZ($A$1,$B27,S$1,$B$1)</f>
        <v>306.92</v>
      </c>
      <c r="T27" s="100">
        <f>_xll.EQNXTDZ($A$1,$B27,T$1,$B$1)</f>
        <v>408.6</v>
      </c>
      <c r="U27" s="100">
        <f>_xll.EQNXTDZ($A$1,$B27,U$1,$B$1)</f>
        <v>617.69000000000005</v>
      </c>
      <c r="V27" s="100">
        <f>_xll.EQNXTDZ($A$1,$B27,V$1,$B$1)</f>
        <v>654.38</v>
      </c>
      <c r="W27" s="100">
        <f>_xll.EQNXTDZ($A$1,$B27,W$1,$B$1)</f>
        <v>657.79</v>
      </c>
      <c r="X27" s="100">
        <f>_xll.EQNXTDZ($A$1,$B27,X$1,$B$1)</f>
        <v>662.16</v>
      </c>
      <c r="Y27" s="100">
        <f>_xll.EQNXTDZ($A$1,$B27,Y$1,$B$1)</f>
        <v>706.59</v>
      </c>
      <c r="Z27" s="100">
        <f>_xll.EQNXTDZ($A$1,$B27,Z$1,$B$1)</f>
        <v>808.27</v>
      </c>
      <c r="AA27" s="100">
        <f>_xll.EQNXTDZ($A$1,$B27,AA$1,$B$1)</f>
        <v>794.93</v>
      </c>
      <c r="AB27" s="100">
        <f>_xll.EQNXTDZ($A$1,$B27,AB$1,$B$1)</f>
        <v>1118.8699999999999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-8.7594999999999992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-65.36</v>
      </c>
      <c r="O29" s="100">
        <f>_xll.EQNXTDZ($A$1,$B29,O$1,$B$1)</f>
        <v>-37.49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-193.63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-357.01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-484.7</v>
      </c>
      <c r="Y29" s="100">
        <f>_xll.EQNXTDZ($A$1,$B29,Y$1,$B$1)</f>
        <v>0</v>
      </c>
      <c r="Z29" s="100">
        <f>_xll.EQNXTDZ($A$1,$B29,Z$1,$B$1)</f>
        <v>88.38</v>
      </c>
      <c r="AA29" s="100">
        <f>_xll.EQNXTDZ($A$1,$B29,AA$1,$B$1)</f>
        <v>-24.21</v>
      </c>
      <c r="AB29" s="100">
        <f>_xll.EQNXTDZ($A$1,$B29,AB$1,$B$1)</f>
        <v>-88.75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16.375399999999999</v>
      </c>
      <c r="D30" s="100">
        <f>_xll.EQNXTDZ($A$1,$B30,D$1,$B$1)</f>
        <v>14.8223</v>
      </c>
      <c r="E30" s="100">
        <f>_xll.EQNXTDZ($A$1,$B30,E$1,$B$1)</f>
        <v>17.048500000000001</v>
      </c>
      <c r="F30" s="100">
        <f>_xll.EQNXTDZ($A$1,$B30,F$1,$B$1)</f>
        <v>23.726299999999998</v>
      </c>
      <c r="G30" s="100">
        <f>_xll.EQNXTDZ($A$1,$B30,G$1,$B$1)</f>
        <v>8.1056000000000008</v>
      </c>
      <c r="H30" s="100">
        <f>_xll.EQNXTDZ($A$1,$B30,H$1,$B$1)</f>
        <v>18.782699999999998</v>
      </c>
      <c r="I30" s="100">
        <f>_xll.EQNXTDZ($A$1,$B30,I$1,$B$1)</f>
        <v>15.5237</v>
      </c>
      <c r="J30" s="100">
        <f>_xll.EQNXTDZ($A$1,$B30,J$1,$B$1)</f>
        <v>14.422000000000001</v>
      </c>
      <c r="K30" s="100">
        <f>_xll.EQNXTDZ($A$1,$B30,K$1,$B$1)</f>
        <v>7.8159999999999998</v>
      </c>
      <c r="L30" s="100">
        <f>_xll.EQNXTDZ($A$1,$B30,L$1,$B$1)</f>
        <v>116.0231</v>
      </c>
      <c r="M30" s="100">
        <f>_xll.EQNXTDZ($A$1,$B30,M$1,$B$1)</f>
        <v>72.169499999999999</v>
      </c>
      <c r="N30" s="100">
        <f>_xll.EQNXTDZ($A$1,$B30,N$1,$B$1)</f>
        <v>72.319999999999993</v>
      </c>
      <c r="O30" s="100">
        <f>_xll.EQNXTDZ($A$1,$B30,O$1,$B$1)</f>
        <v>146.69</v>
      </c>
      <c r="P30" s="100">
        <f>_xll.EQNXTDZ($A$1,$B30,P$1,$B$1)</f>
        <v>180.07</v>
      </c>
      <c r="Q30" s="100">
        <f>_xll.EQNXTDZ($A$1,$B30,Q$1,$B$1)</f>
        <v>188.84</v>
      </c>
      <c r="R30" s="100">
        <f>_xll.EQNXTDZ($A$1,$B30,R$1,$B$1)</f>
        <v>610.16999999999996</v>
      </c>
      <c r="S30" s="100">
        <f>_xll.EQNXTDZ($A$1,$B30,S$1,$B$1)</f>
        <v>154.51</v>
      </c>
      <c r="T30" s="100">
        <f>_xll.EQNXTDZ($A$1,$B30,T$1,$B$1)</f>
        <v>252.87</v>
      </c>
      <c r="U30" s="100">
        <f>_xll.EQNXTDZ($A$1,$B30,U$1,$B$1)</f>
        <v>125.35</v>
      </c>
      <c r="V30" s="100">
        <f>_xll.EQNXTDZ($A$1,$B30,V$1,$B$1)</f>
        <v>161.85</v>
      </c>
      <c r="W30" s="100">
        <f>_xll.EQNXTDZ($A$1,$B30,W$1,$B$1)</f>
        <v>274.38</v>
      </c>
      <c r="X30" s="100">
        <f>_xll.EQNXTDZ($A$1,$B30,X$1,$B$1)</f>
        <v>448.73</v>
      </c>
      <c r="Y30" s="100">
        <f>_xll.EQNXTDZ($A$1,$B30,Y$1,$B$1)</f>
        <v>601.92999999999995</v>
      </c>
      <c r="Z30" s="100">
        <f>_xll.EQNXTDZ($A$1,$B30,Z$1,$B$1)</f>
        <v>695.73</v>
      </c>
      <c r="AA30" s="100">
        <f>_xll.EQNXTDZ($A$1,$B30,AA$1,$B$1)</f>
        <v>761.56</v>
      </c>
      <c r="AB30" s="100">
        <f>_xll.EQNXTDZ($A$1,$B30,AB$1,$B$1)</f>
        <v>734.01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-0.75239999999999996</v>
      </c>
      <c r="E31" s="100">
        <f>_xll.EQNXTDZ($A$1,$B31,E$1,$B$1)</f>
        <v>0</v>
      </c>
      <c r="F31" s="100">
        <f>_xll.EQNXTDZ($A$1,$B31,F$1,$B$1)</f>
        <v>-1.556</v>
      </c>
      <c r="G31" s="100">
        <f>_xll.EQNXTDZ($A$1,$B31,G$1,$B$1)</f>
        <v>0</v>
      </c>
      <c r="H31" s="100">
        <f>_xll.EQNXTDZ($A$1,$B31,H$1,$B$1)</f>
        <v>-8.0586000000000002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4.1000000000000003E-3</v>
      </c>
      <c r="N32" s="100">
        <f>_xll.EQNXTDZ($A$1,$B32,N$1,$B$1)</f>
        <v>-2.2599999999999998</v>
      </c>
      <c r="O32" s="100">
        <f>_xll.EQNXTDZ($A$1,$B32,O$1,$B$1)</f>
        <v>-2.15</v>
      </c>
      <c r="P32" s="100">
        <f>_xll.EQNXTDZ($A$1,$B32,P$1,$B$1)</f>
        <v>-0.03</v>
      </c>
      <c r="Q32" s="100">
        <f>_xll.EQNXTDZ($A$1,$B32,Q$1,$B$1)</f>
        <v>-0.03</v>
      </c>
      <c r="R32" s="100">
        <f>_xll.EQNXTDZ($A$1,$B32,R$1,$B$1)</f>
        <v>-0.03</v>
      </c>
      <c r="S32" s="100">
        <f>_xll.EQNXTDZ($A$1,$B32,S$1,$B$1)</f>
        <v>-0.03</v>
      </c>
      <c r="T32" s="100">
        <f>_xll.EQNXTDZ($A$1,$B32,T$1,$B$1)</f>
        <v>-0.03</v>
      </c>
      <c r="U32" s="100">
        <f>_xll.EQNXTDZ($A$1,$B32,U$1,$B$1)</f>
        <v>-0.03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25.19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42.806399999999996</v>
      </c>
      <c r="D35" s="100">
        <f>_xll.EQNXTDZ($A$1,$B35,D$1,$B$1)</f>
        <v>46.039499999999997</v>
      </c>
      <c r="E35" s="100">
        <f>_xll.EQNXTDZ($A$1,$B35,E$1,$B$1)</f>
        <v>44.288699999999999</v>
      </c>
      <c r="F35" s="100">
        <f>_xll.EQNXTDZ($A$1,$B35,F$1,$B$1)</f>
        <v>54.554400000000001</v>
      </c>
      <c r="G35" s="100">
        <f>_xll.EQNXTDZ($A$1,$B35,G$1,$B$1)</f>
        <v>48.761899999999997</v>
      </c>
      <c r="H35" s="100">
        <f>_xll.EQNXTDZ($A$1,$B35,H$1,$B$1)</f>
        <v>50.862699999999997</v>
      </c>
      <c r="I35" s="100">
        <f>_xll.EQNXTDZ($A$1,$B35,I$1,$B$1)</f>
        <v>93.513199999999998</v>
      </c>
      <c r="J35" s="100">
        <f>_xll.EQNXTDZ($A$1,$B35,J$1,$B$1)</f>
        <v>134.67670000000001</v>
      </c>
      <c r="K35" s="100">
        <f>_xll.EQNXTDZ($A$1,$B35,K$1,$B$1)</f>
        <v>184.36959999999999</v>
      </c>
      <c r="L35" s="100">
        <f>_xll.EQNXTDZ($A$1,$B35,L$1,$B$1)</f>
        <v>231.1953</v>
      </c>
      <c r="M35" s="100">
        <f>_xll.EQNXTDZ($A$1,$B35,M$1,$B$1)</f>
        <v>270.16950000000003</v>
      </c>
      <c r="N35" s="100">
        <f>_xll.EQNXTDZ($A$1,$B35,N$1,$B$1)</f>
        <v>284.04000000000002</v>
      </c>
      <c r="O35" s="100">
        <f>_xll.EQNXTDZ($A$1,$B35,O$1,$B$1)</f>
        <v>432.76</v>
      </c>
      <c r="P35" s="100">
        <f>_xll.EQNXTDZ($A$1,$B35,P$1,$B$1)</f>
        <v>663.88</v>
      </c>
      <c r="Q35" s="100">
        <f>_xll.EQNXTDZ($A$1,$B35,Q$1,$B$1)</f>
        <v>750.94</v>
      </c>
      <c r="R35" s="100">
        <f>_xll.EQNXTDZ($A$1,$B35,R$1,$B$1)</f>
        <v>1733.24</v>
      </c>
      <c r="S35" s="100">
        <f>_xll.EQNXTDZ($A$1,$B35,S$1,$B$1)</f>
        <v>933.55</v>
      </c>
      <c r="T35" s="100">
        <f>_xll.EQNXTDZ($A$1,$B35,T$1,$B$1)</f>
        <v>678.11</v>
      </c>
      <c r="U35" s="100">
        <f>_xll.EQNXTDZ($A$1,$B35,U$1,$B$1)</f>
        <v>436.28</v>
      </c>
      <c r="V35" s="100">
        <f>_xll.EQNXTDZ($A$1,$B35,V$1,$B$1)</f>
        <v>1024.72</v>
      </c>
      <c r="W35" s="100">
        <f>_xll.EQNXTDZ($A$1,$B35,W$1,$B$1)</f>
        <v>1251.8800000000001</v>
      </c>
      <c r="X35" s="100">
        <f>_xll.EQNXTDZ($A$1,$B35,X$1,$B$1)</f>
        <v>777.18</v>
      </c>
      <c r="Y35" s="100">
        <f>_xll.EQNXTDZ($A$1,$B35,Y$1,$B$1)</f>
        <v>1245.23</v>
      </c>
      <c r="Z35" s="100">
        <f>_xll.EQNXTDZ($A$1,$B35,Z$1,$B$1)</f>
        <v>1656.38</v>
      </c>
      <c r="AA35" s="100">
        <f>_xll.EQNXTDZ($A$1,$B35,AA$1,$B$1)</f>
        <v>1911.25</v>
      </c>
      <c r="AB35" s="100">
        <f>_xll.EQNXTDZ($A$1,$B35,AB$1,$B$1)</f>
        <v>2163.37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21.081</v>
      </c>
      <c r="D41" s="55">
        <f>_xll.EQNXTDZ($A$1,$B41,D$1,$B$1)</f>
        <v>21.081</v>
      </c>
      <c r="E41" s="55">
        <f>_xll.EQNXTDZ($A$1,$B41,E$1,$B$1)</f>
        <v>21.102399999999999</v>
      </c>
      <c r="F41" s="55">
        <f>_xll.EQNXTDZ($A$1,$B41,F$1,$B$1)</f>
        <v>21.156300000000002</v>
      </c>
      <c r="G41" s="55">
        <f>_xll.EQNXTDZ($A$1,$B41,G$1,$B$1)</f>
        <v>21.156300000000002</v>
      </c>
      <c r="H41" s="55">
        <f>_xll.EQNXTDZ($A$1,$B41,H$1,$B$1)</f>
        <v>42.309199999999997</v>
      </c>
      <c r="I41" s="55">
        <f>_xll.EQNXTDZ($A$1,$B41,I$1,$B$1)</f>
        <v>42.309199999999997</v>
      </c>
      <c r="J41" s="55">
        <f>_xll.EQNXTDZ($A$1,$B41,J$1,$B$1)</f>
        <v>42.309199999999997</v>
      </c>
      <c r="K41" s="55">
        <f>_xll.EQNXTDZ($A$1,$B41,K$1,$B$1)</f>
        <v>42.309199999999997</v>
      </c>
      <c r="L41" s="55">
        <f>_xll.EQNXTDZ($A$1,$B41,L$1,$B$1)</f>
        <v>42.309199999999997</v>
      </c>
      <c r="M41" s="55">
        <f>_xll.EQNXTDZ($A$1,$B41,M$1,$B$1)</f>
        <v>42.309199999999997</v>
      </c>
      <c r="N41" s="55">
        <f>_xll.EQNXTDZ($A$1,$B41,N$1,$B$1)</f>
        <v>42.31</v>
      </c>
      <c r="O41" s="55">
        <f>_xll.EQNXTDZ($A$1,$B41,O$1,$B$1)</f>
        <v>42.31</v>
      </c>
      <c r="P41" s="55">
        <f>_xll.EQNXTDZ($A$1,$B41,P$1,$B$1)</f>
        <v>84.62</v>
      </c>
      <c r="Q41" s="55">
        <f>_xll.EQNXTDZ($A$1,$B41,Q$1,$B$1)</f>
        <v>84.62</v>
      </c>
      <c r="R41" s="55">
        <f>_xll.EQNXTDZ($A$1,$B41,R$1,$B$1)</f>
        <v>84.62</v>
      </c>
      <c r="S41" s="55">
        <f>_xll.EQNXTDZ($A$1,$B41,S$1,$B$1)</f>
        <v>84.62</v>
      </c>
      <c r="T41" s="55">
        <f>_xll.EQNXTDZ($A$1,$B41,T$1,$B$1)</f>
        <v>84.62</v>
      </c>
      <c r="U41" s="55">
        <f>_xll.EQNXTDZ($A$1,$B41,U$1,$B$1)</f>
        <v>84.62</v>
      </c>
      <c r="V41" s="55">
        <f>_xll.EQNXTDZ($A$1,$B41,V$1,$B$1)</f>
        <v>84.62</v>
      </c>
      <c r="W41" s="55">
        <f>_xll.EQNXTDZ($A$1,$B41,W$1,$B$1)</f>
        <v>84.62</v>
      </c>
      <c r="X41" s="55">
        <f>_xll.EQNXTDZ($A$1,$B41,X$1,$B$1)</f>
        <v>84.62</v>
      </c>
      <c r="Y41" s="55">
        <f>_xll.EQNXTDZ($A$1,$B41,Y$1,$B$1)</f>
        <v>169.23</v>
      </c>
      <c r="Z41" s="55">
        <f>_xll.EQNXTDZ($A$1,$B41,Z$1,$B$1)</f>
        <v>169.23</v>
      </c>
      <c r="AA41" s="55">
        <f>_xll.EQNXTDZ($A$1,$B41,AA$1,$B$1)</f>
        <v>169.23</v>
      </c>
      <c r="AB41" s="55">
        <f>_xll.EQNXTDZ($A$1,$B41,AB$1,$B$1)</f>
        <v>169.23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219.99529999999999</v>
      </c>
      <c r="D43" s="55">
        <f>_xll.EQNXTDZ($A$1,$B43,D$1,$B$1)</f>
        <v>204.39089999999999</v>
      </c>
      <c r="E43" s="55">
        <f>_xll.EQNXTDZ($A$1,$B43,E$1,$B$1)</f>
        <v>229.58279999999999</v>
      </c>
      <c r="F43" s="55">
        <f>_xll.EQNXTDZ($A$1,$B43,F$1,$B$1)</f>
        <v>264.92</v>
      </c>
      <c r="G43" s="55">
        <f>_xll.EQNXTDZ($A$1,$B43,G$1,$B$1)</f>
        <v>294.38619999999997</v>
      </c>
      <c r="H43" s="55">
        <f>_xll.EQNXTDZ($A$1,$B43,H$1,$B$1)</f>
        <v>305.53109999999998</v>
      </c>
      <c r="I43" s="55">
        <f>_xll.EQNXTDZ($A$1,$B43,I$1,$B$1)</f>
        <v>367.9425</v>
      </c>
      <c r="J43" s="55">
        <f>_xll.EQNXTDZ($A$1,$B43,J$1,$B$1)</f>
        <v>467.2518</v>
      </c>
      <c r="K43" s="55">
        <f>_xll.EQNXTDZ($A$1,$B43,K$1,$B$1)</f>
        <v>608.58249999999998</v>
      </c>
      <c r="L43" s="55">
        <f>_xll.EQNXTDZ($A$1,$B43,L$1,$B$1)</f>
        <v>788.66930000000002</v>
      </c>
      <c r="M43" s="55">
        <f>_xll.EQNXTDZ($A$1,$B43,M$1,$B$1)</f>
        <v>980.09559999999999</v>
      </c>
      <c r="N43" s="55">
        <f>_xll.EQNXTDZ($A$1,$B43,N$1,$B$1)</f>
        <v>1151.52</v>
      </c>
      <c r="O43" s="55">
        <f>_xll.EQNXTDZ($A$1,$B43,O$1,$B$1)</f>
        <v>1379.62</v>
      </c>
      <c r="P43" s="55">
        <f>_xll.EQNXTDZ($A$1,$B43,P$1,$B$1)</f>
        <v>1817.81</v>
      </c>
      <c r="Q43" s="55">
        <f>_xll.EQNXTDZ($A$1,$B43,Q$1,$B$1)</f>
        <v>2405.94</v>
      </c>
      <c r="R43" s="55">
        <f>_xll.EQNXTDZ($A$1,$B43,R$1,$B$1)</f>
        <v>3409.48</v>
      </c>
      <c r="S43" s="55">
        <f>_xll.EQNXTDZ($A$1,$B43,S$1,$B$1)</f>
        <v>4265.51</v>
      </c>
      <c r="T43" s="55">
        <f>_xll.EQNXTDZ($A$1,$B43,T$1,$B$1)</f>
        <v>4537.57</v>
      </c>
      <c r="U43" s="55">
        <f>_xll.EQNXTDZ($A$1,$B43,U$1,$B$1)</f>
        <v>4639.7299999999996</v>
      </c>
      <c r="V43" s="55">
        <f>_xll.EQNXTDZ($A$1,$B43,V$1,$B$1)</f>
        <v>4738.6000000000004</v>
      </c>
      <c r="W43" s="55">
        <f>_xll.EQNXTDZ($A$1,$B43,W$1,$B$1)</f>
        <v>5752.55</v>
      </c>
      <c r="X43" s="55">
        <f>_xll.EQNXTDZ($A$1,$B43,X$1,$B$1)</f>
        <v>5868.33</v>
      </c>
      <c r="Y43" s="55">
        <f>_xll.EQNXTDZ($A$1,$B43,Y$1,$B$1)</f>
        <v>6028.84</v>
      </c>
      <c r="Z43" s="55">
        <f>_xll.EQNXTDZ($A$1,$B43,Z$1,$B$1)</f>
        <v>6686.92</v>
      </c>
      <c r="AA43" s="55">
        <f>_xll.EQNXTDZ($A$1,$B43,AA$1,$B$1)</f>
        <v>7421.46</v>
      </c>
      <c r="AB43" s="55">
        <f>_xll.EQNXTDZ($A$1,$B43,AB$1,$B$1)</f>
        <v>8219.2000000000007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241.0763</v>
      </c>
      <c r="D44" s="55">
        <f>_xll.EQNXTDZ($A$1,$B44,D$1,$B$1)</f>
        <v>225.47190000000001</v>
      </c>
      <c r="E44" s="55">
        <f>_xll.EQNXTDZ($A$1,$B44,E$1,$B$1)</f>
        <v>250.68520000000001</v>
      </c>
      <c r="F44" s="55">
        <f>_xll.EQNXTDZ($A$1,$B44,F$1,$B$1)</f>
        <v>286.0763</v>
      </c>
      <c r="G44" s="55">
        <f>_xll.EQNXTDZ($A$1,$B44,G$1,$B$1)</f>
        <v>315.54250000000002</v>
      </c>
      <c r="H44" s="55">
        <f>_xll.EQNXTDZ($A$1,$B44,H$1,$B$1)</f>
        <v>347.84030000000001</v>
      </c>
      <c r="I44" s="55">
        <f>_xll.EQNXTDZ($A$1,$B44,I$1,$B$1)</f>
        <v>410.25170000000003</v>
      </c>
      <c r="J44" s="55">
        <f>_xll.EQNXTDZ($A$1,$B44,J$1,$B$1)</f>
        <v>509.56099999999998</v>
      </c>
      <c r="K44" s="55">
        <f>_xll.EQNXTDZ($A$1,$B44,K$1,$B$1)</f>
        <v>650.89170000000001</v>
      </c>
      <c r="L44" s="55">
        <f>_xll.EQNXTDZ($A$1,$B44,L$1,$B$1)</f>
        <v>830.97850000000005</v>
      </c>
      <c r="M44" s="55">
        <f>_xll.EQNXTDZ($A$1,$B44,M$1,$B$1)</f>
        <v>1022.4048</v>
      </c>
      <c r="N44" s="55">
        <f>_xll.EQNXTDZ($A$1,$B44,N$1,$B$1)</f>
        <v>1193.83</v>
      </c>
      <c r="O44" s="55">
        <f>_xll.EQNXTDZ($A$1,$B44,O$1,$B$1)</f>
        <v>1421.93</v>
      </c>
      <c r="P44" s="55">
        <f>_xll.EQNXTDZ($A$1,$B44,P$1,$B$1)</f>
        <v>1902.43</v>
      </c>
      <c r="Q44" s="55">
        <f>_xll.EQNXTDZ($A$1,$B44,Q$1,$B$1)</f>
        <v>2490.56</v>
      </c>
      <c r="R44" s="55">
        <f>_xll.EQNXTDZ($A$1,$B44,R$1,$B$1)</f>
        <v>3494.1</v>
      </c>
      <c r="S44" s="55">
        <f>_xll.EQNXTDZ($A$1,$B44,S$1,$B$1)</f>
        <v>4350.13</v>
      </c>
      <c r="T44" s="55">
        <f>_xll.EQNXTDZ($A$1,$B44,T$1,$B$1)</f>
        <v>4622.1899999999996</v>
      </c>
      <c r="U44" s="55">
        <f>_xll.EQNXTDZ($A$1,$B44,U$1,$B$1)</f>
        <v>4724.3500000000004</v>
      </c>
      <c r="V44" s="55">
        <f>_xll.EQNXTDZ($A$1,$B44,V$1,$B$1)</f>
        <v>4823.22</v>
      </c>
      <c r="W44" s="55">
        <f>_xll.EQNXTDZ($A$1,$B44,W$1,$B$1)</f>
        <v>5837.17</v>
      </c>
      <c r="X44" s="55">
        <f>_xll.EQNXTDZ($A$1,$B44,X$1,$B$1)</f>
        <v>5952.95</v>
      </c>
      <c r="Y44" s="55">
        <f>_xll.EQNXTDZ($A$1,$B44,Y$1,$B$1)</f>
        <v>6198.07</v>
      </c>
      <c r="Z44" s="55">
        <f>_xll.EQNXTDZ($A$1,$B44,Z$1,$B$1)</f>
        <v>6856.15</v>
      </c>
      <c r="AA44" s="55">
        <f>_xll.EQNXTDZ($A$1,$B44,AA$1,$B$1)</f>
        <v>7590.69</v>
      </c>
      <c r="AB44" s="55">
        <f>_xll.EQNXTDZ($A$1,$B44,AB$1,$B$1)</f>
        <v>8388.43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1.6009</v>
      </c>
      <c r="N45" s="55">
        <f>_xll.EQNXTDZ($A$1,$B45,N$1,$B$1)</f>
        <v>3.5</v>
      </c>
      <c r="O45" s="55">
        <f>_xll.EQNXTDZ($A$1,$B45,O$1,$B$1)</f>
        <v>0.37</v>
      </c>
      <c r="P45" s="55">
        <f>_xll.EQNXTDZ($A$1,$B45,P$1,$B$1)</f>
        <v>0.4</v>
      </c>
      <c r="Q45" s="55">
        <f>_xll.EQNXTDZ($A$1,$B45,Q$1,$B$1)</f>
        <v>0.43</v>
      </c>
      <c r="R45" s="55">
        <f>_xll.EQNXTDZ($A$1,$B45,R$1,$B$1)</f>
        <v>0.46</v>
      </c>
      <c r="S45" s="55">
        <f>_xll.EQNXTDZ($A$1,$B45,S$1,$B$1)</f>
        <v>0.49</v>
      </c>
      <c r="T45" s="55">
        <f>_xll.EQNXTDZ($A$1,$B45,T$1,$B$1)</f>
        <v>0.52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9196.4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58.192</v>
      </c>
      <c r="D47" s="55">
        <f>_xll.EQNXTDZ($A$1,$B47,D$1,$B$1)</f>
        <v>22.25</v>
      </c>
      <c r="E47" s="55">
        <f>_xll.EQNXTDZ($A$1,$B47,E$1,$B$1)</f>
        <v>4</v>
      </c>
      <c r="F47" s="55">
        <f>_xll.EQNXTDZ($A$1,$B47,F$1,$B$1)</f>
        <v>0</v>
      </c>
      <c r="G47" s="55">
        <f>_xll.EQNXTDZ($A$1,$B47,G$1,$B$1)</f>
        <v>182.70240000000001</v>
      </c>
      <c r="H47" s="55">
        <f>_xll.EQNXTDZ($A$1,$B47,H$1,$B$1)</f>
        <v>256.11009999999999</v>
      </c>
      <c r="I47" s="55">
        <f>_xll.EQNXTDZ($A$1,$B47,I$1,$B$1)</f>
        <v>276.96120000000002</v>
      </c>
      <c r="J47" s="55">
        <f>_xll.EQNXTDZ($A$1,$B47,J$1,$B$1)</f>
        <v>336.64600000000002</v>
      </c>
      <c r="K47" s="55">
        <f>_xll.EQNXTDZ($A$1,$B47,K$1,$B$1)</f>
        <v>318.27300000000002</v>
      </c>
      <c r="L47" s="55">
        <f>_xll.EQNXTDZ($A$1,$B47,L$1,$B$1)</f>
        <v>364.64159999999998</v>
      </c>
      <c r="M47" s="55">
        <f>_xll.EQNXTDZ($A$1,$B47,M$1,$B$1)</f>
        <v>170.5916</v>
      </c>
      <c r="N47" s="55">
        <f>_xll.EQNXTDZ($A$1,$B47,N$1,$B$1)</f>
        <v>223.83</v>
      </c>
      <c r="O47" s="55">
        <f>_xll.EQNXTDZ($A$1,$B47,O$1,$B$1)</f>
        <v>403.19</v>
      </c>
      <c r="P47" s="55">
        <f>_xll.EQNXTDZ($A$1,$B47,P$1,$B$1)</f>
        <v>730.72</v>
      </c>
      <c r="Q47" s="55">
        <f>_xll.EQNXTDZ($A$1,$B47,Q$1,$B$1)</f>
        <v>2171.6</v>
      </c>
      <c r="R47" s="55">
        <f>_xll.EQNXTDZ($A$1,$B47,R$1,$B$1)</f>
        <v>1839.46</v>
      </c>
      <c r="S47" s="55">
        <f>_xll.EQNXTDZ($A$1,$B47,S$1,$B$1)</f>
        <v>2229.5700000000002</v>
      </c>
      <c r="T47" s="55">
        <f>_xll.EQNXTDZ($A$1,$B47,T$1,$B$1)</f>
        <v>4105.3100000000004</v>
      </c>
      <c r="U47" s="55">
        <f>_xll.EQNXTDZ($A$1,$B47,U$1,$B$1)</f>
        <v>3909.81</v>
      </c>
      <c r="V47" s="55">
        <f>_xll.EQNXTDZ($A$1,$B47,V$1,$B$1)</f>
        <v>3302.29</v>
      </c>
      <c r="W47" s="55">
        <f>_xll.EQNXTDZ($A$1,$B47,W$1,$B$1)</f>
        <v>2941.07</v>
      </c>
      <c r="X47" s="55">
        <f>_xll.EQNXTDZ($A$1,$B47,X$1,$B$1)</f>
        <v>2123.2199999999998</v>
      </c>
      <c r="Y47" s="55">
        <f>_xll.EQNXTDZ($A$1,$B47,Y$1,$B$1)</f>
        <v>2496.2199999999998</v>
      </c>
      <c r="Z47" s="55">
        <f>_xll.EQNXTDZ($A$1,$B47,Z$1,$B$1)</f>
        <v>1603.78</v>
      </c>
      <c r="AA47" s="55">
        <f>_xll.EQNXTDZ($A$1,$B47,AA$1,$B$1)</f>
        <v>1191.75</v>
      </c>
      <c r="AB47" s="55">
        <f>_xll.EQNXTDZ($A$1,$B47,AB$1,$B$1)</f>
        <v>11651.17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27.573</v>
      </c>
      <c r="D48" s="55">
        <f>_xll.EQNXTDZ($A$1,$B48,D$1,$B$1)</f>
        <v>1.0800000000000001E-2</v>
      </c>
      <c r="E48" s="55">
        <f>_xll.EQNXTDZ($A$1,$B48,E$1,$B$1)</f>
        <v>5.1999999999999998E-2</v>
      </c>
      <c r="F48" s="55">
        <f>_xll.EQNXTDZ($A$1,$B48,F$1,$B$1)</f>
        <v>0</v>
      </c>
      <c r="G48" s="55">
        <f>_xll.EQNXTDZ($A$1,$B48,G$1,$B$1)</f>
        <v>29.668099999999999</v>
      </c>
      <c r="H48" s="55">
        <f>_xll.EQNXTDZ($A$1,$B48,H$1,$B$1)</f>
        <v>9.3204999999999991</v>
      </c>
      <c r="I48" s="55">
        <f>_xll.EQNXTDZ($A$1,$B48,I$1,$B$1)</f>
        <v>21.963100000000001</v>
      </c>
      <c r="J48" s="55">
        <f>_xll.EQNXTDZ($A$1,$B48,J$1,$B$1)</f>
        <v>23.142600000000002</v>
      </c>
      <c r="K48" s="55">
        <f>_xll.EQNXTDZ($A$1,$B48,K$1,$B$1)</f>
        <v>164.3296</v>
      </c>
      <c r="L48" s="55">
        <f>_xll.EQNXTDZ($A$1,$B48,L$1,$B$1)</f>
        <v>157.75409999999999</v>
      </c>
      <c r="M48" s="55">
        <f>_xll.EQNXTDZ($A$1,$B48,M$1,$B$1)</f>
        <v>122.44889999999999</v>
      </c>
      <c r="N48" s="55">
        <f>_xll.EQNXTDZ($A$1,$B48,N$1,$B$1)</f>
        <v>98.22</v>
      </c>
      <c r="O48" s="55">
        <f>_xll.EQNXTDZ($A$1,$B48,O$1,$B$1)</f>
        <v>51.35</v>
      </c>
      <c r="P48" s="55">
        <f>_xll.EQNXTDZ($A$1,$B48,P$1,$B$1)</f>
        <v>13.74</v>
      </c>
      <c r="Q48" s="55">
        <f>_xll.EQNXTDZ($A$1,$B48,Q$1,$B$1)</f>
        <v>13.62</v>
      </c>
      <c r="R48" s="55">
        <f>_xll.EQNXTDZ($A$1,$B48,R$1,$B$1)</f>
        <v>10.62</v>
      </c>
      <c r="S48" s="55">
        <f>_xll.EQNXTDZ($A$1,$B48,S$1,$B$1)</f>
        <v>11.26</v>
      </c>
      <c r="T48" s="55">
        <f>_xll.EQNXTDZ($A$1,$B48,T$1,$B$1)</f>
        <v>6.15</v>
      </c>
      <c r="U48" s="55">
        <f>_xll.EQNXTDZ($A$1,$B48,U$1,$B$1)</f>
        <v>3.11</v>
      </c>
      <c r="V48" s="55">
        <f>_xll.EQNXTDZ($A$1,$B48,V$1,$B$1)</f>
        <v>1.56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38.591799999999999</v>
      </c>
      <c r="E49" s="55">
        <f>_xll.EQNXTDZ($A$1,$B49,E$1,$B$1)</f>
        <v>33.468299999999999</v>
      </c>
      <c r="F49" s="55">
        <f>_xll.EQNXTDZ($A$1,$B49,F$1,$B$1)</f>
        <v>35.620800000000003</v>
      </c>
      <c r="G49" s="55">
        <f>_xll.EQNXTDZ($A$1,$B49,G$1,$B$1)</f>
        <v>37.813400000000001</v>
      </c>
      <c r="H49" s="55">
        <f>_xll.EQNXTDZ($A$1,$B49,H$1,$B$1)</f>
        <v>47.828600000000002</v>
      </c>
      <c r="I49" s="55">
        <f>_xll.EQNXTDZ($A$1,$B49,I$1,$B$1)</f>
        <v>56.198900000000002</v>
      </c>
      <c r="J49" s="55">
        <f>_xll.EQNXTDZ($A$1,$B49,J$1,$B$1)</f>
        <v>62.303100000000001</v>
      </c>
      <c r="K49" s="55">
        <f>_xll.EQNXTDZ($A$1,$B49,K$1,$B$1)</f>
        <v>58.396799999999999</v>
      </c>
      <c r="L49" s="55">
        <f>_xll.EQNXTDZ($A$1,$B49,L$1,$B$1)</f>
        <v>49.898000000000003</v>
      </c>
      <c r="M49" s="55">
        <f>_xll.EQNXTDZ($A$1,$B49,M$1,$B$1)</f>
        <v>47.985700000000001</v>
      </c>
      <c r="N49" s="55">
        <f>_xll.EQNXTDZ($A$1,$B49,N$1,$B$1)</f>
        <v>51.43</v>
      </c>
      <c r="O49" s="55">
        <f>_xll.EQNXTDZ($A$1,$B49,O$1,$B$1)</f>
        <v>25.75</v>
      </c>
      <c r="P49" s="55">
        <f>_xll.EQNXTDZ($A$1,$B49,P$1,$B$1)</f>
        <v>-18.16</v>
      </c>
      <c r="Q49" s="55">
        <f>_xll.EQNXTDZ($A$1,$B49,Q$1,$B$1)</f>
        <v>104.7</v>
      </c>
      <c r="R49" s="55">
        <f>_xll.EQNXTDZ($A$1,$B49,R$1,$B$1)</f>
        <v>-111.44</v>
      </c>
      <c r="S49" s="55">
        <f>_xll.EQNXTDZ($A$1,$B49,S$1,$B$1)</f>
        <v>-208.47</v>
      </c>
      <c r="T49" s="55">
        <f>_xll.EQNXTDZ($A$1,$B49,T$1,$B$1)</f>
        <v>-275.88</v>
      </c>
      <c r="U49" s="55">
        <f>_xll.EQNXTDZ($A$1,$B49,U$1,$B$1)</f>
        <v>-362.35</v>
      </c>
      <c r="V49" s="55">
        <f>_xll.EQNXTDZ($A$1,$B49,V$1,$B$1)</f>
        <v>-433.21</v>
      </c>
      <c r="W49" s="55">
        <f>_xll.EQNXTDZ($A$1,$B49,W$1,$B$1)</f>
        <v>-421.66</v>
      </c>
      <c r="X49" s="55">
        <f>_xll.EQNXTDZ($A$1,$B49,X$1,$B$1)</f>
        <v>-300.08999999999997</v>
      </c>
      <c r="Y49" s="55">
        <f>_xll.EQNXTDZ($A$1,$B49,Y$1,$B$1)</f>
        <v>-141.72999999999999</v>
      </c>
      <c r="Z49" s="55">
        <f>_xll.EQNXTDZ($A$1,$B49,Z$1,$B$1)</f>
        <v>100.92</v>
      </c>
      <c r="AA49" s="55">
        <f>_xll.EQNXTDZ($A$1,$B49,AA$1,$B$1)</f>
        <v>234.57</v>
      </c>
      <c r="AB49" s="55">
        <f>_xll.EQNXTDZ($A$1,$B49,AB$1,$B$1)</f>
        <v>4971.7700000000004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0.43590000000000001</v>
      </c>
      <c r="N50" s="55">
        <f>_xll.EQNXTDZ($A$1,$B50,N$1,$B$1)</f>
        <v>3.8</v>
      </c>
      <c r="O50" s="55">
        <f>_xll.EQNXTDZ($A$1,$B50,O$1,$B$1)</f>
        <v>10.01</v>
      </c>
      <c r="P50" s="55">
        <f>_xll.EQNXTDZ($A$1,$B50,P$1,$B$1)</f>
        <v>10.029999999999999</v>
      </c>
      <c r="Q50" s="55">
        <f>_xll.EQNXTDZ($A$1,$B50,Q$1,$B$1)</f>
        <v>7.51</v>
      </c>
      <c r="R50" s="55">
        <f>_xll.EQNXTDZ($A$1,$B50,R$1,$B$1)</f>
        <v>9.65</v>
      </c>
      <c r="S50" s="55">
        <f>_xll.EQNXTDZ($A$1,$B50,S$1,$B$1)</f>
        <v>7.93</v>
      </c>
      <c r="T50" s="55">
        <f>_xll.EQNXTDZ($A$1,$B50,T$1,$B$1)</f>
        <v>20.18</v>
      </c>
      <c r="U50" s="55">
        <f>_xll.EQNXTDZ($A$1,$B50,U$1,$B$1)</f>
        <v>22.31</v>
      </c>
      <c r="V50" s="55">
        <f>_xll.EQNXTDZ($A$1,$B50,V$1,$B$1)</f>
        <v>90.17</v>
      </c>
      <c r="W50" s="55">
        <f>_xll.EQNXTDZ($A$1,$B50,W$1,$B$1)</f>
        <v>35.17</v>
      </c>
      <c r="X50" s="55">
        <f>_xll.EQNXTDZ($A$1,$B50,X$1,$B$1)</f>
        <v>46.28</v>
      </c>
      <c r="Y50" s="55">
        <f>_xll.EQNXTDZ($A$1,$B50,Y$1,$B$1)</f>
        <v>75.260000000000005</v>
      </c>
      <c r="Z50" s="55">
        <f>_xll.EQNXTDZ($A$1,$B50,Z$1,$B$1)</f>
        <v>74.66</v>
      </c>
      <c r="AA50" s="55">
        <f>_xll.EQNXTDZ($A$1,$B50,AA$1,$B$1)</f>
        <v>160.12</v>
      </c>
      <c r="AB50" s="55">
        <f>_xll.EQNXTDZ($A$1,$B50,AB$1,$B$1)</f>
        <v>298.04000000000002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56.1387</v>
      </c>
      <c r="N52" s="55">
        <f>_xll.EQNXTDZ($A$1,$B52,N$1,$B$1)</f>
        <v>110.45</v>
      </c>
      <c r="O52" s="55">
        <f>_xll.EQNXTDZ($A$1,$B52,O$1,$B$1)</f>
        <v>129.51</v>
      </c>
      <c r="P52" s="55">
        <f>_xll.EQNXTDZ($A$1,$B52,P$1,$B$1)</f>
        <v>190.43</v>
      </c>
      <c r="Q52" s="55">
        <f>_xll.EQNXTDZ($A$1,$B52,Q$1,$B$1)</f>
        <v>207.49</v>
      </c>
      <c r="R52" s="55">
        <f>_xll.EQNXTDZ($A$1,$B52,R$1,$B$1)</f>
        <v>246.36</v>
      </c>
      <c r="S52" s="55">
        <f>_xll.EQNXTDZ($A$1,$B52,S$1,$B$1)</f>
        <v>263.04000000000002</v>
      </c>
      <c r="T52" s="55">
        <f>_xll.EQNXTDZ($A$1,$B52,T$1,$B$1)</f>
        <v>286.66000000000003</v>
      </c>
      <c r="U52" s="55">
        <f>_xll.EQNXTDZ($A$1,$B52,U$1,$B$1)</f>
        <v>288.52</v>
      </c>
      <c r="V52" s="55">
        <f>_xll.EQNXTDZ($A$1,$B52,V$1,$B$1)</f>
        <v>338.34</v>
      </c>
      <c r="W52" s="55">
        <f>_xll.EQNXTDZ($A$1,$B52,W$1,$B$1)</f>
        <v>369.62</v>
      </c>
      <c r="X52" s="55">
        <f>_xll.EQNXTDZ($A$1,$B52,X$1,$B$1)</f>
        <v>368.74</v>
      </c>
      <c r="Y52" s="55">
        <f>_xll.EQNXTDZ($A$1,$B52,Y$1,$B$1)</f>
        <v>393.06</v>
      </c>
      <c r="Z52" s="55">
        <f>_xll.EQNXTDZ($A$1,$B52,Z$1,$B$1)</f>
        <v>444.69</v>
      </c>
      <c r="AA52" s="55">
        <f>_xll.EQNXTDZ($A$1,$B52,AA$1,$B$1)</f>
        <v>501.27</v>
      </c>
      <c r="AB52" s="55">
        <f>_xll.EQNXTDZ($A$1,$B52,AB$1,$B$1)</f>
        <v>764.55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85.765000000000001</v>
      </c>
      <c r="D53" s="55">
        <f>_xll.EQNXTDZ($A$1,$B53,D$1,$B$1)</f>
        <v>60.852600000000002</v>
      </c>
      <c r="E53" s="55">
        <f>_xll.EQNXTDZ($A$1,$B53,E$1,$B$1)</f>
        <v>37.520299999999999</v>
      </c>
      <c r="F53" s="55">
        <f>_xll.EQNXTDZ($A$1,$B53,F$1,$B$1)</f>
        <v>35.620800000000003</v>
      </c>
      <c r="G53" s="55">
        <f>_xll.EQNXTDZ($A$1,$B53,G$1,$B$1)</f>
        <v>250.18389999999999</v>
      </c>
      <c r="H53" s="55">
        <f>_xll.EQNXTDZ($A$1,$B53,H$1,$B$1)</f>
        <v>313.25920000000002</v>
      </c>
      <c r="I53" s="55">
        <f>_xll.EQNXTDZ($A$1,$B53,I$1,$B$1)</f>
        <v>355.1232</v>
      </c>
      <c r="J53" s="55">
        <f>_xll.EQNXTDZ($A$1,$B53,J$1,$B$1)</f>
        <v>422.0917</v>
      </c>
      <c r="K53" s="55">
        <f>_xll.EQNXTDZ($A$1,$B53,K$1,$B$1)</f>
        <v>540.99940000000004</v>
      </c>
      <c r="L53" s="55">
        <f>_xll.EQNXTDZ($A$1,$B53,L$1,$B$1)</f>
        <v>572.29369999999994</v>
      </c>
      <c r="M53" s="55">
        <f>_xll.EQNXTDZ($A$1,$B53,M$1,$B$1)</f>
        <v>397.60079999999999</v>
      </c>
      <c r="N53" s="55">
        <f>_xll.EQNXTDZ($A$1,$B53,N$1,$B$1)</f>
        <v>487.73</v>
      </c>
      <c r="O53" s="55">
        <f>_xll.EQNXTDZ($A$1,$B53,O$1,$B$1)</f>
        <v>619.80999999999995</v>
      </c>
      <c r="P53" s="55">
        <f>_xll.EQNXTDZ($A$1,$B53,P$1,$B$1)</f>
        <v>926.76</v>
      </c>
      <c r="Q53" s="55">
        <f>_xll.EQNXTDZ($A$1,$B53,Q$1,$B$1)</f>
        <v>2504.92</v>
      </c>
      <c r="R53" s="55">
        <f>_xll.EQNXTDZ($A$1,$B53,R$1,$B$1)</f>
        <v>1994.65</v>
      </c>
      <c r="S53" s="55">
        <f>_xll.EQNXTDZ($A$1,$B53,S$1,$B$1)</f>
        <v>2303.33</v>
      </c>
      <c r="T53" s="55">
        <f>_xll.EQNXTDZ($A$1,$B53,T$1,$B$1)</f>
        <v>4142.42</v>
      </c>
      <c r="U53" s="55">
        <f>_xll.EQNXTDZ($A$1,$B53,U$1,$B$1)</f>
        <v>3861.4</v>
      </c>
      <c r="V53" s="55">
        <f>_xll.EQNXTDZ($A$1,$B53,V$1,$B$1)</f>
        <v>3299.15</v>
      </c>
      <c r="W53" s="55">
        <f>_xll.EQNXTDZ($A$1,$B53,W$1,$B$1)</f>
        <v>2924.2</v>
      </c>
      <c r="X53" s="55">
        <f>_xll.EQNXTDZ($A$1,$B53,X$1,$B$1)</f>
        <v>2238.15</v>
      </c>
      <c r="Y53" s="55">
        <f>_xll.EQNXTDZ($A$1,$B53,Y$1,$B$1)</f>
        <v>2822.81</v>
      </c>
      <c r="Z53" s="55">
        <f>_xll.EQNXTDZ($A$1,$B53,Z$1,$B$1)</f>
        <v>2224.0500000000002</v>
      </c>
      <c r="AA53" s="55">
        <f>_xll.EQNXTDZ($A$1,$B53,AA$1,$B$1)</f>
        <v>2087.71</v>
      </c>
      <c r="AB53" s="55">
        <f>_xll.EQNXTDZ($A$1,$B53,AB$1,$B$1)</f>
        <v>17685.53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70.025999999999996</v>
      </c>
      <c r="D54" s="55">
        <f>_xll.EQNXTDZ($A$1,$B54,D$1,$B$1)</f>
        <v>72.640500000000003</v>
      </c>
      <c r="E54" s="55">
        <f>_xll.EQNXTDZ($A$1,$B54,E$1,$B$1)</f>
        <v>57.3414</v>
      </c>
      <c r="F54" s="55">
        <f>_xll.EQNXTDZ($A$1,$B54,F$1,$B$1)</f>
        <v>66.007400000000004</v>
      </c>
      <c r="G54" s="55">
        <f>_xll.EQNXTDZ($A$1,$B54,G$1,$B$1)</f>
        <v>115.4607</v>
      </c>
      <c r="H54" s="55">
        <f>_xll.EQNXTDZ($A$1,$B54,H$1,$B$1)</f>
        <v>232.97649999999999</v>
      </c>
      <c r="I54" s="55">
        <f>_xll.EQNXTDZ($A$1,$B54,I$1,$B$1)</f>
        <v>249.3546</v>
      </c>
      <c r="J54" s="55">
        <f>_xll.EQNXTDZ($A$1,$B54,J$1,$B$1)</f>
        <v>251.55279999999999</v>
      </c>
      <c r="K54" s="55">
        <f>_xll.EQNXTDZ($A$1,$B54,K$1,$B$1)</f>
        <v>313.41219999999998</v>
      </c>
      <c r="L54" s="55">
        <f>_xll.EQNXTDZ($A$1,$B54,L$1,$B$1)</f>
        <v>383.59789999999998</v>
      </c>
      <c r="M54" s="55">
        <f>_xll.EQNXTDZ($A$1,$B54,M$1,$B$1)</f>
        <v>615.00030000000004</v>
      </c>
      <c r="N54" s="55">
        <f>_xll.EQNXTDZ($A$1,$B54,N$1,$B$1)</f>
        <v>863.47</v>
      </c>
      <c r="O54" s="55">
        <f>_xll.EQNXTDZ($A$1,$B54,O$1,$B$1)</f>
        <v>1067.74</v>
      </c>
      <c r="P54" s="55">
        <f>_xll.EQNXTDZ($A$1,$B54,P$1,$B$1)</f>
        <v>1429.13</v>
      </c>
      <c r="Q54" s="55">
        <f>_xll.EQNXTDZ($A$1,$B54,Q$1,$B$1)</f>
        <v>1827.72</v>
      </c>
      <c r="R54" s="55">
        <f>_xll.EQNXTDZ($A$1,$B54,R$1,$B$1)</f>
        <v>2260.2199999999998</v>
      </c>
      <c r="S54" s="55">
        <f>_xll.EQNXTDZ($A$1,$B54,S$1,$B$1)</f>
        <v>1749.32</v>
      </c>
      <c r="T54" s="55">
        <f>_xll.EQNXTDZ($A$1,$B54,T$1,$B$1)</f>
        <v>2048.2399999999998</v>
      </c>
      <c r="U54" s="55">
        <f>_xll.EQNXTDZ($A$1,$B54,U$1,$B$1)</f>
        <v>2096.7399999999998</v>
      </c>
      <c r="V54" s="55">
        <f>_xll.EQNXTDZ($A$1,$B54,V$1,$B$1)</f>
        <v>2048.81</v>
      </c>
      <c r="W54" s="55">
        <f>_xll.EQNXTDZ($A$1,$B54,W$1,$B$1)</f>
        <v>2066.81</v>
      </c>
      <c r="X54" s="55">
        <f>_xll.EQNXTDZ($A$1,$B54,X$1,$B$1)</f>
        <v>1674.44</v>
      </c>
      <c r="Y54" s="55">
        <f>_xll.EQNXTDZ($A$1,$B54,Y$1,$B$1)</f>
        <v>1678.8</v>
      </c>
      <c r="Z54" s="55">
        <f>_xll.EQNXTDZ($A$1,$B54,Z$1,$B$1)</f>
        <v>2089.3200000000002</v>
      </c>
      <c r="AA54" s="55">
        <f>_xll.EQNXTDZ($A$1,$B54,AA$1,$B$1)</f>
        <v>1820.02</v>
      </c>
      <c r="AB54" s="55">
        <f>_xll.EQNXTDZ($A$1,$B54,AB$1,$B$1)</f>
        <v>2357.61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3.3317000000000001</v>
      </c>
      <c r="D55" s="55">
        <f>_xll.EQNXTDZ($A$1,$B55,D$1,$B$1)</f>
        <v>7.2115999999999998</v>
      </c>
      <c r="E55" s="55">
        <f>_xll.EQNXTDZ($A$1,$B55,E$1,$B$1)</f>
        <v>3.9253</v>
      </c>
      <c r="F55" s="55">
        <f>_xll.EQNXTDZ($A$1,$B55,F$1,$B$1)</f>
        <v>4.3382000000000103</v>
      </c>
      <c r="G55" s="55">
        <f>_xll.EQNXTDZ($A$1,$B55,G$1,$B$1)</f>
        <v>3.8296000000000099</v>
      </c>
      <c r="H55" s="55">
        <f>_xll.EQNXTDZ($A$1,$B55,H$1,$B$1)</f>
        <v>12.9229</v>
      </c>
      <c r="I55" s="55">
        <f>_xll.EQNXTDZ($A$1,$B55,I$1,$B$1)</f>
        <v>11.9863</v>
      </c>
      <c r="J55" s="55">
        <f>_xll.EQNXTDZ($A$1,$B55,J$1,$B$1)</f>
        <v>28.9541</v>
      </c>
      <c r="K55" s="55">
        <f>_xll.EQNXTDZ($A$1,$B55,K$1,$B$1)</f>
        <v>60.902799999999999</v>
      </c>
      <c r="L55" s="55">
        <f>_xll.EQNXTDZ($A$1,$B55,L$1,$B$1)</f>
        <v>43.3904</v>
      </c>
      <c r="M55" s="55">
        <f>_xll.EQNXTDZ($A$1,$B55,M$1,$B$1)</f>
        <v>312.8519</v>
      </c>
      <c r="N55" s="55">
        <f>_xll.EQNXTDZ($A$1,$B55,N$1,$B$1)</f>
        <v>291</v>
      </c>
      <c r="O55" s="55">
        <f>_xll.EQNXTDZ($A$1,$B55,O$1,$B$1)</f>
        <v>275.83</v>
      </c>
      <c r="P55" s="55">
        <f>_xll.EQNXTDZ($A$1,$B55,P$1,$B$1)</f>
        <v>371.63</v>
      </c>
      <c r="Q55" s="55">
        <f>_xll.EQNXTDZ($A$1,$B55,Q$1,$B$1)</f>
        <v>446.15</v>
      </c>
      <c r="R55" s="55">
        <f>_xll.EQNXTDZ($A$1,$B55,R$1,$B$1)</f>
        <v>822.28</v>
      </c>
      <c r="S55" s="55">
        <f>_xll.EQNXTDZ($A$1,$B55,S$1,$B$1)</f>
        <v>687.14</v>
      </c>
      <c r="T55" s="55">
        <f>_xll.EQNXTDZ($A$1,$B55,T$1,$B$1)</f>
        <v>1151.68</v>
      </c>
      <c r="U55" s="55">
        <f>_xll.EQNXTDZ($A$1,$B55,U$1,$B$1)</f>
        <v>1641.26</v>
      </c>
      <c r="V55" s="55">
        <f>_xll.EQNXTDZ($A$1,$B55,V$1,$B$1)</f>
        <v>1860.8</v>
      </c>
      <c r="W55" s="55">
        <f>_xll.EQNXTDZ($A$1,$B55,W$1,$B$1)</f>
        <v>1635.36</v>
      </c>
      <c r="X55" s="55">
        <f>_xll.EQNXTDZ($A$1,$B55,X$1,$B$1)</f>
        <v>1365.1</v>
      </c>
      <c r="Y55" s="55">
        <f>_xll.EQNXTDZ($A$1,$B55,Y$1,$B$1)</f>
        <v>1578.41</v>
      </c>
      <c r="Z55" s="55">
        <f>_xll.EQNXTDZ($A$1,$B55,Z$1,$B$1)</f>
        <v>1130.1500000000001</v>
      </c>
      <c r="AA55" s="55">
        <f>_xll.EQNXTDZ($A$1,$B55,AA$1,$B$1)</f>
        <v>1143.5</v>
      </c>
      <c r="AB55" s="55">
        <f>_xll.EQNXTDZ($A$1,$B55,AB$1,$B$1)</f>
        <v>2451.48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99.569500000000005</v>
      </c>
      <c r="N56" s="55">
        <f>_xll.EQNXTDZ($A$1,$B56,N$1,$B$1)</f>
        <v>138.12</v>
      </c>
      <c r="O56" s="55">
        <f>_xll.EQNXTDZ($A$1,$B56,O$1,$B$1)</f>
        <v>124.62</v>
      </c>
      <c r="P56" s="55">
        <f>_xll.EQNXTDZ($A$1,$B56,P$1,$B$1)</f>
        <v>210.43</v>
      </c>
      <c r="Q56" s="55">
        <f>_xll.EQNXTDZ($A$1,$B56,Q$1,$B$1)</f>
        <v>319.07</v>
      </c>
      <c r="R56" s="55">
        <f>_xll.EQNXTDZ($A$1,$B56,R$1,$B$1)</f>
        <v>3.32</v>
      </c>
      <c r="S56" s="55">
        <f>_xll.EQNXTDZ($A$1,$B56,S$1,$B$1)</f>
        <v>0</v>
      </c>
      <c r="T56" s="55">
        <f>_xll.EQNXTDZ($A$1,$B56,T$1,$B$1)</f>
        <v>1625.6</v>
      </c>
      <c r="U56" s="55">
        <f>_xll.EQNXTDZ($A$1,$B56,U$1,$B$1)</f>
        <v>934.11</v>
      </c>
      <c r="V56" s="55">
        <f>_xll.EQNXTDZ($A$1,$B56,V$1,$B$1)</f>
        <v>1090.8499999999999</v>
      </c>
      <c r="W56" s="55">
        <f>_xll.EQNXTDZ($A$1,$B56,W$1,$B$1)</f>
        <v>704.4</v>
      </c>
      <c r="X56" s="55">
        <f>_xll.EQNXTDZ($A$1,$B56,X$1,$B$1)</f>
        <v>923.04</v>
      </c>
      <c r="Y56" s="55">
        <f>_xll.EQNXTDZ($A$1,$B56,Y$1,$B$1)</f>
        <v>1765.07</v>
      </c>
      <c r="Z56" s="55">
        <f>_xll.EQNXTDZ($A$1,$B56,Z$1,$B$1)</f>
        <v>1637.71</v>
      </c>
      <c r="AA56" s="55">
        <f>_xll.EQNXTDZ($A$1,$B56,AA$1,$B$1)</f>
        <v>1249.97</v>
      </c>
      <c r="AB56" s="55">
        <f>_xll.EQNXTDZ($A$1,$B56,AB$1,$B$1)</f>
        <v>2914.57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55.997700000000002</v>
      </c>
      <c r="D57" s="55">
        <f>_xll.EQNXTDZ($A$1,$B57,D$1,$B$1)</f>
        <v>20.41</v>
      </c>
      <c r="E57" s="55">
        <f>_xll.EQNXTDZ($A$1,$B57,E$1,$B$1)</f>
        <v>23.2395</v>
      </c>
      <c r="F57" s="55">
        <f>_xll.EQNXTDZ($A$1,$B57,F$1,$B$1)</f>
        <v>24.415600000000001</v>
      </c>
      <c r="G57" s="55">
        <f>_xll.EQNXTDZ($A$1,$B57,G$1,$B$1)</f>
        <v>25.6294</v>
      </c>
      <c r="H57" s="55">
        <f>_xll.EQNXTDZ($A$1,$B57,H$1,$B$1)</f>
        <v>34.911000000000001</v>
      </c>
      <c r="I57" s="55">
        <f>_xll.EQNXTDZ($A$1,$B57,I$1,$B$1)</f>
        <v>18.267600000000002</v>
      </c>
      <c r="J57" s="55">
        <f>_xll.EQNXTDZ($A$1,$B57,J$1,$B$1)</f>
        <v>53.690899999999999</v>
      </c>
      <c r="K57" s="55">
        <f>_xll.EQNXTDZ($A$1,$B57,K$1,$B$1)</f>
        <v>91.327399999999997</v>
      </c>
      <c r="L57" s="55">
        <f>_xll.EQNXTDZ($A$1,$B57,L$1,$B$1)</f>
        <v>122.59780000000001</v>
      </c>
      <c r="M57" s="55">
        <f>_xll.EQNXTDZ($A$1,$B57,M$1,$B$1)</f>
        <v>86.663499999999999</v>
      </c>
      <c r="N57" s="55">
        <f>_xll.EQNXTDZ($A$1,$B57,N$1,$B$1)</f>
        <v>70.25</v>
      </c>
      <c r="O57" s="55">
        <f>_xll.EQNXTDZ($A$1,$B57,O$1,$B$1)</f>
        <v>242.46</v>
      </c>
      <c r="P57" s="55">
        <f>_xll.EQNXTDZ($A$1,$B57,P$1,$B$1)</f>
        <v>163.38999999999999</v>
      </c>
      <c r="Q57" s="55">
        <f>_xll.EQNXTDZ($A$1,$B57,Q$1,$B$1)</f>
        <v>230.81</v>
      </c>
      <c r="R57" s="55">
        <f>_xll.EQNXTDZ($A$1,$B57,R$1,$B$1)</f>
        <v>199.66</v>
      </c>
      <c r="S57" s="55">
        <f>_xll.EQNXTDZ($A$1,$B57,S$1,$B$1)</f>
        <v>301.8</v>
      </c>
      <c r="T57" s="55">
        <f>_xll.EQNXTDZ($A$1,$B57,T$1,$B$1)</f>
        <v>376.65</v>
      </c>
      <c r="U57" s="55">
        <f>_xll.EQNXTDZ($A$1,$B57,U$1,$B$1)</f>
        <v>493.21</v>
      </c>
      <c r="V57" s="55">
        <f>_xll.EQNXTDZ($A$1,$B57,V$1,$B$1)</f>
        <v>453.7</v>
      </c>
      <c r="W57" s="55">
        <f>_xll.EQNXTDZ($A$1,$B57,W$1,$B$1)</f>
        <v>485.05</v>
      </c>
      <c r="X57" s="55">
        <f>_xll.EQNXTDZ($A$1,$B57,X$1,$B$1)</f>
        <v>452.51</v>
      </c>
      <c r="Y57" s="55">
        <f>_xll.EQNXTDZ($A$1,$B57,Y$1,$B$1)</f>
        <v>425.02</v>
      </c>
      <c r="Z57" s="55">
        <f>_xll.EQNXTDZ($A$1,$B57,Z$1,$B$1)</f>
        <v>568.07000000000005</v>
      </c>
      <c r="AA57" s="55">
        <f>_xll.EQNXTDZ($A$1,$B57,AA$1,$B$1)</f>
        <v>503.7</v>
      </c>
      <c r="AB57" s="55">
        <f>_xll.EQNXTDZ($A$1,$B57,AB$1,$B$1)</f>
        <v>619.66999999999996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129.3554</v>
      </c>
      <c r="D59" s="55">
        <f>_xll.EQNXTDZ($A$1,$B59,D$1,$B$1)</f>
        <v>100.2621</v>
      </c>
      <c r="E59" s="55">
        <f>_xll.EQNXTDZ($A$1,$B59,E$1,$B$1)</f>
        <v>84.506200000000007</v>
      </c>
      <c r="F59" s="55">
        <f>_xll.EQNXTDZ($A$1,$B59,F$1,$B$1)</f>
        <v>94.761200000000002</v>
      </c>
      <c r="G59" s="55">
        <f>_xll.EQNXTDZ($A$1,$B59,G$1,$B$1)</f>
        <v>144.91970000000001</v>
      </c>
      <c r="H59" s="55">
        <f>_xll.EQNXTDZ($A$1,$B59,H$1,$B$1)</f>
        <v>280.81040000000002</v>
      </c>
      <c r="I59" s="55">
        <f>_xll.EQNXTDZ($A$1,$B59,I$1,$B$1)</f>
        <v>279.60849999999999</v>
      </c>
      <c r="J59" s="55">
        <f>_xll.EQNXTDZ($A$1,$B59,J$1,$B$1)</f>
        <v>334.19779999999997</v>
      </c>
      <c r="K59" s="55">
        <f>_xll.EQNXTDZ($A$1,$B59,K$1,$B$1)</f>
        <v>465.64240000000001</v>
      </c>
      <c r="L59" s="55">
        <f>_xll.EQNXTDZ($A$1,$B59,L$1,$B$1)</f>
        <v>549.58609999999999</v>
      </c>
      <c r="M59" s="55">
        <f>_xll.EQNXTDZ($A$1,$B59,M$1,$B$1)</f>
        <v>1114.0852</v>
      </c>
      <c r="N59" s="55">
        <f>_xll.EQNXTDZ($A$1,$B59,N$1,$B$1)</f>
        <v>1362.84</v>
      </c>
      <c r="O59" s="55">
        <f>_xll.EQNXTDZ($A$1,$B59,O$1,$B$1)</f>
        <v>1710.65</v>
      </c>
      <c r="P59" s="55">
        <f>_xll.EQNXTDZ($A$1,$B59,P$1,$B$1)</f>
        <v>2174.58</v>
      </c>
      <c r="Q59" s="55">
        <f>_xll.EQNXTDZ($A$1,$B59,Q$1,$B$1)</f>
        <v>2823.75</v>
      </c>
      <c r="R59" s="55">
        <f>_xll.EQNXTDZ($A$1,$B59,R$1,$B$1)</f>
        <v>3285.48</v>
      </c>
      <c r="S59" s="55">
        <f>_xll.EQNXTDZ($A$1,$B59,S$1,$B$1)</f>
        <v>2738.26</v>
      </c>
      <c r="T59" s="55">
        <f>_xll.EQNXTDZ($A$1,$B59,T$1,$B$1)</f>
        <v>5202.17</v>
      </c>
      <c r="U59" s="55">
        <f>_xll.EQNXTDZ($A$1,$B59,U$1,$B$1)</f>
        <v>5165.32</v>
      </c>
      <c r="V59" s="55">
        <f>_xll.EQNXTDZ($A$1,$B59,V$1,$B$1)</f>
        <v>5454.16</v>
      </c>
      <c r="W59" s="55">
        <f>_xll.EQNXTDZ($A$1,$B59,W$1,$B$1)</f>
        <v>4891.62</v>
      </c>
      <c r="X59" s="55">
        <f>_xll.EQNXTDZ($A$1,$B59,X$1,$B$1)</f>
        <v>4415.09</v>
      </c>
      <c r="Y59" s="55">
        <f>_xll.EQNXTDZ($A$1,$B59,Y$1,$B$1)</f>
        <v>5447.3</v>
      </c>
      <c r="Z59" s="55">
        <f>_xll.EQNXTDZ($A$1,$B59,Z$1,$B$1)</f>
        <v>5425.25</v>
      </c>
      <c r="AA59" s="55">
        <f>_xll.EQNXTDZ($A$1,$B59,AA$1,$B$1)</f>
        <v>4717.1899999999996</v>
      </c>
      <c r="AB59" s="55">
        <f>_xll.EQNXTDZ($A$1,$B59,AB$1,$B$1)</f>
        <v>8343.33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456.19670000000002</v>
      </c>
      <c r="D60" s="55">
        <f>_xll.EQNXTDZ($A$1,$B60,D$1,$B$1)</f>
        <v>386.58659999999998</v>
      </c>
      <c r="E60" s="55">
        <f>_xll.EQNXTDZ($A$1,$B60,E$1,$B$1)</f>
        <v>372.71170000000001</v>
      </c>
      <c r="F60" s="55">
        <f>_xll.EQNXTDZ($A$1,$B60,F$1,$B$1)</f>
        <v>416.45830000000001</v>
      </c>
      <c r="G60" s="55">
        <f>_xll.EQNXTDZ($A$1,$B60,G$1,$B$1)</f>
        <v>710.64610000000005</v>
      </c>
      <c r="H60" s="55">
        <f>_xll.EQNXTDZ($A$1,$B60,H$1,$B$1)</f>
        <v>941.90989999999999</v>
      </c>
      <c r="I60" s="55">
        <f>_xll.EQNXTDZ($A$1,$B60,I$1,$B$1)</f>
        <v>1044.9834000000001</v>
      </c>
      <c r="J60" s="55">
        <f>_xll.EQNXTDZ($A$1,$B60,J$1,$B$1)</f>
        <v>1265.8505</v>
      </c>
      <c r="K60" s="55">
        <f>_xll.EQNXTDZ($A$1,$B60,K$1,$B$1)</f>
        <v>1657.5335</v>
      </c>
      <c r="L60" s="55">
        <f>_xll.EQNXTDZ($A$1,$B60,L$1,$B$1)</f>
        <v>1952.8583000000001</v>
      </c>
      <c r="M60" s="55">
        <f>_xll.EQNXTDZ($A$1,$B60,M$1,$B$1)</f>
        <v>2535.6916999999999</v>
      </c>
      <c r="N60" s="55">
        <f>_xll.EQNXTDZ($A$1,$B60,N$1,$B$1)</f>
        <v>3047.9</v>
      </c>
      <c r="O60" s="55">
        <f>_xll.EQNXTDZ($A$1,$B60,O$1,$B$1)</f>
        <v>3752.76</v>
      </c>
      <c r="P60" s="55">
        <f>_xll.EQNXTDZ($A$1,$B60,P$1,$B$1)</f>
        <v>5004.17</v>
      </c>
      <c r="Q60" s="55">
        <f>_xll.EQNXTDZ($A$1,$B60,Q$1,$B$1)</f>
        <v>7819.66</v>
      </c>
      <c r="R60" s="55">
        <f>_xll.EQNXTDZ($A$1,$B60,R$1,$B$1)</f>
        <v>8774.69</v>
      </c>
      <c r="S60" s="55">
        <f>_xll.EQNXTDZ($A$1,$B60,S$1,$B$1)</f>
        <v>9392.2099999999991</v>
      </c>
      <c r="T60" s="55">
        <f>_xll.EQNXTDZ($A$1,$B60,T$1,$B$1)</f>
        <v>13967.3</v>
      </c>
      <c r="U60" s="55">
        <f>_xll.EQNXTDZ($A$1,$B60,U$1,$B$1)</f>
        <v>13751.07</v>
      </c>
      <c r="V60" s="55">
        <f>_xll.EQNXTDZ($A$1,$B60,V$1,$B$1)</f>
        <v>13576.53</v>
      </c>
      <c r="W60" s="55">
        <f>_xll.EQNXTDZ($A$1,$B60,W$1,$B$1)</f>
        <v>13652.99</v>
      </c>
      <c r="X60" s="55">
        <f>_xll.EQNXTDZ($A$1,$B60,X$1,$B$1)</f>
        <v>12606.19</v>
      </c>
      <c r="Y60" s="55">
        <f>_xll.EQNXTDZ($A$1,$B60,Y$1,$B$1)</f>
        <v>14468.18</v>
      </c>
      <c r="Z60" s="55">
        <f>_xll.EQNXTDZ($A$1,$B60,Z$1,$B$1)</f>
        <v>14505.45</v>
      </c>
      <c r="AA60" s="55">
        <f>_xll.EQNXTDZ($A$1,$B60,AA$1,$B$1)</f>
        <v>14395.59</v>
      </c>
      <c r="AB60" s="55">
        <f>_xll.EQNXTDZ($A$1,$B60,AB$1,$B$1)</f>
        <v>43613.69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209.84030000000001</v>
      </c>
      <c r="D62" s="55">
        <f>_xll.EQNXTDZ($A$1,$B62,D$1,$B$1)</f>
        <v>232.85339999999999</v>
      </c>
      <c r="E62" s="55">
        <f>_xll.EQNXTDZ($A$1,$B62,E$1,$B$1)</f>
        <v>248.05549999999999</v>
      </c>
      <c r="F62" s="55">
        <f>_xll.EQNXTDZ($A$1,$B62,F$1,$B$1)</f>
        <v>290.61669999999998</v>
      </c>
      <c r="G62" s="55">
        <f>_xll.EQNXTDZ($A$1,$B62,G$1,$B$1)</f>
        <v>324.57089999999999</v>
      </c>
      <c r="H62" s="55">
        <f>_xll.EQNXTDZ($A$1,$B62,H$1,$B$1)</f>
        <v>483.63479999999998</v>
      </c>
      <c r="I62" s="55">
        <f>_xll.EQNXTDZ($A$1,$B62,I$1,$B$1)</f>
        <v>569.49720000000002</v>
      </c>
      <c r="J62" s="55">
        <f>_xll.EQNXTDZ($A$1,$B62,J$1,$B$1)</f>
        <v>646.10770000000002</v>
      </c>
      <c r="K62" s="55">
        <f>_xll.EQNXTDZ($A$1,$B62,K$1,$B$1)</f>
        <v>720.6241</v>
      </c>
      <c r="L62" s="55">
        <f>_xll.EQNXTDZ($A$1,$B62,L$1,$B$1)</f>
        <v>812.94029999999998</v>
      </c>
      <c r="M62" s="55">
        <f>_xll.EQNXTDZ($A$1,$B62,M$1,$B$1)</f>
        <v>964.28210000000001</v>
      </c>
      <c r="N62" s="55">
        <f>_xll.EQNXTDZ($A$1,$B62,N$1,$B$1)</f>
        <v>1199.6400000000001</v>
      </c>
      <c r="O62" s="55">
        <f>_xll.EQNXTDZ($A$1,$B62,O$1,$B$1)</f>
        <v>1278.1500000000001</v>
      </c>
      <c r="P62" s="55">
        <f>_xll.EQNXTDZ($A$1,$B62,P$1,$B$1)</f>
        <v>1420.04</v>
      </c>
      <c r="Q62" s="55">
        <f>_xll.EQNXTDZ($A$1,$B62,Q$1,$B$1)</f>
        <v>3542.93</v>
      </c>
      <c r="R62" s="55">
        <f>_xll.EQNXTDZ($A$1,$B62,R$1,$B$1)</f>
        <v>3793.53</v>
      </c>
      <c r="S62" s="55">
        <f>_xll.EQNXTDZ($A$1,$B62,S$1,$B$1)</f>
        <v>4909.8</v>
      </c>
      <c r="T62" s="55">
        <f>_xll.EQNXTDZ($A$1,$B62,T$1,$B$1)</f>
        <v>9449.48</v>
      </c>
      <c r="U62" s="55">
        <f>_xll.EQNXTDZ($A$1,$B62,U$1,$B$1)</f>
        <v>9935.43</v>
      </c>
      <c r="V62" s="55">
        <f>_xll.EQNXTDZ($A$1,$B62,V$1,$B$1)</f>
        <v>10334.129999999999</v>
      </c>
      <c r="W62" s="55">
        <f>_xll.EQNXTDZ($A$1,$B62,W$1,$B$1)</f>
        <v>10511.53</v>
      </c>
      <c r="X62" s="55">
        <f>_xll.EQNXTDZ($A$1,$B62,X$1,$B$1)</f>
        <v>10728.19</v>
      </c>
      <c r="Y62" s="55">
        <f>_xll.EQNXTDZ($A$1,$B62,Y$1,$B$1)</f>
        <v>12811.62</v>
      </c>
      <c r="Z62" s="55">
        <f>_xll.EQNXTDZ($A$1,$B62,Z$1,$B$1)</f>
        <v>13484.57</v>
      </c>
      <c r="AA62" s="55">
        <f>_xll.EQNXTDZ($A$1,$B62,AA$1,$B$1)</f>
        <v>14041.34</v>
      </c>
      <c r="AB62" s="55">
        <f>_xll.EQNXTDZ($A$1,$B62,AB$1,$B$1)</f>
        <v>40405.449999999997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48.488500000000002</v>
      </c>
      <c r="D63" s="55">
        <f>_xll.EQNXTDZ($A$1,$B63,D$1,$B$1)</f>
        <v>62.585799999999999</v>
      </c>
      <c r="E63" s="55">
        <f>_xll.EQNXTDZ($A$1,$B63,E$1,$B$1)</f>
        <v>77.179699999999997</v>
      </c>
      <c r="F63" s="55">
        <f>_xll.EQNXTDZ($A$1,$B63,F$1,$B$1)</f>
        <v>86.546099999999996</v>
      </c>
      <c r="G63" s="55">
        <f>_xll.EQNXTDZ($A$1,$B63,G$1,$B$1)</f>
        <v>103.3541</v>
      </c>
      <c r="H63" s="55">
        <f>_xll.EQNXTDZ($A$1,$B63,H$1,$B$1)</f>
        <v>116.45269999999999</v>
      </c>
      <c r="I63" s="55">
        <f>_xll.EQNXTDZ($A$1,$B63,I$1,$B$1)</f>
        <v>144.63900000000001</v>
      </c>
      <c r="J63" s="55">
        <f>_xll.EQNXTDZ($A$1,$B63,J$1,$B$1)</f>
        <v>176.19329999999999</v>
      </c>
      <c r="K63" s="55">
        <f>_xll.EQNXTDZ($A$1,$B63,K$1,$B$1)</f>
        <v>209.37020000000001</v>
      </c>
      <c r="L63" s="55">
        <f>_xll.EQNXTDZ($A$1,$B63,L$1,$B$1)</f>
        <v>271.791</v>
      </c>
      <c r="M63" s="55">
        <f>_xll.EQNXTDZ($A$1,$B63,M$1,$B$1)</f>
        <v>328.73430000000002</v>
      </c>
      <c r="N63" s="55">
        <f>_xll.EQNXTDZ($A$1,$B63,N$1,$B$1)</f>
        <v>402.77</v>
      </c>
      <c r="O63" s="55">
        <f>_xll.EQNXTDZ($A$1,$B63,O$1,$B$1)</f>
        <v>458.33</v>
      </c>
      <c r="P63" s="55">
        <f>_xll.EQNXTDZ($A$1,$B63,P$1,$B$1)</f>
        <v>544.70000000000005</v>
      </c>
      <c r="Q63" s="55">
        <f>_xll.EQNXTDZ($A$1,$B63,Q$1,$B$1)</f>
        <v>710.27</v>
      </c>
      <c r="R63" s="55">
        <f>_xll.EQNXTDZ($A$1,$B63,R$1,$B$1)</f>
        <v>934.45</v>
      </c>
      <c r="S63" s="55">
        <f>_xll.EQNXTDZ($A$1,$B63,S$1,$B$1)</f>
        <v>1221.3599999999999</v>
      </c>
      <c r="T63" s="55">
        <f>_xll.EQNXTDZ($A$1,$B63,T$1,$B$1)</f>
        <v>1594.8</v>
      </c>
      <c r="U63" s="55">
        <f>_xll.EQNXTDZ($A$1,$B63,U$1,$B$1)</f>
        <v>2187.7199999999998</v>
      </c>
      <c r="V63" s="55">
        <f>_xll.EQNXTDZ($A$1,$B63,V$1,$B$1)</f>
        <v>2801.01</v>
      </c>
      <c r="W63" s="55">
        <f>_xll.EQNXTDZ($A$1,$B63,W$1,$B$1)</f>
        <v>3446.9</v>
      </c>
      <c r="X63" s="55">
        <f>_xll.EQNXTDZ($A$1,$B63,X$1,$B$1)</f>
        <v>4305.54</v>
      </c>
      <c r="Y63" s="55">
        <f>_xll.EQNXTDZ($A$1,$B63,Y$1,$B$1)</f>
        <v>4690.17</v>
      </c>
      <c r="Z63" s="55">
        <f>_xll.EQNXTDZ($A$1,$B63,Z$1,$B$1)</f>
        <v>5346.46</v>
      </c>
      <c r="AA63" s="55">
        <f>_xll.EQNXTDZ($A$1,$B63,AA$1,$B$1)</f>
        <v>6094.44</v>
      </c>
      <c r="AB63" s="55">
        <f>_xll.EQNXTDZ($A$1,$B63,AB$1,$B$1)</f>
        <v>7227.37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161.3518</v>
      </c>
      <c r="D65" s="55">
        <f>_xll.EQNXTDZ($A$1,$B65,D$1,$B$1)</f>
        <v>170.26759999999999</v>
      </c>
      <c r="E65" s="55">
        <f>_xll.EQNXTDZ($A$1,$B65,E$1,$B$1)</f>
        <v>170.8758</v>
      </c>
      <c r="F65" s="55">
        <f>_xll.EQNXTDZ($A$1,$B65,F$1,$B$1)</f>
        <v>204.07060000000001</v>
      </c>
      <c r="G65" s="55">
        <f>_xll.EQNXTDZ($A$1,$B65,G$1,$B$1)</f>
        <v>221.21680000000001</v>
      </c>
      <c r="H65" s="55">
        <f>_xll.EQNXTDZ($A$1,$B65,H$1,$B$1)</f>
        <v>367.18209999999999</v>
      </c>
      <c r="I65" s="55">
        <f>_xll.EQNXTDZ($A$1,$B65,I$1,$B$1)</f>
        <v>424.85820000000001</v>
      </c>
      <c r="J65" s="55">
        <f>_xll.EQNXTDZ($A$1,$B65,J$1,$B$1)</f>
        <v>469.9144</v>
      </c>
      <c r="K65" s="55">
        <f>_xll.EQNXTDZ($A$1,$B65,K$1,$B$1)</f>
        <v>511.25389999999999</v>
      </c>
      <c r="L65" s="55">
        <f>_xll.EQNXTDZ($A$1,$B65,L$1,$B$1)</f>
        <v>541.14930000000004</v>
      </c>
      <c r="M65" s="55">
        <f>_xll.EQNXTDZ($A$1,$B65,M$1,$B$1)</f>
        <v>635.54780000000005</v>
      </c>
      <c r="N65" s="55">
        <f>_xll.EQNXTDZ($A$1,$B65,N$1,$B$1)</f>
        <v>796.87</v>
      </c>
      <c r="O65" s="55">
        <f>_xll.EQNXTDZ($A$1,$B65,O$1,$B$1)</f>
        <v>819.82</v>
      </c>
      <c r="P65" s="55">
        <f>_xll.EQNXTDZ($A$1,$B65,P$1,$B$1)</f>
        <v>875.34</v>
      </c>
      <c r="Q65" s="55">
        <f>_xll.EQNXTDZ($A$1,$B65,Q$1,$B$1)</f>
        <v>2832.66</v>
      </c>
      <c r="R65" s="55">
        <f>_xll.EQNXTDZ($A$1,$B65,R$1,$B$1)</f>
        <v>2859.08</v>
      </c>
      <c r="S65" s="55">
        <f>_xll.EQNXTDZ($A$1,$B65,S$1,$B$1)</f>
        <v>3688.44</v>
      </c>
      <c r="T65" s="55">
        <f>_xll.EQNXTDZ($A$1,$B65,T$1,$B$1)</f>
        <v>7854.68</v>
      </c>
      <c r="U65" s="55">
        <f>_xll.EQNXTDZ($A$1,$B65,U$1,$B$1)</f>
        <v>7747.71</v>
      </c>
      <c r="V65" s="55">
        <f>_xll.EQNXTDZ($A$1,$B65,V$1,$B$1)</f>
        <v>7533.12</v>
      </c>
      <c r="W65" s="55">
        <f>_xll.EQNXTDZ($A$1,$B65,W$1,$B$1)</f>
        <v>7064.63</v>
      </c>
      <c r="X65" s="55">
        <f>_xll.EQNXTDZ($A$1,$B65,X$1,$B$1)</f>
        <v>6422.65</v>
      </c>
      <c r="Y65" s="55">
        <f>_xll.EQNXTDZ($A$1,$B65,Y$1,$B$1)</f>
        <v>8121.45</v>
      </c>
      <c r="Z65" s="55">
        <f>_xll.EQNXTDZ($A$1,$B65,Z$1,$B$1)</f>
        <v>8138.11</v>
      </c>
      <c r="AA65" s="55">
        <f>_xll.EQNXTDZ($A$1,$B65,AA$1,$B$1)</f>
        <v>7946.9</v>
      </c>
      <c r="AB65" s="55">
        <f>_xll.EQNXTDZ($A$1,$B65,AB$1,$B$1)</f>
        <v>33178.080000000002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12.355700000000001</v>
      </c>
      <c r="D67" s="55">
        <f>_xll.EQNXTDZ($A$1,$B67,D$1,$B$1)</f>
        <v>7.1910999999999996</v>
      </c>
      <c r="E67" s="55">
        <f>_xll.EQNXTDZ($A$1,$B67,E$1,$B$1)</f>
        <v>14.436299999999999</v>
      </c>
      <c r="F67" s="55">
        <f>_xll.EQNXTDZ($A$1,$B67,F$1,$B$1)</f>
        <v>6.9755000000000003</v>
      </c>
      <c r="G67" s="55">
        <f>_xll.EQNXTDZ($A$1,$B67,G$1,$B$1)</f>
        <v>77.061300000000003</v>
      </c>
      <c r="H67" s="55">
        <f>_xll.EQNXTDZ($A$1,$B67,H$1,$B$1)</f>
        <v>38.669699999999999</v>
      </c>
      <c r="I67" s="55">
        <f>_xll.EQNXTDZ($A$1,$B67,I$1,$B$1)</f>
        <v>43.056699999999999</v>
      </c>
      <c r="J67" s="55">
        <f>_xll.EQNXTDZ($A$1,$B67,J$1,$B$1)</f>
        <v>82.094899999999996</v>
      </c>
      <c r="K67" s="55">
        <f>_xll.EQNXTDZ($A$1,$B67,K$1,$B$1)</f>
        <v>53.4236</v>
      </c>
      <c r="L67" s="55">
        <f>_xll.EQNXTDZ($A$1,$B67,L$1,$B$1)</f>
        <v>109.82080000000001</v>
      </c>
      <c r="M67" s="55">
        <f>_xll.EQNXTDZ($A$1,$B67,M$1,$B$1)</f>
        <v>179.87889999999999</v>
      </c>
      <c r="N67" s="55">
        <f>_xll.EQNXTDZ($A$1,$B67,N$1,$B$1)</f>
        <v>113.55</v>
      </c>
      <c r="O67" s="55">
        <f>_xll.EQNXTDZ($A$1,$B67,O$1,$B$1)</f>
        <v>285.27999999999997</v>
      </c>
      <c r="P67" s="55">
        <f>_xll.EQNXTDZ($A$1,$B67,P$1,$B$1)</f>
        <v>534.11</v>
      </c>
      <c r="Q67" s="55">
        <f>_xll.EQNXTDZ($A$1,$B67,Q$1,$B$1)</f>
        <v>678.33</v>
      </c>
      <c r="R67" s="55">
        <f>_xll.EQNXTDZ($A$1,$B67,R$1,$B$1)</f>
        <v>1041.58</v>
      </c>
      <c r="S67" s="55">
        <f>_xll.EQNXTDZ($A$1,$B67,S$1,$B$1)</f>
        <v>462.9</v>
      </c>
      <c r="T67" s="55">
        <f>_xll.EQNXTDZ($A$1,$B67,T$1,$B$1)</f>
        <v>423.21</v>
      </c>
      <c r="U67" s="55">
        <f>_xll.EQNXTDZ($A$1,$B67,U$1,$B$1)</f>
        <v>479.31</v>
      </c>
      <c r="V67" s="55">
        <f>_xll.EQNXTDZ($A$1,$B67,V$1,$B$1)</f>
        <v>576.61</v>
      </c>
      <c r="W67" s="55">
        <f>_xll.EQNXTDZ($A$1,$B67,W$1,$B$1)</f>
        <v>743.9</v>
      </c>
      <c r="X67" s="55">
        <f>_xll.EQNXTDZ($A$1,$B67,X$1,$B$1)</f>
        <v>544.34</v>
      </c>
      <c r="Y67" s="55">
        <f>_xll.EQNXTDZ($A$1,$B67,Y$1,$B$1)</f>
        <v>688.24</v>
      </c>
      <c r="Z67" s="55">
        <f>_xll.EQNXTDZ($A$1,$B67,Z$1,$B$1)</f>
        <v>280.8</v>
      </c>
      <c r="AA67" s="55">
        <f>_xll.EQNXTDZ($A$1,$B67,AA$1,$B$1)</f>
        <v>367.26</v>
      </c>
      <c r="AB67" s="55">
        <f>_xll.EQNXTDZ($A$1,$B67,AB$1,$B$1)</f>
        <v>457.49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56.59</v>
      </c>
      <c r="T68" s="55">
        <f>_xll.EQNXTDZ($A$1,$B68,T$1,$B$1)</f>
        <v>223.73</v>
      </c>
      <c r="U68" s="55">
        <f>_xll.EQNXTDZ($A$1,$B68,U$1,$B$1)</f>
        <v>137.81</v>
      </c>
      <c r="V68" s="55">
        <f>_xll.EQNXTDZ($A$1,$B68,V$1,$B$1)</f>
        <v>135.32</v>
      </c>
      <c r="W68" s="55">
        <f>_xll.EQNXTDZ($A$1,$B68,W$1,$B$1)</f>
        <v>145.47999999999999</v>
      </c>
      <c r="X68" s="55">
        <f>_xll.EQNXTDZ($A$1,$B68,X$1,$B$1)</f>
        <v>85.48</v>
      </c>
      <c r="Y68" s="55">
        <f>_xll.EQNXTDZ($A$1,$B68,Y$1,$B$1)</f>
        <v>77.16</v>
      </c>
      <c r="Z68" s="55">
        <f>_xll.EQNXTDZ($A$1,$B68,Z$1,$B$1)</f>
        <v>79.709999999999994</v>
      </c>
      <c r="AA68" s="55">
        <f>_xll.EQNXTDZ($A$1,$B68,AA$1,$B$1)</f>
        <v>110.88</v>
      </c>
      <c r="AB68" s="55">
        <f>_xll.EQNXTDZ($A$1,$B68,AB$1,$B$1)</f>
        <v>183.63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5.22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13.1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45.471800000000002</v>
      </c>
      <c r="D71" s="55">
        <f>_xll.EQNXTDZ($A$1,$B71,D$1,$B$1)</f>
        <v>1.3476999999999999</v>
      </c>
      <c r="E71" s="55">
        <f>_xll.EQNXTDZ($A$1,$B71,E$1,$B$1)</f>
        <v>1.8083</v>
      </c>
      <c r="F71" s="55">
        <f>_xll.EQNXTDZ($A$1,$B71,F$1,$B$1)</f>
        <v>0.122800000000002</v>
      </c>
      <c r="G71" s="55">
        <f>_xll.EQNXTDZ($A$1,$B71,G$1,$B$1)</f>
        <v>0.23129999999999201</v>
      </c>
      <c r="H71" s="55">
        <f>_xll.EQNXTDZ($A$1,$B71,H$1,$B$1)</f>
        <v>0.2271</v>
      </c>
      <c r="I71" s="55">
        <f>_xll.EQNXTDZ($A$1,$B71,I$1,$B$1)</f>
        <v>0.20349999999999999</v>
      </c>
      <c r="J71" s="55">
        <f>_xll.EQNXTDZ($A$1,$B71,J$1,$B$1)</f>
        <v>19.133400000000002</v>
      </c>
      <c r="K71" s="55">
        <f>_xll.EQNXTDZ($A$1,$B71,K$1,$B$1)</f>
        <v>19.0459</v>
      </c>
      <c r="L71" s="55">
        <f>_xll.EQNXTDZ($A$1,$B71,L$1,$B$1)</f>
        <v>19.0459</v>
      </c>
      <c r="M71" s="55">
        <f>_xll.EQNXTDZ($A$1,$B71,M$1,$B$1)</f>
        <v>19.999199999999998</v>
      </c>
      <c r="N71" s="55">
        <f>_xll.EQNXTDZ($A$1,$B71,N$1,$B$1)</f>
        <v>37.520000000000003</v>
      </c>
      <c r="O71" s="55">
        <f>_xll.EQNXTDZ($A$1,$B71,O$1,$B$1)</f>
        <v>0.03</v>
      </c>
      <c r="P71" s="55">
        <f>_xll.EQNXTDZ($A$1,$B71,P$1,$B$1)</f>
        <v>0.03</v>
      </c>
      <c r="Q71" s="55">
        <f>_xll.EQNXTDZ($A$1,$B71,Q$1,$B$1)</f>
        <v>0.06</v>
      </c>
      <c r="R71" s="55">
        <f>_xll.EQNXTDZ($A$1,$B71,R$1,$B$1)</f>
        <v>0.09</v>
      </c>
      <c r="S71" s="55">
        <f>_xll.EQNXTDZ($A$1,$B71,S$1,$B$1)</f>
        <v>0.09</v>
      </c>
      <c r="T71" s="55">
        <f>_xll.EQNXTDZ($A$1,$B71,T$1,$B$1)</f>
        <v>0.09</v>
      </c>
      <c r="U71" s="55">
        <f>_xll.EQNXTDZ($A$1,$B71,U$1,$B$1)</f>
        <v>2.09</v>
      </c>
      <c r="V71" s="55">
        <f>_xll.EQNXTDZ($A$1,$B71,V$1,$B$1)</f>
        <v>2.09</v>
      </c>
      <c r="W71" s="55">
        <f>_xll.EQNXTDZ($A$1,$B71,W$1,$B$1)</f>
        <v>42.09</v>
      </c>
      <c r="X71" s="55">
        <f>_xll.EQNXTDZ($A$1,$B71,X$1,$B$1)</f>
        <v>42.33</v>
      </c>
      <c r="Y71" s="55">
        <f>_xll.EQNXTDZ($A$1,$B71,Y$1,$B$1)</f>
        <v>42.7</v>
      </c>
      <c r="Z71" s="55">
        <f>_xll.EQNXTDZ($A$1,$B71,Z$1,$B$1)</f>
        <v>31.8</v>
      </c>
      <c r="AA71" s="55">
        <f>_xll.EQNXTDZ($A$1,$B71,AA$1,$B$1)</f>
        <v>43.57</v>
      </c>
      <c r="AB71" s="55">
        <f>_xll.EQNXTDZ($A$1,$B71,AB$1,$B$1)</f>
        <v>82.62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59.508800000000001</v>
      </c>
      <c r="N72" s="55">
        <f>_xll.EQNXTDZ($A$1,$B72,N$1,$B$1)</f>
        <v>61.37</v>
      </c>
      <c r="O72" s="55">
        <f>_xll.EQNXTDZ($A$1,$B72,O$1,$B$1)</f>
        <v>62.84</v>
      </c>
      <c r="P72" s="55">
        <f>_xll.EQNXTDZ($A$1,$B72,P$1,$B$1)</f>
        <v>129.47</v>
      </c>
      <c r="Q72" s="55">
        <f>_xll.EQNXTDZ($A$1,$B72,Q$1,$B$1)</f>
        <v>206.92</v>
      </c>
      <c r="R72" s="55">
        <f>_xll.EQNXTDZ($A$1,$B72,R$1,$B$1)</f>
        <v>99.66</v>
      </c>
      <c r="S72" s="55">
        <f>_xll.EQNXTDZ($A$1,$B72,S$1,$B$1)</f>
        <v>182.32</v>
      </c>
      <c r="T72" s="55">
        <f>_xll.EQNXTDZ($A$1,$B72,T$1,$B$1)</f>
        <v>130.96</v>
      </c>
      <c r="U72" s="55">
        <f>_xll.EQNXTDZ($A$1,$B72,U$1,$B$1)</f>
        <v>150.58000000000001</v>
      </c>
      <c r="V72" s="55">
        <f>_xll.EQNXTDZ($A$1,$B72,V$1,$B$1)</f>
        <v>222.19</v>
      </c>
      <c r="W72" s="55">
        <f>_xll.EQNXTDZ($A$1,$B72,W$1,$B$1)</f>
        <v>96.84</v>
      </c>
      <c r="X72" s="55">
        <f>_xll.EQNXTDZ($A$1,$B72,X$1,$B$1)</f>
        <v>166.55</v>
      </c>
      <c r="Y72" s="55">
        <f>_xll.EQNXTDZ($A$1,$B72,Y$1,$B$1)</f>
        <v>181.04</v>
      </c>
      <c r="Z72" s="55">
        <f>_xll.EQNXTDZ($A$1,$B72,Z$1,$B$1)</f>
        <v>349.34</v>
      </c>
      <c r="AA72" s="55">
        <f>_xll.EQNXTDZ($A$1,$B72,AA$1,$B$1)</f>
        <v>294.29000000000002</v>
      </c>
      <c r="AB72" s="55">
        <f>_xll.EQNXTDZ($A$1,$B72,AB$1,$B$1)</f>
        <v>281.33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46.338299999999997</v>
      </c>
      <c r="N73" s="55">
        <f>_xll.EQNXTDZ($A$1,$B73,N$1,$B$1)</f>
        <v>46.25</v>
      </c>
      <c r="O73" s="55">
        <f>_xll.EQNXTDZ($A$1,$B73,O$1,$B$1)</f>
        <v>23.9</v>
      </c>
      <c r="P73" s="55">
        <f>_xll.EQNXTDZ($A$1,$B73,P$1,$B$1)</f>
        <v>60.74</v>
      </c>
      <c r="Q73" s="55">
        <f>_xll.EQNXTDZ($A$1,$B73,Q$1,$B$1)</f>
        <v>50.28</v>
      </c>
      <c r="R73" s="55">
        <f>_xll.EQNXTDZ($A$1,$B73,R$1,$B$1)</f>
        <v>85.25</v>
      </c>
      <c r="S73" s="55">
        <f>_xll.EQNXTDZ($A$1,$B73,S$1,$B$1)</f>
        <v>122.4</v>
      </c>
      <c r="T73" s="55">
        <f>_xll.EQNXTDZ($A$1,$B73,T$1,$B$1)</f>
        <v>72.22</v>
      </c>
      <c r="U73" s="55">
        <f>_xll.EQNXTDZ($A$1,$B73,U$1,$B$1)</f>
        <v>196.03</v>
      </c>
      <c r="V73" s="55">
        <f>_xll.EQNXTDZ($A$1,$B73,V$1,$B$1)</f>
        <v>126.28</v>
      </c>
      <c r="W73" s="55">
        <f>_xll.EQNXTDZ($A$1,$B73,W$1,$B$1)</f>
        <v>36.83</v>
      </c>
      <c r="X73" s="55">
        <f>_xll.EQNXTDZ($A$1,$B73,X$1,$B$1)</f>
        <v>50.19</v>
      </c>
      <c r="Y73" s="55">
        <f>_xll.EQNXTDZ($A$1,$B73,Y$1,$B$1)</f>
        <v>28.41</v>
      </c>
      <c r="Z73" s="55">
        <f>_xll.EQNXTDZ($A$1,$B73,Z$1,$B$1)</f>
        <v>14.21</v>
      </c>
      <c r="AA73" s="55">
        <f>_xll.EQNXTDZ($A$1,$B73,AA$1,$B$1)</f>
        <v>10.119999999999999</v>
      </c>
      <c r="AB73" s="55">
        <f>_xll.EQNXTDZ($A$1,$B73,AB$1,$B$1)</f>
        <v>24.35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219.17930000000001</v>
      </c>
      <c r="D74" s="55">
        <f>_xll.EQNXTDZ($A$1,$B74,D$1,$B$1)</f>
        <v>178.8064</v>
      </c>
      <c r="E74" s="55">
        <f>_xll.EQNXTDZ($A$1,$B74,E$1,$B$1)</f>
        <v>187.12039999999999</v>
      </c>
      <c r="F74" s="55">
        <f>_xll.EQNXTDZ($A$1,$B74,F$1,$B$1)</f>
        <v>211.16890000000001</v>
      </c>
      <c r="G74" s="55">
        <f>_xll.EQNXTDZ($A$1,$B74,G$1,$B$1)</f>
        <v>298.50940000000003</v>
      </c>
      <c r="H74" s="55">
        <f>_xll.EQNXTDZ($A$1,$B74,H$1,$B$1)</f>
        <v>406.07889999999998</v>
      </c>
      <c r="I74" s="55">
        <f>_xll.EQNXTDZ($A$1,$B74,I$1,$B$1)</f>
        <v>468.11840000000001</v>
      </c>
      <c r="J74" s="55">
        <f>_xll.EQNXTDZ($A$1,$B74,J$1,$B$1)</f>
        <v>571.14269999999999</v>
      </c>
      <c r="K74" s="55">
        <f>_xll.EQNXTDZ($A$1,$B74,K$1,$B$1)</f>
        <v>583.72339999999997</v>
      </c>
      <c r="L74" s="55">
        <f>_xll.EQNXTDZ($A$1,$B74,L$1,$B$1)</f>
        <v>670.01599999999996</v>
      </c>
      <c r="M74" s="55">
        <f>_xll.EQNXTDZ($A$1,$B74,M$1,$B$1)</f>
        <v>941.27300000000002</v>
      </c>
      <c r="N74" s="55">
        <f>_xll.EQNXTDZ($A$1,$B74,N$1,$B$1)</f>
        <v>1060.78</v>
      </c>
      <c r="O74" s="55">
        <f>_xll.EQNXTDZ($A$1,$B74,O$1,$B$1)</f>
        <v>1191.8699999999999</v>
      </c>
      <c r="P74" s="55">
        <f>_xll.EQNXTDZ($A$1,$B74,P$1,$B$1)</f>
        <v>1599.69</v>
      </c>
      <c r="Q74" s="55">
        <f>_xll.EQNXTDZ($A$1,$B74,Q$1,$B$1)</f>
        <v>3768.25</v>
      </c>
      <c r="R74" s="55">
        <f>_xll.EQNXTDZ($A$1,$B74,R$1,$B$1)</f>
        <v>4085.66</v>
      </c>
      <c r="S74" s="55">
        <f>_xll.EQNXTDZ($A$1,$B74,S$1,$B$1)</f>
        <v>4512.74</v>
      </c>
      <c r="T74" s="55">
        <f>_xll.EQNXTDZ($A$1,$B74,T$1,$B$1)</f>
        <v>8704.89</v>
      </c>
      <c r="U74" s="55">
        <f>_xll.EQNXTDZ($A$1,$B74,U$1,$B$1)</f>
        <v>8713.5300000000007</v>
      </c>
      <c r="V74" s="55">
        <f>_xll.EQNXTDZ($A$1,$B74,V$1,$B$1)</f>
        <v>8595.61</v>
      </c>
      <c r="W74" s="55">
        <f>_xll.EQNXTDZ($A$1,$B74,W$1,$B$1)</f>
        <v>8129.77</v>
      </c>
      <c r="X74" s="55">
        <f>_xll.EQNXTDZ($A$1,$B74,X$1,$B$1)</f>
        <v>7311.54</v>
      </c>
      <c r="Y74" s="55">
        <f>_xll.EQNXTDZ($A$1,$B74,Y$1,$B$1)</f>
        <v>9139</v>
      </c>
      <c r="Z74" s="55">
        <f>_xll.EQNXTDZ($A$1,$B74,Z$1,$B$1)</f>
        <v>8893.9699999999993</v>
      </c>
      <c r="AA74" s="55">
        <f>_xll.EQNXTDZ($A$1,$B74,AA$1,$B$1)</f>
        <v>8773.02</v>
      </c>
      <c r="AB74" s="55">
        <f>_xll.EQNXTDZ($A$1,$B74,AB$1,$B$1)</f>
        <v>34220.6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0.44130000000000003</v>
      </c>
      <c r="D75" s="55">
        <f>_xll.EQNXTDZ($A$1,$B75,D$1,$B$1)</f>
        <v>13.175800000000001</v>
      </c>
      <c r="E75" s="55">
        <f>_xll.EQNXTDZ($A$1,$B75,E$1,$B$1)</f>
        <v>12.9481</v>
      </c>
      <c r="F75" s="55">
        <f>_xll.EQNXTDZ($A$1,$B75,F$1,$B$1)</f>
        <v>21.521799999999999</v>
      </c>
      <c r="G75" s="55">
        <f>_xll.EQNXTDZ($A$1,$B75,G$1,$B$1)</f>
        <v>146.95339999999999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35.497100000000003</v>
      </c>
      <c r="K75" s="55">
        <f>_xll.EQNXTDZ($A$1,$B75,K$1,$B$1)</f>
        <v>120.4406</v>
      </c>
      <c r="L75" s="55">
        <f>_xll.EQNXTDZ($A$1,$B75,L$1,$B$1)</f>
        <v>122.1296</v>
      </c>
      <c r="M75" s="55">
        <f>_xll.EQNXTDZ($A$1,$B75,M$1,$B$1)</f>
        <v>125.98779999999999</v>
      </c>
      <c r="N75" s="55">
        <f>_xll.EQNXTDZ($A$1,$B75,N$1,$B$1)</f>
        <v>86.52</v>
      </c>
      <c r="O75" s="55">
        <f>_xll.EQNXTDZ($A$1,$B75,O$1,$B$1)</f>
        <v>60.44</v>
      </c>
      <c r="P75" s="55">
        <f>_xll.EQNXTDZ($A$1,$B75,P$1,$B$1)</f>
        <v>185.63</v>
      </c>
      <c r="Q75" s="55">
        <f>_xll.EQNXTDZ($A$1,$B75,Q$1,$B$1)</f>
        <v>297.58999999999997</v>
      </c>
      <c r="R75" s="55">
        <f>_xll.EQNXTDZ($A$1,$B75,R$1,$B$1)</f>
        <v>779.59</v>
      </c>
      <c r="S75" s="55">
        <f>_xll.EQNXTDZ($A$1,$B75,S$1,$B$1)</f>
        <v>803.55</v>
      </c>
      <c r="T75" s="55">
        <f>_xll.EQNXTDZ($A$1,$B75,T$1,$B$1)</f>
        <v>492.27</v>
      </c>
      <c r="U75" s="55">
        <f>_xll.EQNXTDZ($A$1,$B75,U$1,$B$1)</f>
        <v>351.35</v>
      </c>
      <c r="V75" s="55">
        <f>_xll.EQNXTDZ($A$1,$B75,V$1,$B$1)</f>
        <v>0.02</v>
      </c>
      <c r="W75" s="55">
        <f>_xll.EQNXTDZ($A$1,$B75,W$1,$B$1)</f>
        <v>139.05000000000001</v>
      </c>
      <c r="X75" s="55">
        <f>_xll.EQNXTDZ($A$1,$B75,X$1,$B$1)</f>
        <v>183.98</v>
      </c>
      <c r="Y75" s="55">
        <f>_xll.EQNXTDZ($A$1,$B75,Y$1,$B$1)</f>
        <v>156.09</v>
      </c>
      <c r="Z75" s="55">
        <f>_xll.EQNXTDZ($A$1,$B75,Z$1,$B$1)</f>
        <v>141.04</v>
      </c>
      <c r="AA75" s="55">
        <f>_xll.EQNXTDZ($A$1,$B75,AA$1,$B$1)</f>
        <v>112.21</v>
      </c>
      <c r="AB75" s="55">
        <f>_xll.EQNXTDZ($A$1,$B75,AB$1,$B$1)</f>
        <v>865.74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78.421199999999999</v>
      </c>
      <c r="D76" s="55">
        <f>_xll.EQNXTDZ($A$1,$B76,D$1,$B$1)</f>
        <v>83.020499999999998</v>
      </c>
      <c r="E76" s="55">
        <f>_xll.EQNXTDZ($A$1,$B76,E$1,$B$1)</f>
        <v>80.090199999999996</v>
      </c>
      <c r="F76" s="55">
        <f>_xll.EQNXTDZ($A$1,$B76,F$1,$B$1)</f>
        <v>97.102500000000006</v>
      </c>
      <c r="G76" s="55">
        <f>_xll.EQNXTDZ($A$1,$B76,G$1,$B$1)</f>
        <v>148.33109999999999</v>
      </c>
      <c r="H76" s="55">
        <f>_xll.EQNXTDZ($A$1,$B76,H$1,$B$1)</f>
        <v>225.33260000000001</v>
      </c>
      <c r="I76" s="55">
        <f>_xll.EQNXTDZ($A$1,$B76,I$1,$B$1)</f>
        <v>258.12150000000003</v>
      </c>
      <c r="J76" s="55">
        <f>_xll.EQNXTDZ($A$1,$B76,J$1,$B$1)</f>
        <v>230.97049999999999</v>
      </c>
      <c r="K76" s="55">
        <f>_xll.EQNXTDZ($A$1,$B76,K$1,$B$1)</f>
        <v>264.53809999999999</v>
      </c>
      <c r="L76" s="55">
        <f>_xll.EQNXTDZ($A$1,$B76,L$1,$B$1)</f>
        <v>323.6293</v>
      </c>
      <c r="M76" s="55">
        <f>_xll.EQNXTDZ($A$1,$B76,M$1,$B$1)</f>
        <v>504.8306</v>
      </c>
      <c r="N76" s="55">
        <f>_xll.EQNXTDZ($A$1,$B76,N$1,$B$1)</f>
        <v>531.55999999999995</v>
      </c>
      <c r="O76" s="55">
        <f>_xll.EQNXTDZ($A$1,$B76,O$1,$B$1)</f>
        <v>923.86</v>
      </c>
      <c r="P76" s="55">
        <f>_xll.EQNXTDZ($A$1,$B76,P$1,$B$1)</f>
        <v>1006.06</v>
      </c>
      <c r="Q76" s="55">
        <f>_xll.EQNXTDZ($A$1,$B76,Q$1,$B$1)</f>
        <v>1067.17</v>
      </c>
      <c r="R76" s="55">
        <f>_xll.EQNXTDZ($A$1,$B76,R$1,$B$1)</f>
        <v>1357.98</v>
      </c>
      <c r="S76" s="55">
        <f>_xll.EQNXTDZ($A$1,$B76,S$1,$B$1)</f>
        <v>1559.15</v>
      </c>
      <c r="T76" s="55">
        <f>_xll.EQNXTDZ($A$1,$B76,T$1,$B$1)</f>
        <v>1966.3</v>
      </c>
      <c r="U76" s="55">
        <f>_xll.EQNXTDZ($A$1,$B76,U$1,$B$1)</f>
        <v>1935.15</v>
      </c>
      <c r="V76" s="55">
        <f>_xll.EQNXTDZ($A$1,$B76,V$1,$B$1)</f>
        <v>2148.2199999999998</v>
      </c>
      <c r="W76" s="55">
        <f>_xll.EQNXTDZ($A$1,$B76,W$1,$B$1)</f>
        <v>2681.2</v>
      </c>
      <c r="X76" s="55">
        <f>_xll.EQNXTDZ($A$1,$B76,X$1,$B$1)</f>
        <v>2462.3200000000002</v>
      </c>
      <c r="Y76" s="55">
        <f>_xll.EQNXTDZ($A$1,$B76,Y$1,$B$1)</f>
        <v>2229.64</v>
      </c>
      <c r="Z76" s="55">
        <f>_xll.EQNXTDZ($A$1,$B76,Z$1,$B$1)</f>
        <v>2279.0700000000002</v>
      </c>
      <c r="AA76" s="55">
        <f>_xll.EQNXTDZ($A$1,$B76,AA$1,$B$1)</f>
        <v>2541.25</v>
      </c>
      <c r="AB76" s="55">
        <f>_xll.EQNXTDZ($A$1,$B76,AB$1,$B$1)</f>
        <v>3138.19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38.102200000000003</v>
      </c>
      <c r="D77" s="55">
        <f>_xll.EQNXTDZ($A$1,$B77,D$1,$B$1)</f>
        <v>36.655200000000001</v>
      </c>
      <c r="E77" s="55">
        <f>_xll.EQNXTDZ($A$1,$B77,E$1,$B$1)</f>
        <v>25.819299999999998</v>
      </c>
      <c r="F77" s="55">
        <f>_xll.EQNXTDZ($A$1,$B77,F$1,$B$1)</f>
        <v>42.037199999999999</v>
      </c>
      <c r="G77" s="55">
        <f>_xll.EQNXTDZ($A$1,$B77,G$1,$B$1)</f>
        <v>62.8932</v>
      </c>
      <c r="H77" s="55">
        <f>_xll.EQNXTDZ($A$1,$B77,H$1,$B$1)</f>
        <v>172.5189</v>
      </c>
      <c r="I77" s="55">
        <f>_xll.EQNXTDZ($A$1,$B77,I$1,$B$1)</f>
        <v>228.03639999999999</v>
      </c>
      <c r="J77" s="55">
        <f>_xll.EQNXTDZ($A$1,$B77,J$1,$B$1)</f>
        <v>211.1412</v>
      </c>
      <c r="K77" s="55">
        <f>_xll.EQNXTDZ($A$1,$B77,K$1,$B$1)</f>
        <v>266.57859999999999</v>
      </c>
      <c r="L77" s="55">
        <f>_xll.EQNXTDZ($A$1,$B77,L$1,$B$1)</f>
        <v>298.15969999999999</v>
      </c>
      <c r="M77" s="55">
        <f>_xll.EQNXTDZ($A$1,$B77,M$1,$B$1)</f>
        <v>340.3963</v>
      </c>
      <c r="N77" s="55">
        <f>_xll.EQNXTDZ($A$1,$B77,N$1,$B$1)</f>
        <v>522.79999999999995</v>
      </c>
      <c r="O77" s="55">
        <f>_xll.EQNXTDZ($A$1,$B77,O$1,$B$1)</f>
        <v>687.82</v>
      </c>
      <c r="P77" s="55">
        <f>_xll.EQNXTDZ($A$1,$B77,P$1,$B$1)</f>
        <v>1099.42</v>
      </c>
      <c r="Q77" s="55">
        <f>_xll.EQNXTDZ($A$1,$B77,Q$1,$B$1)</f>
        <v>1587.26</v>
      </c>
      <c r="R77" s="55">
        <f>_xll.EQNXTDZ($A$1,$B77,R$1,$B$1)</f>
        <v>1445.09</v>
      </c>
      <c r="S77" s="55">
        <f>_xll.EQNXTDZ($A$1,$B77,S$1,$B$1)</f>
        <v>950.89</v>
      </c>
      <c r="T77" s="55">
        <f>_xll.EQNXTDZ($A$1,$B77,T$1,$B$1)</f>
        <v>1253.45</v>
      </c>
      <c r="U77" s="55">
        <f>_xll.EQNXTDZ($A$1,$B77,U$1,$B$1)</f>
        <v>1435.71</v>
      </c>
      <c r="V77" s="55">
        <f>_xll.EQNXTDZ($A$1,$B77,V$1,$B$1)</f>
        <v>1649.34</v>
      </c>
      <c r="W77" s="55">
        <f>_xll.EQNXTDZ($A$1,$B77,W$1,$B$1)</f>
        <v>1523.37</v>
      </c>
      <c r="X77" s="55">
        <f>_xll.EQNXTDZ($A$1,$B77,X$1,$B$1)</f>
        <v>1632.48</v>
      </c>
      <c r="Y77" s="55">
        <f>_xll.EQNXTDZ($A$1,$B77,Y$1,$B$1)</f>
        <v>1943.82</v>
      </c>
      <c r="Z77" s="55">
        <f>_xll.EQNXTDZ($A$1,$B77,Z$1,$B$1)</f>
        <v>1844.3</v>
      </c>
      <c r="AA77" s="55">
        <f>_xll.EQNXTDZ($A$1,$B77,AA$1,$B$1)</f>
        <v>1866.45</v>
      </c>
      <c r="AB77" s="55">
        <f>_xll.EQNXTDZ($A$1,$B77,AB$1,$B$1)</f>
        <v>3030.86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8.2987000000000002</v>
      </c>
      <c r="D78" s="55">
        <f>_xll.EQNXTDZ($A$1,$B78,D$1,$B$1)</f>
        <v>38.792700000000004</v>
      </c>
      <c r="E78" s="55">
        <f>_xll.EQNXTDZ($A$1,$B78,E$1,$B$1)</f>
        <v>35.305399999999999</v>
      </c>
      <c r="F78" s="55">
        <f>_xll.EQNXTDZ($A$1,$B78,F$1,$B$1)</f>
        <v>13.710100000000001</v>
      </c>
      <c r="G78" s="55">
        <f>_xll.EQNXTDZ($A$1,$B78,G$1,$B$1)</f>
        <v>10.668699999999999</v>
      </c>
      <c r="H78" s="55">
        <f>_xll.EQNXTDZ($A$1,$B78,H$1,$B$1)</f>
        <v>85.0107</v>
      </c>
      <c r="I78" s="55">
        <f>_xll.EQNXTDZ($A$1,$B78,I$1,$B$1)</f>
        <v>20.769100000000002</v>
      </c>
      <c r="J78" s="55">
        <f>_xll.EQNXTDZ($A$1,$B78,J$1,$B$1)</f>
        <v>118.3434</v>
      </c>
      <c r="K78" s="55">
        <f>_xll.EQNXTDZ($A$1,$B78,K$1,$B$1)</f>
        <v>229.9923</v>
      </c>
      <c r="L78" s="55">
        <f>_xll.EQNXTDZ($A$1,$B78,L$1,$B$1)</f>
        <v>388.32530000000003</v>
      </c>
      <c r="M78" s="55">
        <f>_xll.EQNXTDZ($A$1,$B78,M$1,$B$1)</f>
        <v>478.80279999999999</v>
      </c>
      <c r="N78" s="55">
        <f>_xll.EQNXTDZ($A$1,$B78,N$1,$B$1)</f>
        <v>674.28</v>
      </c>
      <c r="O78" s="55">
        <f>_xll.EQNXTDZ($A$1,$B78,O$1,$B$1)</f>
        <v>626.97</v>
      </c>
      <c r="P78" s="55">
        <f>_xll.EQNXTDZ($A$1,$B78,P$1,$B$1)</f>
        <v>769.42</v>
      </c>
      <c r="Q78" s="55">
        <f>_xll.EQNXTDZ($A$1,$B78,Q$1,$B$1)</f>
        <v>567.36</v>
      </c>
      <c r="R78" s="55">
        <f>_xll.EQNXTDZ($A$1,$B78,R$1,$B$1)</f>
        <v>647.03</v>
      </c>
      <c r="S78" s="55">
        <f>_xll.EQNXTDZ($A$1,$B78,S$1,$B$1)</f>
        <v>893.72</v>
      </c>
      <c r="T78" s="55">
        <f>_xll.EQNXTDZ($A$1,$B78,T$1,$B$1)</f>
        <v>867.23</v>
      </c>
      <c r="U78" s="55">
        <f>_xll.EQNXTDZ($A$1,$B78,U$1,$B$1)</f>
        <v>816.04</v>
      </c>
      <c r="V78" s="55">
        <f>_xll.EQNXTDZ($A$1,$B78,V$1,$B$1)</f>
        <v>666.65</v>
      </c>
      <c r="W78" s="55">
        <f>_xll.EQNXTDZ($A$1,$B78,W$1,$B$1)</f>
        <v>603.5</v>
      </c>
      <c r="X78" s="55">
        <f>_xll.EQNXTDZ($A$1,$B78,X$1,$B$1)</f>
        <v>403.41</v>
      </c>
      <c r="Y78" s="55">
        <f>_xll.EQNXTDZ($A$1,$B78,Y$1,$B$1)</f>
        <v>571.46</v>
      </c>
      <c r="Z78" s="55">
        <f>_xll.EQNXTDZ($A$1,$B78,Z$1,$B$1)</f>
        <v>839.04</v>
      </c>
      <c r="AA78" s="55">
        <f>_xll.EQNXTDZ($A$1,$B78,AA$1,$B$1)</f>
        <v>579.46</v>
      </c>
      <c r="AB78" s="55">
        <f>_xll.EQNXTDZ($A$1,$B78,AB$1,$B$1)</f>
        <v>1165.2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4.5167999999999999</v>
      </c>
      <c r="E79" s="55">
        <f>_xll.EQNXTDZ($A$1,$B79,E$1,$B$1)</f>
        <v>5.3526999999999996</v>
      </c>
      <c r="F79" s="55">
        <f>_xll.EQNXTDZ($A$1,$B79,F$1,$B$1)</f>
        <v>3.9336000000000002</v>
      </c>
      <c r="G79" s="55">
        <f>_xll.EQNXTDZ($A$1,$B79,G$1,$B$1)</f>
        <v>5.7659000000000002</v>
      </c>
      <c r="H79" s="55">
        <f>_xll.EQNXTDZ($A$1,$B79,H$1,$B$1)</f>
        <v>14.2591</v>
      </c>
      <c r="I79" s="55">
        <f>_xll.EQNXTDZ($A$1,$B79,I$1,$B$1)</f>
        <v>16.583300000000001</v>
      </c>
      <c r="J79" s="55">
        <f>_xll.EQNXTDZ($A$1,$B79,J$1,$B$1)</f>
        <v>22.657</v>
      </c>
      <c r="K79" s="55">
        <f>_xll.EQNXTDZ($A$1,$B79,K$1,$B$1)</f>
        <v>34.322800000000001</v>
      </c>
      <c r="L79" s="55">
        <f>_xll.EQNXTDZ($A$1,$B79,L$1,$B$1)</f>
        <v>41.540100000000002</v>
      </c>
      <c r="M79" s="55">
        <f>_xll.EQNXTDZ($A$1,$B79,M$1,$B$1)</f>
        <v>95.125200000000007</v>
      </c>
      <c r="N79" s="55">
        <f>_xll.EQNXTDZ($A$1,$B79,N$1,$B$1)</f>
        <v>115.5</v>
      </c>
      <c r="O79" s="55">
        <f>_xll.EQNXTDZ($A$1,$B79,O$1,$B$1)</f>
        <v>185.85</v>
      </c>
      <c r="P79" s="55">
        <f>_xll.EQNXTDZ($A$1,$B79,P$1,$B$1)</f>
        <v>259</v>
      </c>
      <c r="Q79" s="55">
        <f>_xll.EQNXTDZ($A$1,$B79,Q$1,$B$1)</f>
        <v>422.94</v>
      </c>
      <c r="R79" s="55">
        <f>_xll.EQNXTDZ($A$1,$B79,R$1,$B$1)</f>
        <v>368.34</v>
      </c>
      <c r="S79" s="55">
        <f>_xll.EQNXTDZ($A$1,$B79,S$1,$B$1)</f>
        <v>589.45000000000005</v>
      </c>
      <c r="T79" s="55">
        <f>_xll.EQNXTDZ($A$1,$B79,T$1,$B$1)</f>
        <v>587.67999999999995</v>
      </c>
      <c r="U79" s="55">
        <f>_xll.EQNXTDZ($A$1,$B79,U$1,$B$1)</f>
        <v>405.82</v>
      </c>
      <c r="V79" s="55">
        <f>_xll.EQNXTDZ($A$1,$B79,V$1,$B$1)</f>
        <v>441.35</v>
      </c>
      <c r="W79" s="55">
        <f>_xll.EQNXTDZ($A$1,$B79,W$1,$B$1)</f>
        <v>510.97</v>
      </c>
      <c r="X79" s="55">
        <f>_xll.EQNXTDZ($A$1,$B79,X$1,$B$1)</f>
        <v>331.62</v>
      </c>
      <c r="Y79" s="55">
        <f>_xll.EQNXTDZ($A$1,$B79,Y$1,$B$1)</f>
        <v>246.89</v>
      </c>
      <c r="Z79" s="55">
        <f>_xll.EQNXTDZ($A$1,$B79,Z$1,$B$1)</f>
        <v>327.99</v>
      </c>
      <c r="AA79" s="55">
        <f>_xll.EQNXTDZ($A$1,$B79,AA$1,$B$1)</f>
        <v>323.62</v>
      </c>
      <c r="AB79" s="55">
        <f>_xll.EQNXTDZ($A$1,$B79,AB$1,$B$1)</f>
        <v>404.27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93.430099999999996</v>
      </c>
      <c r="D80" s="55">
        <f>_xll.EQNXTDZ($A$1,$B80,D$1,$B$1)</f>
        <v>31.604500000000002</v>
      </c>
      <c r="E80" s="55">
        <f>_xll.EQNXTDZ($A$1,$B80,E$1,$B$1)</f>
        <v>26.064499999999999</v>
      </c>
      <c r="F80" s="55">
        <f>_xll.EQNXTDZ($A$1,$B80,F$1,$B$1)</f>
        <v>26.976900000000001</v>
      </c>
      <c r="G80" s="55">
        <f>_xll.EQNXTDZ($A$1,$B80,G$1,$B$1)</f>
        <v>37.5244</v>
      </c>
      <c r="H80" s="55">
        <f>_xll.EQNXTDZ($A$1,$B80,H$1,$B$1)</f>
        <v>38.709699999999998</v>
      </c>
      <c r="I80" s="55">
        <f>_xll.EQNXTDZ($A$1,$B80,I$1,$B$1)</f>
        <v>53.354700000000001</v>
      </c>
      <c r="J80" s="55">
        <f>_xll.EQNXTDZ($A$1,$B80,J$1,$B$1)</f>
        <v>76.098600000000005</v>
      </c>
      <c r="K80" s="55">
        <f>_xll.EQNXTDZ($A$1,$B80,K$1,$B$1)</f>
        <v>157.93770000000001</v>
      </c>
      <c r="L80" s="55">
        <f>_xll.EQNXTDZ($A$1,$B80,L$1,$B$1)</f>
        <v>109.0583</v>
      </c>
      <c r="M80" s="55">
        <f>_xll.EQNXTDZ($A$1,$B80,M$1,$B$1)</f>
        <v>49.276000000000003</v>
      </c>
      <c r="N80" s="55">
        <f>_xll.EQNXTDZ($A$1,$B80,N$1,$B$1)</f>
        <v>56.46</v>
      </c>
      <c r="O80" s="55">
        <f>_xll.EQNXTDZ($A$1,$B80,O$1,$B$1)</f>
        <v>75.95</v>
      </c>
      <c r="P80" s="55">
        <f>_xll.EQNXTDZ($A$1,$B80,P$1,$B$1)</f>
        <v>84.95</v>
      </c>
      <c r="Q80" s="55">
        <f>_xll.EQNXTDZ($A$1,$B80,Q$1,$B$1)</f>
        <v>109.09</v>
      </c>
      <c r="R80" s="55">
        <f>_xll.EQNXTDZ($A$1,$B80,R$1,$B$1)</f>
        <v>90.18</v>
      </c>
      <c r="S80" s="55">
        <f>_xll.EQNXTDZ($A$1,$B80,S$1,$B$1)</f>
        <v>82.62</v>
      </c>
      <c r="T80" s="55">
        <f>_xll.EQNXTDZ($A$1,$B80,T$1,$B$1)</f>
        <v>95.39</v>
      </c>
      <c r="U80" s="55">
        <f>_xll.EQNXTDZ($A$1,$B80,U$1,$B$1)</f>
        <v>93.46</v>
      </c>
      <c r="V80" s="55">
        <f>_xll.EQNXTDZ($A$1,$B80,V$1,$B$1)</f>
        <v>73.48</v>
      </c>
      <c r="W80" s="55">
        <f>_xll.EQNXTDZ($A$1,$B80,W$1,$B$1)</f>
        <v>63.41</v>
      </c>
      <c r="X80" s="55">
        <f>_xll.EQNXTDZ($A$1,$B80,X$1,$B$1)</f>
        <v>151.18</v>
      </c>
      <c r="Y80" s="55">
        <f>_xll.EQNXTDZ($A$1,$B80,Y$1,$B$1)</f>
        <v>165.82</v>
      </c>
      <c r="Z80" s="55">
        <f>_xll.EQNXTDZ($A$1,$B80,Z$1,$B$1)</f>
        <v>180.04</v>
      </c>
      <c r="AA80" s="55">
        <f>_xll.EQNXTDZ($A$1,$B80,AA$1,$B$1)</f>
        <v>199.58</v>
      </c>
      <c r="AB80" s="55">
        <f>_xll.EQNXTDZ($A$1,$B80,AB$1,$B$1)</f>
        <v>787.63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0.82</v>
      </c>
      <c r="S81" s="55">
        <f>_xll.EQNXTDZ($A$1,$B81,S$1,$B$1)</f>
        <v>0.09</v>
      </c>
      <c r="T81" s="55">
        <f>_xll.EQNXTDZ($A$1,$B81,T$1,$B$1)</f>
        <v>0.09</v>
      </c>
      <c r="U81" s="55">
        <f>_xll.EQNXTDZ($A$1,$B81,U$1,$B$1)</f>
        <v>0.01</v>
      </c>
      <c r="V81" s="55">
        <f>_xll.EQNXTDZ($A$1,$B81,V$1,$B$1)</f>
        <v>1.86</v>
      </c>
      <c r="W81" s="55">
        <f>_xll.EQNXTDZ($A$1,$B81,W$1,$B$1)</f>
        <v>1.72</v>
      </c>
      <c r="X81" s="55">
        <f>_xll.EQNXTDZ($A$1,$B81,X$1,$B$1)</f>
        <v>129.66</v>
      </c>
      <c r="Y81" s="55">
        <f>_xll.EQNXTDZ($A$1,$B81,Y$1,$B$1)</f>
        <v>15.46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1.2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218.6935</v>
      </c>
      <c r="D82" s="55">
        <f>_xll.EQNXTDZ($A$1,$B82,D$1,$B$1)</f>
        <v>207.7655</v>
      </c>
      <c r="E82" s="55">
        <f>_xll.EQNXTDZ($A$1,$B82,E$1,$B$1)</f>
        <v>185.58019999999999</v>
      </c>
      <c r="F82" s="55">
        <f>_xll.EQNXTDZ($A$1,$B82,F$1,$B$1)</f>
        <v>205.28210000000001</v>
      </c>
      <c r="G82" s="55">
        <f>_xll.EQNXTDZ($A$1,$B82,G$1,$B$1)</f>
        <v>412.13670000000002</v>
      </c>
      <c r="H82" s="55">
        <f>_xll.EQNXTDZ($A$1,$B82,H$1,$B$1)</f>
        <v>535.83100000000002</v>
      </c>
      <c r="I82" s="55">
        <f>_xll.EQNXTDZ($A$1,$B82,I$1,$B$1)</f>
        <v>576.86500000000001</v>
      </c>
      <c r="J82" s="55">
        <f>_xll.EQNXTDZ($A$1,$B82,J$1,$B$1)</f>
        <v>694.70780000000002</v>
      </c>
      <c r="K82" s="55">
        <f>_xll.EQNXTDZ($A$1,$B82,K$1,$B$1)</f>
        <v>1073.8100999999999</v>
      </c>
      <c r="L82" s="55">
        <f>_xll.EQNXTDZ($A$1,$B82,L$1,$B$1)</f>
        <v>1282.8423</v>
      </c>
      <c r="M82" s="55">
        <f>_xll.EQNXTDZ($A$1,$B82,M$1,$B$1)</f>
        <v>1594.4186999999999</v>
      </c>
      <c r="N82" s="55">
        <f>_xll.EQNXTDZ($A$1,$B82,N$1,$B$1)</f>
        <v>1987.12</v>
      </c>
      <c r="O82" s="55">
        <f>_xll.EQNXTDZ($A$1,$B82,O$1,$B$1)</f>
        <v>2560.89</v>
      </c>
      <c r="P82" s="55">
        <f>_xll.EQNXTDZ($A$1,$B82,P$1,$B$1)</f>
        <v>3404.48</v>
      </c>
      <c r="Q82" s="55">
        <f>_xll.EQNXTDZ($A$1,$B82,Q$1,$B$1)</f>
        <v>4051.41</v>
      </c>
      <c r="R82" s="55">
        <f>_xll.EQNXTDZ($A$1,$B82,R$1,$B$1)</f>
        <v>4688.21</v>
      </c>
      <c r="S82" s="55">
        <f>_xll.EQNXTDZ($A$1,$B82,S$1,$B$1)</f>
        <v>4879.38</v>
      </c>
      <c r="T82" s="55">
        <f>_xll.EQNXTDZ($A$1,$B82,T$1,$B$1)</f>
        <v>5262.32</v>
      </c>
      <c r="U82" s="55">
        <f>_xll.EQNXTDZ($A$1,$B82,U$1,$B$1)</f>
        <v>5037.53</v>
      </c>
      <c r="V82" s="55">
        <f>_xll.EQNXTDZ($A$1,$B82,V$1,$B$1)</f>
        <v>4979.0600000000004</v>
      </c>
      <c r="W82" s="55">
        <f>_xll.EQNXTDZ($A$1,$B82,W$1,$B$1)</f>
        <v>5521.5</v>
      </c>
      <c r="X82" s="55">
        <f>_xll.EQNXTDZ($A$1,$B82,X$1,$B$1)</f>
        <v>5164.99</v>
      </c>
      <c r="Y82" s="55">
        <f>_xll.EQNXTDZ($A$1,$B82,Y$1,$B$1)</f>
        <v>5313.72</v>
      </c>
      <c r="Z82" s="55">
        <f>_xll.EQNXTDZ($A$1,$B82,Z$1,$B$1)</f>
        <v>5611.48</v>
      </c>
      <c r="AA82" s="55">
        <f>_xll.EQNXTDZ($A$1,$B82,AA$1,$B$1)</f>
        <v>5622.57</v>
      </c>
      <c r="AB82" s="55">
        <f>_xll.EQNXTDZ($A$1,$B82,AB$1,$B$1)</f>
        <v>9391.89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18.323899999999998</v>
      </c>
      <c r="D83" s="55">
        <f>_xll.EQNXTDZ($A$1,$B83,D$1,$B$1)</f>
        <v>1.47E-2</v>
      </c>
      <c r="E83" s="55">
        <f>_xll.EQNXTDZ($A$1,$B83,E$1,$B$1)</f>
        <v>1.11E-2</v>
      </c>
      <c r="F83" s="55">
        <f>_xll.EQNXTDZ($A$1,$B83,F$1,$B$1)</f>
        <v>7.3000000000000001E-3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456.19670000000002</v>
      </c>
      <c r="D84" s="55">
        <f>_xll.EQNXTDZ($A$1,$B84,D$1,$B$1)</f>
        <v>386.58659999999998</v>
      </c>
      <c r="E84" s="55">
        <f>_xll.EQNXTDZ($A$1,$B84,E$1,$B$1)</f>
        <v>372.71170000000001</v>
      </c>
      <c r="F84" s="55">
        <f>_xll.EQNXTDZ($A$1,$B84,F$1,$B$1)</f>
        <v>416.45830000000001</v>
      </c>
      <c r="G84" s="55">
        <f>_xll.EQNXTDZ($A$1,$B84,G$1,$B$1)</f>
        <v>710.64610000000005</v>
      </c>
      <c r="H84" s="55">
        <f>_xll.EQNXTDZ($A$1,$B84,H$1,$B$1)</f>
        <v>941.90989999999999</v>
      </c>
      <c r="I84" s="55">
        <f>_xll.EQNXTDZ($A$1,$B84,I$1,$B$1)</f>
        <v>1044.9834000000001</v>
      </c>
      <c r="J84" s="55">
        <f>_xll.EQNXTDZ($A$1,$B84,J$1,$B$1)</f>
        <v>1265.8505</v>
      </c>
      <c r="K84" s="55">
        <f>_xll.EQNXTDZ($A$1,$B84,K$1,$B$1)</f>
        <v>1657.5335</v>
      </c>
      <c r="L84" s="55">
        <f>_xll.EQNXTDZ($A$1,$B84,L$1,$B$1)</f>
        <v>1952.8583000000001</v>
      </c>
      <c r="M84" s="55">
        <f>_xll.EQNXTDZ($A$1,$B84,M$1,$B$1)</f>
        <v>2535.6916999999999</v>
      </c>
      <c r="N84" s="55">
        <f>_xll.EQNXTDZ($A$1,$B84,N$1,$B$1)</f>
        <v>3047.9</v>
      </c>
      <c r="O84" s="55">
        <f>_xll.EQNXTDZ($A$1,$B84,O$1,$B$1)</f>
        <v>3752.76</v>
      </c>
      <c r="P84" s="55">
        <f>_xll.EQNXTDZ($A$1,$B84,P$1,$B$1)</f>
        <v>5004.17</v>
      </c>
      <c r="Q84" s="55">
        <f>_xll.EQNXTDZ($A$1,$B84,Q$1,$B$1)</f>
        <v>7819.66</v>
      </c>
      <c r="R84" s="55">
        <f>_xll.EQNXTDZ($A$1,$B84,R$1,$B$1)</f>
        <v>8774.69</v>
      </c>
      <c r="S84" s="55">
        <f>_xll.EQNXTDZ($A$1,$B84,S$1,$B$1)</f>
        <v>9392.2099999999991</v>
      </c>
      <c r="T84" s="55">
        <f>_xll.EQNXTDZ($A$1,$B84,T$1,$B$1)</f>
        <v>13967.3</v>
      </c>
      <c r="U84" s="55">
        <f>_xll.EQNXTDZ($A$1,$B84,U$1,$B$1)</f>
        <v>13751.07</v>
      </c>
      <c r="V84" s="55">
        <f>_xll.EQNXTDZ($A$1,$B84,V$1,$B$1)</f>
        <v>13576.53</v>
      </c>
      <c r="W84" s="55">
        <f>_xll.EQNXTDZ($A$1,$B84,W$1,$B$1)</f>
        <v>13652.99</v>
      </c>
      <c r="X84" s="55">
        <f>_xll.EQNXTDZ($A$1,$B84,X$1,$B$1)</f>
        <v>12606.19</v>
      </c>
      <c r="Y84" s="55">
        <f>_xll.EQNXTDZ($A$1,$B84,Y$1,$B$1)</f>
        <v>14468.18</v>
      </c>
      <c r="Z84" s="55">
        <f>_xll.EQNXTDZ($A$1,$B84,Z$1,$B$1)</f>
        <v>14505.45</v>
      </c>
      <c r="AA84" s="55">
        <f>_xll.EQNXTDZ($A$1,$B84,AA$1,$B$1)</f>
        <v>14395.59</v>
      </c>
      <c r="AB84" s="55">
        <f>_xll.EQNXTDZ($A$1,$B84,AB$1,$B$1)</f>
        <v>43613.69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1.3106</v>
      </c>
      <c r="D85" s="55">
        <f>_xll.EQNXTDZ($A$1,$B85,D$1,$B$1)</f>
        <v>11.9336</v>
      </c>
      <c r="E85" s="55">
        <f>_xll.EQNXTDZ($A$1,$B85,E$1,$B$1)</f>
        <v>16.156099999999999</v>
      </c>
      <c r="F85" s="55">
        <f>_xll.EQNXTDZ($A$1,$B85,F$1,$B$1)</f>
        <v>14.075100000000001</v>
      </c>
      <c r="G85" s="55">
        <f>_xll.EQNXTDZ($A$1,$B85,G$1,$B$1)</f>
        <v>18.769300000000001</v>
      </c>
      <c r="H85" s="55">
        <f>_xll.EQNXTDZ($A$1,$B85,H$1,$B$1)</f>
        <v>10.264699999999999</v>
      </c>
      <c r="I85" s="55">
        <f>_xll.EQNXTDZ($A$1,$B85,I$1,$B$1)</f>
        <v>14.546900000000001</v>
      </c>
      <c r="J85" s="55">
        <f>_xll.EQNXTDZ($A$1,$B85,J$1,$B$1)</f>
        <v>9.5877999999999997</v>
      </c>
      <c r="K85" s="55">
        <f>_xll.EQNXTDZ($A$1,$B85,K$1,$B$1)</f>
        <v>11.4384</v>
      </c>
      <c r="L85" s="55">
        <f>_xll.EQNXTDZ($A$1,$B85,L$1,$B$1)</f>
        <v>8.0132999999999992</v>
      </c>
      <c r="M85" s="55">
        <f>_xll.EQNXTDZ($A$1,$B85,M$1,$B$1)</f>
        <v>9.3857999999999997</v>
      </c>
      <c r="N85" s="55">
        <f>_xll.EQNXTDZ($A$1,$B85,N$1,$B$1)</f>
        <v>12.83</v>
      </c>
      <c r="O85" s="55">
        <f>_xll.EQNXTDZ($A$1,$B85,O$1,$B$1)</f>
        <v>93.36</v>
      </c>
      <c r="P85" s="55">
        <f>_xll.EQNXTDZ($A$1,$B85,P$1,$B$1)</f>
        <v>48.41</v>
      </c>
      <c r="Q85" s="55">
        <f>_xll.EQNXTDZ($A$1,$B85,Q$1,$B$1)</f>
        <v>33.68</v>
      </c>
      <c r="R85" s="55">
        <f>_xll.EQNXTDZ($A$1,$B85,R$1,$B$1)</f>
        <v>95.42</v>
      </c>
      <c r="S85" s="55">
        <f>_xll.EQNXTDZ($A$1,$B85,S$1,$B$1)</f>
        <v>109.17</v>
      </c>
      <c r="T85" s="55">
        <f>_xll.EQNXTDZ($A$1,$B85,T$1,$B$1)</f>
        <v>122.55</v>
      </c>
      <c r="U85" s="55">
        <f>_xll.EQNXTDZ($A$1,$B85,U$1,$B$1)</f>
        <v>125.7</v>
      </c>
      <c r="V85" s="55">
        <f>_xll.EQNXTDZ($A$1,$B85,V$1,$B$1)</f>
        <v>129.82</v>
      </c>
      <c r="W85" s="55">
        <f>_xll.EQNXTDZ($A$1,$B85,W$1,$B$1)</f>
        <v>122.89</v>
      </c>
      <c r="X85" s="55">
        <f>_xll.EQNXTDZ($A$1,$B85,X$1,$B$1)</f>
        <v>128.74</v>
      </c>
      <c r="Y85" s="55">
        <f>_xll.EQNXTDZ($A$1,$B85,Y$1,$B$1)</f>
        <v>150.83000000000001</v>
      </c>
      <c r="Z85" s="55">
        <f>_xll.EQNXTDZ($A$1,$B85,Z$1,$B$1)</f>
        <v>157.44</v>
      </c>
      <c r="AA85" s="55">
        <f>_xll.EQNXTDZ($A$1,$B85,AA$1,$B$1)</f>
        <v>156.12</v>
      </c>
      <c r="AB85" s="55">
        <f>_xll.EQNXTDZ($A$1,$B85,AB$1,$B$1)</f>
        <v>379.25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1.0226999999999999</v>
      </c>
      <c r="E86" s="55">
        <f>_xll.EQNXTDZ($A$1,$B86,E$1,$B$1)</f>
        <v>0.76700000000000002</v>
      </c>
      <c r="F86" s="55">
        <f>_xll.EQNXTDZ($A$1,$B86,F$1,$B$1)</f>
        <v>0.51129999999999998</v>
      </c>
      <c r="G86" s="55">
        <f>_xll.EQNXTDZ($A$1,$B86,G$1,$B$1)</f>
        <v>0.2555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124.88</v>
      </c>
      <c r="R86" s="55">
        <f>_xll.EQNXTDZ($A$1,$B86,R$1,$B$1)</f>
        <v>124.88</v>
      </c>
      <c r="S86" s="55">
        <f>_xll.EQNXTDZ($A$1,$B86,S$1,$B$1)</f>
        <v>159.5</v>
      </c>
      <c r="T86" s="55">
        <f>_xll.EQNXTDZ($A$1,$B86,T$1,$B$1)</f>
        <v>398.52</v>
      </c>
      <c r="U86" s="55">
        <f>_xll.EQNXTDZ($A$1,$B86,U$1,$B$1)</f>
        <v>334.79</v>
      </c>
      <c r="V86" s="55">
        <f>_xll.EQNXTDZ($A$1,$B86,V$1,$B$1)</f>
        <v>342.09</v>
      </c>
      <c r="W86" s="55">
        <f>_xll.EQNXTDZ($A$1,$B86,W$1,$B$1)</f>
        <v>341.23</v>
      </c>
      <c r="X86" s="55">
        <f>_xll.EQNXTDZ($A$1,$B86,X$1,$B$1)</f>
        <v>259.48</v>
      </c>
      <c r="Y86" s="55">
        <f>_xll.EQNXTDZ($A$1,$B86,Y$1,$B$1)</f>
        <v>337.5</v>
      </c>
      <c r="Z86" s="55">
        <f>_xll.EQNXTDZ($A$1,$B86,Z$1,$B$1)</f>
        <v>338.03</v>
      </c>
      <c r="AA86" s="55">
        <f>_xll.EQNXTDZ($A$1,$B86,AA$1,$B$1)</f>
        <v>338.88</v>
      </c>
      <c r="AB86" s="55">
        <f>_xll.EQNXTDZ($A$1,$B86,AB$1,$B$1)</f>
        <v>4911.7299999999996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91.2</v>
      </c>
      <c r="T87" s="55">
        <f>_xll.EQNXTDZ($A$1,$B87,T$1,$B$1)</f>
        <v>441.85</v>
      </c>
      <c r="U87" s="55">
        <f>_xll.EQNXTDZ($A$1,$B87,U$1,$B$1)</f>
        <v>550.11</v>
      </c>
      <c r="V87" s="55">
        <f>_xll.EQNXTDZ($A$1,$B87,V$1,$B$1)</f>
        <v>542.55999999999995</v>
      </c>
      <c r="W87" s="55">
        <f>_xll.EQNXTDZ($A$1,$B87,W$1,$B$1)</f>
        <v>317.86</v>
      </c>
      <c r="X87" s="55">
        <f>_xll.EQNXTDZ($A$1,$B87,X$1,$B$1)</f>
        <v>467.86</v>
      </c>
      <c r="Y87" s="55">
        <f>_xll.EQNXTDZ($A$1,$B87,Y$1,$B$1)</f>
        <v>487.86</v>
      </c>
      <c r="Z87" s="55">
        <f>_xll.EQNXTDZ($A$1,$B87,Z$1,$B$1)</f>
        <v>142.86000000000001</v>
      </c>
      <c r="AA87" s="55">
        <f>_xll.EQNXTDZ($A$1,$B87,AA$1,$B$1)</f>
        <v>242.67</v>
      </c>
      <c r="AB87" s="55">
        <f>_xll.EQNXTDZ($A$1,$B87,AB$1,$B$1)</f>
        <v>100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179.44460000000001</v>
      </c>
      <c r="N88" s="55">
        <f>_xll.EQNXTDZ($A$1,$B88,N$1,$B$1)</f>
        <v>118.56</v>
      </c>
      <c r="O88" s="55">
        <f>_xll.EQNXTDZ($A$1,$B88,O$1,$B$1)</f>
        <v>113.81</v>
      </c>
      <c r="P88" s="55">
        <f>_xll.EQNXTDZ($A$1,$B88,P$1,$B$1)</f>
        <v>176.87</v>
      </c>
      <c r="Q88" s="55">
        <f>_xll.EQNXTDZ($A$1,$B88,Q$1,$B$1)</f>
        <v>236.06</v>
      </c>
      <c r="R88" s="55">
        <f>_xll.EQNXTDZ($A$1,$B88,R$1,$B$1)</f>
        <v>498.28</v>
      </c>
      <c r="S88" s="55">
        <f>_xll.EQNXTDZ($A$1,$B88,S$1,$B$1)</f>
        <v>178.1</v>
      </c>
      <c r="T88" s="55">
        <f>_xll.EQNXTDZ($A$1,$B88,T$1,$B$1)</f>
        <v>283.41000000000003</v>
      </c>
      <c r="U88" s="55">
        <f>_xll.EQNXTDZ($A$1,$B88,U$1,$B$1)</f>
        <v>640.96</v>
      </c>
      <c r="V88" s="55">
        <f>_xll.EQNXTDZ($A$1,$B88,V$1,$B$1)</f>
        <v>875.72</v>
      </c>
      <c r="W88" s="55">
        <f>_xll.EQNXTDZ($A$1,$B88,W$1,$B$1)</f>
        <v>862.13</v>
      </c>
      <c r="X88" s="55">
        <f>_xll.EQNXTDZ($A$1,$B88,X$1,$B$1)</f>
        <v>503.98</v>
      </c>
      <c r="Y88" s="55">
        <f>_xll.EQNXTDZ($A$1,$B88,Y$1,$B$1)</f>
        <v>548.15</v>
      </c>
      <c r="Z88" s="55">
        <f>_xll.EQNXTDZ($A$1,$B88,Z$1,$B$1)</f>
        <v>553.07000000000005</v>
      </c>
      <c r="AA88" s="55">
        <f>_xll.EQNXTDZ($A$1,$B88,AA$1,$B$1)</f>
        <v>341.7</v>
      </c>
      <c r="AB88" s="55">
        <f>_xll.EQNXTDZ($A$1,$B88,AB$1,$B$1)</f>
        <v>132.5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27.05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1.2784</v>
      </c>
      <c r="E91" s="55">
        <f>_xll.EQNXTDZ($A$1,$B91,E$1,$B$1)</f>
        <v>1.2784</v>
      </c>
      <c r="F91" s="55">
        <f>_xll.EQNXTDZ($A$1,$B91,F$1,$B$1)</f>
        <v>1.2784</v>
      </c>
      <c r="G91" s="55">
        <f>_xll.EQNXTDZ($A$1,$B91,G$1,$B$1)</f>
        <v>1.2784</v>
      </c>
      <c r="H91" s="55">
        <f>_xll.EQNXTDZ($A$1,$B91,H$1,$B$1)</f>
        <v>1.2784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130.66999999999999</v>
      </c>
      <c r="R91" s="55">
        <f>_xll.EQNXTDZ($A$1,$B91,R$1,$B$1)</f>
        <v>124.88</v>
      </c>
      <c r="S91" s="55">
        <f>_xll.EQNXTDZ($A$1,$B91,S$1,$B$1)</f>
        <v>159.5</v>
      </c>
      <c r="T91" s="55">
        <f>_xll.EQNXTDZ($A$1,$B91,T$1,$B$1)</f>
        <v>398.52</v>
      </c>
      <c r="U91" s="55">
        <f>_xll.EQNXTDZ($A$1,$B91,U$1,$B$1)</f>
        <v>334.79</v>
      </c>
      <c r="V91" s="55">
        <f>_xll.EQNXTDZ($A$1,$B91,V$1,$B$1)</f>
        <v>342.09</v>
      </c>
      <c r="W91" s="55">
        <f>_xll.EQNXTDZ($A$1,$B91,W$1,$B$1)</f>
        <v>341.23</v>
      </c>
      <c r="X91" s="55">
        <f>_xll.EQNXTDZ($A$1,$B91,X$1,$B$1)</f>
        <v>259.48</v>
      </c>
      <c r="Y91" s="55">
        <f>_xll.EQNXTDZ($A$1,$B91,Y$1,$B$1)</f>
        <v>337.5</v>
      </c>
      <c r="Z91" s="55">
        <f>_xll.EQNXTDZ($A$1,$B91,Z$1,$B$1)</f>
        <v>338.03</v>
      </c>
      <c r="AA91" s="55">
        <f>_xll.EQNXTDZ($A$1,$B91,AA$1,$B$1)</f>
        <v>338.88</v>
      </c>
      <c r="AB91" s="55">
        <f>_xll.EQNXTDZ($A$1,$B91,AB$1,$B$1)</f>
        <v>4929.76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0.25569999999999998</v>
      </c>
      <c r="E92" s="55">
        <f>_xll.EQNXTDZ($A$1,$B92,E$1,$B$1)</f>
        <v>0.51139999999999997</v>
      </c>
      <c r="F92" s="55">
        <f>_xll.EQNXTDZ($A$1,$B92,F$1,$B$1)</f>
        <v>0.7671</v>
      </c>
      <c r="G92" s="55">
        <f>_xll.EQNXTDZ($A$1,$B92,G$1,$B$1)</f>
        <v>1.0228999999999999</v>
      </c>
      <c r="H92" s="55">
        <f>_xll.EQNXTDZ($A$1,$B92,H$1,$B$1)</f>
        <v>1.2784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5.79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18.03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1.3106</v>
      </c>
      <c r="D93" s="55">
        <f>_xll.EQNXTDZ($A$1,$B93,D$1,$B$1)</f>
        <v>11.9336</v>
      </c>
      <c r="E93" s="55">
        <f>_xll.EQNXTDZ($A$1,$B93,E$1,$B$1)</f>
        <v>16.156099999999999</v>
      </c>
      <c r="F93" s="55">
        <f>_xll.EQNXTDZ($A$1,$B93,F$1,$B$1)</f>
        <v>14.075100000000001</v>
      </c>
      <c r="G93" s="55">
        <f>_xll.EQNXTDZ($A$1,$B93,G$1,$B$1)</f>
        <v>18.769300000000001</v>
      </c>
      <c r="H93" s="55">
        <f>_xll.EQNXTDZ($A$1,$B93,H$1,$B$1)</f>
        <v>10.264699999999999</v>
      </c>
      <c r="I93" s="55">
        <f>_xll.EQNXTDZ($A$1,$B93,I$1,$B$1)</f>
        <v>14.546900000000001</v>
      </c>
      <c r="J93" s="55">
        <f>_xll.EQNXTDZ($A$1,$B93,J$1,$B$1)</f>
        <v>9.5877999999999997</v>
      </c>
      <c r="K93" s="55">
        <f>_xll.EQNXTDZ($A$1,$B93,K$1,$B$1)</f>
        <v>11.4384</v>
      </c>
      <c r="L93" s="55">
        <f>_xll.EQNXTDZ($A$1,$B93,L$1,$B$1)</f>
        <v>8.0132999999999992</v>
      </c>
      <c r="M93" s="55">
        <f>_xll.EQNXTDZ($A$1,$B93,M$1,$B$1)</f>
        <v>7.7607999999999997</v>
      </c>
      <c r="N93" s="55">
        <f>_xll.EQNXTDZ($A$1,$B93,N$1,$B$1)</f>
        <v>11.2</v>
      </c>
      <c r="O93" s="55">
        <f>_xll.EQNXTDZ($A$1,$B93,O$1,$B$1)</f>
        <v>93.36</v>
      </c>
      <c r="P93" s="55">
        <f>_xll.EQNXTDZ($A$1,$B93,P$1,$B$1)</f>
        <v>48.41</v>
      </c>
      <c r="Q93" s="55">
        <f>_xll.EQNXTDZ($A$1,$B93,Q$1,$B$1)</f>
        <v>33.68</v>
      </c>
      <c r="R93" s="55">
        <f>_xll.EQNXTDZ($A$1,$B93,R$1,$B$1)</f>
        <v>95.42</v>
      </c>
      <c r="S93" s="55">
        <f>_xll.EQNXTDZ($A$1,$B93,S$1,$B$1)</f>
        <v>109.17</v>
      </c>
      <c r="T93" s="55">
        <f>_xll.EQNXTDZ($A$1,$B93,T$1,$B$1)</f>
        <v>122.55</v>
      </c>
      <c r="U93" s="55">
        <f>_xll.EQNXTDZ($A$1,$B93,U$1,$B$1)</f>
        <v>125.7</v>
      </c>
      <c r="V93" s="55">
        <f>_xll.EQNXTDZ($A$1,$B93,V$1,$B$1)</f>
        <v>129.82</v>
      </c>
      <c r="W93" s="55">
        <f>_xll.EQNXTDZ($A$1,$B93,W$1,$B$1)</f>
        <v>122.89</v>
      </c>
      <c r="X93" s="55">
        <f>_xll.EQNXTDZ($A$1,$B93,X$1,$B$1)</f>
        <v>128.74</v>
      </c>
      <c r="Y93" s="55">
        <f>_xll.EQNXTDZ($A$1,$B93,Y$1,$B$1)</f>
        <v>150.83000000000001</v>
      </c>
      <c r="Z93" s="55">
        <f>_xll.EQNXTDZ($A$1,$B93,Z$1,$B$1)</f>
        <v>157.44</v>
      </c>
      <c r="AA93" s="55">
        <f>_xll.EQNXTDZ($A$1,$B93,AA$1,$B$1)</f>
        <v>156.12</v>
      </c>
      <c r="AB93" s="55">
        <f>_xll.EQNXTDZ($A$1,$B93,AB$1,$B$1)</f>
        <v>379.25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1.625</v>
      </c>
      <c r="N95" s="55">
        <f>_xll.EQNXTDZ($A$1,$B95,N$1,$B$1)</f>
        <v>1.63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21.081</v>
      </c>
      <c r="D104" s="55">
        <f>_xll.EQNXTDZ($A$1,$B104,D$1,$B$1)</f>
        <v>21.081</v>
      </c>
      <c r="E104" s="55">
        <f>_xll.EQNXTDZ($A$1,$B104,E$1,$B$1)</f>
        <v>21.102399999999999</v>
      </c>
      <c r="F104" s="55">
        <f>_xll.EQNXTDZ($A$1,$B104,F$1,$B$1)</f>
        <v>21.152799999999999</v>
      </c>
      <c r="G104" s="55">
        <f>_xll.EQNXTDZ($A$1,$B104,G$1,$B$1)</f>
        <v>21.152799999999999</v>
      </c>
      <c r="H104" s="55">
        <f>_xll.EQNXTDZ($A$1,$B104,H$1,$B$1)</f>
        <v>42.305700000000002</v>
      </c>
      <c r="I104" s="55">
        <f>_xll.EQNXTDZ($A$1,$B104,I$1,$B$1)</f>
        <v>42.305700000000002</v>
      </c>
      <c r="J104" s="55">
        <f>_xll.EQNXTDZ($A$1,$B104,J$1,$B$1)</f>
        <v>42.305700000000002</v>
      </c>
      <c r="K104" s="55">
        <f>_xll.EQNXTDZ($A$1,$B104,K$1,$B$1)</f>
        <v>42.305700000000002</v>
      </c>
      <c r="L104" s="55">
        <f>_xll.EQNXTDZ($A$1,$B104,L$1,$B$1)</f>
        <v>42.305700000000002</v>
      </c>
      <c r="M104" s="55">
        <f>_xll.EQNXTDZ($A$1,$B104,M$1,$B$1)</f>
        <v>42.305700000000002</v>
      </c>
      <c r="N104" s="55">
        <f>_xll.EQNXTDZ($A$1,$B104,N$1,$B$1)</f>
        <v>42.31</v>
      </c>
      <c r="O104" s="55">
        <f>_xll.EQNXTDZ($A$1,$B104,O$1,$B$1)</f>
        <v>42.31</v>
      </c>
      <c r="P104" s="55">
        <f>_xll.EQNXTDZ($A$1,$B104,P$1,$B$1)</f>
        <v>84.62</v>
      </c>
      <c r="Q104" s="55">
        <f>_xll.EQNXTDZ($A$1,$B104,Q$1,$B$1)</f>
        <v>84.62</v>
      </c>
      <c r="R104" s="55">
        <f>_xll.EQNXTDZ($A$1,$B104,R$1,$B$1)</f>
        <v>84.62</v>
      </c>
      <c r="S104" s="55">
        <f>_xll.EQNXTDZ($A$1,$B104,S$1,$B$1)</f>
        <v>84.62</v>
      </c>
      <c r="T104" s="55">
        <f>_xll.EQNXTDZ($A$1,$B104,T$1,$B$1)</f>
        <v>84.62</v>
      </c>
      <c r="U104" s="55">
        <f>_xll.EQNXTDZ($A$1,$B104,U$1,$B$1)</f>
        <v>84.62</v>
      </c>
      <c r="V104" s="55">
        <f>_xll.EQNXTDZ($A$1,$B104,V$1,$B$1)</f>
        <v>84.62</v>
      </c>
      <c r="W104" s="55">
        <f>_xll.EQNXTDZ($A$1,$B104,W$1,$B$1)</f>
        <v>84.62</v>
      </c>
      <c r="X104" s="55">
        <f>_xll.EQNXTDZ($A$1,$B104,X$1,$B$1)</f>
        <v>84.62</v>
      </c>
      <c r="Y104" s="55">
        <f>_xll.EQNXTDZ($A$1,$B104,Y$1,$B$1)</f>
        <v>169.23</v>
      </c>
      <c r="Z104" s="55">
        <f>_xll.EQNXTDZ($A$1,$B104,Z$1,$B$1)</f>
        <v>169.23</v>
      </c>
      <c r="AA104" s="55">
        <f>_xll.EQNXTDZ($A$1,$B104,AA$1,$B$1)</f>
        <v>169.23</v>
      </c>
      <c r="AB104" s="55">
        <f>_xll.EQNXTDZ($A$1,$B104,AB$1,$B$1)</f>
        <v>169.23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5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6.3187499999999996</v>
      </c>
      <c r="D106" s="55">
        <f>_xll.EQNXTDZ($A$1,$B106,D$1,$B$1)</f>
        <v>13.440625000000001</v>
      </c>
      <c r="E106" s="55">
        <f>_xll.EQNXTDZ($A$1,$B106,E$1,$B$1)</f>
        <v>9.8125</v>
      </c>
      <c r="F106" s="55">
        <f>_xll.EQNXTDZ($A$1,$B106,F$1,$B$1)</f>
        <v>20.359375</v>
      </c>
      <c r="G106" s="55">
        <f>_xll.EQNXTDZ($A$1,$B106,G$1,$B$1)</f>
        <v>27.521875000000001</v>
      </c>
      <c r="H106" s="55">
        <f>_xll.EQNXTDZ($A$1,$B106,H$1,$B$1)</f>
        <v>54.4</v>
      </c>
      <c r="I106" s="55">
        <f>_xll.EQNXTDZ($A$1,$B106,I$1,$B$1)</f>
        <v>49.3</v>
      </c>
      <c r="J106" s="55">
        <f>_xll.EQNXTDZ($A$1,$B106,J$1,$B$1)</f>
        <v>35.35</v>
      </c>
      <c r="K106" s="55">
        <f>_xll.EQNXTDZ($A$1,$B106,K$1,$B$1)</f>
        <v>33.512500000000003</v>
      </c>
      <c r="L106" s="55">
        <f>_xll.EQNXTDZ($A$1,$B106,L$1,$B$1)</f>
        <v>136.28749999999999</v>
      </c>
      <c r="M106" s="55">
        <f>_xll.EQNXTDZ($A$1,$B106,M$1,$B$1)</f>
        <v>144.58750000000001</v>
      </c>
      <c r="N106" s="55">
        <f>_xll.EQNXTDZ($A$1,$B106,N$1,$B$1)</f>
        <v>157.16249999999999</v>
      </c>
      <c r="O106" s="55">
        <f>_xll.EQNXTDZ($A$1,$B106,O$1,$B$1)</f>
        <v>173.8125</v>
      </c>
      <c r="P106" s="55">
        <f>_xll.EQNXTDZ($A$1,$B106,P$1,$B$1)</f>
        <v>261.82499999999999</v>
      </c>
      <c r="Q106" s="55">
        <f>_xll.EQNXTDZ($A$1,$B106,Q$1,$B$1)</f>
        <v>580.42499999999995</v>
      </c>
      <c r="R106" s="55">
        <f>_xll.EQNXTDZ($A$1,$B106,R$1,$B$1)</f>
        <v>669.85</v>
      </c>
      <c r="S106" s="55">
        <f>_xll.EQNXTDZ($A$1,$B106,S$1,$B$1)</f>
        <v>774.625</v>
      </c>
      <c r="T106" s="55">
        <f>_xll.EQNXTDZ($A$1,$B106,T$1,$B$1)</f>
        <v>623.95000000000005</v>
      </c>
      <c r="U106" s="55">
        <f>_xll.EQNXTDZ($A$1,$B106,U$1,$B$1)</f>
        <v>976.1</v>
      </c>
      <c r="V106" s="55">
        <f>_xll.EQNXTDZ($A$1,$B106,V$1,$B$1)</f>
        <v>985.75</v>
      </c>
      <c r="W106" s="55">
        <f>_xll.EQNXTDZ($A$1,$B106,W$1,$B$1)</f>
        <v>1270.5999999999999</v>
      </c>
      <c r="X106" s="55">
        <f>_xll.EQNXTDZ($A$1,$B106,X$1,$B$1)</f>
        <v>1398.15</v>
      </c>
      <c r="Y106" s="55">
        <f>_xll.EQNXTDZ($A$1,$B106,Y$1,$B$1)</f>
        <v>1537.35</v>
      </c>
      <c r="Z106" s="55">
        <f>_xll.EQNXTDZ($A$1,$B106,Z$1,$B$1)</f>
        <v>2601.15</v>
      </c>
      <c r="AA106" s="55">
        <f>_xll.EQNXTDZ($A$1,$B106,AA$1,$B$1)</f>
        <v>3234.6</v>
      </c>
      <c r="AB106" s="55">
        <f>_xll.EQNXTDZ($A$1,$B106,AB$1,$B$1)</f>
        <v>4220.6499999999996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25.125</v>
      </c>
      <c r="D107" s="55">
        <f>_xll.EQNXTDZ($A$1,$B107,D$1,$B$1)</f>
        <v>16.375</v>
      </c>
      <c r="E107" s="55">
        <f>_xll.EQNXTDZ($A$1,$B107,E$1,$B$1)</f>
        <v>16.5625</v>
      </c>
      <c r="F107" s="55">
        <f>_xll.EQNXTDZ($A$1,$B107,F$1,$B$1)</f>
        <v>27.15</v>
      </c>
      <c r="G107" s="55">
        <f>_xll.EQNXTDZ($A$1,$B107,G$1,$B$1)</f>
        <v>37.375</v>
      </c>
      <c r="H107" s="55">
        <f>_xll.EQNXTDZ($A$1,$B107,H$1,$B$1)</f>
        <v>67.375</v>
      </c>
      <c r="I107" s="55">
        <f>_xll.EQNXTDZ($A$1,$B107,I$1,$B$1)</f>
        <v>84.2</v>
      </c>
      <c r="J107" s="55">
        <f>_xll.EQNXTDZ($A$1,$B107,J$1,$B$1)</f>
        <v>68.037499999999994</v>
      </c>
      <c r="K107" s="55">
        <f>_xll.EQNXTDZ($A$1,$B107,K$1,$B$1)</f>
        <v>52.424999999999997</v>
      </c>
      <c r="L107" s="55">
        <f>_xll.EQNXTDZ($A$1,$B107,L$1,$B$1)</f>
        <v>137.21250000000001</v>
      </c>
      <c r="M107" s="55">
        <f>_xll.EQNXTDZ($A$1,$B107,M$1,$B$1)</f>
        <v>160</v>
      </c>
      <c r="N107" s="55">
        <f>_xll.EQNXTDZ($A$1,$B107,N$1,$B$1)</f>
        <v>171.73750000000001</v>
      </c>
      <c r="O107" s="55">
        <f>_xll.EQNXTDZ($A$1,$B107,O$1,$B$1)</f>
        <v>191.65</v>
      </c>
      <c r="P107" s="55">
        <f>_xll.EQNXTDZ($A$1,$B107,P$1,$B$1)</f>
        <v>289</v>
      </c>
      <c r="Q107" s="55">
        <f>_xll.EQNXTDZ($A$1,$B107,Q$1,$B$1)</f>
        <v>615.85</v>
      </c>
      <c r="R107" s="55">
        <f>_xll.EQNXTDZ($A$1,$B107,R$1,$B$1)</f>
        <v>860</v>
      </c>
      <c r="S107" s="55">
        <f>_xll.EQNXTDZ($A$1,$B107,S$1,$B$1)</f>
        <v>883.9</v>
      </c>
      <c r="T107" s="55">
        <f>_xll.EQNXTDZ($A$1,$B107,T$1,$B$1)</f>
        <v>775</v>
      </c>
      <c r="U107" s="55">
        <f>_xll.EQNXTDZ($A$1,$B107,U$1,$B$1)</f>
        <v>982</v>
      </c>
      <c r="V107" s="55">
        <f>_xll.EQNXTDZ($A$1,$B107,V$1,$B$1)</f>
        <v>1142.9749999999999</v>
      </c>
      <c r="W107" s="55">
        <f>_xll.EQNXTDZ($A$1,$B107,W$1,$B$1)</f>
        <v>1520</v>
      </c>
      <c r="X107" s="55">
        <f>_xll.EQNXTDZ($A$1,$B107,X$1,$B$1)</f>
        <v>1652.2249999999999</v>
      </c>
      <c r="Y107" s="55">
        <f>_xll.EQNXTDZ($A$1,$B107,Y$1,$B$1)</f>
        <v>1722.7</v>
      </c>
      <c r="Z107" s="55">
        <f>_xll.EQNXTDZ($A$1,$B107,Z$1,$B$1)</f>
        <v>2745.55</v>
      </c>
      <c r="AA107" s="55">
        <f>_xll.EQNXTDZ($A$1,$B107,AA$1,$B$1)</f>
        <v>3589.95</v>
      </c>
      <c r="AB107" s="55">
        <f>_xll.EQNXTDZ($A$1,$B107,AB$1,$B$1)</f>
        <v>4479.7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5.9375</v>
      </c>
      <c r="D108" s="55">
        <f>_xll.EQNXTDZ($A$1,$B108,D$1,$B$1)</f>
        <v>5.5</v>
      </c>
      <c r="E108" s="55">
        <f>_xll.EQNXTDZ($A$1,$B108,E$1,$B$1)</f>
        <v>9.8125</v>
      </c>
      <c r="F108" s="55">
        <f>_xll.EQNXTDZ($A$1,$B108,F$1,$B$1)</f>
        <v>9.8343749999999996</v>
      </c>
      <c r="G108" s="55">
        <f>_xll.EQNXTDZ($A$1,$B108,G$1,$B$1)</f>
        <v>18.125</v>
      </c>
      <c r="H108" s="55">
        <f>_xll.EQNXTDZ($A$1,$B108,H$1,$B$1)</f>
        <v>26.331250000000001</v>
      </c>
      <c r="I108" s="55">
        <f>_xll.EQNXTDZ($A$1,$B108,I$1,$B$1)</f>
        <v>39.5</v>
      </c>
      <c r="J108" s="55">
        <f>_xll.EQNXTDZ($A$1,$B108,J$1,$B$1)</f>
        <v>30.5</v>
      </c>
      <c r="K108" s="55">
        <f>_xll.EQNXTDZ($A$1,$B108,K$1,$B$1)</f>
        <v>28.037500000000001</v>
      </c>
      <c r="L108" s="55">
        <f>_xll.EQNXTDZ($A$1,$B108,L$1,$B$1)</f>
        <v>33.049999999999997</v>
      </c>
      <c r="M108" s="55">
        <f>_xll.EQNXTDZ($A$1,$B108,M$1,$B$1)</f>
        <v>122.5</v>
      </c>
      <c r="N108" s="55">
        <f>_xll.EQNXTDZ($A$1,$B108,N$1,$B$1)</f>
        <v>124.75</v>
      </c>
      <c r="O108" s="55">
        <f>_xll.EQNXTDZ($A$1,$B108,O$1,$B$1)</f>
        <v>145.19999999999999</v>
      </c>
      <c r="P108" s="55">
        <f>_xll.EQNXTDZ($A$1,$B108,P$1,$B$1)</f>
        <v>167.125</v>
      </c>
      <c r="Q108" s="55">
        <f>_xll.EQNXTDZ($A$1,$B108,Q$1,$B$1)</f>
        <v>261.5</v>
      </c>
      <c r="R108" s="55">
        <f>_xll.EQNXTDZ($A$1,$B108,R$1,$B$1)</f>
        <v>566.72500000000002</v>
      </c>
      <c r="S108" s="55">
        <f>_xll.EQNXTDZ($A$1,$B108,S$1,$B$1)</f>
        <v>592.79999999999995</v>
      </c>
      <c r="T108" s="55">
        <f>_xll.EQNXTDZ($A$1,$B108,T$1,$B$1)</f>
        <v>571.75</v>
      </c>
      <c r="U108" s="55">
        <f>_xll.EQNXTDZ($A$1,$B108,U$1,$B$1)</f>
        <v>622.5</v>
      </c>
      <c r="V108" s="55">
        <f>_xll.EQNXTDZ($A$1,$B108,V$1,$B$1)</f>
        <v>726.5</v>
      </c>
      <c r="W108" s="55">
        <f>_xll.EQNXTDZ($A$1,$B108,W$1,$B$1)</f>
        <v>966.65</v>
      </c>
      <c r="X108" s="55">
        <f>_xll.EQNXTDZ($A$1,$B108,X$1,$B$1)</f>
        <v>1238.825</v>
      </c>
      <c r="Y108" s="55">
        <f>_xll.EQNXTDZ($A$1,$B108,Y$1,$B$1)</f>
        <v>1242.5</v>
      </c>
      <c r="Z108" s="55">
        <f>_xll.EQNXTDZ($A$1,$B108,Z$1,$B$1)</f>
        <v>1524.05</v>
      </c>
      <c r="AA108" s="55">
        <f>_xll.EQNXTDZ($A$1,$B108,AA$1,$B$1)</f>
        <v>2508.65</v>
      </c>
      <c r="AB108" s="55">
        <f>_xll.EQNXTDZ($A$1,$B108,AB$1,$B$1)</f>
        <v>3101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213.12890999999999</v>
      </c>
      <c r="D109" s="55">
        <f>_xll.EQNXTDZ($A$1,$B109,D$1,$B$1)</f>
        <v>453.34690499999999</v>
      </c>
      <c r="E109" s="55">
        <f>_xll.EQNXTDZ($A$1,$B109,E$1,$B$1)</f>
        <v>331.30768</v>
      </c>
      <c r="F109" s="55">
        <f>_xll.EQNXTDZ($A$1,$B109,F$1,$B$1)</f>
        <v>689.05246</v>
      </c>
      <c r="G109" s="55">
        <f>_xll.EQNXTDZ($A$1,$B109,G$1,$B$1)</f>
        <v>931.46354799999995</v>
      </c>
      <c r="H109" s="55">
        <f>_xll.EQNXTDZ($A$1,$B109,H$1,$B$1)</f>
        <v>1841.1440640000001</v>
      </c>
      <c r="I109" s="55">
        <f>_xll.EQNXTDZ($A$1,$B109,I$1,$B$1)</f>
        <v>1668.5368080000001</v>
      </c>
      <c r="J109" s="55">
        <f>_xll.EQNXTDZ($A$1,$B109,J$1,$B$1)</f>
        <v>1196.4051959999999</v>
      </c>
      <c r="K109" s="55">
        <f>_xll.EQNXTDZ($A$1,$B109,K$1,$B$1)</f>
        <v>1134.215817</v>
      </c>
      <c r="L109" s="55">
        <f>_xll.EQNXTDZ($A$1,$B109,L$1,$B$1)</f>
        <v>4612.5904710000004</v>
      </c>
      <c r="M109" s="55">
        <f>_xll.EQNXTDZ($A$1,$B109,M$1,$B$1)</f>
        <v>4893.5003189999998</v>
      </c>
      <c r="N109" s="55">
        <f>_xll.EQNXTDZ($A$1,$B109,N$1,$B$1)</f>
        <v>5319.6363000000001</v>
      </c>
      <c r="O109" s="55">
        <f>_xll.EQNXTDZ($A$1,$B109,O$1,$B$1)</f>
        <v>5883.2055</v>
      </c>
      <c r="P109" s="55">
        <f>_xll.EQNXTDZ($A$1,$B109,P$1,$B$1)</f>
        <v>8862.2525999999998</v>
      </c>
      <c r="Q109" s="55">
        <f>_xll.EQNXTDZ($A$1,$B109,Q$1,$B$1)</f>
        <v>19646.225399999999</v>
      </c>
      <c r="R109" s="55">
        <f>_xll.EQNXTDZ($A$1,$B109,R$1,$B$1)</f>
        <v>22673.0828</v>
      </c>
      <c r="S109" s="55">
        <f>_xll.EQNXTDZ($A$1,$B109,S$1,$B$1)</f>
        <v>26219.507000000001</v>
      </c>
      <c r="T109" s="55">
        <f>_xll.EQNXTDZ($A$1,$B109,T$1,$B$1)</f>
        <v>21119.459599999998</v>
      </c>
      <c r="U109" s="55">
        <f>_xll.EQNXTDZ($A$1,$B109,U$1,$B$1)</f>
        <v>33039.032800000001</v>
      </c>
      <c r="V109" s="55">
        <f>_xll.EQNXTDZ($A$1,$B109,V$1,$B$1)</f>
        <v>33365.665999999997</v>
      </c>
      <c r="W109" s="55">
        <f>_xll.EQNXTDZ($A$1,$B109,W$1,$B$1)</f>
        <v>43007.268799999998</v>
      </c>
      <c r="X109" s="55">
        <f>_xll.EQNXTDZ($A$1,$B109,X$1,$B$1)</f>
        <v>47324.581200000001</v>
      </c>
      <c r="Y109" s="55">
        <f>_xll.EQNXTDZ($A$1,$B109,Y$1,$B$1)</f>
        <v>52033.148099999999</v>
      </c>
      <c r="Z109" s="55">
        <f>_xll.EQNXTDZ($A$1,$B109,Z$1,$B$1)</f>
        <v>88038.522899999996</v>
      </c>
      <c r="AA109" s="55">
        <f>_xll.EQNXTDZ($A$1,$B109,AA$1,$B$1)</f>
        <v>109478.27159999999</v>
      </c>
      <c r="AB109" s="55">
        <f>_xll.EQNXTDZ($A$1,$B109,AB$1,$B$1)</f>
        <v>142852.11989999999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0.46875</v>
      </c>
      <c r="D110" s="55">
        <f>_xll.EQNXTDZ($A$1,$B110,D$1,$B$1)</f>
        <v>0.5</v>
      </c>
      <c r="E110" s="55">
        <f>_xll.EQNXTDZ($A$1,$B110,E$1,$B$1)</f>
        <v>0.5</v>
      </c>
      <c r="F110" s="55">
        <f>_xll.EQNXTDZ($A$1,$B110,F$1,$B$1)</f>
        <v>0.5</v>
      </c>
      <c r="G110" s="55">
        <f>_xll.EQNXTDZ($A$1,$B110,G$1,$B$1)</f>
        <v>0.5</v>
      </c>
      <c r="H110" s="55">
        <f>_xll.EQNXTDZ($A$1,$B110,H$1,$B$1)</f>
        <v>0.625</v>
      </c>
      <c r="I110" s="55">
        <f>_xll.EQNXTDZ($A$1,$B110,I$1,$B$1)</f>
        <v>0.75</v>
      </c>
      <c r="J110" s="55">
        <f>_xll.EQNXTDZ($A$1,$B110,J$1,$B$1)</f>
        <v>0.875</v>
      </c>
      <c r="K110" s="55">
        <f>_xll.EQNXTDZ($A$1,$B110,K$1,$B$1)</f>
        <v>1</v>
      </c>
      <c r="L110" s="55">
        <f>_xll.EQNXTDZ($A$1,$B110,L$1,$B$1)</f>
        <v>1.5</v>
      </c>
      <c r="M110" s="55">
        <f>_xll.EQNXTDZ($A$1,$B110,M$1,$B$1)</f>
        <v>2</v>
      </c>
      <c r="N110" s="55">
        <f>_xll.EQNXTDZ($A$1,$B110,N$1,$B$1)</f>
        <v>2.125</v>
      </c>
      <c r="O110" s="55">
        <f>_xll.EQNXTDZ($A$1,$B110,O$1,$B$1)</f>
        <v>5.75</v>
      </c>
      <c r="P110" s="55">
        <f>_xll.EQNXTDZ($A$1,$B110,P$1,$B$1)</f>
        <v>5</v>
      </c>
      <c r="Q110" s="55">
        <f>_xll.EQNXTDZ($A$1,$B110,Q$1,$B$1)</f>
        <v>5.625</v>
      </c>
      <c r="R110" s="55">
        <f>_xll.EQNXTDZ($A$1,$B110,R$1,$B$1)</f>
        <v>17.5</v>
      </c>
      <c r="S110" s="55">
        <f>_xll.EQNXTDZ($A$1,$B110,S$1,$B$1)</f>
        <v>7</v>
      </c>
      <c r="T110" s="55">
        <f>_xll.EQNXTDZ($A$1,$B110,T$1,$B$1)</f>
        <v>7</v>
      </c>
      <c r="U110" s="55">
        <f>_xll.EQNXTDZ($A$1,$B110,U$1,$B$1)</f>
        <v>8.5</v>
      </c>
      <c r="V110" s="55">
        <f>_xll.EQNXTDZ($A$1,$B110,V$1,$B$1)</f>
        <v>16</v>
      </c>
      <c r="W110" s="55">
        <f>_xll.EQNXTDZ($A$1,$B110,W$1,$B$1)</f>
        <v>17.5</v>
      </c>
      <c r="X110" s="55">
        <f>_xll.EQNXTDZ($A$1,$B110,X$1,$B$1)</f>
        <v>24</v>
      </c>
      <c r="Y110" s="55">
        <f>_xll.EQNXTDZ($A$1,$B110,Y$1,$B$1)</f>
        <v>22</v>
      </c>
      <c r="Z110" s="55">
        <f>_xll.EQNXTDZ($A$1,$B110,Z$1,$B$1)</f>
        <v>28</v>
      </c>
      <c r="AA110" s="55">
        <f>_xll.EQNXTDZ($A$1,$B110,AA$1,$B$1)</f>
        <v>32</v>
      </c>
      <c r="AB110" s="55">
        <f>_xll.EQNXTDZ($A$1,$B110,AB$1,$B$1)</f>
        <v>38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73.88</v>
      </c>
      <c r="D112" s="56">
        <f>_xll.EQNXTDZ($A$1,$B112,D$5)</f>
        <v>73.87</v>
      </c>
      <c r="E112" s="56">
        <f>_xll.EQNXTDZ($A$1,$B112,E$5)</f>
        <v>74.06</v>
      </c>
      <c r="F112" s="56">
        <f>_xll.EQNXTDZ($A$1,$B112,F$5)</f>
        <v>74.069999999999993</v>
      </c>
      <c r="G112" s="56">
        <f>_xll.EQNXTDZ($A$1,$B112,G$5)</f>
        <v>74.069999999999993</v>
      </c>
      <c r="H112" s="56">
        <f>_xll.EQNXTDZ($A$1,$B112,H$5)</f>
        <v>74.09</v>
      </c>
      <c r="I112" s="56">
        <f>_xll.EQNXTDZ($A$1,$B112,I$5)</f>
        <v>74.09</v>
      </c>
      <c r="J112" s="56">
        <f>_xll.EQNXTDZ($A$1,$B112,J$5)</f>
        <v>74.09</v>
      </c>
      <c r="K112" s="56">
        <f>_xll.EQNXTDZ($A$1,$B112,K$5)</f>
        <v>71.510000000000005</v>
      </c>
      <c r="L112" s="56">
        <f>_xll.EQNXTDZ($A$1,$B112,L$5)</f>
        <v>71.5</v>
      </c>
      <c r="M112" s="56">
        <f>_xll.EQNXTDZ($A$1,$B112,M$5)</f>
        <v>71.510000000000005</v>
      </c>
      <c r="N112" s="56">
        <f>_xll.EQNXTDZ($A$1,$B112,N$5)</f>
        <v>71.510000000000005</v>
      </c>
      <c r="O112" s="56">
        <f>_xll.EQNXTDZ($A$1,$B112,O$5)</f>
        <v>71.510000000000005</v>
      </c>
      <c r="P112" s="56">
        <f>_xll.EQNXTDZ($A$1,$B112,P$5)</f>
        <v>71.510000000000005</v>
      </c>
      <c r="Q112" s="56">
        <f>_xll.EQNXTDZ($A$1,$B112,Q$5)</f>
        <v>71.25</v>
      </c>
      <c r="R112" s="56">
        <f>_xll.EQNXTDZ($A$1,$B112,R$5)</f>
        <v>71.25</v>
      </c>
      <c r="S112" s="56">
        <f>_xll.EQNXTDZ($A$1,$B112,S$5)</f>
        <v>71.25</v>
      </c>
      <c r="T112" s="56">
        <f>_xll.EQNXTDZ($A$1,$B112,T$5)</f>
        <v>71.25</v>
      </c>
      <c r="U112" s="56">
        <f>_xll.EQNXTDZ($A$1,$B112,U$5)</f>
        <v>71.25</v>
      </c>
      <c r="V112" s="56">
        <f>_xll.EQNXTDZ($A$1,$B112,V$5)</f>
        <v>71.25</v>
      </c>
      <c r="W112" s="56">
        <f>_xll.EQNXTDZ($A$1,$B112,W$5)</f>
        <v>71.25</v>
      </c>
      <c r="X112" s="56">
        <f>_xll.EQNXTDZ($A$1,$B112,X$5)</f>
        <v>71.25</v>
      </c>
      <c r="Y112" s="56">
        <f>_xll.EQNXTDZ($A$1,$B112,Y$5)</f>
        <v>71.25</v>
      </c>
      <c r="Z112" s="56">
        <f>_xll.EQNXTDZ($A$1,$B112,Z$5)</f>
        <v>71.25</v>
      </c>
      <c r="AA112" s="56">
        <f>_xll.EQNXTDZ($A$1,$B112,AA$5)</f>
        <v>68.31</v>
      </c>
      <c r="AB112" s="56">
        <f>_xll.EQNXTDZ($A$1,$B112,AB$5)</f>
        <v>68.31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36.49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153.97499999999999</v>
      </c>
      <c r="D6" cm="1">
        <f t="array" ref="D6">_xll.EQNXTDZ($A$1,$B6,D$1)</f>
        <v>151.75</v>
      </c>
      <c r="E6" cm="1">
        <f t="array" ref="E6">_xll.EQNXTDZ($A$1,$B6,E$1)</f>
        <v>162.5</v>
      </c>
      <c r="F6" cm="1">
        <f t="array" ref="F6">_xll.EQNXTDZ($A$1,$B6,F$1)</f>
        <v>176.5</v>
      </c>
      <c r="G6" cm="1">
        <f t="array" ref="G6">_xll.EQNXTDZ($A$1,$B6,G$1)</f>
        <v>172.625</v>
      </c>
      <c r="H6" cm="1">
        <f t="array" ref="H6">_xll.EQNXTDZ($A$1,$B6,H$1)</f>
        <v>166.75</v>
      </c>
      <c r="I6" cm="1">
        <f t="array" ref="I6">_xll.EQNXTDZ($A$1,$B6,I$1)</f>
        <v>169.96250000000001</v>
      </c>
      <c r="J6" cm="1">
        <f t="array" ref="J6">_xll.EQNXTDZ($A$1,$B6,J$1)</f>
        <v>181.5</v>
      </c>
      <c r="K6" cm="1">
        <f t="array" ref="K6">_xll.EQNXTDZ($A$1,$B6,K$1)</f>
        <v>175</v>
      </c>
      <c r="L6" cm="1">
        <f t="array" ref="L6">_xll.EQNXTDZ($A$1,$B6,L$1)</f>
        <v>168.8125</v>
      </c>
      <c r="M6" cm="1">
        <f t="array" ref="M6">_xll.EQNXTDZ($A$1,$B6,M$1)</f>
        <v>175.01249999999999</v>
      </c>
      <c r="N6" cm="1">
        <f t="array" ref="N6">_xll.EQNXTDZ($A$1,$B6,N$1)</f>
        <v>170.8125</v>
      </c>
      <c r="O6" cm="1">
        <f t="array" ref="O6">_xll.EQNXTDZ($A$1,$B6,O$1)</f>
        <v>196.75</v>
      </c>
      <c r="P6" cm="1">
        <f t="array" ref="P6">_xll.EQNXTDZ($A$1,$B6,P$1)</f>
        <v>205.5</v>
      </c>
      <c r="Q6" cm="1">
        <f t="array" ref="Q6">_xll.EQNXTDZ($A$1,$B6,Q$1)</f>
        <v>214.75</v>
      </c>
      <c r="R6" cm="1">
        <f t="array" ref="R6">_xll.EQNXTDZ($A$1,$B6,R$1)</f>
        <v>202.5</v>
      </c>
      <c r="S6" cm="1">
        <f t="array" ref="S6">_xll.EQNXTDZ($A$1,$B6,S$1)</f>
        <v>218.02500000000001</v>
      </c>
      <c r="T6" cm="1">
        <f t="array" ref="T6">_xll.EQNXTDZ($A$1,$B6,T$1)</f>
        <v>226.05</v>
      </c>
      <c r="U6" cm="1">
        <f t="array" ref="U6">_xll.EQNXTDZ($A$1,$B6,U$1)</f>
        <v>234.92500000000001</v>
      </c>
      <c r="V6" cm="1">
        <f t="array" ref="V6">_xll.EQNXTDZ($A$1,$B6,V$1)</f>
        <v>236.02500000000001</v>
      </c>
      <c r="W6" cm="1">
        <f t="array" ref="W6">_xll.EQNXTDZ($A$1,$B6,W$1)</f>
        <v>272</v>
      </c>
      <c r="X6" cm="1">
        <f t="array" ref="X6">_xll.EQNXTDZ($A$1,$B6,X$1)</f>
        <v>276.5</v>
      </c>
      <c r="Y6" cm="1">
        <f t="array" ref="Y6">_xll.EQNXTDZ($A$1,$B6,Y$1)</f>
        <v>265.10000000000002</v>
      </c>
      <c r="Z6" cm="1">
        <f t="array" ref="Z6">_xll.EQNXTDZ($A$1,$B6,Z$1)</f>
        <v>289</v>
      </c>
      <c r="AA6" cm="1">
        <f t="array" ref="AA6">_xll.EQNXTDZ($A$1,$B6,AA$1)</f>
        <v>306.17500000000001</v>
      </c>
      <c r="AB6" cm="1">
        <f t="array" ref="AB6">_xll.EQNXTDZ($A$1,$B6,AB$1)</f>
        <v>353.77499999999998</v>
      </c>
      <c r="AC6" cm="1">
        <f t="array" ref="AC6">_xll.EQNXTDZ($A$1,$B6,AC$1)</f>
        <v>367.52499999999998</v>
      </c>
      <c r="AD6" cm="1">
        <f t="array" ref="AD6">_xll.EQNXTDZ($A$1,$B6,AD$1)</f>
        <v>418.5</v>
      </c>
      <c r="AE6" cm="1">
        <f t="array" ref="AE6">_xll.EQNXTDZ($A$1,$B6,AE$1)</f>
        <v>439.75</v>
      </c>
      <c r="AF6" cm="1">
        <f t="array" ref="AF6">_xll.EQNXTDZ($A$1,$B6,AF$1)</f>
        <v>444.25</v>
      </c>
      <c r="AG6" cm="1">
        <f t="array" ref="AG6">_xll.EQNXTDZ($A$1,$B6,AG$1)</f>
        <v>510</v>
      </c>
      <c r="AH6" cm="1">
        <f t="array" ref="AH6">_xll.EQNXTDZ($A$1,$B6,AH$1)</f>
        <v>562.5</v>
      </c>
      <c r="AI6" cm="1">
        <f t="array" ref="AI6">_xll.EQNXTDZ($A$1,$B6,AI$1)</f>
        <v>550</v>
      </c>
      <c r="AJ6" cm="1">
        <f t="array" ref="AJ6">_xll.EQNXTDZ($A$1,$B6,AJ$1)</f>
        <v>539</v>
      </c>
      <c r="AK6" cm="1">
        <f t="array" ref="AK6">_xll.EQNXTDZ($A$1,$B6,AK$1)</f>
        <v>586.97500000000002</v>
      </c>
      <c r="AL6" cm="1">
        <f t="array" ref="AL6">_xll.EQNXTDZ($A$1,$B6,AL$1)</f>
        <v>602.5</v>
      </c>
      <c r="AM6" cm="1">
        <f t="array" ref="AM6">_xll.EQNXTDZ($A$1,$B6,AM$1)</f>
        <v>610</v>
      </c>
      <c r="AN6" cm="1">
        <f t="array" ref="AN6">_xll.EQNXTDZ($A$1,$B6,AN$1)</f>
        <v>658.75</v>
      </c>
      <c r="AO6" cm="1">
        <f t="array" ref="AO6">_xll.EQNXTDZ($A$1,$B6,AO$1)</f>
        <v>721</v>
      </c>
      <c r="AP6" cm="1">
        <f t="array" ref="AP6">_xll.EQNXTDZ($A$1,$B6,AP$1)</f>
        <v>800</v>
      </c>
      <c r="AQ6" cm="1">
        <f t="array" ref="AQ6">_xll.EQNXTDZ($A$1,$B6,AQ$1)</f>
        <v>755.5</v>
      </c>
      <c r="AR6" cm="1">
        <f t="array" ref="AR6">_xll.EQNXTDZ($A$1,$B6,AR$1)</f>
        <v>770</v>
      </c>
      <c r="AS6" cm="1">
        <f t="array" ref="AS6">_xll.EQNXTDZ($A$1,$B6,AS$1)</f>
        <v>719</v>
      </c>
      <c r="AT6" cm="1">
        <f t="array" ref="AT6">_xll.EQNXTDZ($A$1,$B6,AT$1)</f>
        <v>729.95</v>
      </c>
      <c r="AU6" cm="1">
        <f t="array" ref="AU6">_xll.EQNXTDZ($A$1,$B6,AU$1)</f>
        <v>706</v>
      </c>
      <c r="AV6" cm="1">
        <f t="array" ref="AV6">_xll.EQNXTDZ($A$1,$B6,AV$1)</f>
        <v>632.5</v>
      </c>
      <c r="AW6" cm="1">
        <f t="array" ref="AW6">_xll.EQNXTDZ($A$1,$B6,AW$1)</f>
        <v>674</v>
      </c>
      <c r="AX6" cm="1">
        <f t="array" ref="AX6">_xll.EQNXTDZ($A$1,$B6,AX$1)</f>
        <v>713</v>
      </c>
      <c r="AY6" cm="1">
        <f t="array" ref="AY6">_xll.EQNXTDZ($A$1,$B6,AY$1)</f>
        <v>677.72500000000002</v>
      </c>
      <c r="AZ6" cm="1">
        <f t="array" ref="AZ6">_xll.EQNXTDZ($A$1,$B6,AZ$1)</f>
        <v>688</v>
      </c>
      <c r="BA6" cm="1">
        <f t="array" ref="BA6">_xll.EQNXTDZ($A$1,$B6,BA$1)</f>
        <v>722.5</v>
      </c>
      <c r="BB6" cm="1">
        <f t="array" ref="BB6">_xll.EQNXTDZ($A$1,$B6,BB$1)</f>
        <v>819</v>
      </c>
      <c r="BC6" cm="1">
        <f t="array" ref="BC6">_xll.EQNXTDZ($A$1,$B6,BC$1)</f>
        <v>818.5</v>
      </c>
      <c r="BD6" cm="1">
        <f t="array" ref="BD6">_xll.EQNXTDZ($A$1,$B6,BD$1)</f>
        <v>708.3</v>
      </c>
      <c r="BE6" cm="1">
        <f t="array" ref="BE6">_xll.EQNXTDZ($A$1,$B6,BE$1)</f>
        <v>696</v>
      </c>
      <c r="BF6" cm="1">
        <f t="array" ref="BF6">_xll.EQNXTDZ($A$1,$B6,BF$1)</f>
        <v>658.57500000000005</v>
      </c>
      <c r="BG6" cm="1">
        <f t="array" ref="BG6">_xll.EQNXTDZ($A$1,$B6,BG$1)</f>
        <v>650.70000000000005</v>
      </c>
      <c r="BH6" cm="1">
        <f t="array" ref="BH6">_xll.EQNXTDZ($A$1,$B6,BH$1)</f>
        <v>683.5</v>
      </c>
      <c r="BI6" cm="1">
        <f t="array" ref="BI6">_xll.EQNXTDZ($A$1,$B6,BI$1)</f>
        <v>775</v>
      </c>
      <c r="BJ6" cm="1">
        <f t="array" ref="BJ6">_xll.EQNXTDZ($A$1,$B6,BJ$1)</f>
        <v>715.85</v>
      </c>
      <c r="BK6" cm="1">
        <f t="array" ref="BK6">_xll.EQNXTDZ($A$1,$B6,BK$1)</f>
        <v>615</v>
      </c>
      <c r="BL6" cm="1">
        <f t="array" ref="BL6">_xll.EQNXTDZ($A$1,$B6,BL$1)</f>
        <v>610.29999999999995</v>
      </c>
      <c r="BM6" cm="1">
        <f t="array" ref="BM6">_xll.EQNXTDZ($A$1,$B6,BM$1)</f>
        <v>655</v>
      </c>
      <c r="BN6" cm="1">
        <f t="array" ref="BN6">_xll.EQNXTDZ($A$1,$B6,BN$1)</f>
        <v>607.47500000000002</v>
      </c>
      <c r="BO6" cm="1">
        <f t="array" ref="BO6">_xll.EQNXTDZ($A$1,$B6,BO$1)</f>
        <v>617.54999999999995</v>
      </c>
      <c r="BP6" cm="1">
        <f t="array" ref="BP6">_xll.EQNXTDZ($A$1,$B6,BP$1)</f>
        <v>636</v>
      </c>
      <c r="BQ6" cm="1">
        <f t="array" ref="BQ6">_xll.EQNXTDZ($A$1,$B6,BQ$1)</f>
        <v>649.4</v>
      </c>
      <c r="BR6" cm="1">
        <f t="array" ref="BR6">_xll.EQNXTDZ($A$1,$B6,BR$1)</f>
        <v>709.5</v>
      </c>
      <c r="BS6" cm="1">
        <f t="array" ref="BS6">_xll.EQNXTDZ($A$1,$B6,BS$1)</f>
        <v>684.97500000000002</v>
      </c>
      <c r="BT6" cm="1">
        <f t="array" ref="BT6">_xll.EQNXTDZ($A$1,$B6,BT$1)</f>
        <v>680</v>
      </c>
      <c r="BU6" cm="1">
        <f t="array" ref="BU6">_xll.EQNXTDZ($A$1,$B6,BU$1)</f>
        <v>624.9</v>
      </c>
      <c r="BV6" cm="1">
        <f t="array" ref="BV6">_xll.EQNXTDZ($A$1,$B6,BV$1)</f>
        <v>711.25</v>
      </c>
      <c r="BW6" cm="1">
        <f t="array" ref="BW6">_xll.EQNXTDZ($A$1,$B6,BW$1)</f>
        <v>700.75</v>
      </c>
      <c r="BX6" cm="1">
        <f t="array" ref="BX6">_xll.EQNXTDZ($A$1,$B6,BX$1)</f>
        <v>705.55</v>
      </c>
      <c r="BY6" cm="1">
        <f t="array" ref="BY6">_xll.EQNXTDZ($A$1,$B6,BY$1)</f>
        <v>765</v>
      </c>
      <c r="BZ6" cm="1">
        <f t="array" ref="BZ6">_xll.EQNXTDZ($A$1,$B6,BZ$1)</f>
        <v>914.5</v>
      </c>
      <c r="CA6" cm="1">
        <f t="array" ref="CA6">_xll.EQNXTDZ($A$1,$B6,CA$1)</f>
        <v>820</v>
      </c>
      <c r="CB6" cm="1">
        <f t="array" ref="CB6">_xll.EQNXTDZ($A$1,$B6,CB$1)</f>
        <v>837.47500000000002</v>
      </c>
      <c r="CC6" cm="1">
        <f t="array" ref="CC6">_xll.EQNXTDZ($A$1,$B6,CC$1)</f>
        <v>892.42499999999995</v>
      </c>
      <c r="CD6" cm="1">
        <f t="array" ref="CD6">_xll.EQNXTDZ($A$1,$B6,CD$1)</f>
        <v>891.97500000000002</v>
      </c>
      <c r="CE6" cm="1">
        <f t="array" ref="CE6">_xll.EQNXTDZ($A$1,$B6,CE$1)</f>
        <v>916.85</v>
      </c>
      <c r="CF6" cm="1">
        <f t="array" ref="CF6">_xll.EQNXTDZ($A$1,$B6,CF$1)</f>
        <v>899</v>
      </c>
      <c r="CG6" cm="1">
        <f t="array" ref="CG6">_xll.EQNXTDZ($A$1,$B6,CG$1)</f>
        <v>975</v>
      </c>
      <c r="CH6" cm="1">
        <f t="array" ref="CH6">_xll.EQNXTDZ($A$1,$B6,CH$1)</f>
        <v>897.45</v>
      </c>
      <c r="CI6" cm="1">
        <f t="array" ref="CI6">_xll.EQNXTDZ($A$1,$B6,CI$1)</f>
        <v>784</v>
      </c>
      <c r="CJ6" cm="1">
        <f t="array" ref="CJ6">_xll.EQNXTDZ($A$1,$B6,CJ$1)</f>
        <v>779</v>
      </c>
      <c r="CK6" cm="1">
        <f t="array" ref="CK6">_xll.EQNXTDZ($A$1,$B6,CK$1)</f>
        <v>838</v>
      </c>
      <c r="CL6" cm="1">
        <f t="array" ref="CL6">_xll.EQNXTDZ($A$1,$B6,CL$1)</f>
        <v>852.95</v>
      </c>
      <c r="CM6" cm="1">
        <f t="array" ref="CM6">_xll.EQNXTDZ($A$1,$B6,CM$1)</f>
        <v>834.82500000000005</v>
      </c>
      <c r="CN6" cm="1">
        <f t="array" ref="CN6">_xll.EQNXTDZ($A$1,$B6,CN$1)</f>
        <v>893</v>
      </c>
      <c r="CO6" cm="1">
        <f t="array" ref="CO6">_xll.EQNXTDZ($A$1,$B6,CO$1)</f>
        <v>942.5</v>
      </c>
      <c r="CP6" cm="1">
        <f t="array" ref="CP6">_xll.EQNXTDZ($A$1,$B6,CP$1)</f>
        <v>927.45</v>
      </c>
      <c r="CQ6" cm="1">
        <f t="array" ref="CQ6">_xll.EQNXTDZ($A$1,$B6,CQ$1)</f>
        <v>968.47500000000002</v>
      </c>
      <c r="CR6" cm="1">
        <f t="array" ref="CR6">_xll.EQNXTDZ($A$1,$B6,CR$1)</f>
        <v>1081</v>
      </c>
      <c r="CS6" cm="1">
        <f t="array" ref="CS6">_xll.EQNXTDZ($A$1,$B6,CS$1)</f>
        <v>989</v>
      </c>
      <c r="CT6" cm="1">
        <f t="array" ref="CT6">_xll.EQNXTDZ($A$1,$B6,CT$1)</f>
        <v>1170</v>
      </c>
      <c r="CU6" cm="1">
        <f t="array" ref="CU6">_xll.EQNXTDZ($A$1,$B6,CU$1)</f>
        <v>1159.45</v>
      </c>
      <c r="CV6" cm="1">
        <f t="array" ref="CV6">_xll.EQNXTDZ($A$1,$B6,CV$1)</f>
        <v>1190.5</v>
      </c>
      <c r="CW6" cm="1">
        <f t="array" ref="CW6">_xll.EQNXTDZ($A$1,$B6,CW$1)</f>
        <v>1331.8</v>
      </c>
      <c r="CX6" cm="1">
        <f t="array" ref="CX6">_xll.EQNXTDZ($A$1,$B6,CX$1)</f>
        <v>1337.4749999999999</v>
      </c>
      <c r="CY6" cm="1">
        <f t="array" ref="CY6">_xll.EQNXTDZ($A$1,$B6,CY$1)</f>
        <v>1412.575</v>
      </c>
      <c r="CZ6" cm="1">
        <f t="array" ref="CZ6">_xll.EQNXTDZ($A$1,$B6,CZ$1)</f>
        <v>1283</v>
      </c>
      <c r="DA6" cm="1">
        <f t="array" ref="DA6">_xll.EQNXTDZ($A$1,$B6,DA$1)</f>
        <v>1315</v>
      </c>
      <c r="DB6" cm="1">
        <f t="array" ref="DB6">_xll.EQNXTDZ($A$1,$B6,DB$1)</f>
        <v>1401.45</v>
      </c>
      <c r="DC6" cm="1">
        <f t="array" ref="DC6">_xll.EQNXTDZ($A$1,$B6,DC$1)</f>
        <v>1312.95</v>
      </c>
      <c r="DD6" cm="1">
        <f t="array" ref="DD6">_xll.EQNXTDZ($A$1,$B6,DD$1)</f>
        <v>1203.4000000000001</v>
      </c>
      <c r="DE6" cm="1">
        <f t="array" ref="DE6">_xll.EQNXTDZ($A$1,$B6,DE$1)</f>
        <v>1274.4749999999999</v>
      </c>
      <c r="DF6" cm="1">
        <f t="array" ref="DF6">_xll.EQNXTDZ($A$1,$B6,DF$1)</f>
        <v>1254.5</v>
      </c>
      <c r="DG6" cm="1">
        <f t="array" ref="DG6">_xll.EQNXTDZ($A$1,$B6,DG$1)</f>
        <v>1377</v>
      </c>
      <c r="DH6" cm="1">
        <f t="array" ref="DH6">_xll.EQNXTDZ($A$1,$B6,DH$1)</f>
        <v>1454</v>
      </c>
      <c r="DI6" cm="1">
        <f t="array" ref="DI6">_xll.EQNXTDZ($A$1,$B6,DI$1)</f>
        <v>1544</v>
      </c>
      <c r="DJ6" cm="1">
        <f t="array" ref="DJ6">_xll.EQNXTDZ($A$1,$B6,DJ$1)</f>
        <v>1553.5</v>
      </c>
      <c r="DK6" cm="1">
        <f t="array" ref="DK6">_xll.EQNXTDZ($A$1,$B6,DK$1)</f>
        <v>1537.5</v>
      </c>
      <c r="DL6" cm="1">
        <f t="array" ref="DL6">_xll.EQNXTDZ($A$1,$B6,DL$1)</f>
        <v>1437.5</v>
      </c>
      <c r="DM6" cm="1">
        <f t="array" ref="DM6">_xll.EQNXTDZ($A$1,$B6,DM$1)</f>
        <v>1517.5</v>
      </c>
      <c r="DN6" cm="1">
        <f t="array" ref="DN6">_xll.EQNXTDZ($A$1,$B6,DN$1)</f>
        <v>1639.25</v>
      </c>
      <c r="DO6" cm="1">
        <f t="array" ref="DO6">_xll.EQNXTDZ($A$1,$B6,DO$1)</f>
        <v>1341.95</v>
      </c>
      <c r="DP6" cm="1">
        <f t="array" ref="DP6">_xll.EQNXTDZ($A$1,$B6,DP$1)</f>
        <v>1369.95</v>
      </c>
      <c r="DQ6" cm="1">
        <f t="array" ref="DQ6">_xll.EQNXTDZ($A$1,$B6,DQ$1)</f>
        <v>1397.5</v>
      </c>
      <c r="DR6" cm="1">
        <f t="array" ref="DR6">_xll.EQNXTDZ($A$1,$B6,DR$1)</f>
        <v>1395</v>
      </c>
      <c r="DS6" cm="1">
        <f t="array" ref="DS6">_xll.EQNXTDZ($A$1,$B6,DS$1)</f>
        <v>1430</v>
      </c>
      <c r="DT6" cm="1">
        <f t="array" ref="DT6">_xll.EQNXTDZ($A$1,$B6,DT$1)</f>
        <v>1425</v>
      </c>
      <c r="DU6" cm="1">
        <f t="array" ref="DU6">_xll.EQNXTDZ($A$1,$B6,DU$1)</f>
        <v>1558.95</v>
      </c>
      <c r="DV6" cm="1">
        <f t="array" ref="DV6">_xll.EQNXTDZ($A$1,$B6,DV$1)</f>
        <v>1508</v>
      </c>
      <c r="DW6" cm="1">
        <f t="array" ref="DW6">_xll.EQNXTDZ($A$1,$B6,DW$1)</f>
        <v>1559.8</v>
      </c>
      <c r="DX6" cm="1">
        <f t="array" ref="DX6">_xll.EQNXTDZ($A$1,$B6,DX$1)</f>
        <v>1652.15</v>
      </c>
      <c r="DY6" cm="1">
        <f t="array" ref="DY6">_xll.EQNXTDZ($A$1,$B6,DY$1)</f>
        <v>1663.95</v>
      </c>
      <c r="DZ6" cm="1">
        <f t="array" ref="DZ6">_xll.EQNXTDZ($A$1,$B6,DZ$1)</f>
        <v>1556.65</v>
      </c>
      <c r="EA6" cm="1">
        <f t="array" ref="EA6">_xll.EQNXTDZ($A$1,$B6,EA$1)</f>
        <v>1529.8</v>
      </c>
      <c r="EB6" cm="1">
        <f t="array" ref="EB6">_xll.EQNXTDZ($A$1,$B6,EB$1)</f>
        <v>1451.3</v>
      </c>
      <c r="EC6" cm="1">
        <f t="array" ref="EC6">_xll.EQNXTDZ($A$1,$B6,EC$1)</f>
        <v>1539.95</v>
      </c>
      <c r="ED6" cm="1">
        <f t="array" ref="ED6">_xll.EQNXTDZ($A$1,$B6,ED$1)</f>
        <v>1653.95</v>
      </c>
      <c r="EE6" cm="1">
        <f t="array" ref="EE6">_xll.EQNXTDZ($A$1,$B6,EE$1)</f>
        <v>1835.9</v>
      </c>
      <c r="EF6" cm="1">
        <f t="array" ref="EF6">_xll.EQNXTDZ($A$1,$B6,EF$1)</f>
        <v>1910</v>
      </c>
      <c r="EG6" cm="1">
        <f t="array" ref="EG6">_xll.EQNXTDZ($A$1,$B6,EG$1)</f>
        <v>2007.65</v>
      </c>
      <c r="EH6" cm="1">
        <f t="array" ref="EH6">_xll.EQNXTDZ($A$1,$B6,EH$1)</f>
        <v>1850</v>
      </c>
      <c r="EI6" cm="1">
        <f t="array" ref="EI6">_xll.EQNXTDZ($A$1,$B6,EI$1)</f>
        <v>1927</v>
      </c>
      <c r="EJ6" cm="1">
        <f t="array" ref="EJ6">_xll.EQNXTDZ($A$1,$B6,EJ$1)</f>
        <v>1929.8</v>
      </c>
      <c r="EK6" cm="1">
        <f t="array" ref="EK6">_xll.EQNXTDZ($A$1,$B6,EK$1)</f>
        <v>2135</v>
      </c>
      <c r="EL6" cm="1">
        <f t="array" ref="EL6">_xll.EQNXTDZ($A$1,$B6,EL$1)</f>
        <v>2325</v>
      </c>
      <c r="EM6" cm="1">
        <f t="array" ref="EM6">_xll.EQNXTDZ($A$1,$B6,EM$1)</f>
        <v>2537.5</v>
      </c>
      <c r="EN6" cm="1">
        <f t="array" ref="EN6">_xll.EQNXTDZ($A$1,$B6,EN$1)</f>
        <v>2686.1</v>
      </c>
      <c r="EO6" cm="1">
        <f t="array" ref="EO6">_xll.EQNXTDZ($A$1,$B6,EO$1)</f>
        <v>2608.6999999999998</v>
      </c>
      <c r="EP6" cm="1">
        <f t="array" ref="EP6">_xll.EQNXTDZ($A$1,$B6,EP$1)</f>
        <v>2652.8</v>
      </c>
      <c r="EQ6" cm="1">
        <f t="array" ref="EQ6">_xll.EQNXTDZ($A$1,$B6,EQ$1)</f>
        <v>2712</v>
      </c>
      <c r="ER6" cm="1">
        <f t="array" ref="ER6">_xll.EQNXTDZ($A$1,$B6,ER$1)</f>
        <v>2796.1</v>
      </c>
      <c r="ES6" cm="1">
        <f t="array" ref="ES6">_xll.EQNXTDZ($A$1,$B6,ES$1)</f>
        <v>3172.05</v>
      </c>
      <c r="ET6" cm="1">
        <f t="array" ref="ET6">_xll.EQNXTDZ($A$1,$B6,ET$1)</f>
        <v>3503.45</v>
      </c>
      <c r="EU6" cm="1">
        <f t="array" ref="EU6">_xll.EQNXTDZ($A$1,$B6,EU$1)</f>
        <v>3408.5</v>
      </c>
      <c r="EV6" cm="1">
        <f t="array" ref="EV6">_xll.EQNXTDZ($A$1,$B6,EV$1)</f>
        <v>3224</v>
      </c>
      <c r="EW6" cm="1">
        <f t="array" ref="EW6">_xll.EQNXTDZ($A$1,$B6,EW$1)</f>
        <v>3301</v>
      </c>
      <c r="EX6" cm="1">
        <f t="array" ref="EX6">_xll.EQNXTDZ($A$1,$B6,EX$1)</f>
        <v>3368.15</v>
      </c>
      <c r="EY6" cm="1">
        <f t="array" ref="EY6">_xll.EQNXTDZ($A$1,$B6,EY$1)</f>
        <v>3275</v>
      </c>
      <c r="EZ6" cm="1">
        <f t="array" ref="EZ6">_xll.EQNXTDZ($A$1,$B6,EZ$1)</f>
        <v>2920</v>
      </c>
      <c r="FA6" cm="1">
        <f t="array" ref="FA6">_xll.EQNXTDZ($A$1,$B6,FA$1)</f>
        <v>3198.9</v>
      </c>
      <c r="FB6" cm="1">
        <f t="array" ref="FB6">_xll.EQNXTDZ($A$1,$B6,FB$1)</f>
        <v>3312.5</v>
      </c>
      <c r="FC6" cm="1">
        <f t="array" ref="FC6">_xll.EQNXTDZ($A$1,$B6,FC$1)</f>
        <v>3153</v>
      </c>
      <c r="FD6" cm="1">
        <f t="array" ref="FD6">_xll.EQNXTDZ($A$1,$B6,FD$1)</f>
        <v>3476.3</v>
      </c>
      <c r="FE6" cm="1">
        <f t="array" ref="FE6">_xll.EQNXTDZ($A$1,$B6,FE$1)</f>
        <v>3740.9</v>
      </c>
      <c r="FF6" cm="1">
        <f t="array" ref="FF6">_xll.EQNXTDZ($A$1,$B6,FF$1)</f>
        <v>3569.4</v>
      </c>
      <c r="FG6" cm="1">
        <f t="array" ref="FG6">_xll.EQNXTDZ($A$1,$B6,FG$1)</f>
        <v>3603.1</v>
      </c>
      <c r="FH6" cm="1">
        <f t="array" ref="FH6">_xll.EQNXTDZ($A$1,$B6,FH$1)</f>
        <v>3560.1</v>
      </c>
      <c r="FI6" cm="1">
        <f t="array" ref="FI6">_xll.EQNXTDZ($A$1,$B6,FI$1)</f>
        <v>3723.9</v>
      </c>
      <c r="FJ6" cm="1">
        <f t="array" ref="FJ6">_xll.EQNXTDZ($A$1,$B6,FJ$1)</f>
        <v>3860</v>
      </c>
      <c r="FK6" cm="1">
        <f t="array" ref="FK6">_xll.EQNXTDZ($A$1,$B6,FK$1)</f>
        <v>3980</v>
      </c>
      <c r="FL6" cm="1">
        <f t="array" ref="FL6">_xll.EQNXTDZ($A$1,$B6,FL$1)</f>
        <v>4191</v>
      </c>
      <c r="FM6" cm="1">
        <f t="array" ref="FM6">_xll.EQNXTDZ($A$1,$B6,FM$1)</f>
        <v>4277.6000000000004</v>
      </c>
      <c r="FN6" cm="1">
        <f t="array" ref="FN6">_xll.EQNXTDZ($A$1,$B6,FN$1)</f>
        <v>4223.2</v>
      </c>
      <c r="FO6" cm="1">
        <f t="array" ref="FO6">_xll.EQNXTDZ($A$1,$B6,FO$1)</f>
        <v>4438.1000000000004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158.07499999999999</v>
      </c>
      <c r="D7" s="116" cm="1">
        <f t="array" ref="D7">_xll.EQNXTDZ($A$1,$B7,D$1)</f>
        <v>171.7</v>
      </c>
      <c r="E7" s="116" cm="1">
        <f t="array" ref="E7">_xll.EQNXTDZ($A$1,$B7,E$1)</f>
        <v>179.45</v>
      </c>
      <c r="F7" s="116" cm="1">
        <f t="array" ref="F7">_xll.EQNXTDZ($A$1,$B7,F$1)</f>
        <v>182.125</v>
      </c>
      <c r="G7" s="116" cm="1">
        <f t="array" ref="G7">_xll.EQNXTDZ($A$1,$B7,G$1)</f>
        <v>176.5</v>
      </c>
      <c r="H7" s="116" cm="1">
        <f t="array" ref="H7">_xll.EQNXTDZ($A$1,$B7,H$1)</f>
        <v>171.375</v>
      </c>
      <c r="I7" s="116" cm="1">
        <f t="array" ref="I7">_xll.EQNXTDZ($A$1,$B7,I$1)</f>
        <v>181.5</v>
      </c>
      <c r="J7" s="116" cm="1">
        <f t="array" ref="J7">_xll.EQNXTDZ($A$1,$B7,J$1)</f>
        <v>191.42500000000001</v>
      </c>
      <c r="K7" s="116" cm="1">
        <f t="array" ref="K7">_xll.EQNXTDZ($A$1,$B7,K$1)</f>
        <v>181.25</v>
      </c>
      <c r="L7" s="116" cm="1">
        <f t="array" ref="L7">_xll.EQNXTDZ($A$1,$B7,L$1)</f>
        <v>176.07499999999999</v>
      </c>
      <c r="M7" s="116" cm="1">
        <f t="array" ref="M7">_xll.EQNXTDZ($A$1,$B7,M$1)</f>
        <v>175.67500000000001</v>
      </c>
      <c r="N7" s="116" cm="1">
        <f t="array" ref="N7">_xll.EQNXTDZ($A$1,$B7,N$1)</f>
        <v>202.25</v>
      </c>
      <c r="O7" s="116" cm="1">
        <f t="array" ref="O7">_xll.EQNXTDZ($A$1,$B7,O$1)</f>
        <v>218.1</v>
      </c>
      <c r="P7" s="116" cm="1">
        <f t="array" ref="P7">_xll.EQNXTDZ($A$1,$B7,P$1)</f>
        <v>229.5</v>
      </c>
      <c r="Q7" s="116" cm="1">
        <f t="array" ref="Q7">_xll.EQNXTDZ($A$1,$B7,Q$1)</f>
        <v>233.2</v>
      </c>
      <c r="R7" s="116" cm="1">
        <f t="array" ref="R7">_xll.EQNXTDZ($A$1,$B7,R$1)</f>
        <v>231.57499999999999</v>
      </c>
      <c r="S7" s="116" cm="1">
        <f t="array" ref="S7">_xll.EQNXTDZ($A$1,$B7,S$1)</f>
        <v>228.02500000000001</v>
      </c>
      <c r="T7" s="116" cm="1">
        <f t="array" ref="T7">_xll.EQNXTDZ($A$1,$B7,T$1)</f>
        <v>251</v>
      </c>
      <c r="U7" s="116" cm="1">
        <f t="array" ref="U7">_xll.EQNXTDZ($A$1,$B7,U$1)</f>
        <v>260.92500000000001</v>
      </c>
      <c r="V7" s="116" cm="1">
        <f t="array" ref="V7">_xll.EQNXTDZ($A$1,$B7,V$1)</f>
        <v>283.85000000000002</v>
      </c>
      <c r="W7" s="116" cm="1">
        <f t="array" ref="W7">_xll.EQNXTDZ($A$1,$B7,W$1)</f>
        <v>286</v>
      </c>
      <c r="X7" s="116" cm="1">
        <f t="array" ref="X7">_xll.EQNXTDZ($A$1,$B7,X$1)</f>
        <v>289.25</v>
      </c>
      <c r="Y7" s="116" cm="1">
        <f t="array" ref="Y7">_xll.EQNXTDZ($A$1,$B7,Y$1)</f>
        <v>322</v>
      </c>
      <c r="Z7" s="116" cm="1">
        <f t="array" ref="Z7">_xll.EQNXTDZ($A$1,$B7,Z$1)</f>
        <v>344.5</v>
      </c>
      <c r="AA7" s="116" cm="1">
        <f t="array" ref="AA7">_xll.EQNXTDZ($A$1,$B7,AA$1)</f>
        <v>361.97500000000002</v>
      </c>
      <c r="AB7" s="116" cm="1">
        <f t="array" ref="AB7">_xll.EQNXTDZ($A$1,$B7,AB$1)</f>
        <v>392.5</v>
      </c>
      <c r="AC7" s="116" cm="1">
        <f t="array" ref="AC7">_xll.EQNXTDZ($A$1,$B7,AC$1)</f>
        <v>427</v>
      </c>
      <c r="AD7" s="116" cm="1">
        <f t="array" ref="AD7">_xll.EQNXTDZ($A$1,$B7,AD$1)</f>
        <v>466.85</v>
      </c>
      <c r="AE7" s="116" cm="1">
        <f t="array" ref="AE7">_xll.EQNXTDZ($A$1,$B7,AE$1)</f>
        <v>467</v>
      </c>
      <c r="AF7" s="116" cm="1">
        <f t="array" ref="AF7">_xll.EQNXTDZ($A$1,$B7,AF$1)</f>
        <v>532.5</v>
      </c>
      <c r="AG7" s="116" cm="1">
        <f t="array" ref="AG7">_xll.EQNXTDZ($A$1,$B7,AG$1)</f>
        <v>593.9</v>
      </c>
      <c r="AH7" s="116" cm="1">
        <f t="array" ref="AH7">_xll.EQNXTDZ($A$1,$B7,AH$1)</f>
        <v>611.5</v>
      </c>
      <c r="AI7" s="116" cm="1">
        <f t="array" ref="AI7">_xll.EQNXTDZ($A$1,$B7,AI$1)</f>
        <v>583</v>
      </c>
      <c r="AJ7" s="116" cm="1">
        <f t="array" ref="AJ7">_xll.EQNXTDZ($A$1,$B7,AJ$1)</f>
        <v>587.5</v>
      </c>
      <c r="AK7" s="116" cm="1">
        <f t="array" ref="AK7">_xll.EQNXTDZ($A$1,$B7,AK$1)</f>
        <v>666.85</v>
      </c>
      <c r="AL7" s="116" cm="1">
        <f t="array" ref="AL7">_xll.EQNXTDZ($A$1,$B7,AL$1)</f>
        <v>647</v>
      </c>
      <c r="AM7" s="116" cm="1">
        <f t="array" ref="AM7">_xll.EQNXTDZ($A$1,$B7,AM$1)</f>
        <v>685</v>
      </c>
      <c r="AN7" s="116" cm="1">
        <f t="array" ref="AN7">_xll.EQNXTDZ($A$1,$B7,AN$1)</f>
        <v>757.5</v>
      </c>
      <c r="AO7" s="116" cm="1">
        <f t="array" ref="AO7">_xll.EQNXTDZ($A$1,$B7,AO$1)</f>
        <v>837.375</v>
      </c>
      <c r="AP7" s="116" cm="1">
        <f t="array" ref="AP7">_xll.EQNXTDZ($A$1,$B7,AP$1)</f>
        <v>859.2</v>
      </c>
      <c r="AQ7" s="116" cm="1">
        <f t="array" ref="AQ7">_xll.EQNXTDZ($A$1,$B7,AQ$1)</f>
        <v>817.5</v>
      </c>
      <c r="AR7" s="116" cm="1">
        <f t="array" ref="AR7">_xll.EQNXTDZ($A$1,$B7,AR$1)</f>
        <v>792.92499999999995</v>
      </c>
      <c r="AS7" s="116" cm="1">
        <f t="array" ref="AS7">_xll.EQNXTDZ($A$1,$B7,AS$1)</f>
        <v>754.95</v>
      </c>
      <c r="AT7" s="116" cm="1">
        <f t="array" ref="AT7">_xll.EQNXTDZ($A$1,$B7,AT$1)</f>
        <v>754.95</v>
      </c>
      <c r="AU7" s="116" cm="1">
        <f t="array" ref="AU7">_xll.EQNXTDZ($A$1,$B7,AU$1)</f>
        <v>706</v>
      </c>
      <c r="AV7" s="116" cm="1">
        <f t="array" ref="AV7">_xll.EQNXTDZ($A$1,$B7,AV$1)</f>
        <v>722.5</v>
      </c>
      <c r="AW7" s="116" cm="1">
        <f t="array" ref="AW7">_xll.EQNXTDZ($A$1,$B7,AW$1)</f>
        <v>743.5</v>
      </c>
      <c r="AX7" s="116" cm="1">
        <f t="array" ref="AX7">_xll.EQNXTDZ($A$1,$B7,AX$1)</f>
        <v>729.97500000000002</v>
      </c>
      <c r="AY7" s="116" cm="1">
        <f t="array" ref="AY7">_xll.EQNXTDZ($A$1,$B7,AY$1)</f>
        <v>710</v>
      </c>
      <c r="AZ7" s="116" cm="1">
        <f t="array" ref="AZ7">_xll.EQNXTDZ($A$1,$B7,AZ$1)</f>
        <v>752.5</v>
      </c>
      <c r="BA7" s="116" cm="1">
        <f t="array" ref="BA7">_xll.EQNXTDZ($A$1,$B7,BA$1)</f>
        <v>884.75</v>
      </c>
      <c r="BB7" s="116" cm="1">
        <f t="array" ref="BB7">_xll.EQNXTDZ($A$1,$B7,BB$1)</f>
        <v>855.1</v>
      </c>
      <c r="BC7" s="116" cm="1">
        <f t="array" ref="BC7">_xll.EQNXTDZ($A$1,$B7,BC$1)</f>
        <v>849.5</v>
      </c>
      <c r="BD7" s="116" cm="1">
        <f t="array" ref="BD7">_xll.EQNXTDZ($A$1,$B7,BD$1)</f>
        <v>732.97500000000002</v>
      </c>
      <c r="BE7" s="116" cm="1">
        <f t="array" ref="BE7">_xll.EQNXTDZ($A$1,$B7,BE$1)</f>
        <v>703.125</v>
      </c>
      <c r="BF7" s="116" cm="1">
        <f t="array" ref="BF7">_xll.EQNXTDZ($A$1,$B7,BF$1)</f>
        <v>692.47500000000002</v>
      </c>
      <c r="BG7" s="116" cm="1">
        <f t="array" ref="BG7">_xll.EQNXTDZ($A$1,$B7,BG$1)</f>
        <v>688.22500000000002</v>
      </c>
      <c r="BH7" s="116" cm="1">
        <f t="array" ref="BH7">_xll.EQNXTDZ($A$1,$B7,BH$1)</f>
        <v>787.625</v>
      </c>
      <c r="BI7" s="116" cm="1">
        <f t="array" ref="BI7">_xll.EQNXTDZ($A$1,$B7,BI$1)</f>
        <v>775</v>
      </c>
      <c r="BJ7" s="116" cm="1">
        <f t="array" ref="BJ7">_xll.EQNXTDZ($A$1,$B7,BJ$1)</f>
        <v>719.05</v>
      </c>
      <c r="BK7" s="116" cm="1">
        <f t="array" ref="BK7">_xll.EQNXTDZ($A$1,$B7,BK$1)</f>
        <v>625</v>
      </c>
      <c r="BL7" s="116" cm="1">
        <f t="array" ref="BL7">_xll.EQNXTDZ($A$1,$B7,BL$1)</f>
        <v>685</v>
      </c>
      <c r="BM7" s="116" cm="1">
        <f t="array" ref="BM7">_xll.EQNXTDZ($A$1,$B7,BM$1)</f>
        <v>667.3</v>
      </c>
      <c r="BN7" s="116" cm="1">
        <f t="array" ref="BN7">_xll.EQNXTDZ($A$1,$B7,BN$1)</f>
        <v>682.1</v>
      </c>
      <c r="BO7" s="116" cm="1">
        <f t="array" ref="BO7">_xll.EQNXTDZ($A$1,$B7,BO$1)</f>
        <v>706.85</v>
      </c>
      <c r="BP7" s="116" cm="1">
        <f t="array" ref="BP7">_xll.EQNXTDZ($A$1,$B7,BP$1)</f>
        <v>692.5</v>
      </c>
      <c r="BQ7" s="116" cm="1">
        <f t="array" ref="BQ7">_xll.EQNXTDZ($A$1,$B7,BQ$1)</f>
        <v>715.92499999999995</v>
      </c>
      <c r="BR7" s="116" cm="1">
        <f t="array" ref="BR7">_xll.EQNXTDZ($A$1,$B7,BR$1)</f>
        <v>737.4</v>
      </c>
      <c r="BS7" s="116" cm="1">
        <f t="array" ref="BS7">_xll.EQNXTDZ($A$1,$B7,BS$1)</f>
        <v>725</v>
      </c>
      <c r="BT7" s="116" cm="1">
        <f t="array" ref="BT7">_xll.EQNXTDZ($A$1,$B7,BT$1)</f>
        <v>687.97500000000002</v>
      </c>
      <c r="BU7" s="116" cm="1">
        <f t="array" ref="BU7">_xll.EQNXTDZ($A$1,$B7,BU$1)</f>
        <v>723.97500000000002</v>
      </c>
      <c r="BV7" s="116" cm="1">
        <f t="array" ref="BV7">_xll.EQNXTDZ($A$1,$B7,BV$1)</f>
        <v>715</v>
      </c>
      <c r="BW7" s="116" cm="1">
        <f t="array" ref="BW7">_xll.EQNXTDZ($A$1,$B7,BW$1)</f>
        <v>762.5</v>
      </c>
      <c r="BX7" s="116" cm="1">
        <f t="array" ref="BX7">_xll.EQNXTDZ($A$1,$B7,BX$1)</f>
        <v>766.57500000000005</v>
      </c>
      <c r="BY7" s="116" cm="1">
        <f t="array" ref="BY7">_xll.EQNXTDZ($A$1,$B7,BY$1)</f>
        <v>911.97500000000002</v>
      </c>
      <c r="BZ7" s="116" cm="1">
        <f t="array" ref="BZ7">_xll.EQNXTDZ($A$1,$B7,BZ$1)</f>
        <v>936.4</v>
      </c>
      <c r="CA7" s="116" cm="1">
        <f t="array" ref="CA7">_xll.EQNXTDZ($A$1,$B7,CA$1)</f>
        <v>842.5</v>
      </c>
      <c r="CB7" s="116" cm="1">
        <f t="array" ref="CB7">_xll.EQNXTDZ($A$1,$B7,CB$1)</f>
        <v>890</v>
      </c>
      <c r="CC7" s="116" cm="1">
        <f t="array" ref="CC7">_xll.EQNXTDZ($A$1,$B7,CC$1)</f>
        <v>917.5</v>
      </c>
      <c r="CD7" s="116" cm="1">
        <f t="array" ref="CD7">_xll.EQNXTDZ($A$1,$B7,CD$1)</f>
        <v>981</v>
      </c>
      <c r="CE7" s="116" cm="1">
        <f t="array" ref="CE7">_xll.EQNXTDZ($A$1,$B7,CE$1)</f>
        <v>929.95</v>
      </c>
      <c r="CF7" s="116" cm="1">
        <f t="array" ref="CF7">_xll.EQNXTDZ($A$1,$B7,CF$1)</f>
        <v>981</v>
      </c>
      <c r="CG7" s="116" cm="1">
        <f t="array" ref="CG7">_xll.EQNXTDZ($A$1,$B7,CG$1)</f>
        <v>975</v>
      </c>
      <c r="CH7" s="116" cm="1">
        <f t="array" ref="CH7">_xll.EQNXTDZ($A$1,$B7,CH$1)</f>
        <v>900.5</v>
      </c>
      <c r="CI7" s="116" cm="1">
        <f t="array" ref="CI7">_xll.EQNXTDZ($A$1,$B7,CI$1)</f>
        <v>786.92499999999995</v>
      </c>
      <c r="CJ7" s="116" cm="1">
        <f t="array" ref="CJ7">_xll.EQNXTDZ($A$1,$B7,CJ$1)</f>
        <v>845</v>
      </c>
      <c r="CK7" s="116" cm="1">
        <f t="array" ref="CK7">_xll.EQNXTDZ($A$1,$B7,CK$1)</f>
        <v>875</v>
      </c>
      <c r="CL7" s="116" cm="1">
        <f t="array" ref="CL7">_xll.EQNXTDZ($A$1,$B7,CL$1)</f>
        <v>887.5</v>
      </c>
      <c r="CM7" s="116" cm="1">
        <f t="array" ref="CM7">_xll.EQNXTDZ($A$1,$B7,CM$1)</f>
        <v>904.92499999999995</v>
      </c>
      <c r="CN7" s="116" cm="1">
        <f t="array" ref="CN7">_xll.EQNXTDZ($A$1,$B7,CN$1)</f>
        <v>960.25</v>
      </c>
      <c r="CO7" s="116" cm="1">
        <f t="array" ref="CO7">_xll.EQNXTDZ($A$1,$B7,CO$1)</f>
        <v>970.5</v>
      </c>
      <c r="CP7" s="116" cm="1">
        <f t="array" ref="CP7">_xll.EQNXTDZ($A$1,$B7,CP$1)</f>
        <v>1036.825</v>
      </c>
      <c r="CQ7" s="116" cm="1">
        <f t="array" ref="CQ7">_xll.EQNXTDZ($A$1,$B7,CQ$1)</f>
        <v>1143.625</v>
      </c>
      <c r="CR7" s="116" cm="1">
        <f t="array" ref="CR7">_xll.EQNXTDZ($A$1,$B7,CR$1)</f>
        <v>1122.5</v>
      </c>
      <c r="CS7" s="116" cm="1">
        <f t="array" ref="CS7">_xll.EQNXTDZ($A$1,$B7,CS$1)</f>
        <v>1349.5</v>
      </c>
      <c r="CT7" s="116" cm="1">
        <f t="array" ref="CT7">_xll.EQNXTDZ($A$1,$B7,CT$1)</f>
        <v>1316.675</v>
      </c>
      <c r="CU7" s="116" cm="1">
        <f t="array" ref="CU7">_xll.EQNXTDZ($A$1,$B7,CU$1)</f>
        <v>1307.5</v>
      </c>
      <c r="CV7" s="116" cm="1">
        <f t="array" ref="CV7">_xll.EQNXTDZ($A$1,$B7,CV$1)</f>
        <v>1377.7</v>
      </c>
      <c r="CW7" s="116" cm="1">
        <f t="array" ref="CW7">_xll.EQNXTDZ($A$1,$B7,CW$1)</f>
        <v>1515.6</v>
      </c>
      <c r="CX7" s="116" cm="1">
        <f t="array" ref="CX7">_xll.EQNXTDZ($A$1,$B7,CX$1)</f>
        <v>1472.25</v>
      </c>
      <c r="CY7" s="116" cm="1">
        <f t="array" ref="CY7">_xll.EQNXTDZ($A$1,$B7,CY$1)</f>
        <v>1467</v>
      </c>
      <c r="CZ7" s="116" cm="1">
        <f t="array" ref="CZ7">_xll.EQNXTDZ($A$1,$B7,CZ$1)</f>
        <v>1377.95</v>
      </c>
      <c r="DA7" s="116" cm="1">
        <f t="array" ref="DA7">_xll.EQNXTDZ($A$1,$B7,DA$1)</f>
        <v>1428.2750000000001</v>
      </c>
      <c r="DB7" s="116" cm="1">
        <f t="array" ref="DB7">_xll.EQNXTDZ($A$1,$B7,DB$1)</f>
        <v>1452.5</v>
      </c>
      <c r="DC7" s="116" cm="1">
        <f t="array" ref="DC7">_xll.EQNXTDZ($A$1,$B7,DC$1)</f>
        <v>1401.45</v>
      </c>
      <c r="DD7" s="116" cm="1">
        <f t="array" ref="DD7">_xll.EQNXTDZ($A$1,$B7,DD$1)</f>
        <v>1278.4749999999999</v>
      </c>
      <c r="DE7" s="116" cm="1">
        <f t="array" ref="DE7">_xll.EQNXTDZ($A$1,$B7,DE$1)</f>
        <v>1341</v>
      </c>
      <c r="DF7" s="116" cm="1">
        <f t="array" ref="DF7">_xll.EQNXTDZ($A$1,$B7,DF$1)</f>
        <v>1446</v>
      </c>
      <c r="DG7" s="116" cm="1">
        <f t="array" ref="DG7">_xll.EQNXTDZ($A$1,$B7,DG$1)</f>
        <v>1504.75</v>
      </c>
      <c r="DH7" s="116" cm="1">
        <f t="array" ref="DH7">_xll.EQNXTDZ($A$1,$B7,DH$1)</f>
        <v>1572</v>
      </c>
      <c r="DI7" s="116" cm="1">
        <f t="array" ref="DI7">_xll.EQNXTDZ($A$1,$B7,DI$1)</f>
        <v>1578.95</v>
      </c>
      <c r="DJ7" s="116" cm="1">
        <f t="array" ref="DJ7">_xll.EQNXTDZ($A$1,$B7,DJ$1)</f>
        <v>1625.1</v>
      </c>
      <c r="DK7" s="116" cm="1">
        <f t="array" ref="DK7">_xll.EQNXTDZ($A$1,$B7,DK$1)</f>
        <v>1601.5</v>
      </c>
      <c r="DL7" s="116" cm="1">
        <f t="array" ref="DL7">_xll.EQNXTDZ($A$1,$B7,DL$1)</f>
        <v>1624.4</v>
      </c>
      <c r="DM7" s="116" cm="1">
        <f t="array" ref="DM7">_xll.EQNXTDZ($A$1,$B7,DM$1)</f>
        <v>1649.25</v>
      </c>
      <c r="DN7" s="116" cm="1">
        <f t="array" ref="DN7">_xll.EQNXTDZ($A$1,$B7,DN$1)</f>
        <v>1647.9749999999999</v>
      </c>
      <c r="DO7" s="116" cm="1">
        <f t="array" ref="DO7">_xll.EQNXTDZ($A$1,$B7,DO$1)</f>
        <v>1389.4749999999999</v>
      </c>
      <c r="DP7" s="116" cm="1">
        <f t="array" ref="DP7">_xll.EQNXTDZ($A$1,$B7,DP$1)</f>
        <v>1493.875</v>
      </c>
      <c r="DQ7" s="116" cm="1">
        <f t="array" ref="DQ7">_xll.EQNXTDZ($A$1,$B7,DQ$1)</f>
        <v>1451.9749999999999</v>
      </c>
      <c r="DR7" s="116" cm="1">
        <f t="array" ref="DR7">_xll.EQNXTDZ($A$1,$B7,DR$1)</f>
        <v>1477.45</v>
      </c>
      <c r="DS7" s="116" cm="1">
        <f t="array" ref="DS7">_xll.EQNXTDZ($A$1,$B7,DS$1)</f>
        <v>1464.5</v>
      </c>
      <c r="DT7" s="116" cm="1">
        <f t="array" ref="DT7">_xll.EQNXTDZ($A$1,$B7,DT$1)</f>
        <v>1539</v>
      </c>
      <c r="DU7" s="116" cm="1">
        <f t="array" ref="DU7">_xll.EQNXTDZ($A$1,$B7,DU$1)</f>
        <v>1605</v>
      </c>
      <c r="DV7" s="116" cm="1">
        <f t="array" ref="DV7">_xll.EQNXTDZ($A$1,$B7,DV$1)</f>
        <v>1565.9</v>
      </c>
      <c r="DW7" s="116" cm="1">
        <f t="array" ref="DW7">_xll.EQNXTDZ($A$1,$B7,DW$1)</f>
        <v>1655</v>
      </c>
      <c r="DX7" s="116" cm="1">
        <f t="array" ref="DX7">_xll.EQNXTDZ($A$1,$B7,DX$1)</f>
        <v>1750</v>
      </c>
      <c r="DY7" s="116" cm="1">
        <f t="array" ref="DY7">_xll.EQNXTDZ($A$1,$B7,DY$1)</f>
        <v>1664</v>
      </c>
      <c r="DZ7" s="116" cm="1">
        <f t="array" ref="DZ7">_xll.EQNXTDZ($A$1,$B7,DZ$1)</f>
        <v>1632.35</v>
      </c>
      <c r="EA7" s="116" cm="1">
        <f t="array" ref="EA7">_xll.EQNXTDZ($A$1,$B7,EA$1)</f>
        <v>1572.05</v>
      </c>
      <c r="EB7" s="116" cm="1">
        <f t="array" ref="EB7">_xll.EQNXTDZ($A$1,$B7,EB$1)</f>
        <v>1564.9</v>
      </c>
      <c r="EC7" s="116" cm="1">
        <f t="array" ref="EC7">_xll.EQNXTDZ($A$1,$B7,EC$1)</f>
        <v>1660</v>
      </c>
      <c r="ED7" s="116" cm="1">
        <f t="array" ref="ED7">_xll.EQNXTDZ($A$1,$B7,ED$1)</f>
        <v>1884.9</v>
      </c>
      <c r="EE7" s="116" cm="1">
        <f t="array" ref="EE7">_xll.EQNXTDZ($A$1,$B7,EE$1)</f>
        <v>1984.25</v>
      </c>
      <c r="EF7" s="116" cm="1">
        <f t="array" ref="EF7">_xll.EQNXTDZ($A$1,$B7,EF$1)</f>
        <v>2036.5</v>
      </c>
      <c r="EG7" s="116" cm="1">
        <f t="array" ref="EG7">_xll.EQNXTDZ($A$1,$B7,EG$1)</f>
        <v>2094.5500000000002</v>
      </c>
      <c r="EH7" s="116" cm="1">
        <f t="array" ref="EH7">_xll.EQNXTDZ($A$1,$B7,EH$1)</f>
        <v>1945</v>
      </c>
      <c r="EI7" s="116" cm="1">
        <f t="array" ref="EI7">_xll.EQNXTDZ($A$1,$B7,EI$1)</f>
        <v>1954.05</v>
      </c>
      <c r="EJ7" s="116" cm="1">
        <f t="array" ref="EJ7">_xll.EQNXTDZ($A$1,$B7,EJ$1)</f>
        <v>2145</v>
      </c>
      <c r="EK7" s="116" cm="1">
        <f t="array" ref="EK7">_xll.EQNXTDZ($A$1,$B7,EK$1)</f>
        <v>2310.15</v>
      </c>
      <c r="EL7" s="116" cm="1">
        <f t="array" ref="EL7">_xll.EQNXTDZ($A$1,$B7,EL$1)</f>
        <v>2551.8000000000002</v>
      </c>
      <c r="EM7" s="116" cm="1">
        <f t="array" ref="EM7">_xll.EQNXTDZ($A$1,$B7,EM$1)</f>
        <v>2700</v>
      </c>
      <c r="EN7" s="116" cm="1">
        <f t="array" ref="EN7">_xll.EQNXTDZ($A$1,$B7,EN$1)</f>
        <v>2744</v>
      </c>
      <c r="EO7" s="116" cm="1">
        <f t="array" ref="EO7">_xll.EQNXTDZ($A$1,$B7,EO$1)</f>
        <v>2729.2</v>
      </c>
      <c r="EP7" s="116" cm="1">
        <f t="array" ref="EP7">_xll.EQNXTDZ($A$1,$B7,EP$1)</f>
        <v>2795</v>
      </c>
      <c r="EQ7" s="116" cm="1">
        <f t="array" ref="EQ7">_xll.EQNXTDZ($A$1,$B7,EQ$1)</f>
        <v>2980</v>
      </c>
      <c r="ER7" s="116" cm="1">
        <f t="array" ref="ER7">_xll.EQNXTDZ($A$1,$B7,ER$1)</f>
        <v>3257.15</v>
      </c>
      <c r="ES7" s="116" cm="1">
        <f t="array" ref="ES7">_xll.EQNXTDZ($A$1,$B7,ES$1)</f>
        <v>3574</v>
      </c>
      <c r="ET7" s="116" cm="1">
        <f t="array" ref="ET7">_xll.EQNXTDZ($A$1,$B7,ET$1)</f>
        <v>3525</v>
      </c>
      <c r="EU7" s="116" cm="1">
        <f t="array" ref="EU7">_xll.EQNXTDZ($A$1,$B7,EU$1)</f>
        <v>3590.7</v>
      </c>
      <c r="EV7" s="116" cm="1">
        <f t="array" ref="EV7">_xll.EQNXTDZ($A$1,$B7,EV$1)</f>
        <v>3333.1</v>
      </c>
      <c r="EW7" s="116" cm="1">
        <f t="array" ref="EW7">_xll.EQNXTDZ($A$1,$B7,EW$1)</f>
        <v>3515.35</v>
      </c>
      <c r="EX7" s="116" cm="1">
        <f t="array" ref="EX7">_xll.EQNXTDZ($A$1,$B7,EX$1)</f>
        <v>3465</v>
      </c>
      <c r="EY7" s="116" cm="1">
        <f t="array" ref="EY7">_xll.EQNXTDZ($A$1,$B7,EY$1)</f>
        <v>3332.3</v>
      </c>
      <c r="EZ7" s="116" cm="1">
        <f t="array" ref="EZ7">_xll.EQNXTDZ($A$1,$B7,EZ$1)</f>
        <v>3300.9</v>
      </c>
      <c r="FA7" s="116" cm="1">
        <f t="array" ref="FA7">_xll.EQNXTDZ($A$1,$B7,FA$1)</f>
        <v>3360</v>
      </c>
      <c r="FB7" s="116" cm="1">
        <f t="array" ref="FB7">_xll.EQNXTDZ($A$1,$B7,FB$1)</f>
        <v>3371.9</v>
      </c>
      <c r="FC7" s="116" cm="1">
        <f t="array" ref="FC7">_xll.EQNXTDZ($A$1,$B7,FC$1)</f>
        <v>3478.9</v>
      </c>
      <c r="FD7" s="116" cm="1">
        <f t="array" ref="FD7">_xll.EQNXTDZ($A$1,$B7,FD$1)</f>
        <v>3787.9</v>
      </c>
      <c r="FE7" s="116" cm="1">
        <f t="array" ref="FE7">_xll.EQNXTDZ($A$1,$B7,FE$1)</f>
        <v>3740.9</v>
      </c>
      <c r="FF7" s="116" cm="1">
        <f t="array" ref="FF7">_xll.EQNXTDZ($A$1,$B7,FF$1)</f>
        <v>3689.2</v>
      </c>
      <c r="FG7" s="116" cm="1">
        <f t="array" ref="FG7">_xll.EQNXTDZ($A$1,$B7,FG$1)</f>
        <v>3685.6</v>
      </c>
      <c r="FH7" s="116" cm="1">
        <f t="array" ref="FH7">_xll.EQNXTDZ($A$1,$B7,FH$1)</f>
        <v>3882.2</v>
      </c>
      <c r="FI7" s="116" cm="1">
        <f t="array" ref="FI7">_xll.EQNXTDZ($A$1,$B7,FI$1)</f>
        <v>3863</v>
      </c>
      <c r="FJ7" s="116" cm="1">
        <f t="array" ref="FJ7">_xll.EQNXTDZ($A$1,$B7,FJ$1)</f>
        <v>4107.2</v>
      </c>
      <c r="FK7" s="116" cm="1">
        <f t="array" ref="FK7">_xll.EQNXTDZ($A$1,$B7,FK$1)</f>
        <v>4470</v>
      </c>
      <c r="FL7" s="116" cm="1">
        <f t="array" ref="FL7">_xll.EQNXTDZ($A$1,$B7,FL$1)</f>
        <v>4482.8999999999996</v>
      </c>
      <c r="FM7" s="116" cm="1">
        <f t="array" ref="FM7">_xll.EQNXTDZ($A$1,$B7,FM$1)</f>
        <v>4333</v>
      </c>
      <c r="FN7" s="116" cm="1">
        <f t="array" ref="FN7">_xll.EQNXTDZ($A$1,$B7,FN$1)</f>
        <v>4712.8999999999996</v>
      </c>
      <c r="FO7" s="116" cm="1">
        <f t="array" ref="FO7">_xll.EQNXTDZ($A$1,$B7,FO$1)</f>
        <v>4666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182.125</v>
      </c>
      <c r="HQ7" s="116">
        <f>+MAX(G7:I7)</f>
        <v>181.5</v>
      </c>
      <c r="HR7" s="116">
        <f>+MAX(J7:L7)</f>
        <v>191.42500000000001</v>
      </c>
      <c r="HS7" s="116">
        <f>+MAX(M7:O7)</f>
        <v>218.1</v>
      </c>
      <c r="HT7" s="116">
        <f>+MAX(P7:R7)</f>
        <v>233.2</v>
      </c>
      <c r="HU7" s="116">
        <f>+MAX(S7:U7)</f>
        <v>260.92500000000001</v>
      </c>
      <c r="HV7" s="116">
        <f>+MAX(V7:X7)</f>
        <v>289.25</v>
      </c>
      <c r="HW7" s="116">
        <f>+MAX(Y7:AA7)</f>
        <v>361.97500000000002</v>
      </c>
      <c r="HX7" s="116">
        <f>+MAX(AB7:AD7)</f>
        <v>466.85</v>
      </c>
      <c r="HY7" s="116">
        <f>+MAX(AE7:AG7)</f>
        <v>593.9</v>
      </c>
      <c r="HZ7" s="116">
        <f>+MAX(AH7:AJ7)</f>
        <v>611.5</v>
      </c>
      <c r="IA7" s="116">
        <f>+MAX(AK7:AM7)</f>
        <v>685</v>
      </c>
      <c r="IB7" s="116">
        <f>+MAX(AN7:AP7)</f>
        <v>859.2</v>
      </c>
      <c r="IC7" s="116">
        <f>+MAX(AQ7:AS7)</f>
        <v>817.5</v>
      </c>
      <c r="ID7" s="116">
        <f>+MAX(AT7:AV7)</f>
        <v>754.95</v>
      </c>
      <c r="IE7" s="116">
        <f>+MAX(AW7:AY7)</f>
        <v>743.5</v>
      </c>
      <c r="IF7" s="116">
        <f>+MAX(AZ7:BB7)</f>
        <v>884.75</v>
      </c>
      <c r="IG7" s="116">
        <f>+MAX(BC7:BE7)</f>
        <v>849.5</v>
      </c>
      <c r="IH7" s="116">
        <f>+MAX(BF7:BH7)</f>
        <v>787.625</v>
      </c>
      <c r="II7" s="116">
        <f>+MAX(BI7:BK7)</f>
        <v>775</v>
      </c>
      <c r="IJ7" s="116">
        <f>+MAX(BL7:BN7)</f>
        <v>685</v>
      </c>
      <c r="IK7" s="116">
        <f>+MAX(BO7:BQ7)</f>
        <v>715.92499999999995</v>
      </c>
      <c r="IL7" s="116">
        <f>+MAX(BR7:BT7)</f>
        <v>737.4</v>
      </c>
      <c r="IM7" s="116">
        <f>+MAX(BU7:BW7)</f>
        <v>762.5</v>
      </c>
      <c r="IN7" s="116">
        <f>+MAX(BX7:BZ7)</f>
        <v>936.4</v>
      </c>
      <c r="IO7" s="116">
        <f>+MAX(CA7:CC7)</f>
        <v>917.5</v>
      </c>
      <c r="IP7" s="116">
        <f>+MAX(CD7:CF7)</f>
        <v>981</v>
      </c>
      <c r="IQ7" s="116">
        <f>+MAX(CG7:CI7)</f>
        <v>975</v>
      </c>
      <c r="IR7" s="116">
        <f>+MAX(CJ7:CL7)</f>
        <v>887.5</v>
      </c>
      <c r="IS7" s="116">
        <f>+MAX(CM7:CO7)</f>
        <v>970.5</v>
      </c>
      <c r="IT7" s="116">
        <f>+MAX(CP7:CR7)</f>
        <v>1143.625</v>
      </c>
      <c r="IU7" s="116">
        <f>+MAX(CS7:CU7)</f>
        <v>1349.5</v>
      </c>
      <c r="IV7" s="116">
        <f>+MAX(CV7:CX7)</f>
        <v>1515.6</v>
      </c>
      <c r="IW7" s="116">
        <f>+MAX(CY7:DA7)</f>
        <v>1467</v>
      </c>
      <c r="IX7" s="116">
        <f>+MAX(DB7:DD7)</f>
        <v>1452.5</v>
      </c>
      <c r="IY7" s="116">
        <f>+MAX(DE7:DG7)</f>
        <v>1504.75</v>
      </c>
      <c r="IZ7" s="116">
        <f>+MAX(DH7:DJ7)</f>
        <v>1625.1</v>
      </c>
      <c r="JA7" s="116">
        <f>+MAX(DK7:DM7)</f>
        <v>1649.25</v>
      </c>
      <c r="JB7" s="116">
        <f>+MAX(DN7:DP7)</f>
        <v>1647.9749999999999</v>
      </c>
      <c r="JC7" s="116">
        <f>+MAX(DQ7:DS7)</f>
        <v>1477.45</v>
      </c>
      <c r="JD7" s="116">
        <f>+MAX(DT7:DV7)</f>
        <v>1605</v>
      </c>
      <c r="JE7" s="116">
        <f>+MAX(DW7:DY7)</f>
        <v>1750</v>
      </c>
      <c r="JF7" s="116">
        <f>+MAX(DZ7:EB7)</f>
        <v>1632.35</v>
      </c>
      <c r="JG7" s="116">
        <f>+MAX(EC7:EE7)</f>
        <v>1984.25</v>
      </c>
      <c r="JH7" s="116">
        <f>+MAX(EF7:EH7)</f>
        <v>2094.5500000000002</v>
      </c>
      <c r="JI7" s="116">
        <f>+MAX(EI7:EK7)</f>
        <v>2310.15</v>
      </c>
      <c r="JJ7" s="116">
        <f>+MAX(EL7:EN7)</f>
        <v>2744</v>
      </c>
      <c r="JK7" s="116">
        <f>MAX(EO7:EQ7)</f>
        <v>2980</v>
      </c>
      <c r="JL7" s="116">
        <f>MAX(ER7:ET7)</f>
        <v>3574</v>
      </c>
      <c r="JM7" s="116">
        <f>MAX(EU7:EW7)</f>
        <v>3590.7</v>
      </c>
      <c r="JN7" s="116">
        <f>MAX(EX7:EZ7)</f>
        <v>3465</v>
      </c>
      <c r="JO7" s="116">
        <f>MAX(FA7:FC7)</f>
        <v>3478.9</v>
      </c>
      <c r="JP7" s="116">
        <f>MAX(FD7:FF7)</f>
        <v>3787.9</v>
      </c>
      <c r="JQ7" s="116">
        <f>MAX(FG7:FI7)</f>
        <v>3882.2</v>
      </c>
      <c r="JR7" s="116">
        <f>MAX(FJ7:FL7)</f>
        <v>4482.8999999999996</v>
      </c>
      <c r="JS7" s="116">
        <f>MAX(FM7:FO7)</f>
        <v>4712.8999999999996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142.5</v>
      </c>
      <c r="D8" s="116" cm="1">
        <f t="array" ref="D8">_xll.EQNXTDZ($A$1,$B8,D$1)</f>
        <v>150.25</v>
      </c>
      <c r="E8" s="116" cm="1">
        <f t="array" ref="E8">_xll.EQNXTDZ($A$1,$B8,E$1)</f>
        <v>161.65</v>
      </c>
      <c r="F8" s="116" cm="1">
        <f t="array" ref="F8">_xll.EQNXTDZ($A$1,$B8,F$1)</f>
        <v>153.75</v>
      </c>
      <c r="G8" s="116" cm="1">
        <f t="array" ref="G8">_xll.EQNXTDZ($A$1,$B8,G$1)</f>
        <v>164.6</v>
      </c>
      <c r="H8" s="116" cm="1">
        <f t="array" ref="H8">_xll.EQNXTDZ($A$1,$B8,H$1)</f>
        <v>157.63749999999999</v>
      </c>
      <c r="I8" s="116" cm="1">
        <f t="array" ref="I8">_xll.EQNXTDZ($A$1,$B8,I$1)</f>
        <v>165.02500000000001</v>
      </c>
      <c r="J8" s="116" cm="1">
        <f t="array" ref="J8">_xll.EQNXTDZ($A$1,$B8,J$1)</f>
        <v>174.25</v>
      </c>
      <c r="K8" s="116" cm="1">
        <f t="array" ref="K8">_xll.EQNXTDZ($A$1,$B8,K$1)</f>
        <v>166.96250000000001</v>
      </c>
      <c r="L8" s="116" cm="1">
        <f t="array" ref="L8">_xll.EQNXTDZ($A$1,$B8,L$1)</f>
        <v>163.75</v>
      </c>
      <c r="M8" s="116" cm="1">
        <f t="array" ref="M8">_xll.EQNXTDZ($A$1,$B8,M$1)</f>
        <v>167.11250000000001</v>
      </c>
      <c r="N8" s="116" cm="1">
        <f t="array" ref="N8">_xll.EQNXTDZ($A$1,$B8,N$1)</f>
        <v>167.5</v>
      </c>
      <c r="O8" s="116" cm="1">
        <f t="array" ref="O8">_xll.EQNXTDZ($A$1,$B8,O$1)</f>
        <v>192.6</v>
      </c>
      <c r="P8" s="116" cm="1">
        <f t="array" ref="P8">_xll.EQNXTDZ($A$1,$B8,P$1)</f>
        <v>202</v>
      </c>
      <c r="Q8" s="116" cm="1">
        <f t="array" ref="Q8">_xll.EQNXTDZ($A$1,$B8,Q$1)</f>
        <v>192.45</v>
      </c>
      <c r="R8" s="116" cm="1">
        <f t="array" ref="R8">_xll.EQNXTDZ($A$1,$B8,R$1)</f>
        <v>200.47499999999999</v>
      </c>
      <c r="S8" s="116" cm="1">
        <f t="array" ref="S8">_xll.EQNXTDZ($A$1,$B8,S$1)</f>
        <v>201.5</v>
      </c>
      <c r="T8" s="116" cm="1">
        <f t="array" ref="T8">_xll.EQNXTDZ($A$1,$B8,T$1)</f>
        <v>220.15</v>
      </c>
      <c r="U8" s="116" cm="1">
        <f t="array" ref="U8">_xll.EQNXTDZ($A$1,$B8,U$1)</f>
        <v>229</v>
      </c>
      <c r="V8" s="116" cm="1">
        <f t="array" ref="V8">_xll.EQNXTDZ($A$1,$B8,V$1)</f>
        <v>230</v>
      </c>
      <c r="W8" s="116" cm="1">
        <f t="array" ref="W8">_xll.EQNXTDZ($A$1,$B8,W$1)</f>
        <v>266.5</v>
      </c>
      <c r="X8" s="116" cm="1">
        <f t="array" ref="X8">_xll.EQNXTDZ($A$1,$B8,X$1)</f>
        <v>259.3</v>
      </c>
      <c r="Y8" s="116" cm="1">
        <f t="array" ref="Y8">_xll.EQNXTDZ($A$1,$B8,Y$1)</f>
        <v>260.125</v>
      </c>
      <c r="Z8" s="116" cm="1">
        <f t="array" ref="Z8">_xll.EQNXTDZ($A$1,$B8,Z$1)</f>
        <v>285.875</v>
      </c>
      <c r="AA8" s="116" cm="1">
        <f t="array" ref="AA8">_xll.EQNXTDZ($A$1,$B8,AA$1)</f>
        <v>303.55</v>
      </c>
      <c r="AB8" s="116" cm="1">
        <f t="array" ref="AB8">_xll.EQNXTDZ($A$1,$B8,AB$1)</f>
        <v>329.75</v>
      </c>
      <c r="AC8" s="116" cm="1">
        <f t="array" ref="AC8">_xll.EQNXTDZ($A$1,$B8,AC$1)</f>
        <v>367</v>
      </c>
      <c r="AD8" s="116" cm="1">
        <f t="array" ref="AD8">_xll.EQNXTDZ($A$1,$B8,AD$1)</f>
        <v>396.5</v>
      </c>
      <c r="AE8" s="116" cm="1">
        <f t="array" ref="AE8">_xll.EQNXTDZ($A$1,$B8,AE$1)</f>
        <v>405.55</v>
      </c>
      <c r="AF8" s="116" cm="1">
        <f t="array" ref="AF8">_xll.EQNXTDZ($A$1,$B8,AF$1)</f>
        <v>441</v>
      </c>
      <c r="AG8" s="116" cm="1">
        <f t="array" ref="AG8">_xll.EQNXTDZ($A$1,$B8,AG$1)</f>
        <v>482.5</v>
      </c>
      <c r="AH8" s="116" cm="1">
        <f t="array" ref="AH8">_xll.EQNXTDZ($A$1,$B8,AH$1)</f>
        <v>536.6</v>
      </c>
      <c r="AI8" s="116" cm="1">
        <f t="array" ref="AI8">_xll.EQNXTDZ($A$1,$B8,AI$1)</f>
        <v>515.04999999999995</v>
      </c>
      <c r="AJ8" s="116" cm="1">
        <f t="array" ref="AJ8">_xll.EQNXTDZ($A$1,$B8,AJ$1)</f>
        <v>525</v>
      </c>
      <c r="AK8" s="116" cm="1">
        <f t="array" ref="AK8">_xll.EQNXTDZ($A$1,$B8,AK$1)</f>
        <v>567.5</v>
      </c>
      <c r="AL8" s="116" cm="1">
        <f t="array" ref="AL8">_xll.EQNXTDZ($A$1,$B8,AL$1)</f>
        <v>575.5</v>
      </c>
      <c r="AM8" s="116" cm="1">
        <f t="array" ref="AM8">_xll.EQNXTDZ($A$1,$B8,AM$1)</f>
        <v>584.52499999999998</v>
      </c>
      <c r="AN8" s="116" cm="1">
        <f t="array" ref="AN8">_xll.EQNXTDZ($A$1,$B8,AN$1)</f>
        <v>643</v>
      </c>
      <c r="AO8" s="116" cm="1">
        <f t="array" ref="AO8">_xll.EQNXTDZ($A$1,$B8,AO$1)</f>
        <v>695.02499999999998</v>
      </c>
      <c r="AP8" s="116" cm="1">
        <f t="array" ref="AP8">_xll.EQNXTDZ($A$1,$B8,AP$1)</f>
        <v>687.5</v>
      </c>
      <c r="AQ8" s="116" cm="1">
        <f t="array" ref="AQ8">_xll.EQNXTDZ($A$1,$B8,AQ$1)</f>
        <v>735.55</v>
      </c>
      <c r="AR8" s="116" cm="1">
        <f t="array" ref="AR8">_xll.EQNXTDZ($A$1,$B8,AR$1)</f>
        <v>701.75</v>
      </c>
      <c r="AS8" s="116" cm="1">
        <f t="array" ref="AS8">_xll.EQNXTDZ($A$1,$B8,AS$1)</f>
        <v>687.8</v>
      </c>
      <c r="AT8" s="116" cm="1">
        <f t="array" ref="AT8">_xll.EQNXTDZ($A$1,$B8,AT$1)</f>
        <v>635.5</v>
      </c>
      <c r="AU8" s="116" cm="1">
        <f t="array" ref="AU8">_xll.EQNXTDZ($A$1,$B8,AU$1)</f>
        <v>594.5</v>
      </c>
      <c r="AV8" s="116" cm="1">
        <f t="array" ref="AV8">_xll.EQNXTDZ($A$1,$B8,AV$1)</f>
        <v>625</v>
      </c>
      <c r="AW8" s="116" cm="1">
        <f t="array" ref="AW8">_xll.EQNXTDZ($A$1,$B8,AW$1)</f>
        <v>671.625</v>
      </c>
      <c r="AX8" s="116" cm="1">
        <f t="array" ref="AX8">_xll.EQNXTDZ($A$1,$B8,AX$1)</f>
        <v>625</v>
      </c>
      <c r="AY8" s="116" cm="1">
        <f t="array" ref="AY8">_xll.EQNXTDZ($A$1,$B8,AY$1)</f>
        <v>643.77499999999998</v>
      </c>
      <c r="AZ8" s="116" cm="1">
        <f t="array" ref="AZ8">_xll.EQNXTDZ($A$1,$B8,AZ$1)</f>
        <v>681.57500000000005</v>
      </c>
      <c r="BA8" s="116" cm="1">
        <f t="array" ref="BA8">_xll.EQNXTDZ($A$1,$B8,BA$1)</f>
        <v>708</v>
      </c>
      <c r="BB8" s="116" cm="1">
        <f t="array" ref="BB8">_xll.EQNXTDZ($A$1,$B8,BB$1)</f>
        <v>791.125</v>
      </c>
      <c r="BC8" s="116" cm="1">
        <f t="array" ref="BC8">_xll.EQNXTDZ($A$1,$B8,BC$1)</f>
        <v>696.65</v>
      </c>
      <c r="BD8" s="116" cm="1">
        <f t="array" ref="BD8">_xll.EQNXTDZ($A$1,$B8,BD$1)</f>
        <v>597.04999999999995</v>
      </c>
      <c r="BE8" s="116" cm="1">
        <f t="array" ref="BE8">_xll.EQNXTDZ($A$1,$B8,BE$1)</f>
        <v>628.57500000000005</v>
      </c>
      <c r="BF8" s="116" cm="1">
        <f t="array" ref="BF8">_xll.EQNXTDZ($A$1,$B8,BF$1)</f>
        <v>637</v>
      </c>
      <c r="BG8" s="116" cm="1">
        <f t="array" ref="BG8">_xll.EQNXTDZ($A$1,$B8,BG$1)</f>
        <v>602.65</v>
      </c>
      <c r="BH8" s="116" cm="1">
        <f t="array" ref="BH8">_xll.EQNXTDZ($A$1,$B8,BH$1)</f>
        <v>660</v>
      </c>
      <c r="BI8" s="116" cm="1">
        <f t="array" ref="BI8">_xll.EQNXTDZ($A$1,$B8,BI$1)</f>
        <v>697</v>
      </c>
      <c r="BJ8" s="116" cm="1">
        <f t="array" ref="BJ8">_xll.EQNXTDZ($A$1,$B8,BJ$1)</f>
        <v>570.97500000000002</v>
      </c>
      <c r="BK8" s="116" cm="1">
        <f t="array" ref="BK8">_xll.EQNXTDZ($A$1,$B8,BK$1)</f>
        <v>575.52499999999998</v>
      </c>
      <c r="BL8" s="116" cm="1">
        <f t="array" ref="BL8">_xll.EQNXTDZ($A$1,$B8,BL$1)</f>
        <v>585</v>
      </c>
      <c r="BM8" s="116" cm="1">
        <f t="array" ref="BM8">_xll.EQNXTDZ($A$1,$B8,BM$1)</f>
        <v>595.54999999999995</v>
      </c>
      <c r="BN8" s="116" cm="1">
        <f t="array" ref="BN8">_xll.EQNXTDZ($A$1,$B8,BN$1)</f>
        <v>573.65</v>
      </c>
      <c r="BO8" s="116" cm="1">
        <f t="array" ref="BO8">_xll.EQNXTDZ($A$1,$B8,BO$1)</f>
        <v>615</v>
      </c>
      <c r="BP8" s="116" cm="1">
        <f t="array" ref="BP8">_xll.EQNXTDZ($A$1,$B8,BP$1)</f>
        <v>602.1</v>
      </c>
      <c r="BQ8" s="116" cm="1">
        <f t="array" ref="BQ8">_xll.EQNXTDZ($A$1,$B8,BQ$1)</f>
        <v>629.4</v>
      </c>
      <c r="BR8" s="116" cm="1">
        <f t="array" ref="BR8">_xll.EQNXTDZ($A$1,$B8,BR$1)</f>
        <v>670</v>
      </c>
      <c r="BS8" s="116" cm="1">
        <f t="array" ref="BS8">_xll.EQNXTDZ($A$1,$B8,BS$1)</f>
        <v>635.77499999999998</v>
      </c>
      <c r="BT8" s="116" cm="1">
        <f t="array" ref="BT8">_xll.EQNXTDZ($A$1,$B8,BT$1)</f>
        <v>610.6</v>
      </c>
      <c r="BU8" s="116" cm="1">
        <f t="array" ref="BU8">_xll.EQNXTDZ($A$1,$B8,BU$1)</f>
        <v>621.79999999999995</v>
      </c>
      <c r="BV8" s="116" cm="1">
        <f t="array" ref="BV8">_xll.EQNXTDZ($A$1,$B8,BV$1)</f>
        <v>651.77499999999998</v>
      </c>
      <c r="BW8" s="116" cm="1">
        <f t="array" ref="BW8">_xll.EQNXTDZ($A$1,$B8,BW$1)</f>
        <v>685.57500000000005</v>
      </c>
      <c r="BX8" s="116" cm="1">
        <f t="array" ref="BX8">_xll.EQNXTDZ($A$1,$B8,BX$1)</f>
        <v>695.32500000000005</v>
      </c>
      <c r="BY8" s="116" cm="1">
        <f t="array" ref="BY8">_xll.EQNXTDZ($A$1,$B8,BY$1)</f>
        <v>754</v>
      </c>
      <c r="BZ8" s="116" cm="1">
        <f t="array" ref="BZ8">_xll.EQNXTDZ($A$1,$B8,BZ$1)</f>
        <v>791.72500000000002</v>
      </c>
      <c r="CA8" s="116" cm="1">
        <f t="array" ref="CA8">_xll.EQNXTDZ($A$1,$B8,CA$1)</f>
        <v>755.67499999999995</v>
      </c>
      <c r="CB8" s="116" cm="1">
        <f t="array" ref="CB8">_xll.EQNXTDZ($A$1,$B8,CB$1)</f>
        <v>785.5</v>
      </c>
      <c r="CC8" s="116" cm="1">
        <f t="array" ref="CC8">_xll.EQNXTDZ($A$1,$B8,CC$1)</f>
        <v>832.625</v>
      </c>
      <c r="CD8" s="116" cm="1">
        <f t="array" ref="CD8">_xll.EQNXTDZ($A$1,$B8,CD$1)</f>
        <v>873.52499999999998</v>
      </c>
      <c r="CE8" s="116" cm="1">
        <f t="array" ref="CE8">_xll.EQNXTDZ($A$1,$B8,CE$1)</f>
        <v>871.55</v>
      </c>
      <c r="CF8" s="116" cm="1">
        <f t="array" ref="CF8">_xll.EQNXTDZ($A$1,$B8,CF$1)</f>
        <v>879.25</v>
      </c>
      <c r="CG8" s="116" cm="1">
        <f t="array" ref="CG8">_xll.EQNXTDZ($A$1,$B8,CG$1)</f>
        <v>857.85</v>
      </c>
      <c r="CH8" s="116" cm="1">
        <f t="array" ref="CH8">_xll.EQNXTDZ($A$1,$B8,CH$1)</f>
        <v>752.52499999999998</v>
      </c>
      <c r="CI8" s="116" cm="1">
        <f t="array" ref="CI8">_xll.EQNXTDZ($A$1,$B8,CI$1)</f>
        <v>731.3</v>
      </c>
      <c r="CJ8" s="116" cm="1">
        <f t="array" ref="CJ8">_xll.EQNXTDZ($A$1,$B8,CJ$1)</f>
        <v>726</v>
      </c>
      <c r="CK8" s="116" cm="1">
        <f t="array" ref="CK8">_xll.EQNXTDZ($A$1,$B8,CK$1)</f>
        <v>797.5</v>
      </c>
      <c r="CL8" s="116" cm="1">
        <f t="array" ref="CL8">_xll.EQNXTDZ($A$1,$B8,CL$1)</f>
        <v>822.42499999999995</v>
      </c>
      <c r="CM8" s="116" cm="1">
        <f t="array" ref="CM8">_xll.EQNXTDZ($A$1,$B8,CM$1)</f>
        <v>777.5</v>
      </c>
      <c r="CN8" s="116" cm="1">
        <f t="array" ref="CN8">_xll.EQNXTDZ($A$1,$B8,CN$1)</f>
        <v>844.55</v>
      </c>
      <c r="CO8" s="116" cm="1">
        <f t="array" ref="CO8">_xll.EQNXTDZ($A$1,$B8,CO$1)</f>
        <v>904.02499999999998</v>
      </c>
      <c r="CP8" s="116" cm="1">
        <f t="array" ref="CP8">_xll.EQNXTDZ($A$1,$B8,CP$1)</f>
        <v>920.02499999999998</v>
      </c>
      <c r="CQ8" s="116" cm="1">
        <f t="array" ref="CQ8">_xll.EQNXTDZ($A$1,$B8,CQ$1)</f>
        <v>941.07500000000005</v>
      </c>
      <c r="CR8" s="116" cm="1">
        <f t="array" ref="CR8">_xll.EQNXTDZ($A$1,$B8,CR$1)</f>
        <v>791.625</v>
      </c>
      <c r="CS8" s="116" cm="1">
        <f t="array" ref="CS8">_xll.EQNXTDZ($A$1,$B8,CS$1)</f>
        <v>966</v>
      </c>
      <c r="CT8" s="116" cm="1">
        <f t="array" ref="CT8">_xll.EQNXTDZ($A$1,$B8,CT$1)</f>
        <v>1140.5999999999999</v>
      </c>
      <c r="CU8" s="116" cm="1">
        <f t="array" ref="CU8">_xll.EQNXTDZ($A$1,$B8,CU$1)</f>
        <v>1140</v>
      </c>
      <c r="CV8" s="116" cm="1">
        <f t="array" ref="CV8">_xll.EQNXTDZ($A$1,$B8,CV$1)</f>
        <v>1115.925</v>
      </c>
      <c r="CW8" s="116" cm="1">
        <f t="array" ref="CW8">_xll.EQNXTDZ($A$1,$B8,CW$1)</f>
        <v>1308.6500000000001</v>
      </c>
      <c r="CX8" s="116" cm="1">
        <f t="array" ref="CX8">_xll.EQNXTDZ($A$1,$B8,CX$1)</f>
        <v>1227.5</v>
      </c>
      <c r="CY8" s="116" cm="1">
        <f t="array" ref="CY8">_xll.EQNXTDZ($A$1,$B8,CY$1)</f>
        <v>1249.5250000000001</v>
      </c>
      <c r="CZ8" s="116" cm="1">
        <f t="array" ref="CZ8">_xll.EQNXTDZ($A$1,$B8,CZ$1)</f>
        <v>1209.375</v>
      </c>
      <c r="DA8" s="116" cm="1">
        <f t="array" ref="DA8">_xll.EQNXTDZ($A$1,$B8,DA$1)</f>
        <v>1291.7</v>
      </c>
      <c r="DB8" s="116" cm="1">
        <f t="array" ref="DB8">_xll.EQNXTDZ($A$1,$B8,DB$1)</f>
        <v>1285.6500000000001</v>
      </c>
      <c r="DC8" s="116" cm="1">
        <f t="array" ref="DC8">_xll.EQNXTDZ($A$1,$B8,DC$1)</f>
        <v>1200.7</v>
      </c>
      <c r="DD8" s="116" cm="1">
        <f t="array" ref="DD8">_xll.EQNXTDZ($A$1,$B8,DD$1)</f>
        <v>1155.55</v>
      </c>
      <c r="DE8" s="116" cm="1">
        <f t="array" ref="DE8">_xll.EQNXTDZ($A$1,$B8,DE$1)</f>
        <v>1237.75</v>
      </c>
      <c r="DF8" s="116" cm="1">
        <f t="array" ref="DF8">_xll.EQNXTDZ($A$1,$B8,DF$1)</f>
        <v>1242.4749999999999</v>
      </c>
      <c r="DG8" s="116" cm="1">
        <f t="array" ref="DG8">_xll.EQNXTDZ($A$1,$B8,DG$1)</f>
        <v>1357.5</v>
      </c>
      <c r="DH8" s="116" cm="1">
        <f t="array" ref="DH8">_xll.EQNXTDZ($A$1,$B8,DH$1)</f>
        <v>1441.5</v>
      </c>
      <c r="DI8" s="116" cm="1">
        <f t="array" ref="DI8">_xll.EQNXTDZ($A$1,$B8,DI$1)</f>
        <v>1427</v>
      </c>
      <c r="DJ8" s="116" cm="1">
        <f t="array" ref="DJ8">_xll.EQNXTDZ($A$1,$B8,DJ$1)</f>
        <v>1509.625</v>
      </c>
      <c r="DK8" s="116" cm="1">
        <f t="array" ref="DK8">_xll.EQNXTDZ($A$1,$B8,DK$1)</f>
        <v>1383</v>
      </c>
      <c r="DL8" s="116" cm="1">
        <f t="array" ref="DL8">_xll.EQNXTDZ($A$1,$B8,DL$1)</f>
        <v>1367.65</v>
      </c>
      <c r="DM8" s="116" cm="1">
        <f t="array" ref="DM8">_xll.EQNXTDZ($A$1,$B8,DM$1)</f>
        <v>1462.375</v>
      </c>
      <c r="DN8" s="116" cm="1">
        <f t="array" ref="DN8">_xll.EQNXTDZ($A$1,$B8,DN$1)</f>
        <v>1307.5</v>
      </c>
      <c r="DO8" s="116" cm="1">
        <f t="array" ref="DO8">_xll.EQNXTDZ($A$1,$B8,DO$1)</f>
        <v>1265.0250000000001</v>
      </c>
      <c r="DP8" s="116" cm="1">
        <f t="array" ref="DP8">_xll.EQNXTDZ($A$1,$B8,DP$1)</f>
        <v>1325.5</v>
      </c>
      <c r="DQ8" s="116" cm="1">
        <f t="array" ref="DQ8">_xll.EQNXTDZ($A$1,$B8,DQ$1)</f>
        <v>1345.05</v>
      </c>
      <c r="DR8" s="116" cm="1">
        <f t="array" ref="DR8">_xll.EQNXTDZ($A$1,$B8,DR$1)</f>
        <v>1242.075</v>
      </c>
      <c r="DS8" s="116" cm="1">
        <f t="array" ref="DS8">_xll.EQNXTDZ($A$1,$B8,DS$1)</f>
        <v>1359.2</v>
      </c>
      <c r="DT8" s="116" cm="1">
        <f t="array" ref="DT8">_xll.EQNXTDZ($A$1,$B8,DT$1)</f>
        <v>1419.0250000000001</v>
      </c>
      <c r="DU8" s="116" cm="1">
        <f t="array" ref="DU8">_xll.EQNXTDZ($A$1,$B8,DU$1)</f>
        <v>1480.4</v>
      </c>
      <c r="DV8" s="116" cm="1">
        <f t="array" ref="DV8">_xll.EQNXTDZ($A$1,$B8,DV$1)</f>
        <v>1448.8</v>
      </c>
      <c r="DW8" s="116" cm="1">
        <f t="array" ref="DW8">_xll.EQNXTDZ($A$1,$B8,DW$1)</f>
        <v>1549.3</v>
      </c>
      <c r="DX8" s="116" cm="1">
        <f t="array" ref="DX8">_xll.EQNXTDZ($A$1,$B8,DX$1)</f>
        <v>1596.55</v>
      </c>
      <c r="DY8" s="116" cm="1">
        <f t="array" ref="DY8">_xll.EQNXTDZ($A$1,$B8,DY$1)</f>
        <v>1544</v>
      </c>
      <c r="DZ8" s="116" cm="1">
        <f t="array" ref="DZ8">_xll.EQNXTDZ($A$1,$B8,DZ$1)</f>
        <v>1507.5</v>
      </c>
      <c r="EA8" s="116" cm="1">
        <f t="array" ref="EA8">_xll.EQNXTDZ($A$1,$B8,EA$1)</f>
        <v>1454</v>
      </c>
      <c r="EB8" s="116" cm="1">
        <f t="array" ref="EB8">_xll.EQNXTDZ($A$1,$B8,EB$1)</f>
        <v>1445.55</v>
      </c>
      <c r="EC8" s="116" cm="1">
        <f t="array" ref="EC8">_xll.EQNXTDZ($A$1,$B8,EC$1)</f>
        <v>1524.35</v>
      </c>
      <c r="ED8" s="116" cm="1">
        <f t="array" ref="ED8">_xll.EQNXTDZ($A$1,$B8,ED$1)</f>
        <v>1598.45</v>
      </c>
      <c r="EE8" s="116" cm="1">
        <f t="array" ref="EE8">_xll.EQNXTDZ($A$1,$B8,EE$1)</f>
        <v>1763.9</v>
      </c>
      <c r="EF8" s="116" cm="1">
        <f t="array" ref="EF8">_xll.EQNXTDZ($A$1,$B8,EF$1)</f>
        <v>1862.7</v>
      </c>
      <c r="EG8" s="116" cm="1">
        <f t="array" ref="EG8">_xll.EQNXTDZ($A$1,$B8,EG$1)</f>
        <v>1837.75</v>
      </c>
      <c r="EH8" s="116" cm="1">
        <f t="array" ref="EH8">_xll.EQNXTDZ($A$1,$B8,EH$1)</f>
        <v>1772.05</v>
      </c>
      <c r="EI8" s="116" cm="1">
        <f t="array" ref="EI8">_xll.EQNXTDZ($A$1,$B8,EI$1)</f>
        <v>1822.55</v>
      </c>
      <c r="EJ8" s="116" cm="1">
        <f t="array" ref="EJ8">_xll.EQNXTDZ($A$1,$B8,EJ$1)</f>
        <v>1913.35</v>
      </c>
      <c r="EK8" s="116" cm="1">
        <f t="array" ref="EK8">_xll.EQNXTDZ($A$1,$B8,EK$1)</f>
        <v>2025.7</v>
      </c>
      <c r="EL8" s="116" cm="1">
        <f t="array" ref="EL8">_xll.EQNXTDZ($A$1,$B8,EL$1)</f>
        <v>2288.6999999999998</v>
      </c>
      <c r="EM8" s="116" cm="1">
        <f t="array" ref="EM8">_xll.EQNXTDZ($A$1,$B8,EM$1)</f>
        <v>2480.65</v>
      </c>
      <c r="EN8" s="116" cm="1">
        <f t="array" ref="EN8">_xll.EQNXTDZ($A$1,$B8,EN$1)</f>
        <v>2487.8000000000002</v>
      </c>
      <c r="EO8" s="116" cm="1">
        <f t="array" ref="EO8">_xll.EQNXTDZ($A$1,$B8,EO$1)</f>
        <v>2505.3000000000002</v>
      </c>
      <c r="EP8" s="116" cm="1">
        <f t="array" ref="EP8">_xll.EQNXTDZ($A$1,$B8,EP$1)</f>
        <v>2519.9499999999998</v>
      </c>
      <c r="EQ8" s="116" cm="1">
        <f t="array" ref="EQ8">_xll.EQNXTDZ($A$1,$B8,EQ$1)</f>
        <v>2570.4499999999998</v>
      </c>
      <c r="ER8" s="116" cm="1">
        <f t="array" ref="ER8">_xll.EQNXTDZ($A$1,$B8,ER$1)</f>
        <v>2757.9</v>
      </c>
      <c r="ES8" s="116" cm="1">
        <f t="array" ref="ES8">_xll.EQNXTDZ($A$1,$B8,ES$1)</f>
        <v>3156.45</v>
      </c>
      <c r="ET8" s="116" cm="1">
        <f t="array" ref="ET8">_xll.EQNXTDZ($A$1,$B8,ET$1)</f>
        <v>3320.95</v>
      </c>
      <c r="EU8" s="116" cm="1">
        <f t="array" ref="EU8">_xll.EQNXTDZ($A$1,$B8,EU$1)</f>
        <v>3084.8</v>
      </c>
      <c r="EV8" s="116" cm="1">
        <f t="array" ref="EV8">_xll.EQNXTDZ($A$1,$B8,EV$1)</f>
        <v>3052</v>
      </c>
      <c r="EW8" s="116" cm="1">
        <f t="array" ref="EW8">_xll.EQNXTDZ($A$1,$B8,EW$1)</f>
        <v>3294.05</v>
      </c>
      <c r="EX8" s="116" cm="1">
        <f t="array" ref="EX8">_xll.EQNXTDZ($A$1,$B8,EX$1)</f>
        <v>3122</v>
      </c>
      <c r="EY8" s="116" cm="1">
        <f t="array" ref="EY8">_xll.EQNXTDZ($A$1,$B8,EY$1)</f>
        <v>2911.5</v>
      </c>
      <c r="EZ8" s="116" cm="1">
        <f t="array" ref="EZ8">_xll.EQNXTDZ($A$1,$B8,EZ$1)</f>
        <v>2886.45</v>
      </c>
      <c r="FA8" s="116" cm="1">
        <f t="array" ref="FA8">_xll.EQNXTDZ($A$1,$B8,FA$1)</f>
        <v>3107.4</v>
      </c>
      <c r="FB8" s="116" cm="1">
        <f t="array" ref="FB8">_xll.EQNXTDZ($A$1,$B8,FB$1)</f>
        <v>3101.6</v>
      </c>
      <c r="FC8" s="116" cm="1">
        <f t="array" ref="FC8">_xll.EQNXTDZ($A$1,$B8,FC$1)</f>
        <v>3102</v>
      </c>
      <c r="FD8" s="116" cm="1">
        <f t="array" ref="FD8">_xll.EQNXTDZ($A$1,$B8,FD$1)</f>
        <v>3287.3</v>
      </c>
      <c r="FE8" s="116" cm="1">
        <f t="array" ref="FE8">_xll.EQNXTDZ($A$1,$B8,FE$1)</f>
        <v>3490.2</v>
      </c>
      <c r="FF8" s="116" cm="1">
        <f t="array" ref="FF8">_xll.EQNXTDZ($A$1,$B8,FF$1)</f>
        <v>3483.1</v>
      </c>
      <c r="FG8" s="116" cm="1">
        <f t="array" ref="FG8">_xll.EQNXTDZ($A$1,$B8,FG$1)</f>
        <v>3480.6</v>
      </c>
      <c r="FH8" s="116" cm="1">
        <f t="array" ref="FH8">_xll.EQNXTDZ($A$1,$B8,FH$1)</f>
        <v>3532.6</v>
      </c>
      <c r="FI8" s="116" cm="1">
        <f t="array" ref="FI8">_xll.EQNXTDZ($A$1,$B8,FI$1)</f>
        <v>3688.8</v>
      </c>
      <c r="FJ8" s="116" cm="1">
        <f t="array" ref="FJ8">_xll.EQNXTDZ($A$1,$B8,FJ$1)</f>
        <v>3695</v>
      </c>
      <c r="FK8" s="116" cm="1">
        <f t="array" ref="FK8">_xll.EQNXTDZ($A$1,$B8,FK$1)</f>
        <v>3903.9</v>
      </c>
      <c r="FL8" s="116" cm="1">
        <f t="array" ref="FL8">_xll.EQNXTDZ($A$1,$B8,FL$1)</f>
        <v>4161.2</v>
      </c>
      <c r="FM8" s="116" cm="1">
        <f t="array" ref="FM8">_xll.EQNXTDZ($A$1,$B8,FM$1)</f>
        <v>3871.1</v>
      </c>
      <c r="FN8" s="116" cm="1">
        <f t="array" ref="FN8">_xll.EQNXTDZ($A$1,$B8,FN$1)</f>
        <v>4213</v>
      </c>
      <c r="FO8" s="116" cm="1">
        <f t="array" ref="FO8">_xll.EQNXTDZ($A$1,$B8,FO$1)</f>
        <v>4240.3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150.25</v>
      </c>
      <c r="HQ8" s="116">
        <f>+MIN(G8:I8)</f>
        <v>157.63749999999999</v>
      </c>
      <c r="HR8" s="116">
        <f>+MIN(J8:L8)</f>
        <v>163.75</v>
      </c>
      <c r="HS8" s="116">
        <f>+MIN(M8:O8)</f>
        <v>167.11250000000001</v>
      </c>
      <c r="HT8" s="116">
        <f>+MIN(P8:R8)</f>
        <v>192.45</v>
      </c>
      <c r="HU8" s="116">
        <f>+MIN(S8:U8)</f>
        <v>201.5</v>
      </c>
      <c r="HV8" s="116">
        <f>+MIN(V8:X8)</f>
        <v>230</v>
      </c>
      <c r="HW8" s="116">
        <f>+MIN(Y8:AA8)</f>
        <v>260.125</v>
      </c>
      <c r="HX8" s="116">
        <f>+MIN(AB8:AD8)</f>
        <v>329.75</v>
      </c>
      <c r="HY8" s="116">
        <f>+MIN(AE8:AG8)</f>
        <v>405.55</v>
      </c>
      <c r="HZ8" s="116">
        <f>+MIN(AH8:AJ8)</f>
        <v>515.04999999999995</v>
      </c>
      <c r="IA8" s="116">
        <f>+MIN(AK8:AM8)</f>
        <v>567.5</v>
      </c>
      <c r="IB8" s="116">
        <f>+MIN(AN8:AP8)</f>
        <v>643</v>
      </c>
      <c r="IC8" s="116">
        <f>+MIN(AQ8:AS8)</f>
        <v>687.8</v>
      </c>
      <c r="ID8" s="116">
        <f>+MIN(AT8:AV8)</f>
        <v>594.5</v>
      </c>
      <c r="IE8" s="116">
        <f>+MIN(AW8:AY8)</f>
        <v>625</v>
      </c>
      <c r="IF8" s="116">
        <f>+MIN(AZ8:BB8)</f>
        <v>681.57500000000005</v>
      </c>
      <c r="IG8" s="116">
        <f>+MIN(BC8:BE8)</f>
        <v>597.04999999999995</v>
      </c>
      <c r="IH8" s="116">
        <f>+MIN(BF8:BH8)</f>
        <v>602.65</v>
      </c>
      <c r="II8" s="116">
        <f>+MIN(BI8:BK8)</f>
        <v>570.97500000000002</v>
      </c>
      <c r="IJ8" s="116">
        <f>+MIN(BL8:BN8)</f>
        <v>573.65</v>
      </c>
      <c r="IK8" s="116">
        <f>+MIN(BO8:BQ8)</f>
        <v>602.1</v>
      </c>
      <c r="IL8" s="116">
        <f>+MIN(BR8:BT8)</f>
        <v>610.6</v>
      </c>
      <c r="IM8" s="116">
        <f>+MIN(BU8:BW8)</f>
        <v>621.79999999999995</v>
      </c>
      <c r="IN8" s="116">
        <f>+MIN(BX8:BZ8)</f>
        <v>695.32500000000005</v>
      </c>
      <c r="IO8" s="116">
        <f>+MIN(CA8:CC8)</f>
        <v>755.67499999999995</v>
      </c>
      <c r="IP8" s="116">
        <f>+MIN(CD8:CF8)</f>
        <v>871.55</v>
      </c>
      <c r="IQ8" s="116">
        <f>+MIN(CG8:CI8)</f>
        <v>731.3</v>
      </c>
      <c r="IR8" s="116">
        <f>+MIN(CJ8:CL8)</f>
        <v>726</v>
      </c>
      <c r="IS8" s="116">
        <f>+MIN(CM8:CO8)</f>
        <v>777.5</v>
      </c>
      <c r="IT8" s="116">
        <f>+MIN(CP8:CR8)</f>
        <v>791.625</v>
      </c>
      <c r="IU8" s="116">
        <f>+MIN(CS8:CU8)</f>
        <v>966</v>
      </c>
      <c r="IV8" s="116">
        <f>+MIN(CV8:CX8)</f>
        <v>1115.925</v>
      </c>
      <c r="IW8" s="116">
        <f>+MIN(CY8:DA8)</f>
        <v>1209.375</v>
      </c>
      <c r="IX8" s="116">
        <f>+MIN(DB8:DD8)</f>
        <v>1155.55</v>
      </c>
      <c r="IY8" s="116">
        <f>+MIN(DE8:DG8)</f>
        <v>1237.75</v>
      </c>
      <c r="IZ8" s="116">
        <f>+MIN(DH8:DJ8)</f>
        <v>1427</v>
      </c>
      <c r="JA8" s="116">
        <f>+MIN(DK8:DM8)</f>
        <v>1367.65</v>
      </c>
      <c r="JB8" s="116">
        <f>+MIN(DN8:DP8)</f>
        <v>1265.0250000000001</v>
      </c>
      <c r="JC8" s="116">
        <f>+MIN(DQ8:DS8)</f>
        <v>1242.075</v>
      </c>
      <c r="JD8" s="116">
        <f>+MIN(DT8:DV8)</f>
        <v>1419.0250000000001</v>
      </c>
      <c r="JE8" s="116">
        <f>+MIN(DW8:DY8)</f>
        <v>1544</v>
      </c>
      <c r="JF8" s="116">
        <f>+MIN(DZ8:EB8)</f>
        <v>1445.55</v>
      </c>
      <c r="JG8" s="116">
        <f>+MIN(EC8:EE8)</f>
        <v>1524.35</v>
      </c>
      <c r="JH8" s="116">
        <f>+MIN(EF8:EH8)</f>
        <v>1772.05</v>
      </c>
      <c r="JI8" s="116">
        <f>+MIN(EI8:EK8)</f>
        <v>1822.55</v>
      </c>
      <c r="JJ8" s="116">
        <f>+MIN(EL8:EN8)</f>
        <v>2288.6999999999998</v>
      </c>
      <c r="JK8" s="116">
        <f>MIN(EO8:EQ8)</f>
        <v>2505.3000000000002</v>
      </c>
      <c r="JL8" s="116">
        <f>MIN(ER8:ET8)</f>
        <v>2757.9</v>
      </c>
      <c r="JM8" s="116">
        <f>MIN(EU8:EW8)</f>
        <v>3052</v>
      </c>
      <c r="JN8" s="116">
        <f>MIN(EX8:EZ8)</f>
        <v>2886.45</v>
      </c>
      <c r="JO8" s="116">
        <f>MIN(FA8:FC8)</f>
        <v>3101.6</v>
      </c>
      <c r="JP8" s="116">
        <f>MIN(FD8:FF8)</f>
        <v>3287.3</v>
      </c>
      <c r="JQ8" s="116">
        <f>MIN(FG8:FI8)</f>
        <v>3480.6</v>
      </c>
      <c r="JR8" s="116">
        <f>MIN(FJ8:FL8)</f>
        <v>3695</v>
      </c>
      <c r="JS8" s="116">
        <f>MIN(FM8:FO8)</f>
        <v>3871.1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150.13749999999999</v>
      </c>
      <c r="D9" s="116" cm="1">
        <f t="array" ref="D9">_xll.EQNXTDZ($A$1,$B9,D$1)</f>
        <v>166.63749999999999</v>
      </c>
      <c r="E9" s="116" cm="1">
        <f t="array" ref="E9">_xll.EQNXTDZ($A$1,$B9,E$1)</f>
        <v>176.25</v>
      </c>
      <c r="F9" s="116" cm="1">
        <f t="array" ref="F9">_xll.EQNXTDZ($A$1,$B9,F$1)</f>
        <v>173.625</v>
      </c>
      <c r="G9" s="116" cm="1">
        <f t="array" ref="G9">_xll.EQNXTDZ($A$1,$B9,G$1)</f>
        <v>168.47499999999999</v>
      </c>
      <c r="H9" s="116" cm="1">
        <f t="array" ref="H9">_xll.EQNXTDZ($A$1,$B9,H$1)</f>
        <v>167.11250000000001</v>
      </c>
      <c r="I9" s="116" cm="1">
        <f t="array" ref="I9">_xll.EQNXTDZ($A$1,$B9,I$1)</f>
        <v>181.11250000000001</v>
      </c>
      <c r="J9" s="116" cm="1">
        <f t="array" ref="J9">_xll.EQNXTDZ($A$1,$B9,J$1)</f>
        <v>175.03749999999999</v>
      </c>
      <c r="K9" s="116" cm="1">
        <f t="array" ref="K9">_xll.EQNXTDZ($A$1,$B9,K$1)</f>
        <v>167.91249999999999</v>
      </c>
      <c r="L9" s="116" cm="1">
        <f t="array" ref="L9">_xll.EQNXTDZ($A$1,$B9,L$1)</f>
        <v>173.88749999999999</v>
      </c>
      <c r="M9" s="116" cm="1">
        <f t="array" ref="M9">_xll.EQNXTDZ($A$1,$B9,M$1)</f>
        <v>172.4375</v>
      </c>
      <c r="N9" s="116" cm="1">
        <f t="array" ref="N9">_xll.EQNXTDZ($A$1,$B9,N$1)</f>
        <v>197.03749999999999</v>
      </c>
      <c r="O9" s="116" cm="1">
        <f t="array" ref="O9">_xll.EQNXTDZ($A$1,$B9,O$1)</f>
        <v>205.5625</v>
      </c>
      <c r="P9" s="116" cm="1">
        <f t="array" ref="P9">_xll.EQNXTDZ($A$1,$B9,P$1)</f>
        <v>214.47499999999999</v>
      </c>
      <c r="Q9" s="116" cm="1">
        <f t="array" ref="Q9">_xll.EQNXTDZ($A$1,$B9,Q$1)</f>
        <v>203.8</v>
      </c>
      <c r="R9" s="116" cm="1">
        <f t="array" ref="R9">_xll.EQNXTDZ($A$1,$B9,R$1)</f>
        <v>219.1</v>
      </c>
      <c r="S9" s="116" cm="1">
        <f t="array" ref="S9">_xll.EQNXTDZ($A$1,$B9,S$1)</f>
        <v>225.75</v>
      </c>
      <c r="T9" s="116" cm="1">
        <f t="array" ref="T9">_xll.EQNXTDZ($A$1,$B9,T$1)</f>
        <v>231.02500000000001</v>
      </c>
      <c r="U9" s="116" cm="1">
        <f t="array" ref="U9">_xll.EQNXTDZ($A$1,$B9,U$1)</f>
        <v>236.125</v>
      </c>
      <c r="V9" s="116" cm="1">
        <f t="array" ref="V9">_xll.EQNXTDZ($A$1,$B9,V$1)</f>
        <v>269.57499999999999</v>
      </c>
      <c r="W9" s="116" cm="1">
        <f t="array" ref="W9">_xll.EQNXTDZ($A$1,$B9,W$1)</f>
        <v>276.89999999999998</v>
      </c>
      <c r="X9" s="116" cm="1">
        <f t="array" ref="X9">_xll.EQNXTDZ($A$1,$B9,X$1)</f>
        <v>262.125</v>
      </c>
      <c r="Y9" s="116" cm="1">
        <f t="array" ref="Y9">_xll.EQNXTDZ($A$1,$B9,Y$1)</f>
        <v>289</v>
      </c>
      <c r="Z9" s="116" cm="1">
        <f t="array" ref="Z9">_xll.EQNXTDZ($A$1,$B9,Z$1)</f>
        <v>305.67500000000001</v>
      </c>
      <c r="AA9" s="116" cm="1">
        <f t="array" ref="AA9">_xll.EQNXTDZ($A$1,$B9,AA$1)</f>
        <v>355.02499999999998</v>
      </c>
      <c r="AB9" s="116" cm="1">
        <f t="array" ref="AB9">_xll.EQNXTDZ($A$1,$B9,AB$1)</f>
        <v>371.85</v>
      </c>
      <c r="AC9" s="116" cm="1">
        <f t="array" ref="AC9">_xll.EQNXTDZ($A$1,$B9,AC$1)</f>
        <v>416.375</v>
      </c>
      <c r="AD9" s="116" cm="1">
        <f t="array" ref="AD9">_xll.EQNXTDZ($A$1,$B9,AD$1)</f>
        <v>435.72500000000002</v>
      </c>
      <c r="AE9" s="116" cm="1">
        <f t="array" ref="AE9">_xll.EQNXTDZ($A$1,$B9,AE$1)</f>
        <v>440.95</v>
      </c>
      <c r="AF9" s="116" cm="1">
        <f t="array" ref="AF9">_xll.EQNXTDZ($A$1,$B9,AF$1)</f>
        <v>513.77499999999998</v>
      </c>
      <c r="AG9" s="116" cm="1">
        <f t="array" ref="AG9">_xll.EQNXTDZ($A$1,$B9,AG$1)</f>
        <v>565.17499999999995</v>
      </c>
      <c r="AH9" s="116" cm="1">
        <f t="array" ref="AH9">_xll.EQNXTDZ($A$1,$B9,AH$1)</f>
        <v>549.85</v>
      </c>
      <c r="AI9" s="116" cm="1">
        <f t="array" ref="AI9">_xll.EQNXTDZ($A$1,$B9,AI$1)</f>
        <v>537.20000000000005</v>
      </c>
      <c r="AJ9" s="116" cm="1">
        <f t="array" ref="AJ9">_xll.EQNXTDZ($A$1,$B9,AJ$1)</f>
        <v>579.29999999999995</v>
      </c>
      <c r="AK9" s="116" cm="1">
        <f t="array" ref="AK9">_xll.EQNXTDZ($A$1,$B9,AK$1)</f>
        <v>600.92499999999995</v>
      </c>
      <c r="AL9" s="116" cm="1">
        <f t="array" ref="AL9">_xll.EQNXTDZ($A$1,$B9,AL$1)</f>
        <v>602.375</v>
      </c>
      <c r="AM9" s="116" cm="1">
        <f t="array" ref="AM9">_xll.EQNXTDZ($A$1,$B9,AM$1)</f>
        <v>650.72500000000002</v>
      </c>
      <c r="AN9" s="116" cm="1">
        <f t="array" ref="AN9">_xll.EQNXTDZ($A$1,$B9,AN$1)</f>
        <v>720.82500000000005</v>
      </c>
      <c r="AO9" s="116" cm="1">
        <f t="array" ref="AO9">_xll.EQNXTDZ($A$1,$B9,AO$1)</f>
        <v>803.5</v>
      </c>
      <c r="AP9" s="116" cm="1">
        <f t="array" ref="AP9">_xll.EQNXTDZ($A$1,$B9,AP$1)</f>
        <v>751.125</v>
      </c>
      <c r="AQ9" s="116" cm="1">
        <f t="array" ref="AQ9">_xll.EQNXTDZ($A$1,$B9,AQ$1)</f>
        <v>770.57500000000005</v>
      </c>
      <c r="AR9" s="116" cm="1">
        <f t="array" ref="AR9">_xll.EQNXTDZ($A$1,$B9,AR$1)</f>
        <v>712.77499999999998</v>
      </c>
      <c r="AS9" s="116" cm="1">
        <f t="array" ref="AS9">_xll.EQNXTDZ($A$1,$B9,AS$1)</f>
        <v>725.82500000000005</v>
      </c>
      <c r="AT9" s="116" cm="1">
        <f t="array" ref="AT9">_xll.EQNXTDZ($A$1,$B9,AT$1)</f>
        <v>699.42499999999995</v>
      </c>
      <c r="AU9" s="116" cm="1">
        <f t="array" ref="AU9">_xll.EQNXTDZ($A$1,$B9,AU$1)</f>
        <v>630.5</v>
      </c>
      <c r="AV9" s="116" cm="1">
        <f t="array" ref="AV9">_xll.EQNXTDZ($A$1,$B9,AV$1)</f>
        <v>670.125</v>
      </c>
      <c r="AW9" s="116" cm="1">
        <f t="array" ref="AW9">_xll.EQNXTDZ($A$1,$B9,AW$1)</f>
        <v>715.125</v>
      </c>
      <c r="AX9" s="116" cm="1">
        <f t="array" ref="AX9">_xll.EQNXTDZ($A$1,$B9,AX$1)</f>
        <v>670.875</v>
      </c>
      <c r="AY9" s="116" cm="1">
        <f t="array" ref="AY9">_xll.EQNXTDZ($A$1,$B9,AY$1)</f>
        <v>686.42499999999995</v>
      </c>
      <c r="AZ9" s="116" cm="1">
        <f t="array" ref="AZ9">_xll.EQNXTDZ($A$1,$B9,AZ$1)</f>
        <v>720.22500000000002</v>
      </c>
      <c r="BA9" s="116" cm="1">
        <f t="array" ref="BA9">_xll.EQNXTDZ($A$1,$B9,BA$1)</f>
        <v>815.97500000000002</v>
      </c>
      <c r="BB9" s="116" cm="1">
        <f t="array" ref="BB9">_xll.EQNXTDZ($A$1,$B9,BB$1)</f>
        <v>811.77499999999998</v>
      </c>
      <c r="BC9" s="116" cm="1">
        <f t="array" ref="BC9">_xll.EQNXTDZ($A$1,$B9,BC$1)</f>
        <v>708.3</v>
      </c>
      <c r="BD9" s="116" cm="1">
        <f t="array" ref="BD9">_xll.EQNXTDZ($A$1,$B9,BD$1)</f>
        <v>688.57500000000005</v>
      </c>
      <c r="BE9" s="116" cm="1">
        <f t="array" ref="BE9">_xll.EQNXTDZ($A$1,$B9,BE$1)</f>
        <v>658.57500000000005</v>
      </c>
      <c r="BF9" s="116" cm="1">
        <f t="array" ref="BF9">_xll.EQNXTDZ($A$1,$B9,BF$1)</f>
        <v>649.97500000000002</v>
      </c>
      <c r="BG9" s="116" cm="1">
        <f t="array" ref="BG9">_xll.EQNXTDZ($A$1,$B9,BG$1)</f>
        <v>680.97500000000002</v>
      </c>
      <c r="BH9" s="116" cm="1">
        <f t="array" ref="BH9">_xll.EQNXTDZ($A$1,$B9,BH$1)</f>
        <v>776.3</v>
      </c>
      <c r="BI9" s="116" cm="1">
        <f t="array" ref="BI9">_xll.EQNXTDZ($A$1,$B9,BI$1)</f>
        <v>709.375</v>
      </c>
      <c r="BJ9" s="116" cm="1">
        <f t="array" ref="BJ9">_xll.EQNXTDZ($A$1,$B9,BJ$1)</f>
        <v>616.6</v>
      </c>
      <c r="BK9" s="116" cm="1">
        <f t="array" ref="BK9">_xll.EQNXTDZ($A$1,$B9,BK$1)</f>
        <v>610.27499999999998</v>
      </c>
      <c r="BL9" s="116" cm="1">
        <f t="array" ref="BL9">_xll.EQNXTDZ($A$1,$B9,BL$1)</f>
        <v>659.02499999999998</v>
      </c>
      <c r="BM9" s="116" cm="1">
        <f t="array" ref="BM9">_xll.EQNXTDZ($A$1,$B9,BM$1)</f>
        <v>601.75</v>
      </c>
      <c r="BN9" s="116" cm="1">
        <f t="array" ref="BN9">_xll.EQNXTDZ($A$1,$B9,BN$1)</f>
        <v>615.47500000000002</v>
      </c>
      <c r="BO9" s="116" cm="1">
        <f t="array" ref="BO9">_xll.EQNXTDZ($A$1,$B9,BO$1)</f>
        <v>634.92499999999995</v>
      </c>
      <c r="BP9" s="116" cm="1">
        <f t="array" ref="BP9">_xll.EQNXTDZ($A$1,$B9,BP$1)</f>
        <v>643.07500000000005</v>
      </c>
      <c r="BQ9" s="116" cm="1">
        <f t="array" ref="BQ9">_xll.EQNXTDZ($A$1,$B9,BQ$1)</f>
        <v>709.27499999999998</v>
      </c>
      <c r="BR9" s="116" cm="1">
        <f t="array" ref="BR9">_xll.EQNXTDZ($A$1,$B9,BR$1)</f>
        <v>681.2</v>
      </c>
      <c r="BS9" s="116" cm="1">
        <f t="array" ref="BS9">_xll.EQNXTDZ($A$1,$B9,BS$1)</f>
        <v>684.32500000000005</v>
      </c>
      <c r="BT9" s="116" cm="1">
        <f t="array" ref="BT9">_xll.EQNXTDZ($A$1,$B9,BT$1)</f>
        <v>624.875</v>
      </c>
      <c r="BU9" s="116" cm="1">
        <f t="array" ref="BU9">_xll.EQNXTDZ($A$1,$B9,BU$1)</f>
        <v>709.25</v>
      </c>
      <c r="BV9" s="116" cm="1">
        <f t="array" ref="BV9">_xll.EQNXTDZ($A$1,$B9,BV$1)</f>
        <v>705.75</v>
      </c>
      <c r="BW9" s="116" cm="1">
        <f t="array" ref="BW9">_xll.EQNXTDZ($A$1,$B9,BW$1)</f>
        <v>700.57500000000005</v>
      </c>
      <c r="BX9" s="116" cm="1">
        <f t="array" ref="BX9">_xll.EQNXTDZ($A$1,$B9,BX$1)</f>
        <v>764.3</v>
      </c>
      <c r="BY9" s="116" cm="1">
        <f t="array" ref="BY9">_xll.EQNXTDZ($A$1,$B9,BY$1)</f>
        <v>906.4</v>
      </c>
      <c r="BZ9" s="116" cm="1">
        <f t="array" ref="BZ9">_xll.EQNXTDZ($A$1,$B9,BZ$1)</f>
        <v>826.3</v>
      </c>
      <c r="CA9" s="116" cm="1">
        <f t="array" ref="CA9">_xll.EQNXTDZ($A$1,$B9,CA$1)</f>
        <v>833.8</v>
      </c>
      <c r="CB9" s="116" cm="1">
        <f t="array" ref="CB9">_xll.EQNXTDZ($A$1,$B9,CB$1)</f>
        <v>886.9</v>
      </c>
      <c r="CC9" s="116" cm="1">
        <f t="array" ref="CC9">_xll.EQNXTDZ($A$1,$B9,CC$1)</f>
        <v>885.7</v>
      </c>
      <c r="CD9" s="116" cm="1">
        <f t="array" ref="CD9">_xll.EQNXTDZ($A$1,$B9,CD$1)</f>
        <v>909.4</v>
      </c>
      <c r="CE9" s="116" cm="1">
        <f t="array" ref="CE9">_xll.EQNXTDZ($A$1,$B9,CE$1)</f>
        <v>900.97500000000002</v>
      </c>
      <c r="CF9" s="116" cm="1">
        <f t="array" ref="CF9">_xll.EQNXTDZ($A$1,$B9,CF$1)</f>
        <v>974.875</v>
      </c>
      <c r="CG9" s="116" cm="1">
        <f t="array" ref="CG9">_xll.EQNXTDZ($A$1,$B9,CG$1)</f>
        <v>895.95</v>
      </c>
      <c r="CH9" s="116" cm="1">
        <f t="array" ref="CH9">_xll.EQNXTDZ($A$1,$B9,CH$1)</f>
        <v>782.42499999999995</v>
      </c>
      <c r="CI9" s="116" cm="1">
        <f t="array" ref="CI9">_xll.EQNXTDZ($A$1,$B9,CI$1)</f>
        <v>773.65</v>
      </c>
      <c r="CJ9" s="116" cm="1">
        <f t="array" ref="CJ9">_xll.EQNXTDZ($A$1,$B9,CJ$1)</f>
        <v>835.42499999999995</v>
      </c>
      <c r="CK9" s="116" cm="1">
        <f t="array" ref="CK9">_xll.EQNXTDZ($A$1,$B9,CK$1)</f>
        <v>853.8</v>
      </c>
      <c r="CL9" s="116" cm="1">
        <f t="array" ref="CL9">_xll.EQNXTDZ($A$1,$B9,CL$1)</f>
        <v>833.7</v>
      </c>
      <c r="CM9" s="116" cm="1">
        <f t="array" ref="CM9">_xll.EQNXTDZ($A$1,$B9,CM$1)</f>
        <v>888.15</v>
      </c>
      <c r="CN9" s="116" cm="1">
        <f t="array" ref="CN9">_xll.EQNXTDZ($A$1,$B9,CN$1)</f>
        <v>949.3</v>
      </c>
      <c r="CO9" s="116" cm="1">
        <f t="array" ref="CO9">_xll.EQNXTDZ($A$1,$B9,CO$1)</f>
        <v>924.52499999999998</v>
      </c>
      <c r="CP9" s="116" cm="1">
        <f t="array" ref="CP9">_xll.EQNXTDZ($A$1,$B9,CP$1)</f>
        <v>965.55</v>
      </c>
      <c r="CQ9" s="116" cm="1">
        <f t="array" ref="CQ9">_xll.EQNXTDZ($A$1,$B9,CQ$1)</f>
        <v>1075.1500000000001</v>
      </c>
      <c r="CR9" s="116" cm="1">
        <f t="array" ref="CR9">_xll.EQNXTDZ($A$1,$B9,CR$1)</f>
        <v>985.9</v>
      </c>
      <c r="CS9" s="116" cm="1">
        <f t="array" ref="CS9">_xll.EQNXTDZ($A$1,$B9,CS$1)</f>
        <v>1172.7</v>
      </c>
      <c r="CT9" s="116" cm="1">
        <f t="array" ref="CT9">_xll.EQNXTDZ($A$1,$B9,CT$1)</f>
        <v>1181.2750000000001</v>
      </c>
      <c r="CU9" s="116" cm="1">
        <f t="array" ref="CU9">_xll.EQNXTDZ($A$1,$B9,CU$1)</f>
        <v>1186.05</v>
      </c>
      <c r="CV9" s="116" cm="1">
        <f t="array" ref="CV9">_xll.EQNXTDZ($A$1,$B9,CV$1)</f>
        <v>1331.8</v>
      </c>
      <c r="CW9" s="116" cm="1">
        <f t="array" ref="CW9">_xll.EQNXTDZ($A$1,$B9,CW$1)</f>
        <v>1330.8</v>
      </c>
      <c r="CX9" s="116" cm="1">
        <f t="array" ref="CX9">_xll.EQNXTDZ($A$1,$B9,CX$1)</f>
        <v>1399.9749999999999</v>
      </c>
      <c r="CY9" s="116" cm="1">
        <f t="array" ref="CY9">_xll.EQNXTDZ($A$1,$B9,CY$1)</f>
        <v>1283.425</v>
      </c>
      <c r="CZ9" s="116" cm="1">
        <f t="array" ref="CZ9">_xll.EQNXTDZ($A$1,$B9,CZ$1)</f>
        <v>1307.55</v>
      </c>
      <c r="DA9" s="116" cm="1">
        <f t="array" ref="DA9">_xll.EQNXTDZ($A$1,$B9,DA$1)</f>
        <v>1401.35</v>
      </c>
      <c r="DB9" s="116" cm="1">
        <f t="array" ref="DB9">_xll.EQNXTDZ($A$1,$B9,DB$1)</f>
        <v>1304.075</v>
      </c>
      <c r="DC9" s="116" cm="1">
        <f t="array" ref="DC9">_xll.EQNXTDZ($A$1,$B9,DC$1)</f>
        <v>1214.0999999999999</v>
      </c>
      <c r="DD9" s="116" cm="1">
        <f t="array" ref="DD9">_xll.EQNXTDZ($A$1,$B9,DD$1)</f>
        <v>1272.5250000000001</v>
      </c>
      <c r="DE9" s="116" cm="1">
        <f t="array" ref="DE9">_xll.EQNXTDZ($A$1,$B9,DE$1)</f>
        <v>1254.625</v>
      </c>
      <c r="DF9" s="116" cm="1">
        <f t="array" ref="DF9">_xll.EQNXTDZ($A$1,$B9,DF$1)</f>
        <v>1370.675</v>
      </c>
      <c r="DG9" s="116" cm="1">
        <f t="array" ref="DG9">_xll.EQNXTDZ($A$1,$B9,DG$1)</f>
        <v>1450.8</v>
      </c>
      <c r="DH9" s="116" cm="1">
        <f t="array" ref="DH9">_xll.EQNXTDZ($A$1,$B9,DH$1)</f>
        <v>1535.55</v>
      </c>
      <c r="DI9" s="116" cm="1">
        <f t="array" ref="DI9">_xll.EQNXTDZ($A$1,$B9,DI$1)</f>
        <v>1552.95</v>
      </c>
      <c r="DJ9" s="116" cm="1">
        <f t="array" ref="DJ9">_xll.EQNXTDZ($A$1,$B9,DJ$1)</f>
        <v>1542.75</v>
      </c>
      <c r="DK9" s="116" cm="1">
        <f t="array" ref="DK9">_xll.EQNXTDZ($A$1,$B9,DK$1)</f>
        <v>1430.2</v>
      </c>
      <c r="DL9" s="116" cm="1">
        <f t="array" ref="DL9">_xll.EQNXTDZ($A$1,$B9,DL$1)</f>
        <v>1521.0250000000001</v>
      </c>
      <c r="DM9" s="116" cm="1">
        <f t="array" ref="DM9">_xll.EQNXTDZ($A$1,$B9,DM$1)</f>
        <v>1639.2249999999999</v>
      </c>
      <c r="DN9" s="116" cm="1">
        <f t="array" ref="DN9">_xll.EQNXTDZ($A$1,$B9,DN$1)</f>
        <v>1335.7249999999999</v>
      </c>
      <c r="DO9" s="116" cm="1">
        <f t="array" ref="DO9">_xll.EQNXTDZ($A$1,$B9,DO$1)</f>
        <v>1374.95</v>
      </c>
      <c r="DP9" s="116" cm="1">
        <f t="array" ref="DP9">_xll.EQNXTDZ($A$1,$B9,DP$1)</f>
        <v>1395.9749999999999</v>
      </c>
      <c r="DQ9" s="116" cm="1">
        <f t="array" ref="DQ9">_xll.EQNXTDZ($A$1,$B9,DQ$1)</f>
        <v>1407.175</v>
      </c>
      <c r="DR9" s="116" cm="1">
        <f t="array" ref="DR9">_xll.EQNXTDZ($A$1,$B9,DR$1)</f>
        <v>1416.3</v>
      </c>
      <c r="DS9" s="116" cm="1">
        <f t="array" ref="DS9">_xll.EQNXTDZ($A$1,$B9,DS$1)</f>
        <v>1430.125</v>
      </c>
      <c r="DT9" s="116" cm="1">
        <f t="array" ref="DT9">_xll.EQNXTDZ($A$1,$B9,DT$1)</f>
        <v>1528.8</v>
      </c>
      <c r="DU9" s="116" cm="1">
        <f t="array" ref="DU9">_xll.EQNXTDZ($A$1,$B9,DU$1)</f>
        <v>1550.55</v>
      </c>
      <c r="DV9" s="116" cm="1">
        <f t="array" ref="DV9">_xll.EQNXTDZ($A$1,$B9,DV$1)</f>
        <v>1559.85</v>
      </c>
      <c r="DW9" s="116" cm="1">
        <f t="array" ref="DW9">_xll.EQNXTDZ($A$1,$B9,DW$1)</f>
        <v>1650</v>
      </c>
      <c r="DX9" s="116" cm="1">
        <f t="array" ref="DX9">_xll.EQNXTDZ($A$1,$B9,DX$1)</f>
        <v>1659.9</v>
      </c>
      <c r="DY9" s="116" cm="1">
        <f t="array" ref="DY9">_xll.EQNXTDZ($A$1,$B9,DY$1)</f>
        <v>1550.6</v>
      </c>
      <c r="DZ9" s="116" cm="1">
        <f t="array" ref="DZ9">_xll.EQNXTDZ($A$1,$B9,DZ$1)</f>
        <v>1521.75</v>
      </c>
      <c r="EA9" s="116" cm="1">
        <f t="array" ref="EA9">_xll.EQNXTDZ($A$1,$B9,EA$1)</f>
        <v>1459.85</v>
      </c>
      <c r="EB9" s="116" cm="1">
        <f t="array" ref="EB9">_xll.EQNXTDZ($A$1,$B9,EB$1)</f>
        <v>1537.15</v>
      </c>
      <c r="EC9" s="116" cm="1">
        <f t="array" ref="EC9">_xll.EQNXTDZ($A$1,$B9,EC$1)</f>
        <v>1652.3</v>
      </c>
      <c r="ED9" s="116" cm="1">
        <f t="array" ref="ED9">_xll.EQNXTDZ($A$1,$B9,ED$1)</f>
        <v>1835.8</v>
      </c>
      <c r="EE9" s="116" cm="1">
        <f t="array" ref="EE9">_xll.EQNXTDZ($A$1,$B9,EE$1)</f>
        <v>1904.95</v>
      </c>
      <c r="EF9" s="116" cm="1">
        <f t="array" ref="EF9">_xll.EQNXTDZ($A$1,$B9,EF$1)</f>
        <v>2002.85</v>
      </c>
      <c r="EG9" s="116" cm="1">
        <f t="array" ref="EG9">_xll.EQNXTDZ($A$1,$B9,EG$1)</f>
        <v>1842.5</v>
      </c>
      <c r="EH9" s="116" cm="1">
        <f t="array" ref="EH9">_xll.EQNXTDZ($A$1,$B9,EH$1)</f>
        <v>1929.1</v>
      </c>
      <c r="EI9" s="116" cm="1">
        <f t="array" ref="EI9">_xll.EQNXTDZ($A$1,$B9,EI$1)</f>
        <v>1924.25</v>
      </c>
      <c r="EJ9" s="116" cm="1">
        <f t="array" ref="EJ9">_xll.EQNXTDZ($A$1,$B9,EJ$1)</f>
        <v>2126.5500000000002</v>
      </c>
      <c r="EK9" s="116" cm="1">
        <f t="array" ref="EK9">_xll.EQNXTDZ($A$1,$B9,EK$1)</f>
        <v>2305.5500000000002</v>
      </c>
      <c r="EL9" s="116" cm="1">
        <f t="array" ref="EL9">_xll.EQNXTDZ($A$1,$B9,EL$1)</f>
        <v>2531.1</v>
      </c>
      <c r="EM9" s="116" cm="1">
        <f t="array" ref="EM9">_xll.EQNXTDZ($A$1,$B9,EM$1)</f>
        <v>2666.1</v>
      </c>
      <c r="EN9" s="116" cm="1">
        <f t="array" ref="EN9">_xll.EQNXTDZ($A$1,$B9,EN$1)</f>
        <v>2600.6</v>
      </c>
      <c r="EO9" s="116" cm="1">
        <f t="array" ref="EO9">_xll.EQNXTDZ($A$1,$B9,EO$1)</f>
        <v>2642.55</v>
      </c>
      <c r="EP9" s="116" cm="1">
        <f t="array" ref="EP9">_xll.EQNXTDZ($A$1,$B9,EP$1)</f>
        <v>2696.05</v>
      </c>
      <c r="EQ9" s="116" cm="1">
        <f t="array" ref="EQ9">_xll.EQNXTDZ($A$1,$B9,EQ$1)</f>
        <v>2791.3</v>
      </c>
      <c r="ER9" s="116" cm="1">
        <f t="array" ref="ER9">_xll.EQNXTDZ($A$1,$B9,ER$1)</f>
        <v>3171.75</v>
      </c>
      <c r="ES9" s="116" cm="1">
        <f t="array" ref="ES9">_xll.EQNXTDZ($A$1,$B9,ES$1)</f>
        <v>3485.15</v>
      </c>
      <c r="ET9" s="116" cm="1">
        <f t="array" ref="ET9">_xll.EQNXTDZ($A$1,$B9,ET$1)</f>
        <v>3396.55</v>
      </c>
      <c r="EU9" s="116" cm="1">
        <f t="array" ref="EU9">_xll.EQNXTDZ($A$1,$B9,EU$1)</f>
        <v>3202.65</v>
      </c>
      <c r="EV9" s="116" cm="1">
        <f t="array" ref="EV9">_xll.EQNXTDZ($A$1,$B9,EV$1)</f>
        <v>3324.2</v>
      </c>
      <c r="EW9" s="116" cm="1">
        <f t="array" ref="EW9">_xll.EQNXTDZ($A$1,$B9,EW$1)</f>
        <v>3360.05</v>
      </c>
      <c r="EX9" s="116" cm="1">
        <f t="array" ref="EX9">_xll.EQNXTDZ($A$1,$B9,EX$1)</f>
        <v>3269.1</v>
      </c>
      <c r="EY9" s="116" cm="1">
        <f t="array" ref="EY9">_xll.EQNXTDZ($A$1,$B9,EY$1)</f>
        <v>2948.1</v>
      </c>
      <c r="EZ9" s="116" cm="1">
        <f t="array" ref="EZ9">_xll.EQNXTDZ($A$1,$B9,EZ$1)</f>
        <v>3227.95</v>
      </c>
      <c r="FA9" s="116" cm="1">
        <f t="array" ref="FA9">_xll.EQNXTDZ($A$1,$B9,FA$1)</f>
        <v>3322</v>
      </c>
      <c r="FB9" s="116" cm="1">
        <f t="array" ref="FB9">_xll.EQNXTDZ($A$1,$B9,FB$1)</f>
        <v>3174.7</v>
      </c>
      <c r="FC9" s="116" cm="1">
        <f t="array" ref="FC9">_xll.EQNXTDZ($A$1,$B9,FC$1)</f>
        <v>3408.2</v>
      </c>
      <c r="FD9" s="116" cm="1">
        <f t="array" ref="FD9">_xll.EQNXTDZ($A$1,$B9,FD$1)</f>
        <v>3741.9</v>
      </c>
      <c r="FE9" s="116" cm="1">
        <f t="array" ref="FE9">_xll.EQNXTDZ($A$1,$B9,FE$1)</f>
        <v>3559.8</v>
      </c>
      <c r="FF9" s="116" cm="1">
        <f t="array" ref="FF9">_xll.EQNXTDZ($A$1,$B9,FF$1)</f>
        <v>3603.2</v>
      </c>
      <c r="FG9" s="116" cm="1">
        <f t="array" ref="FG9">_xll.EQNXTDZ($A$1,$B9,FG$1)</f>
        <v>3560.1</v>
      </c>
      <c r="FH9" s="116" cm="1">
        <f t="array" ref="FH9">_xll.EQNXTDZ($A$1,$B9,FH$1)</f>
        <v>3720.6</v>
      </c>
      <c r="FI9" s="116" cm="1">
        <f t="array" ref="FI9">_xll.EQNXTDZ($A$1,$B9,FI$1)</f>
        <v>3850</v>
      </c>
      <c r="FJ9" s="116" cm="1">
        <f t="array" ref="FJ9">_xll.EQNXTDZ($A$1,$B9,FJ$1)</f>
        <v>3960.8</v>
      </c>
      <c r="FK9" s="116" cm="1">
        <f t="array" ref="FK9">_xll.EQNXTDZ($A$1,$B9,FK$1)</f>
        <v>4333.3</v>
      </c>
      <c r="FL9" s="116" cm="1">
        <f t="array" ref="FL9">_xll.EQNXTDZ($A$1,$B9,FL$1)</f>
        <v>4220.2</v>
      </c>
      <c r="FM9" s="116" cm="1">
        <f t="array" ref="FM9">_xll.EQNXTDZ($A$1,$B9,FM$1)</f>
        <v>4185.1000000000004</v>
      </c>
      <c r="FN9" s="116" cm="1">
        <f t="array" ref="FN9">_xll.EQNXTDZ($A$1,$B9,FN$1)</f>
        <v>4410.8</v>
      </c>
      <c r="FO9" s="116" cm="1">
        <f t="array" ref="FO9">_xll.EQNXTDZ($A$1,$B9,FO$1)</f>
        <v>4466.7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173.625</v>
      </c>
      <c r="HQ9" s="116">
        <f>+I9</f>
        <v>181.11250000000001</v>
      </c>
      <c r="HR9" s="116">
        <f>+L9</f>
        <v>173.88749999999999</v>
      </c>
      <c r="HS9" s="116">
        <f>+O9</f>
        <v>205.5625</v>
      </c>
      <c r="HT9" s="116">
        <f>+R9</f>
        <v>219.1</v>
      </c>
      <c r="HU9" s="116">
        <f>+U9</f>
        <v>236.125</v>
      </c>
      <c r="HV9" s="116">
        <f>+X9</f>
        <v>262.125</v>
      </c>
      <c r="HW9" s="116">
        <f>+AA9</f>
        <v>355.02499999999998</v>
      </c>
      <c r="HX9" s="116">
        <f>+AD9</f>
        <v>435.72500000000002</v>
      </c>
      <c r="HY9" s="116">
        <f>+AG9</f>
        <v>565.17499999999995</v>
      </c>
      <c r="HZ9" s="116">
        <f>+AJ9</f>
        <v>579.29999999999995</v>
      </c>
      <c r="IA9" s="116">
        <f>+AM9</f>
        <v>650.72500000000002</v>
      </c>
      <c r="IB9" s="116">
        <f>+AP9</f>
        <v>751.125</v>
      </c>
      <c r="IC9" s="116">
        <f>+AS9</f>
        <v>725.82500000000005</v>
      </c>
      <c r="ID9" s="116">
        <f>+AV9</f>
        <v>670.125</v>
      </c>
      <c r="IE9" s="116">
        <f>+AY9</f>
        <v>686.42499999999995</v>
      </c>
      <c r="IF9" s="116">
        <f>+BB9</f>
        <v>811.77499999999998</v>
      </c>
      <c r="IG9" s="116">
        <f>+BE9</f>
        <v>658.57500000000005</v>
      </c>
      <c r="IH9" s="116">
        <f>+BH9</f>
        <v>776.3</v>
      </c>
      <c r="II9" s="116">
        <f>+BK9</f>
        <v>610.27499999999998</v>
      </c>
      <c r="IJ9" s="116">
        <f>+BN9</f>
        <v>615.47500000000002</v>
      </c>
      <c r="IK9" s="116">
        <f>+BQ9</f>
        <v>709.27499999999998</v>
      </c>
      <c r="IL9" s="116">
        <f>+BT9</f>
        <v>624.875</v>
      </c>
      <c r="IM9" s="116">
        <f>+BW9</f>
        <v>700.57500000000005</v>
      </c>
      <c r="IN9" s="116">
        <f>+BZ9</f>
        <v>826.3</v>
      </c>
      <c r="IO9" s="116">
        <f>+CC9</f>
        <v>885.7</v>
      </c>
      <c r="IP9" s="116">
        <f>+CF9</f>
        <v>974.875</v>
      </c>
      <c r="IQ9" s="116">
        <f>+CI9</f>
        <v>773.65</v>
      </c>
      <c r="IR9" s="116">
        <f>+CL9</f>
        <v>833.7</v>
      </c>
      <c r="IS9" s="116">
        <f>+CO9</f>
        <v>924.52499999999998</v>
      </c>
      <c r="IT9" s="116">
        <f>+CR9</f>
        <v>985.9</v>
      </c>
      <c r="IU9" s="116">
        <f>+CU9</f>
        <v>1186.05</v>
      </c>
      <c r="IV9" s="116">
        <f>+CX9</f>
        <v>1399.9749999999999</v>
      </c>
      <c r="IW9" s="116">
        <f>+DA9</f>
        <v>1401.35</v>
      </c>
      <c r="IX9" s="116">
        <f>+DD9</f>
        <v>1272.5250000000001</v>
      </c>
      <c r="IY9" s="116">
        <f>+DG9</f>
        <v>1450.8</v>
      </c>
      <c r="IZ9" s="116">
        <f>+DJ9</f>
        <v>1542.75</v>
      </c>
      <c r="JA9" s="116">
        <f>+DM9</f>
        <v>1639.2249999999999</v>
      </c>
      <c r="JB9" s="116">
        <f>+DP9</f>
        <v>1395.9749999999999</v>
      </c>
      <c r="JC9" s="116">
        <f>+DS9</f>
        <v>1430.125</v>
      </c>
      <c r="JD9" s="116">
        <f>+DV9</f>
        <v>1559.85</v>
      </c>
      <c r="JE9" s="116">
        <f>+DY9</f>
        <v>1550.6</v>
      </c>
      <c r="JF9" s="116">
        <f>+EB9</f>
        <v>1537.15</v>
      </c>
      <c r="JG9" s="116">
        <f>+EE9</f>
        <v>1904.95</v>
      </c>
      <c r="JH9" s="116">
        <f>+EH9</f>
        <v>1929.1</v>
      </c>
      <c r="JI9" s="116">
        <f>+EK9</f>
        <v>2305.5500000000002</v>
      </c>
      <c r="JJ9" s="116">
        <f>+EN9</f>
        <v>2600.6</v>
      </c>
      <c r="JK9" s="116">
        <f>EQ9</f>
        <v>2791.3</v>
      </c>
      <c r="JL9" s="116">
        <f>ET9</f>
        <v>3396.55</v>
      </c>
      <c r="JM9" s="116">
        <f>EW9</f>
        <v>3360.05</v>
      </c>
      <c r="JN9" s="116">
        <f>EZ9</f>
        <v>3227.95</v>
      </c>
      <c r="JO9" s="116">
        <f>FC9</f>
        <v>3408.2</v>
      </c>
      <c r="JP9" s="116">
        <f>FF9</f>
        <v>3603.2</v>
      </c>
      <c r="JQ9" s="116">
        <f>FI9</f>
        <v>3850</v>
      </c>
      <c r="JR9" s="116">
        <f>FL9</f>
        <v>4220.2</v>
      </c>
      <c r="JS9" s="116">
        <f>FO9</f>
        <v>4466.7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152.875</v>
      </c>
      <c r="D13" cm="1">
        <f t="array" ref="D13">_xll.EQNXTDZ($A$1,$B13,D$1)</f>
        <v>151.25</v>
      </c>
      <c r="E13" cm="1">
        <f t="array" ref="E13">_xll.EQNXTDZ($A$1,$B13,E$1)</f>
        <v>167.5</v>
      </c>
      <c r="F13" cm="1">
        <f t="array" ref="F13">_xll.EQNXTDZ($A$1,$B13,F$1)</f>
        <v>176</v>
      </c>
      <c r="G13" cm="1">
        <f t="array" ref="G13">_xll.EQNXTDZ($A$1,$B13,G$1)</f>
        <v>174.91249999999999</v>
      </c>
      <c r="H13" cm="1">
        <f t="array" ref="H13">_xll.EQNXTDZ($A$1,$B13,H$1)</f>
        <v>169.86250000000001</v>
      </c>
      <c r="I13" cm="1">
        <f t="array" ref="I13">_xll.EQNXTDZ($A$1,$B13,I$1)</f>
        <v>168.72499999999999</v>
      </c>
      <c r="J13" cm="1">
        <f t="array" ref="J13">_xll.EQNXTDZ($A$1,$B13,J$1)</f>
        <v>182</v>
      </c>
      <c r="K13" cm="1">
        <f t="array" ref="K13">_xll.EQNXTDZ($A$1,$B13,K$1)</f>
        <v>175.5</v>
      </c>
      <c r="L13" cm="1">
        <f t="array" ref="L13">_xll.EQNXTDZ($A$1,$B13,L$1)</f>
        <v>166.77500000000001</v>
      </c>
      <c r="M13" cm="1">
        <f t="array" ref="M13">_xll.EQNXTDZ($A$1,$B13,M$1)</f>
        <v>173.75</v>
      </c>
      <c r="N13" cm="1">
        <f t="array" ref="N13">_xll.EQNXTDZ($A$1,$B13,N$1)</f>
        <v>173.66249999999999</v>
      </c>
      <c r="O13" cm="1">
        <f t="array" ref="O13">_xll.EQNXTDZ($A$1,$B13,O$1)</f>
        <v>197.5</v>
      </c>
      <c r="P13" cm="1">
        <f t="array" ref="P13">_xll.EQNXTDZ($A$1,$B13,P$1)</f>
        <v>205.42500000000001</v>
      </c>
      <c r="Q13" cm="1">
        <f t="array" ref="Q13">_xll.EQNXTDZ($A$1,$B13,Q$1)</f>
        <v>214.55</v>
      </c>
      <c r="R13" cm="1">
        <f t="array" ref="R13">_xll.EQNXTDZ($A$1,$B13,R$1)</f>
        <v>205.5</v>
      </c>
      <c r="S13" cm="1">
        <f t="array" ref="S13">_xll.EQNXTDZ($A$1,$B13,S$1)</f>
        <v>219</v>
      </c>
      <c r="T13" cm="1">
        <f t="array" ref="T13">_xll.EQNXTDZ($A$1,$B13,T$1)</f>
        <v>223.875</v>
      </c>
      <c r="U13" cm="1">
        <f t="array" ref="U13">_xll.EQNXTDZ($A$1,$B13,U$1)</f>
        <v>231.5</v>
      </c>
      <c r="V13" cm="1">
        <f t="array" ref="V13">_xll.EQNXTDZ($A$1,$B13,V$1)</f>
        <v>237.5</v>
      </c>
      <c r="W13" cm="1">
        <f t="array" ref="W13">_xll.EQNXTDZ($A$1,$B13,W$1)</f>
        <v>274.5</v>
      </c>
      <c r="X13" cm="1">
        <f t="array" ref="X13">_xll.EQNXTDZ($A$1,$B13,X$1)</f>
        <v>278.5</v>
      </c>
      <c r="Y13" cm="1">
        <f t="array" ref="Y13">_xll.EQNXTDZ($A$1,$B13,Y$1)</f>
        <v>265</v>
      </c>
      <c r="Z13" cm="1">
        <f t="array" ref="Z13">_xll.EQNXTDZ($A$1,$B13,Z$1)</f>
        <v>290</v>
      </c>
      <c r="AA13" cm="1">
        <f t="array" ref="AA13">_xll.EQNXTDZ($A$1,$B13,AA$1)</f>
        <v>312.64999999999998</v>
      </c>
      <c r="AB13" cm="1">
        <f t="array" ref="AB13">_xll.EQNXTDZ($A$1,$B13,AB$1)</f>
        <v>357</v>
      </c>
      <c r="AC13" cm="1">
        <f t="array" ref="AC13">_xll.EQNXTDZ($A$1,$B13,AC$1)</f>
        <v>370</v>
      </c>
      <c r="AD13" cm="1">
        <f t="array" ref="AD13">_xll.EQNXTDZ($A$1,$B13,AD$1)</f>
        <v>416.02499999999998</v>
      </c>
      <c r="AE13" cm="1">
        <f t="array" ref="AE13">_xll.EQNXTDZ($A$1,$B13,AE$1)</f>
        <v>437.8</v>
      </c>
      <c r="AF13" cm="1">
        <f t="array" ref="AF13">_xll.EQNXTDZ($A$1,$B13,AF$1)</f>
        <v>445</v>
      </c>
      <c r="AG13" cm="1">
        <f t="array" ref="AG13">_xll.EQNXTDZ($A$1,$B13,AG$1)</f>
        <v>513.375</v>
      </c>
      <c r="AH13" cm="1">
        <f t="array" ref="AH13">_xll.EQNXTDZ($A$1,$B13,AH$1)</f>
        <v>563.92499999999995</v>
      </c>
      <c r="AI13" cm="1">
        <f t="array" ref="AI13">_xll.EQNXTDZ($A$1,$B13,AI$1)</f>
        <v>555.5</v>
      </c>
      <c r="AJ13" cm="1">
        <f t="array" ref="AJ13">_xll.EQNXTDZ($A$1,$B13,AJ$1)</f>
        <v>535</v>
      </c>
      <c r="AK13" cm="1">
        <f t="array" ref="AK13">_xll.EQNXTDZ($A$1,$B13,AK$1)</f>
        <v>575.5</v>
      </c>
      <c r="AL13" cm="1">
        <f t="array" ref="AL13">_xll.EQNXTDZ($A$1,$B13,AL$1)</f>
        <v>607.97500000000002</v>
      </c>
      <c r="AM13" cm="1">
        <f t="array" ref="AM13">_xll.EQNXTDZ($A$1,$B13,AM$1)</f>
        <v>607.5</v>
      </c>
      <c r="AN13" cm="1">
        <f t="array" ref="AN13">_xll.EQNXTDZ($A$1,$B13,AN$1)</f>
        <v>657</v>
      </c>
      <c r="AO13" cm="1">
        <f t="array" ref="AO13">_xll.EQNXTDZ($A$1,$B13,AO$1)</f>
        <v>720.5</v>
      </c>
      <c r="AP13" cm="1">
        <f t="array" ref="AP13">_xll.EQNXTDZ($A$1,$B13,AP$1)</f>
        <v>809.85</v>
      </c>
      <c r="AQ13" cm="1">
        <f t="array" ref="AQ13">_xll.EQNXTDZ($A$1,$B13,AQ$1)</f>
        <v>752</v>
      </c>
      <c r="AR13" cm="1">
        <f t="array" ref="AR13">_xll.EQNXTDZ($A$1,$B13,AR$1)</f>
        <v>772</v>
      </c>
      <c r="AS13" cm="1">
        <f t="array" ref="AS13">_xll.EQNXTDZ($A$1,$B13,AS$1)</f>
        <v>715</v>
      </c>
      <c r="AT13" cm="1">
        <f t="array" ref="AT13">_xll.EQNXTDZ($A$1,$B13,AT$1)</f>
        <v>721.07500000000005</v>
      </c>
      <c r="AU13" cm="1">
        <f t="array" ref="AU13">_xll.EQNXTDZ($A$1,$B13,AU$1)</f>
        <v>705</v>
      </c>
      <c r="AV13" cm="1">
        <f t="array" ref="AV13">_xll.EQNXTDZ($A$1,$B13,AV$1)</f>
        <v>637.5</v>
      </c>
      <c r="AW13" cm="1">
        <f t="array" ref="AW13">_xll.EQNXTDZ($A$1,$B13,AW$1)</f>
        <v>675.35</v>
      </c>
      <c r="AX13" cm="1">
        <f t="array" ref="AX13">_xll.EQNXTDZ($A$1,$B13,AX$1)</f>
        <v>710</v>
      </c>
      <c r="AY13" cm="1">
        <f t="array" ref="AY13">_xll.EQNXTDZ($A$1,$B13,AY$1)</f>
        <v>667.5</v>
      </c>
      <c r="AZ13" cm="1">
        <f t="array" ref="AZ13">_xll.EQNXTDZ($A$1,$B13,AZ$1)</f>
        <v>690</v>
      </c>
      <c r="BA13" cm="1">
        <f t="array" ref="BA13">_xll.EQNXTDZ($A$1,$B13,BA$1)</f>
        <v>720.52499999999998</v>
      </c>
      <c r="BB13" cm="1">
        <f t="array" ref="BB13">_xll.EQNXTDZ($A$1,$B13,BB$1)</f>
        <v>816.9</v>
      </c>
      <c r="BC13" cm="1">
        <f t="array" ref="BC13">_xll.EQNXTDZ($A$1,$B13,BC$1)</f>
        <v>812.5</v>
      </c>
      <c r="BD13" cm="1">
        <f t="array" ref="BD13">_xll.EQNXTDZ($A$1,$B13,BD$1)</f>
        <v>708</v>
      </c>
      <c r="BE13" cm="1">
        <f t="array" ref="BE13">_xll.EQNXTDZ($A$1,$B13,BE$1)</f>
        <v>692.5</v>
      </c>
      <c r="BF13" cm="1">
        <f t="array" ref="BF13">_xll.EQNXTDZ($A$1,$B13,BF$1)</f>
        <v>659.22500000000002</v>
      </c>
      <c r="BG13" cm="1">
        <f t="array" ref="BG13">_xll.EQNXTDZ($A$1,$B13,BG$1)</f>
        <v>650</v>
      </c>
      <c r="BH13" cm="1">
        <f t="array" ref="BH13">_xll.EQNXTDZ($A$1,$B13,BH$1)</f>
        <v>684.5</v>
      </c>
      <c r="BI13" cm="1">
        <f t="array" ref="BI13">_xll.EQNXTDZ($A$1,$B13,BI$1)</f>
        <v>775</v>
      </c>
      <c r="BJ13" cm="1">
        <f t="array" ref="BJ13">_xll.EQNXTDZ($A$1,$B13,BJ$1)</f>
        <v>715</v>
      </c>
      <c r="BK13" cm="1">
        <f t="array" ref="BK13">_xll.EQNXTDZ($A$1,$B13,BK$1)</f>
        <v>614</v>
      </c>
      <c r="BL13" cm="1">
        <f t="array" ref="BL13">_xll.EQNXTDZ($A$1,$B13,BL$1)</f>
        <v>606.5</v>
      </c>
      <c r="BM13" cm="1">
        <f t="array" ref="BM13">_xll.EQNXTDZ($A$1,$B13,BM$1)</f>
        <v>660</v>
      </c>
      <c r="BN13" cm="1">
        <f t="array" ref="BN13">_xll.EQNXTDZ($A$1,$B13,BN$1)</f>
        <v>605</v>
      </c>
      <c r="BO13" cm="1">
        <f t="array" ref="BO13">_xll.EQNXTDZ($A$1,$B13,BO$1)</f>
        <v>620.29999999999995</v>
      </c>
      <c r="BP13" cm="1">
        <f t="array" ref="BP13">_xll.EQNXTDZ($A$1,$B13,BP$1)</f>
        <v>636.1</v>
      </c>
      <c r="BQ13" cm="1">
        <f t="array" ref="BQ13">_xll.EQNXTDZ($A$1,$B13,BQ$1)</f>
        <v>641.75</v>
      </c>
      <c r="BR13" cm="1">
        <f t="array" ref="BR13">_xll.EQNXTDZ($A$1,$B13,BR$1)</f>
        <v>712</v>
      </c>
      <c r="BS13" cm="1">
        <f t="array" ref="BS13">_xll.EQNXTDZ($A$1,$B13,BS$1)</f>
        <v>682.5</v>
      </c>
      <c r="BT13" cm="1">
        <f t="array" ref="BT13">_xll.EQNXTDZ($A$1,$B13,BT$1)</f>
        <v>679.5</v>
      </c>
      <c r="BU13" cm="1">
        <f t="array" ref="BU13">_xll.EQNXTDZ($A$1,$B13,BU$1)</f>
        <v>626.20000000000005</v>
      </c>
      <c r="BV13" cm="1">
        <f t="array" ref="BV13">_xll.EQNXTDZ($A$1,$B13,BV$1)</f>
        <v>700</v>
      </c>
      <c r="BW13" cm="1">
        <f t="array" ref="BW13">_xll.EQNXTDZ($A$1,$B13,BW$1)</f>
        <v>702.5</v>
      </c>
      <c r="BX13" cm="1">
        <f t="array" ref="BX13">_xll.EQNXTDZ($A$1,$B13,BX$1)</f>
        <v>707.95</v>
      </c>
      <c r="BY13" cm="1">
        <f t="array" ref="BY13">_xll.EQNXTDZ($A$1,$B13,BY$1)</f>
        <v>769.52499999999998</v>
      </c>
      <c r="BZ13" cm="1">
        <f t="array" ref="BZ13">_xll.EQNXTDZ($A$1,$B13,BZ$1)</f>
        <v>919.5</v>
      </c>
      <c r="CA13" cm="1">
        <f t="array" ref="CA13">_xll.EQNXTDZ($A$1,$B13,CA$1)</f>
        <v>820.02499999999998</v>
      </c>
      <c r="CB13" cm="1">
        <f t="array" ref="CB13">_xll.EQNXTDZ($A$1,$B13,CB$1)</f>
        <v>842.45</v>
      </c>
      <c r="CC13" cm="1">
        <f t="array" ref="CC13">_xll.EQNXTDZ($A$1,$B13,CC$1)</f>
        <v>887.5</v>
      </c>
      <c r="CD13" cm="1">
        <f t="array" ref="CD13">_xll.EQNXTDZ($A$1,$B13,CD$1)</f>
        <v>886.77499999999998</v>
      </c>
      <c r="CE13" cm="1">
        <f t="array" ref="CE13">_xll.EQNXTDZ($A$1,$B13,CE$1)</f>
        <v>918</v>
      </c>
      <c r="CF13" cm="1">
        <f t="array" ref="CF13">_xll.EQNXTDZ($A$1,$B13,CF$1)</f>
        <v>901.17499999999995</v>
      </c>
      <c r="CG13" cm="1">
        <f t="array" ref="CG13">_xll.EQNXTDZ($A$1,$B13,CG$1)</f>
        <v>976</v>
      </c>
      <c r="CH13" cm="1">
        <f t="array" ref="CH13">_xll.EQNXTDZ($A$1,$B13,CH$1)</f>
        <v>886.07500000000005</v>
      </c>
      <c r="CI13" cm="1">
        <f t="array" ref="CI13">_xll.EQNXTDZ($A$1,$B13,CI$1)</f>
        <v>776.75</v>
      </c>
      <c r="CJ13" cm="1">
        <f t="array" ref="CJ13">_xll.EQNXTDZ($A$1,$B13,CJ$1)</f>
        <v>777.97500000000002</v>
      </c>
      <c r="CK13" cm="1">
        <f t="array" ref="CK13">_xll.EQNXTDZ($A$1,$B13,CK$1)</f>
        <v>835</v>
      </c>
      <c r="CL13" cm="1">
        <f t="array" ref="CL13">_xll.EQNXTDZ($A$1,$B13,CL$1)</f>
        <v>854.5</v>
      </c>
      <c r="CM13" cm="1">
        <f t="array" ref="CM13">_xll.EQNXTDZ($A$1,$B13,CM$1)</f>
        <v>835</v>
      </c>
      <c r="CN13" cm="1">
        <f t="array" ref="CN13">_xll.EQNXTDZ($A$1,$B13,CN$1)</f>
        <v>888.5</v>
      </c>
      <c r="CO13" cm="1">
        <f t="array" ref="CO13">_xll.EQNXTDZ($A$1,$B13,CO$1)</f>
        <v>945.05</v>
      </c>
      <c r="CP13" cm="1">
        <f t="array" ref="CP13">_xll.EQNXTDZ($A$1,$B13,CP$1)</f>
        <v>929.35</v>
      </c>
      <c r="CQ13" cm="1">
        <f t="array" ref="CQ13">_xll.EQNXTDZ($A$1,$B13,CQ$1)</f>
        <v>960.72500000000002</v>
      </c>
      <c r="CR13" cm="1">
        <f t="array" ref="CR13">_xll.EQNXTDZ($A$1,$B13,CR$1)</f>
        <v>1050.0250000000001</v>
      </c>
      <c r="CS13" cm="1">
        <f t="array" ref="CS13">_xll.EQNXTDZ($A$1,$B13,CS$1)</f>
        <v>986.05</v>
      </c>
      <c r="CT13" cm="1">
        <f t="array" ref="CT13">_xll.EQNXTDZ($A$1,$B13,CT$1)</f>
        <v>1172.5</v>
      </c>
      <c r="CU13" cm="1">
        <f t="array" ref="CU13">_xll.EQNXTDZ($A$1,$B13,CU$1)</f>
        <v>1159</v>
      </c>
      <c r="CV13" cm="1">
        <f t="array" ref="CV13">_xll.EQNXTDZ($A$1,$B13,CV$1)</f>
        <v>1182.55</v>
      </c>
      <c r="CW13" cm="1">
        <f t="array" ref="CW13">_xll.EQNXTDZ($A$1,$B13,CW$1)</f>
        <v>1336.85</v>
      </c>
      <c r="CX13" cm="1">
        <f t="array" ref="CX13">_xll.EQNXTDZ($A$1,$B13,CX$1)</f>
        <v>1332.55</v>
      </c>
      <c r="CY13" cm="1">
        <f t="array" ref="CY13">_xll.EQNXTDZ($A$1,$B13,CY$1)</f>
        <v>1405.5</v>
      </c>
      <c r="CZ13" cm="1">
        <f t="array" ref="CZ13">_xll.EQNXTDZ($A$1,$B13,CZ$1)</f>
        <v>1294.7750000000001</v>
      </c>
      <c r="DA13" cm="1">
        <f t="array" ref="DA13">_xll.EQNXTDZ($A$1,$B13,DA$1)</f>
        <v>1315.05</v>
      </c>
      <c r="DB13" cm="1">
        <f t="array" ref="DB13">_xll.EQNXTDZ($A$1,$B13,DB$1)</f>
        <v>1386.15</v>
      </c>
      <c r="DC13" cm="1">
        <f t="array" ref="DC13">_xll.EQNXTDZ($A$1,$B13,DC$1)</f>
        <v>1325</v>
      </c>
      <c r="DD13" cm="1">
        <f t="array" ref="DD13">_xll.EQNXTDZ($A$1,$B13,DD$1)</f>
        <v>1200</v>
      </c>
      <c r="DE13" cm="1">
        <f t="array" ref="DE13">_xll.EQNXTDZ($A$1,$B13,DE$1)</f>
        <v>1280</v>
      </c>
      <c r="DF13" cm="1">
        <f t="array" ref="DF13">_xll.EQNXTDZ($A$1,$B13,DF$1)</f>
        <v>1245.0999999999999</v>
      </c>
      <c r="DG13" cm="1">
        <f t="array" ref="DG13">_xll.EQNXTDZ($A$1,$B13,DG$1)</f>
        <v>1374.5</v>
      </c>
      <c r="DH13" cm="1">
        <f t="array" ref="DH13">_xll.EQNXTDZ($A$1,$B13,DH$1)</f>
        <v>1454.25</v>
      </c>
      <c r="DI13" cm="1">
        <f t="array" ref="DI13">_xll.EQNXTDZ($A$1,$B13,DI$1)</f>
        <v>1537.4</v>
      </c>
      <c r="DJ13" cm="1">
        <f t="array" ref="DJ13">_xll.EQNXTDZ($A$1,$B13,DJ$1)</f>
        <v>1552.075</v>
      </c>
      <c r="DK13" cm="1">
        <f t="array" ref="DK13">_xll.EQNXTDZ($A$1,$B13,DK$1)</f>
        <v>1547.075</v>
      </c>
      <c r="DL13" cm="1">
        <f t="array" ref="DL13">_xll.EQNXTDZ($A$1,$B13,DL$1)</f>
        <v>1433</v>
      </c>
      <c r="DM13" cm="1">
        <f t="array" ref="DM13">_xll.EQNXTDZ($A$1,$B13,DM$1)</f>
        <v>1521.675</v>
      </c>
      <c r="DN13" cm="1">
        <f t="array" ref="DN13">_xll.EQNXTDZ($A$1,$B13,DN$1)</f>
        <v>1649.95</v>
      </c>
      <c r="DO13" cm="1">
        <f t="array" ref="DO13">_xll.EQNXTDZ($A$1,$B13,DO$1)</f>
        <v>1330.2750000000001</v>
      </c>
      <c r="DP13" cm="1">
        <f t="array" ref="DP13">_xll.EQNXTDZ($A$1,$B13,DP$1)</f>
        <v>1360</v>
      </c>
      <c r="DQ13" cm="1">
        <f t="array" ref="DQ13">_xll.EQNXTDZ($A$1,$B13,DQ$1)</f>
        <v>1399.6</v>
      </c>
      <c r="DR13" cm="1">
        <f t="array" ref="DR13">_xll.EQNXTDZ($A$1,$B13,DR$1)</f>
        <v>1407.25</v>
      </c>
      <c r="DS13" cm="1">
        <f t="array" ref="DS13">_xll.EQNXTDZ($A$1,$B13,DS$1)</f>
        <v>1430.5</v>
      </c>
      <c r="DT13" cm="1">
        <f t="array" ref="DT13">_xll.EQNXTDZ($A$1,$B13,DT$1)</f>
        <v>1442.5</v>
      </c>
      <c r="DU13" cm="1">
        <f t="array" ref="DU13">_xll.EQNXTDZ($A$1,$B13,DU$1)</f>
        <v>1548.05</v>
      </c>
      <c r="DV13" cm="1">
        <f t="array" ref="DV13">_xll.EQNXTDZ($A$1,$B13,DV$1)</f>
        <v>1520.5</v>
      </c>
      <c r="DW13" cm="1">
        <f t="array" ref="DW13">_xll.EQNXTDZ($A$1,$B13,DW$1)</f>
        <v>1559.85</v>
      </c>
      <c r="DX13" cm="1">
        <f t="array" ref="DX13">_xll.EQNXTDZ($A$1,$B13,DX$1)</f>
        <v>1642.7</v>
      </c>
      <c r="DY13" cm="1">
        <f t="array" ref="DY13">_xll.EQNXTDZ($A$1,$B13,DY$1)</f>
        <v>1661.05</v>
      </c>
      <c r="DZ13" cm="1">
        <f t="array" ref="DZ13">_xll.EQNXTDZ($A$1,$B13,DZ$1)</f>
        <v>1540.05</v>
      </c>
      <c r="EA13" cm="1">
        <f t="array" ref="EA13">_xll.EQNXTDZ($A$1,$B13,EA$1)</f>
        <v>1524.65</v>
      </c>
      <c r="EB13" cm="1">
        <f t="array" ref="EB13">_xll.EQNXTDZ($A$1,$B13,EB$1)</f>
        <v>1459.95</v>
      </c>
      <c r="EC13" cm="1">
        <f t="array" ref="EC13">_xll.EQNXTDZ($A$1,$B13,EC$1)</f>
        <v>1524.05</v>
      </c>
      <c r="ED13" cm="1">
        <f t="array" ref="ED13">_xll.EQNXTDZ($A$1,$B13,ED$1)</f>
        <v>1645.6</v>
      </c>
      <c r="EE13" cm="1">
        <f t="array" ref="EE13">_xll.EQNXTDZ($A$1,$B13,EE$1)</f>
        <v>1838.9</v>
      </c>
      <c r="EF13" cm="1">
        <f t="array" ref="EF13">_xll.EQNXTDZ($A$1,$B13,EF$1)</f>
        <v>1905.25</v>
      </c>
      <c r="EG13" cm="1">
        <f t="array" ref="EG13">_xll.EQNXTDZ($A$1,$B13,EG$1)</f>
        <v>1989.05</v>
      </c>
      <c r="EH13" cm="1">
        <f t="array" ref="EH13">_xll.EQNXTDZ($A$1,$B13,EH$1)</f>
        <v>1869.9</v>
      </c>
      <c r="EI13" cm="1">
        <f t="array" ref="EI13">_xll.EQNXTDZ($A$1,$B13,EI$1)</f>
        <v>1939.85</v>
      </c>
      <c r="EJ13" cm="1">
        <f t="array" ref="EJ13">_xll.EQNXTDZ($A$1,$B13,EJ$1)</f>
        <v>1937.5</v>
      </c>
      <c r="EK13" cm="1">
        <f t="array" ref="EK13">_xll.EQNXTDZ($A$1,$B13,EK$1)</f>
        <v>2130</v>
      </c>
      <c r="EL13" cm="1">
        <f t="array" ref="EL13">_xll.EQNXTDZ($A$1,$B13,EL$1)</f>
        <v>2351.65</v>
      </c>
      <c r="EM13" cm="1">
        <f t="array" ref="EM13">_xll.EQNXTDZ($A$1,$B13,EM$1)</f>
        <v>2540.65</v>
      </c>
      <c r="EN13" cm="1">
        <f t="array" ref="EN13">_xll.EQNXTDZ($A$1,$B13,EN$1)</f>
        <v>2717.75</v>
      </c>
      <c r="EO13" cm="1">
        <f t="array" ref="EO13">_xll.EQNXTDZ($A$1,$B13,EO$1)</f>
        <v>2619.5</v>
      </c>
      <c r="EP13" cm="1">
        <f t="array" ref="EP13">_xll.EQNXTDZ($A$1,$B13,EP$1)</f>
        <v>2650.4</v>
      </c>
      <c r="EQ13" cm="1">
        <f t="array" ref="EQ13">_xll.EQNXTDZ($A$1,$B13,EQ$1)</f>
        <v>2724.9</v>
      </c>
      <c r="ER13" cm="1">
        <f t="array" ref="ER13">_xll.EQNXTDZ($A$1,$B13,ER$1)</f>
        <v>2793.05</v>
      </c>
      <c r="ES13" cm="1">
        <f t="array" ref="ES13">_xll.EQNXTDZ($A$1,$B13,ES$1)</f>
        <v>3169.7</v>
      </c>
      <c r="ET13" cm="1">
        <f t="array" ref="ET13">_xll.EQNXTDZ($A$1,$B13,ET$1)</f>
        <v>3538.95</v>
      </c>
      <c r="EU13" cm="1">
        <f t="array" ref="EU13">_xll.EQNXTDZ($A$1,$B13,EU$1)</f>
        <v>3390</v>
      </c>
      <c r="EV13" cm="1">
        <f t="array" ref="EV13">_xll.EQNXTDZ($A$1,$B13,EV$1)</f>
        <v>3192.2</v>
      </c>
      <c r="EW13" cm="1">
        <f t="array" ref="EW13">_xll.EQNXTDZ($A$1,$B13,EW$1)</f>
        <v>3316.9</v>
      </c>
      <c r="EX13" cm="1">
        <f t="array" ref="EX13">_xll.EQNXTDZ($A$1,$B13,EX$1)</f>
        <v>3362</v>
      </c>
      <c r="EY13" cm="1">
        <f t="array" ref="EY13">_xll.EQNXTDZ($A$1,$B13,EY$1)</f>
        <v>3297.95</v>
      </c>
      <c r="EZ13" cm="1">
        <f t="array" ref="EZ13">_xll.EQNXTDZ($A$1,$B13,EZ$1)</f>
        <v>2939.3</v>
      </c>
      <c r="FA13" cm="1">
        <f t="array" ref="FA13">_xll.EQNXTDZ($A$1,$B13,FA$1)</f>
        <v>3152.1</v>
      </c>
      <c r="FB13" cm="1">
        <f t="array" ref="FB13">_xll.EQNXTDZ($A$1,$B13,FB$1)</f>
        <v>3284.55</v>
      </c>
      <c r="FC13" cm="1">
        <f t="array" ref="FC13">_xll.EQNXTDZ($A$1,$B13,FC$1)</f>
        <v>3164.5</v>
      </c>
      <c r="FD13" cm="1">
        <f t="array" ref="FD13">_xll.EQNXTDZ($A$1,$B13,FD$1)</f>
        <v>3479.8</v>
      </c>
      <c r="FE13" cm="1">
        <f t="array" ref="FE13">_xll.EQNXTDZ($A$1,$B13,FE$1)</f>
        <v>3735</v>
      </c>
      <c r="FF13" cm="1">
        <f t="array" ref="FF13">_xll.EQNXTDZ($A$1,$B13,FF$1)</f>
        <v>3555.85</v>
      </c>
      <c r="FG13" cm="1">
        <f t="array" ref="FG13">_xll.EQNXTDZ($A$1,$B13,FG$1)</f>
        <v>3531.15</v>
      </c>
      <c r="FH13" cm="1">
        <f t="array" ref="FH13">_xll.EQNXTDZ($A$1,$B13,FH$1)</f>
        <v>3559.5</v>
      </c>
      <c r="FI13" cm="1">
        <f t="array" ref="FI13">_xll.EQNXTDZ($A$1,$B13,FI$1)</f>
        <v>3720.15</v>
      </c>
      <c r="FJ13" cm="1">
        <f t="array" ref="FJ13">_xll.EQNXTDZ($A$1,$B13,FJ$1)</f>
        <v>3878.5</v>
      </c>
      <c r="FK13" cm="1">
        <f t="array" ref="FK13">_xll.EQNXTDZ($A$1,$B13,FK$1)</f>
        <v>3855.55</v>
      </c>
      <c r="FL13" cm="1">
        <f t="array" ref="FL13">_xll.EQNXTDZ($A$1,$B13,FL$1)</f>
        <v>4005.95</v>
      </c>
      <c r="FM13" cm="1">
        <f t="array" ref="FM13">_xll.EQNXTDZ($A$1,$B13,FM$1)</f>
        <v>4246.8999999999996</v>
      </c>
      <c r="FN13" cm="1">
        <f t="array" ref="FN13">_xll.EQNXTDZ($A$1,$B13,FN$1)</f>
        <v>4249.05</v>
      </c>
      <c r="FO13" cm="1">
        <f t="array" ref="FO13">_xll.EQNXTDZ($A$1,$B13,FO$1)</f>
        <v>4431.1000000000004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159.11250000000001</v>
      </c>
      <c r="D14" s="116" cm="1">
        <f t="array" ref="D14">_xll.EQNXTDZ($A$1,$B14,D$1)</f>
        <v>171.61250000000001</v>
      </c>
      <c r="E14" s="116" cm="1">
        <f t="array" ref="E14">_xll.EQNXTDZ($A$1,$B14,E$1)</f>
        <v>180.67500000000001</v>
      </c>
      <c r="F14" s="116" cm="1">
        <f t="array" ref="F14">_xll.EQNXTDZ($A$1,$B14,F$1)</f>
        <v>181.75</v>
      </c>
      <c r="G14" s="116" cm="1">
        <f t="array" ref="G14">_xll.EQNXTDZ($A$1,$B14,G$1)</f>
        <v>177.25</v>
      </c>
      <c r="H14" s="116" cm="1">
        <f t="array" ref="H14">_xll.EQNXTDZ($A$1,$B14,H$1)</f>
        <v>177.75</v>
      </c>
      <c r="I14" s="116" cm="1">
        <f t="array" ref="I14">_xll.EQNXTDZ($A$1,$B14,I$1)</f>
        <v>181.97499999999999</v>
      </c>
      <c r="J14" s="116" cm="1">
        <f t="array" ref="J14">_xll.EQNXTDZ($A$1,$B14,J$1)</f>
        <v>191.65</v>
      </c>
      <c r="K14" s="116" cm="1">
        <f t="array" ref="K14">_xll.EQNXTDZ($A$1,$B14,K$1)</f>
        <v>187.25</v>
      </c>
      <c r="L14" s="116" cm="1">
        <f t="array" ref="L14">_xll.EQNXTDZ($A$1,$B14,L$1)</f>
        <v>176.25</v>
      </c>
      <c r="M14" s="116" cm="1">
        <f t="array" ref="M14">_xll.EQNXTDZ($A$1,$B14,M$1)</f>
        <v>175.98750000000001</v>
      </c>
      <c r="N14" s="116" cm="1">
        <f t="array" ref="N14">_xll.EQNXTDZ($A$1,$B14,N$1)</f>
        <v>202.375</v>
      </c>
      <c r="O14" s="116" cm="1">
        <f t="array" ref="O14">_xll.EQNXTDZ($A$1,$B14,O$1)</f>
        <v>217.95</v>
      </c>
      <c r="P14" s="116" cm="1">
        <f t="array" ref="P14">_xll.EQNXTDZ($A$1,$B14,P$1)</f>
        <v>229.5</v>
      </c>
      <c r="Q14" s="116" cm="1">
        <f t="array" ref="Q14">_xll.EQNXTDZ($A$1,$B14,Q$1)</f>
        <v>232.4</v>
      </c>
      <c r="R14" s="116" cm="1">
        <f t="array" ref="R14">_xll.EQNXTDZ($A$1,$B14,R$1)</f>
        <v>232.22499999999999</v>
      </c>
      <c r="S14" s="116" cm="1">
        <f t="array" ref="S14">_xll.EQNXTDZ($A$1,$B14,S$1)</f>
        <v>225.5</v>
      </c>
      <c r="T14" s="116" cm="1">
        <f t="array" ref="T14">_xll.EQNXTDZ($A$1,$B14,T$1)</f>
        <v>250.3</v>
      </c>
      <c r="U14" s="116" cm="1">
        <f t="array" ref="U14">_xll.EQNXTDZ($A$1,$B14,U$1)</f>
        <v>260.5</v>
      </c>
      <c r="V14" s="116" cm="1">
        <f t="array" ref="V14">_xll.EQNXTDZ($A$1,$B14,V$1)</f>
        <v>284</v>
      </c>
      <c r="W14" s="116" cm="1">
        <f t="array" ref="W14">_xll.EQNXTDZ($A$1,$B14,W$1)</f>
        <v>286.42500000000001</v>
      </c>
      <c r="X14" s="116" cm="1">
        <f t="array" ref="X14">_xll.EQNXTDZ($A$1,$B14,X$1)</f>
        <v>289</v>
      </c>
      <c r="Y14" s="116" cm="1">
        <f t="array" ref="Y14">_xll.EQNXTDZ($A$1,$B14,Y$1)</f>
        <v>303.85000000000002</v>
      </c>
      <c r="Z14" s="116" cm="1">
        <f t="array" ref="Z14">_xll.EQNXTDZ($A$1,$B14,Z$1)</f>
        <v>344.35</v>
      </c>
      <c r="AA14" s="116" cm="1">
        <f t="array" ref="AA14">_xll.EQNXTDZ($A$1,$B14,AA$1)</f>
        <v>361.22500000000002</v>
      </c>
      <c r="AB14" s="116" cm="1">
        <f t="array" ref="AB14">_xll.EQNXTDZ($A$1,$B14,AB$1)</f>
        <v>392.5</v>
      </c>
      <c r="AC14" s="116" cm="1">
        <f t="array" ref="AC14">_xll.EQNXTDZ($A$1,$B14,AC$1)</f>
        <v>426</v>
      </c>
      <c r="AD14" s="116" cm="1">
        <f t="array" ref="AD14">_xll.EQNXTDZ($A$1,$B14,AD$1)</f>
        <v>469.97500000000002</v>
      </c>
      <c r="AE14" s="116" cm="1">
        <f t="array" ref="AE14">_xll.EQNXTDZ($A$1,$B14,AE$1)</f>
        <v>466.4</v>
      </c>
      <c r="AF14" s="116" cm="1">
        <f t="array" ref="AF14">_xll.EQNXTDZ($A$1,$B14,AF$1)</f>
        <v>531.77499999999998</v>
      </c>
      <c r="AG14" s="116" cm="1">
        <f t="array" ref="AG14">_xll.EQNXTDZ($A$1,$B14,AG$1)</f>
        <v>594</v>
      </c>
      <c r="AH14" s="116" cm="1">
        <f t="array" ref="AH14">_xll.EQNXTDZ($A$1,$B14,AH$1)</f>
        <v>615.85</v>
      </c>
      <c r="AI14" s="116" cm="1">
        <f t="array" ref="AI14">_xll.EQNXTDZ($A$1,$B14,AI$1)</f>
        <v>583.375</v>
      </c>
      <c r="AJ14" s="116" cm="1">
        <f t="array" ref="AJ14">_xll.EQNXTDZ($A$1,$B14,AJ$1)</f>
        <v>586.75</v>
      </c>
      <c r="AK14" s="116" cm="1">
        <f t="array" ref="AK14">_xll.EQNXTDZ($A$1,$B14,AK$1)</f>
        <v>667.375</v>
      </c>
      <c r="AL14" s="116" cm="1">
        <f t="array" ref="AL14">_xll.EQNXTDZ($A$1,$B14,AL$1)</f>
        <v>646.25</v>
      </c>
      <c r="AM14" s="116" cm="1">
        <f t="array" ref="AM14">_xll.EQNXTDZ($A$1,$B14,AM$1)</f>
        <v>685</v>
      </c>
      <c r="AN14" s="116" cm="1">
        <f t="array" ref="AN14">_xll.EQNXTDZ($A$1,$B14,AN$1)</f>
        <v>760</v>
      </c>
      <c r="AO14" s="116" cm="1">
        <f t="array" ref="AO14">_xll.EQNXTDZ($A$1,$B14,AO$1)</f>
        <v>837.3</v>
      </c>
      <c r="AP14" s="116" cm="1">
        <f t="array" ref="AP14">_xll.EQNXTDZ($A$1,$B14,AP$1)</f>
        <v>860</v>
      </c>
      <c r="AQ14" s="116" cm="1">
        <f t="array" ref="AQ14">_xll.EQNXTDZ($A$1,$B14,AQ$1)</f>
        <v>818</v>
      </c>
      <c r="AR14" s="116" cm="1">
        <f t="array" ref="AR14">_xll.EQNXTDZ($A$1,$B14,AR$1)</f>
        <v>792.52499999999998</v>
      </c>
      <c r="AS14" s="116" cm="1">
        <f t="array" ref="AS14">_xll.EQNXTDZ($A$1,$B14,AS$1)</f>
        <v>753.97500000000002</v>
      </c>
      <c r="AT14" s="116" cm="1">
        <f t="array" ref="AT14">_xll.EQNXTDZ($A$1,$B14,AT$1)</f>
        <v>754.875</v>
      </c>
      <c r="AU14" s="116" cm="1">
        <f t="array" ref="AU14">_xll.EQNXTDZ($A$1,$B14,AU$1)</f>
        <v>705.02499999999998</v>
      </c>
      <c r="AV14" s="116" cm="1">
        <f t="array" ref="AV14">_xll.EQNXTDZ($A$1,$B14,AV$1)</f>
        <v>734.5</v>
      </c>
      <c r="AW14" s="116" cm="1">
        <f t="array" ref="AW14">_xll.EQNXTDZ($A$1,$B14,AW$1)</f>
        <v>742.5</v>
      </c>
      <c r="AX14" s="116" cm="1">
        <f t="array" ref="AX14">_xll.EQNXTDZ($A$1,$B14,AX$1)</f>
        <v>730</v>
      </c>
      <c r="AY14" s="116" cm="1">
        <f t="array" ref="AY14">_xll.EQNXTDZ($A$1,$B14,AY$1)</f>
        <v>710.1</v>
      </c>
      <c r="AZ14" s="116" cm="1">
        <f t="array" ref="AZ14">_xll.EQNXTDZ($A$1,$B14,AZ$1)</f>
        <v>753.2</v>
      </c>
      <c r="BA14" s="116" cm="1">
        <f t="array" ref="BA14">_xll.EQNXTDZ($A$1,$B14,BA$1)</f>
        <v>883.9</v>
      </c>
      <c r="BB14" s="116" cm="1">
        <f t="array" ref="BB14">_xll.EQNXTDZ($A$1,$B14,BB$1)</f>
        <v>856</v>
      </c>
      <c r="BC14" s="116" cm="1">
        <f t="array" ref="BC14">_xll.EQNXTDZ($A$1,$B14,BC$1)</f>
        <v>849.75</v>
      </c>
      <c r="BD14" s="116" cm="1">
        <f t="array" ref="BD14">_xll.EQNXTDZ($A$1,$B14,BD$1)</f>
        <v>732.5</v>
      </c>
      <c r="BE14" s="116" cm="1">
        <f t="array" ref="BE14">_xll.EQNXTDZ($A$1,$B14,BE$1)</f>
        <v>710</v>
      </c>
      <c r="BF14" s="116" cm="1">
        <f t="array" ref="BF14">_xll.EQNXTDZ($A$1,$B14,BF$1)</f>
        <v>691.77499999999998</v>
      </c>
      <c r="BG14" s="116" cm="1">
        <f t="array" ref="BG14">_xll.EQNXTDZ($A$1,$B14,BG$1)</f>
        <v>688.6</v>
      </c>
      <c r="BH14" s="116" cm="1">
        <f t="array" ref="BH14">_xll.EQNXTDZ($A$1,$B14,BH$1)</f>
        <v>786.05</v>
      </c>
      <c r="BI14" s="116" cm="1">
        <f t="array" ref="BI14">_xll.EQNXTDZ($A$1,$B14,BI$1)</f>
        <v>775</v>
      </c>
      <c r="BJ14" s="116" cm="1">
        <f t="array" ref="BJ14">_xll.EQNXTDZ($A$1,$B14,BJ$1)</f>
        <v>716.9</v>
      </c>
      <c r="BK14" s="116" cm="1">
        <f t="array" ref="BK14">_xll.EQNXTDZ($A$1,$B14,BK$1)</f>
        <v>625</v>
      </c>
      <c r="BL14" s="116" cm="1">
        <f t="array" ref="BL14">_xll.EQNXTDZ($A$1,$B14,BL$1)</f>
        <v>683.45</v>
      </c>
      <c r="BM14" s="116" cm="1">
        <f t="array" ref="BM14">_xll.EQNXTDZ($A$1,$B14,BM$1)</f>
        <v>664</v>
      </c>
      <c r="BN14" s="116" cm="1">
        <f t="array" ref="BN14">_xll.EQNXTDZ($A$1,$B14,BN$1)</f>
        <v>682.375</v>
      </c>
      <c r="BO14" s="116" cm="1">
        <f t="array" ref="BO14">_xll.EQNXTDZ($A$1,$B14,BO$1)</f>
        <v>705.72500000000002</v>
      </c>
      <c r="BP14" s="116" cm="1">
        <f t="array" ref="BP14">_xll.EQNXTDZ($A$1,$B14,BP$1)</f>
        <v>687.85</v>
      </c>
      <c r="BQ14" s="116" cm="1">
        <f t="array" ref="BQ14">_xll.EQNXTDZ($A$1,$B14,BQ$1)</f>
        <v>717.375</v>
      </c>
      <c r="BR14" s="116" cm="1">
        <f t="array" ref="BR14">_xll.EQNXTDZ($A$1,$B14,BR$1)</f>
        <v>736.375</v>
      </c>
      <c r="BS14" s="116" cm="1">
        <f t="array" ref="BS14">_xll.EQNXTDZ($A$1,$B14,BS$1)</f>
        <v>724.67499999999995</v>
      </c>
      <c r="BT14" s="116" cm="1">
        <f t="array" ref="BT14">_xll.EQNXTDZ($A$1,$B14,BT$1)</f>
        <v>687.05</v>
      </c>
      <c r="BU14" s="116" cm="1">
        <f t="array" ref="BU14">_xll.EQNXTDZ($A$1,$B14,BU$1)</f>
        <v>723.07500000000005</v>
      </c>
      <c r="BV14" s="116" cm="1">
        <f t="array" ref="BV14">_xll.EQNXTDZ($A$1,$B14,BV$1)</f>
        <v>715</v>
      </c>
      <c r="BW14" s="116" cm="1">
        <f t="array" ref="BW14">_xll.EQNXTDZ($A$1,$B14,BW$1)</f>
        <v>763.47500000000002</v>
      </c>
      <c r="BX14" s="116" cm="1">
        <f t="array" ref="BX14">_xll.EQNXTDZ($A$1,$B14,BX$1)</f>
        <v>768.92499999999995</v>
      </c>
      <c r="BY14" s="116" cm="1">
        <f t="array" ref="BY14">_xll.EQNXTDZ($A$1,$B14,BY$1)</f>
        <v>912.82500000000005</v>
      </c>
      <c r="BZ14" s="116" cm="1">
        <f t="array" ref="BZ14">_xll.EQNXTDZ($A$1,$B14,BZ$1)</f>
        <v>935.97500000000002</v>
      </c>
      <c r="CA14" s="116" cm="1">
        <f t="array" ref="CA14">_xll.EQNXTDZ($A$1,$B14,CA$1)</f>
        <v>842</v>
      </c>
      <c r="CB14" s="116" cm="1">
        <f t="array" ref="CB14">_xll.EQNXTDZ($A$1,$B14,CB$1)</f>
        <v>887.5</v>
      </c>
      <c r="CC14" s="116" cm="1">
        <f t="array" ref="CC14">_xll.EQNXTDZ($A$1,$B14,CC$1)</f>
        <v>916.45</v>
      </c>
      <c r="CD14" s="116" cm="1">
        <f t="array" ref="CD14">_xll.EQNXTDZ($A$1,$B14,CD$1)</f>
        <v>980</v>
      </c>
      <c r="CE14" s="116" cm="1">
        <f t="array" ref="CE14">_xll.EQNXTDZ($A$1,$B14,CE$1)</f>
        <v>930</v>
      </c>
      <c r="CF14" s="116" cm="1">
        <f t="array" ref="CF14">_xll.EQNXTDZ($A$1,$B14,CF$1)</f>
        <v>982</v>
      </c>
      <c r="CG14" s="116" cm="1">
        <f t="array" ref="CG14">_xll.EQNXTDZ($A$1,$B14,CG$1)</f>
        <v>976</v>
      </c>
      <c r="CH14" s="116" cm="1">
        <f t="array" ref="CH14">_xll.EQNXTDZ($A$1,$B14,CH$1)</f>
        <v>900</v>
      </c>
      <c r="CI14" s="116" cm="1">
        <f t="array" ref="CI14">_xll.EQNXTDZ($A$1,$B14,CI$1)</f>
        <v>786.52499999999998</v>
      </c>
      <c r="CJ14" s="116" cm="1">
        <f t="array" ref="CJ14">_xll.EQNXTDZ($A$1,$B14,CJ$1)</f>
        <v>845</v>
      </c>
      <c r="CK14" s="116" cm="1">
        <f t="array" ref="CK14">_xll.EQNXTDZ($A$1,$B14,CK$1)</f>
        <v>859.42499999999995</v>
      </c>
      <c r="CL14" s="116" cm="1">
        <f t="array" ref="CL14">_xll.EQNXTDZ($A$1,$B14,CL$1)</f>
        <v>885.65</v>
      </c>
      <c r="CM14" s="116" cm="1">
        <f t="array" ref="CM14">_xll.EQNXTDZ($A$1,$B14,CM$1)</f>
        <v>907.5</v>
      </c>
      <c r="CN14" s="116" cm="1">
        <f t="array" ref="CN14">_xll.EQNXTDZ($A$1,$B14,CN$1)</f>
        <v>960</v>
      </c>
      <c r="CO14" s="116" cm="1">
        <f t="array" ref="CO14">_xll.EQNXTDZ($A$1,$B14,CO$1)</f>
        <v>969.97500000000002</v>
      </c>
      <c r="CP14" s="116" cm="1">
        <f t="array" ref="CP14">_xll.EQNXTDZ($A$1,$B14,CP$1)</f>
        <v>1036.3</v>
      </c>
      <c r="CQ14" s="116" cm="1">
        <f t="array" ref="CQ14">_xll.EQNXTDZ($A$1,$B14,CQ$1)</f>
        <v>1142.9749999999999</v>
      </c>
      <c r="CR14" s="116" cm="1">
        <f t="array" ref="CR14">_xll.EQNXTDZ($A$1,$B14,CR$1)</f>
        <v>1122.5</v>
      </c>
      <c r="CS14" s="116" cm="1">
        <f t="array" ref="CS14">_xll.EQNXTDZ($A$1,$B14,CS$1)</f>
        <v>1339.7249999999999</v>
      </c>
      <c r="CT14" s="116" cm="1">
        <f t="array" ref="CT14">_xll.EQNXTDZ($A$1,$B14,CT$1)</f>
        <v>1318</v>
      </c>
      <c r="CU14" s="116" cm="1">
        <f t="array" ref="CU14">_xll.EQNXTDZ($A$1,$B14,CU$1)</f>
        <v>1306.25</v>
      </c>
      <c r="CV14" s="116" cm="1">
        <f t="array" ref="CV14">_xll.EQNXTDZ($A$1,$B14,CV$1)</f>
        <v>1377.45</v>
      </c>
      <c r="CW14" s="116" cm="1">
        <f t="array" ref="CW14">_xll.EQNXTDZ($A$1,$B14,CW$1)</f>
        <v>1520</v>
      </c>
      <c r="CX14" s="116" cm="1">
        <f t="array" ref="CX14">_xll.EQNXTDZ($A$1,$B14,CX$1)</f>
        <v>1471.45</v>
      </c>
      <c r="CY14" s="116" cm="1">
        <f t="array" ref="CY14">_xll.EQNXTDZ($A$1,$B14,CY$1)</f>
        <v>1469.65</v>
      </c>
      <c r="CZ14" s="116" cm="1">
        <f t="array" ref="CZ14">_xll.EQNXTDZ($A$1,$B14,CZ$1)</f>
        <v>1377.2</v>
      </c>
      <c r="DA14" s="116" cm="1">
        <f t="array" ref="DA14">_xll.EQNXTDZ($A$1,$B14,DA$1)</f>
        <v>1427.1</v>
      </c>
      <c r="DB14" s="116" cm="1">
        <f t="array" ref="DB14">_xll.EQNXTDZ($A$1,$B14,DB$1)</f>
        <v>1451.425</v>
      </c>
      <c r="DC14" s="116" cm="1">
        <f t="array" ref="DC14">_xll.EQNXTDZ($A$1,$B14,DC$1)</f>
        <v>1400.5</v>
      </c>
      <c r="DD14" s="116" cm="1">
        <f t="array" ref="DD14">_xll.EQNXTDZ($A$1,$B14,DD$1)</f>
        <v>1278</v>
      </c>
      <c r="DE14" s="116" cm="1">
        <f t="array" ref="DE14">_xll.EQNXTDZ($A$1,$B14,DE$1)</f>
        <v>1340</v>
      </c>
      <c r="DF14" s="116" cm="1">
        <f t="array" ref="DF14">_xll.EQNXTDZ($A$1,$B14,DF$1)</f>
        <v>1445.7750000000001</v>
      </c>
      <c r="DG14" s="116" cm="1">
        <f t="array" ref="DG14">_xll.EQNXTDZ($A$1,$B14,DG$1)</f>
        <v>1503.5</v>
      </c>
      <c r="DH14" s="116" cm="1">
        <f t="array" ref="DH14">_xll.EQNXTDZ($A$1,$B14,DH$1)</f>
        <v>1560.7249999999999</v>
      </c>
      <c r="DI14" s="116" cm="1">
        <f t="array" ref="DI14">_xll.EQNXTDZ($A$1,$B14,DI$1)</f>
        <v>1578.2249999999999</v>
      </c>
      <c r="DJ14" s="116" cm="1">
        <f t="array" ref="DJ14">_xll.EQNXTDZ($A$1,$B14,DJ$1)</f>
        <v>1624</v>
      </c>
      <c r="DK14" s="116" cm="1">
        <f t="array" ref="DK14">_xll.EQNXTDZ($A$1,$B14,DK$1)</f>
        <v>1600</v>
      </c>
      <c r="DL14" s="116" cm="1">
        <f t="array" ref="DL14">_xll.EQNXTDZ($A$1,$B14,DL$1)</f>
        <v>1624</v>
      </c>
      <c r="DM14" s="116" cm="1">
        <f t="array" ref="DM14">_xll.EQNXTDZ($A$1,$B14,DM$1)</f>
        <v>1652.2249999999999</v>
      </c>
      <c r="DN14" s="116" cm="1">
        <f t="array" ref="DN14">_xll.EQNXTDZ($A$1,$B14,DN$1)</f>
        <v>1649.95</v>
      </c>
      <c r="DO14" s="116" cm="1">
        <f t="array" ref="DO14">_xll.EQNXTDZ($A$1,$B14,DO$1)</f>
        <v>1387.5</v>
      </c>
      <c r="DP14" s="116" cm="1">
        <f t="array" ref="DP14">_xll.EQNXTDZ($A$1,$B14,DP$1)</f>
        <v>1492.825</v>
      </c>
      <c r="DQ14" s="116" cm="1">
        <f t="array" ref="DQ14">_xll.EQNXTDZ($A$1,$B14,DQ$1)</f>
        <v>1452.2750000000001</v>
      </c>
      <c r="DR14" s="116" cm="1">
        <f t="array" ref="DR14">_xll.EQNXTDZ($A$1,$B14,DR$1)</f>
        <v>1476.95</v>
      </c>
      <c r="DS14" s="116" cm="1">
        <f t="array" ref="DS14">_xll.EQNXTDZ($A$1,$B14,DS$1)</f>
        <v>1465.2249999999999</v>
      </c>
      <c r="DT14" s="116" cm="1">
        <f t="array" ref="DT14">_xll.EQNXTDZ($A$1,$B14,DT$1)</f>
        <v>1538.4</v>
      </c>
      <c r="DU14" s="116" cm="1">
        <f t="array" ref="DU14">_xll.EQNXTDZ($A$1,$B14,DU$1)</f>
        <v>1605</v>
      </c>
      <c r="DV14" s="116" cm="1">
        <f t="array" ref="DV14">_xll.EQNXTDZ($A$1,$B14,DV$1)</f>
        <v>1565</v>
      </c>
      <c r="DW14" s="116" cm="1">
        <f t="array" ref="DW14">_xll.EQNXTDZ($A$1,$B14,DW$1)</f>
        <v>1655</v>
      </c>
      <c r="DX14" s="116" cm="1">
        <f t="array" ref="DX14">_xll.EQNXTDZ($A$1,$B14,DX$1)</f>
        <v>1722.7</v>
      </c>
      <c r="DY14" s="116" cm="1">
        <f t="array" ref="DY14">_xll.EQNXTDZ($A$1,$B14,DY$1)</f>
        <v>1661.05</v>
      </c>
      <c r="DZ14" s="116" cm="1">
        <f t="array" ref="DZ14">_xll.EQNXTDZ($A$1,$B14,DZ$1)</f>
        <v>1632</v>
      </c>
      <c r="EA14" s="116" cm="1">
        <f t="array" ref="EA14">_xll.EQNXTDZ($A$1,$B14,EA$1)</f>
        <v>1579.85</v>
      </c>
      <c r="EB14" s="116" cm="1">
        <f t="array" ref="EB14">_xll.EQNXTDZ($A$1,$B14,EB$1)</f>
        <v>1563</v>
      </c>
      <c r="EC14" s="116" cm="1">
        <f t="array" ref="EC14">_xll.EQNXTDZ($A$1,$B14,EC$1)</f>
        <v>1660</v>
      </c>
      <c r="ED14" s="116" cm="1">
        <f t="array" ref="ED14">_xll.EQNXTDZ($A$1,$B14,ED$1)</f>
        <v>1886.25</v>
      </c>
      <c r="EE14" s="116" cm="1">
        <f t="array" ref="EE14">_xll.EQNXTDZ($A$1,$B14,EE$1)</f>
        <v>1981.5</v>
      </c>
      <c r="EF14" s="116" cm="1">
        <f t="array" ref="EF14">_xll.EQNXTDZ($A$1,$B14,EF$1)</f>
        <v>2036.15</v>
      </c>
      <c r="EG14" s="116" cm="1">
        <f t="array" ref="EG14">_xll.EQNXTDZ($A$1,$B14,EG$1)</f>
        <v>2099.9499999999998</v>
      </c>
      <c r="EH14" s="116" cm="1">
        <f t="array" ref="EH14">_xll.EQNXTDZ($A$1,$B14,EH$1)</f>
        <v>1936.75</v>
      </c>
      <c r="EI14" s="116" cm="1">
        <f t="array" ref="EI14">_xll.EQNXTDZ($A$1,$B14,EI$1)</f>
        <v>1952.95</v>
      </c>
      <c r="EJ14" s="116" cm="1">
        <f t="array" ref="EJ14">_xll.EQNXTDZ($A$1,$B14,EJ$1)</f>
        <v>2169.15</v>
      </c>
      <c r="EK14" s="116" cm="1">
        <f t="array" ref="EK14">_xll.EQNXTDZ($A$1,$B14,EK$1)</f>
        <v>2309.9</v>
      </c>
      <c r="EL14" s="116" cm="1">
        <f t="array" ref="EL14">_xll.EQNXTDZ($A$1,$B14,EL$1)</f>
        <v>2553</v>
      </c>
      <c r="EM14" s="116" cm="1">
        <f t="array" ref="EM14">_xll.EQNXTDZ($A$1,$B14,EM$1)</f>
        <v>2699.95</v>
      </c>
      <c r="EN14" s="116" cm="1">
        <f t="array" ref="EN14">_xll.EQNXTDZ($A$1,$B14,EN$1)</f>
        <v>2745.55</v>
      </c>
      <c r="EO14" s="116" cm="1">
        <f t="array" ref="EO14">_xll.EQNXTDZ($A$1,$B14,EO$1)</f>
        <v>2743.75</v>
      </c>
      <c r="EP14" s="116" cm="1">
        <f t="array" ref="EP14">_xll.EQNXTDZ($A$1,$B14,EP$1)</f>
        <v>2839.9</v>
      </c>
      <c r="EQ14" s="116" cm="1">
        <f t="array" ref="EQ14">_xll.EQNXTDZ($A$1,$B14,EQ$1)</f>
        <v>2977.1</v>
      </c>
      <c r="ER14" s="116" cm="1">
        <f t="array" ref="ER14">_xll.EQNXTDZ($A$1,$B14,ER$1)</f>
        <v>3256.2</v>
      </c>
      <c r="ES14" s="116" cm="1">
        <f t="array" ref="ES14">_xll.EQNXTDZ($A$1,$B14,ES$1)</f>
        <v>3574</v>
      </c>
      <c r="ET14" s="116" cm="1">
        <f t="array" ref="ET14">_xll.EQNXTDZ($A$1,$B14,ET$1)</f>
        <v>3538.95</v>
      </c>
      <c r="EU14" s="116" cm="1">
        <f t="array" ref="EU14">_xll.EQNXTDZ($A$1,$B14,EU$1)</f>
        <v>3589.95</v>
      </c>
      <c r="EV14" s="116" cm="1">
        <f t="array" ref="EV14">_xll.EQNXTDZ($A$1,$B14,EV$1)</f>
        <v>3331</v>
      </c>
      <c r="EW14" s="116" cm="1">
        <f t="array" ref="EW14">_xll.EQNXTDZ($A$1,$B14,EW$1)</f>
        <v>3515.5</v>
      </c>
      <c r="EX14" s="116" cm="1">
        <f t="array" ref="EX14">_xll.EQNXTDZ($A$1,$B14,EX$1)</f>
        <v>3460</v>
      </c>
      <c r="EY14" s="116" cm="1">
        <f t="array" ref="EY14">_xll.EQNXTDZ($A$1,$B14,EY$1)</f>
        <v>3306.3</v>
      </c>
      <c r="EZ14" s="116" cm="1">
        <f t="array" ref="EZ14">_xll.EQNXTDZ($A$1,$B14,EZ$1)</f>
        <v>3298.9</v>
      </c>
      <c r="FA14" s="116" cm="1">
        <f t="array" ref="FA14">_xll.EQNXTDZ($A$1,$B14,FA$1)</f>
        <v>3360</v>
      </c>
      <c r="FB14" s="116" cm="1">
        <f t="array" ref="FB14">_xll.EQNXTDZ($A$1,$B14,FB$1)</f>
        <v>3370</v>
      </c>
      <c r="FC14" s="116" cm="1">
        <f t="array" ref="FC14">_xll.EQNXTDZ($A$1,$B14,FC$1)</f>
        <v>3474.6</v>
      </c>
      <c r="FD14" s="116" cm="1">
        <f t="array" ref="FD14">_xll.EQNXTDZ($A$1,$B14,FD$1)</f>
        <v>3790</v>
      </c>
      <c r="FE14" s="116" cm="1">
        <f t="array" ref="FE14">_xll.EQNXTDZ($A$1,$B14,FE$1)</f>
        <v>3735</v>
      </c>
      <c r="FF14" s="116" cm="1">
        <f t="array" ref="FF14">_xll.EQNXTDZ($A$1,$B14,FF$1)</f>
        <v>3750</v>
      </c>
      <c r="FG14" s="116" cm="1">
        <f t="array" ref="FG14">_xll.EQNXTDZ($A$1,$B14,FG$1)</f>
        <v>3644.75</v>
      </c>
      <c r="FH14" s="116" cm="1">
        <f t="array" ref="FH14">_xll.EQNXTDZ($A$1,$B14,FH$1)</f>
        <v>3880.55</v>
      </c>
      <c r="FI14" s="116" cm="1">
        <f t="array" ref="FI14">_xll.EQNXTDZ($A$1,$B14,FI$1)</f>
        <v>3877.9</v>
      </c>
      <c r="FJ14" s="116" cm="1">
        <f t="array" ref="FJ14">_xll.EQNXTDZ($A$1,$B14,FJ$1)</f>
        <v>4124.95</v>
      </c>
      <c r="FK14" s="116" cm="1">
        <f t="array" ref="FK14">_xll.EQNXTDZ($A$1,$B14,FK$1)</f>
        <v>4469.3500000000004</v>
      </c>
      <c r="FL14" s="116" cm="1">
        <f t="array" ref="FL14">_xll.EQNXTDZ($A$1,$B14,FL$1)</f>
        <v>4479.7</v>
      </c>
      <c r="FM14" s="116" cm="1">
        <f t="array" ref="FM14">_xll.EQNXTDZ($A$1,$B14,FM$1)</f>
        <v>4327.25</v>
      </c>
      <c r="FN14" s="116" cm="1">
        <f t="array" ref="FN14">_xll.EQNXTDZ($A$1,$B14,FN$1)</f>
        <v>4714.5</v>
      </c>
      <c r="FO14" s="116" cm="1">
        <f t="array" ref="FO14">_xll.EQNXTDZ($A$1,$B14,FO$1)</f>
        <v>4664.95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181.75</v>
      </c>
      <c r="HQ14" s="116">
        <f>+MAX(G14:I14)</f>
        <v>181.97499999999999</v>
      </c>
      <c r="HR14" s="116">
        <f>+MAX(J14:L14)</f>
        <v>191.65</v>
      </c>
      <c r="HS14" s="116">
        <f>+MAX(M14:O14)</f>
        <v>217.95</v>
      </c>
      <c r="HT14" s="116">
        <f>+MAX(P14:R14)</f>
        <v>232.4</v>
      </c>
      <c r="HU14" s="116">
        <f>+MAX(S14:U14)</f>
        <v>260.5</v>
      </c>
      <c r="HV14" s="116">
        <f>+MAX(V14:X14)</f>
        <v>289</v>
      </c>
      <c r="HW14" s="116">
        <f>+MAX(Y14:AA14)</f>
        <v>361.22500000000002</v>
      </c>
      <c r="HX14" s="116">
        <f>+MAX(AB14:AD14)</f>
        <v>469.97500000000002</v>
      </c>
      <c r="HY14" s="116">
        <f>+MAX(AE14:AG14)</f>
        <v>594</v>
      </c>
      <c r="HZ14" s="116">
        <f>+MAX(AH14:AJ14)</f>
        <v>615.85</v>
      </c>
      <c r="IA14" s="116">
        <f>+MAX(AK14:AM14)</f>
        <v>685</v>
      </c>
      <c r="IB14" s="116">
        <f>+MAX(AN14:AP14)</f>
        <v>860</v>
      </c>
      <c r="IC14" s="116">
        <f>+MAX(AQ14:AS14)</f>
        <v>818</v>
      </c>
      <c r="ID14" s="116">
        <f>+MAX(AT14:AV14)</f>
        <v>754.875</v>
      </c>
      <c r="IE14" s="116">
        <f>+MAX(AW14:AY14)</f>
        <v>742.5</v>
      </c>
      <c r="IF14" s="116">
        <f>+MAX(AZ14:BB14)</f>
        <v>883.9</v>
      </c>
      <c r="IG14" s="116">
        <f>+MAX(BC14:BE14)</f>
        <v>849.75</v>
      </c>
      <c r="IH14" s="116">
        <f>+MAX(BF14:BH14)</f>
        <v>786.05</v>
      </c>
      <c r="II14" s="116">
        <f>+MAX(BI14:BK14)</f>
        <v>775</v>
      </c>
      <c r="IJ14" s="116">
        <f>+MAX(BL14:BN14)</f>
        <v>683.45</v>
      </c>
      <c r="IK14" s="116">
        <f>+MAX(BO14:BQ14)</f>
        <v>717.375</v>
      </c>
      <c r="IL14" s="116">
        <f>+MAX(BR14:BT14)</f>
        <v>736.375</v>
      </c>
      <c r="IM14" s="116">
        <f>+MAX(BU14:BW14)</f>
        <v>763.47500000000002</v>
      </c>
      <c r="IN14" s="116">
        <f>+MAX(BX14:BZ14)</f>
        <v>935.97500000000002</v>
      </c>
      <c r="IO14" s="116">
        <f>+MAX(CA14:CC14)</f>
        <v>916.45</v>
      </c>
      <c r="IP14" s="116">
        <f>+MAX(CD14:CF14)</f>
        <v>982</v>
      </c>
      <c r="IQ14" s="116">
        <f>+MAX(CG14:CI14)</f>
        <v>976</v>
      </c>
      <c r="IR14" s="116">
        <f>+MAX(CJ14:CL14)</f>
        <v>885.65</v>
      </c>
      <c r="IS14" s="116">
        <f>+MAX(CM14:CO14)</f>
        <v>969.97500000000002</v>
      </c>
      <c r="IT14" s="116">
        <f>+MAX(CP14:CR14)</f>
        <v>1142.9749999999999</v>
      </c>
      <c r="IU14" s="116">
        <f>+MAX(CS14:CU14)</f>
        <v>1339.7249999999999</v>
      </c>
      <c r="IV14" s="116">
        <f>+MAX(CV14:CX14)</f>
        <v>1520</v>
      </c>
      <c r="IW14" s="116">
        <f>+MAX(CY14:DA14)</f>
        <v>1469.65</v>
      </c>
      <c r="IX14" s="116">
        <f>+MAX(DB14:DD14)</f>
        <v>1451.425</v>
      </c>
      <c r="IY14" s="116">
        <f>+MAX(DE14:DG14)</f>
        <v>1503.5</v>
      </c>
      <c r="IZ14" s="116">
        <f>+MAX(DH14:DJ14)</f>
        <v>1624</v>
      </c>
      <c r="JA14" s="116">
        <f>+MAX(DK14:DM14)</f>
        <v>1652.2249999999999</v>
      </c>
      <c r="JB14" s="116">
        <f>+MAX(DN14:DP14)</f>
        <v>1649.95</v>
      </c>
      <c r="JC14" s="116">
        <f>+MAX(DQ14:DS14)</f>
        <v>1476.95</v>
      </c>
      <c r="JD14" s="116">
        <f>+MAX(DT14:DV14)</f>
        <v>1605</v>
      </c>
      <c r="JE14" s="116">
        <f>+MAX(DW14:DY14)</f>
        <v>1722.7</v>
      </c>
      <c r="JF14" s="116">
        <f>+MAX(DZ14:EB14)</f>
        <v>1632</v>
      </c>
      <c r="JG14" s="116">
        <f>+MAX(EC14:EE14)</f>
        <v>1981.5</v>
      </c>
      <c r="JH14" s="116">
        <f>+MAX(EF14:EH14)</f>
        <v>2099.9499999999998</v>
      </c>
      <c r="JI14" s="116">
        <f>+MAX(EI14:EK14)</f>
        <v>2309.9</v>
      </c>
      <c r="JJ14" s="116">
        <f>+MAX(EL14:EN14)</f>
        <v>2745.55</v>
      </c>
      <c r="JK14" s="116">
        <f>MAX(EO14:EQ14)</f>
        <v>2977.1</v>
      </c>
      <c r="JL14" s="116">
        <f>MAX(ER14:ET14)</f>
        <v>3574</v>
      </c>
      <c r="JM14" s="116">
        <f>MAX(EU14:EW14)</f>
        <v>3589.95</v>
      </c>
      <c r="JN14" s="116">
        <f>MAX(EX14:EZ14)</f>
        <v>3460</v>
      </c>
      <c r="JO14" s="116">
        <f>MAX(FA14:FC14)</f>
        <v>3474.6</v>
      </c>
      <c r="JP14" s="116">
        <f>MAX(FD14:FF14)</f>
        <v>3790</v>
      </c>
      <c r="JQ14" s="116">
        <f>MAX(FG14:FI14)</f>
        <v>3880.55</v>
      </c>
      <c r="JR14" s="116">
        <f>MAX(FJ14:FL14)</f>
        <v>4479.7</v>
      </c>
      <c r="JS14" s="116">
        <f>MAX(FM14:FO14)</f>
        <v>4714.5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145.19999999999999</v>
      </c>
      <c r="D15" s="116" cm="1">
        <f t="array" ref="D15">_xll.EQNXTDZ($A$1,$B15,D$1)</f>
        <v>150.38749999999999</v>
      </c>
      <c r="E15" s="116" cm="1">
        <f t="array" ref="E15">_xll.EQNXTDZ($A$1,$B15,E$1)</f>
        <v>166</v>
      </c>
      <c r="F15" s="116" cm="1">
        <f t="array" ref="F15">_xll.EQNXTDZ($A$1,$B15,F$1)</f>
        <v>166.25</v>
      </c>
      <c r="G15" s="116" cm="1">
        <f t="array" ref="G15">_xll.EQNXTDZ($A$1,$B15,G$1)</f>
        <v>165</v>
      </c>
      <c r="H15" s="116" cm="1">
        <f t="array" ref="H15">_xll.EQNXTDZ($A$1,$B15,H$1)</f>
        <v>157.5</v>
      </c>
      <c r="I15" s="116" cm="1">
        <f t="array" ref="I15">_xll.EQNXTDZ($A$1,$B15,I$1)</f>
        <v>165.5</v>
      </c>
      <c r="J15" s="116" cm="1">
        <f t="array" ref="J15">_xll.EQNXTDZ($A$1,$B15,J$1)</f>
        <v>174.5</v>
      </c>
      <c r="K15" s="116" cm="1">
        <f t="array" ref="K15">_xll.EQNXTDZ($A$1,$B15,K$1)</f>
        <v>165</v>
      </c>
      <c r="L15" s="116" cm="1">
        <f t="array" ref="L15">_xll.EQNXTDZ($A$1,$B15,L$1)</f>
        <v>164</v>
      </c>
      <c r="M15" s="116" cm="1">
        <f t="array" ref="M15">_xll.EQNXTDZ($A$1,$B15,M$1)</f>
        <v>167.125</v>
      </c>
      <c r="N15" s="116" cm="1">
        <f t="array" ref="N15">_xll.EQNXTDZ($A$1,$B15,N$1)</f>
        <v>167.25</v>
      </c>
      <c r="O15" s="116" cm="1">
        <f t="array" ref="O15">_xll.EQNXTDZ($A$1,$B15,O$1)</f>
        <v>192</v>
      </c>
      <c r="P15" s="116" cm="1">
        <f t="array" ref="P15">_xll.EQNXTDZ($A$1,$B15,P$1)</f>
        <v>202.55</v>
      </c>
      <c r="Q15" s="116" cm="1">
        <f t="array" ref="Q15">_xll.EQNXTDZ($A$1,$B15,Q$1)</f>
        <v>192.97499999999999</v>
      </c>
      <c r="R15" s="116" cm="1">
        <f t="array" ref="R15">_xll.EQNXTDZ($A$1,$B15,R$1)</f>
        <v>200</v>
      </c>
      <c r="S15" s="116" cm="1">
        <f t="array" ref="S15">_xll.EQNXTDZ($A$1,$B15,S$1)</f>
        <v>202</v>
      </c>
      <c r="T15" s="116" cm="1">
        <f t="array" ref="T15">_xll.EQNXTDZ($A$1,$B15,T$1)</f>
        <v>223.875</v>
      </c>
      <c r="U15" s="116" cm="1">
        <f t="array" ref="U15">_xll.EQNXTDZ($A$1,$B15,U$1)</f>
        <v>228.7</v>
      </c>
      <c r="V15" s="116" cm="1">
        <f t="array" ref="V15">_xll.EQNXTDZ($A$1,$B15,V$1)</f>
        <v>230.7</v>
      </c>
      <c r="W15" s="116" cm="1">
        <f t="array" ref="W15">_xll.EQNXTDZ($A$1,$B15,W$1)</f>
        <v>267.14999999999998</v>
      </c>
      <c r="X15" s="116" cm="1">
        <f t="array" ref="X15">_xll.EQNXTDZ($A$1,$B15,X$1)</f>
        <v>259.5</v>
      </c>
      <c r="Y15" s="116" cm="1">
        <f t="array" ref="Y15">_xll.EQNXTDZ($A$1,$B15,Y$1)</f>
        <v>261.5</v>
      </c>
      <c r="Z15" s="116" cm="1">
        <f t="array" ref="Z15">_xll.EQNXTDZ($A$1,$B15,Z$1)</f>
        <v>284.75</v>
      </c>
      <c r="AA15" s="116" cm="1">
        <f t="array" ref="AA15">_xll.EQNXTDZ($A$1,$B15,AA$1)</f>
        <v>304.42500000000001</v>
      </c>
      <c r="AB15" s="116" cm="1">
        <f t="array" ref="AB15">_xll.EQNXTDZ($A$1,$B15,AB$1)</f>
        <v>327.75</v>
      </c>
      <c r="AC15" s="116" cm="1">
        <f t="array" ref="AC15">_xll.EQNXTDZ($A$1,$B15,AC$1)</f>
        <v>362.5</v>
      </c>
      <c r="AD15" s="116" cm="1">
        <f t="array" ref="AD15">_xll.EQNXTDZ($A$1,$B15,AD$1)</f>
        <v>412.5</v>
      </c>
      <c r="AE15" s="116" cm="1">
        <f t="array" ref="AE15">_xll.EQNXTDZ($A$1,$B15,AE$1)</f>
        <v>405.125</v>
      </c>
      <c r="AF15" s="116" cm="1">
        <f t="array" ref="AF15">_xll.EQNXTDZ($A$1,$B15,AF$1)</f>
        <v>441.875</v>
      </c>
      <c r="AG15" s="116" cm="1">
        <f t="array" ref="AG15">_xll.EQNXTDZ($A$1,$B15,AG$1)</f>
        <v>483</v>
      </c>
      <c r="AH15" s="116" cm="1">
        <f t="array" ref="AH15">_xll.EQNXTDZ($A$1,$B15,AH$1)</f>
        <v>535.875</v>
      </c>
      <c r="AI15" s="116" cm="1">
        <f t="array" ref="AI15">_xll.EQNXTDZ($A$1,$B15,AI$1)</f>
        <v>516.5</v>
      </c>
      <c r="AJ15" s="116" cm="1">
        <f t="array" ref="AJ15">_xll.EQNXTDZ($A$1,$B15,AJ$1)</f>
        <v>527.45000000000005</v>
      </c>
      <c r="AK15" s="116" cm="1">
        <f t="array" ref="AK15">_xll.EQNXTDZ($A$1,$B15,AK$1)</f>
        <v>566.72500000000002</v>
      </c>
      <c r="AL15" s="116" cm="1">
        <f t="array" ref="AL15">_xll.EQNXTDZ($A$1,$B15,AL$1)</f>
        <v>575.625</v>
      </c>
      <c r="AM15" s="116" cm="1">
        <f t="array" ref="AM15">_xll.EQNXTDZ($A$1,$B15,AM$1)</f>
        <v>586.1</v>
      </c>
      <c r="AN15" s="116" cm="1">
        <f t="array" ref="AN15">_xll.EQNXTDZ($A$1,$B15,AN$1)</f>
        <v>644</v>
      </c>
      <c r="AO15" s="116" cm="1">
        <f t="array" ref="AO15">_xll.EQNXTDZ($A$1,$B15,AO$1)</f>
        <v>687.5</v>
      </c>
      <c r="AP15" s="116" cm="1">
        <f t="array" ref="AP15">_xll.EQNXTDZ($A$1,$B15,AP$1)</f>
        <v>689.5</v>
      </c>
      <c r="AQ15" s="116" cm="1">
        <f t="array" ref="AQ15">_xll.EQNXTDZ($A$1,$B15,AQ$1)</f>
        <v>736</v>
      </c>
      <c r="AR15" s="116" cm="1">
        <f t="array" ref="AR15">_xll.EQNXTDZ($A$1,$B15,AR$1)</f>
        <v>702.77499999999998</v>
      </c>
      <c r="AS15" s="116" cm="1">
        <f t="array" ref="AS15">_xll.EQNXTDZ($A$1,$B15,AS$1)</f>
        <v>687.75</v>
      </c>
      <c r="AT15" s="116" cm="1">
        <f t="array" ref="AT15">_xll.EQNXTDZ($A$1,$B15,AT$1)</f>
        <v>635</v>
      </c>
      <c r="AU15" s="116" cm="1">
        <f t="array" ref="AU15">_xll.EQNXTDZ($A$1,$B15,AU$1)</f>
        <v>595</v>
      </c>
      <c r="AV15" s="116" cm="1">
        <f t="array" ref="AV15">_xll.EQNXTDZ($A$1,$B15,AV$1)</f>
        <v>625.42499999999995</v>
      </c>
      <c r="AW15" s="116" cm="1">
        <f t="array" ref="AW15">_xll.EQNXTDZ($A$1,$B15,AW$1)</f>
        <v>673.3</v>
      </c>
      <c r="AX15" s="116" cm="1">
        <f t="array" ref="AX15">_xll.EQNXTDZ($A$1,$B15,AX$1)</f>
        <v>625.42499999999995</v>
      </c>
      <c r="AY15" s="116" cm="1">
        <f t="array" ref="AY15">_xll.EQNXTDZ($A$1,$B15,AY$1)</f>
        <v>647.25</v>
      </c>
      <c r="AZ15" s="116" cm="1">
        <f t="array" ref="AZ15">_xll.EQNXTDZ($A$1,$B15,AZ$1)</f>
        <v>681.05</v>
      </c>
      <c r="BA15" s="116" cm="1">
        <f t="array" ref="BA15">_xll.EQNXTDZ($A$1,$B15,BA$1)</f>
        <v>708.7</v>
      </c>
      <c r="BB15" s="116" cm="1">
        <f t="array" ref="BB15">_xll.EQNXTDZ($A$1,$B15,BB$1)</f>
        <v>792.1</v>
      </c>
      <c r="BC15" s="116" cm="1">
        <f t="array" ref="BC15">_xll.EQNXTDZ($A$1,$B15,BC$1)</f>
        <v>700.1</v>
      </c>
      <c r="BD15" s="116" cm="1">
        <f t="array" ref="BD15">_xll.EQNXTDZ($A$1,$B15,BD$1)</f>
        <v>592.79999999999995</v>
      </c>
      <c r="BE15" s="116" cm="1">
        <f t="array" ref="BE15">_xll.EQNXTDZ($A$1,$B15,BE$1)</f>
        <v>627.17499999999995</v>
      </c>
      <c r="BF15" s="116" cm="1">
        <f t="array" ref="BF15">_xll.EQNXTDZ($A$1,$B15,BF$1)</f>
        <v>636.875</v>
      </c>
      <c r="BG15" s="116" cm="1">
        <f t="array" ref="BG15">_xll.EQNXTDZ($A$1,$B15,BG$1)</f>
        <v>604</v>
      </c>
      <c r="BH15" s="116" cm="1">
        <f t="array" ref="BH15">_xll.EQNXTDZ($A$1,$B15,BH$1)</f>
        <v>661.375</v>
      </c>
      <c r="BI15" s="116" cm="1">
        <f t="array" ref="BI15">_xll.EQNXTDZ($A$1,$B15,BI$1)</f>
        <v>697.7</v>
      </c>
      <c r="BJ15" s="116" cm="1">
        <f t="array" ref="BJ15">_xll.EQNXTDZ($A$1,$B15,BJ$1)</f>
        <v>571.75</v>
      </c>
      <c r="BK15" s="116" cm="1">
        <f t="array" ref="BK15">_xll.EQNXTDZ($A$1,$B15,BK$1)</f>
        <v>575.79999999999995</v>
      </c>
      <c r="BL15" s="116" cm="1">
        <f t="array" ref="BL15">_xll.EQNXTDZ($A$1,$B15,BL$1)</f>
        <v>602.54999999999995</v>
      </c>
      <c r="BM15" s="116" cm="1">
        <f t="array" ref="BM15">_xll.EQNXTDZ($A$1,$B15,BM$1)</f>
        <v>596</v>
      </c>
      <c r="BN15" s="116" cm="1">
        <f t="array" ref="BN15">_xll.EQNXTDZ($A$1,$B15,BN$1)</f>
        <v>574.52499999999998</v>
      </c>
      <c r="BO15" s="116" cm="1">
        <f t="array" ref="BO15">_xll.EQNXTDZ($A$1,$B15,BO$1)</f>
        <v>617.52499999999998</v>
      </c>
      <c r="BP15" s="116" cm="1">
        <f t="array" ref="BP15">_xll.EQNXTDZ($A$1,$B15,BP$1)</f>
        <v>603</v>
      </c>
      <c r="BQ15" s="116" cm="1">
        <f t="array" ref="BQ15">_xll.EQNXTDZ($A$1,$B15,BQ$1)</f>
        <v>630.95000000000005</v>
      </c>
      <c r="BR15" s="116" cm="1">
        <f t="array" ref="BR15">_xll.EQNXTDZ($A$1,$B15,BR$1)</f>
        <v>671.75</v>
      </c>
      <c r="BS15" s="116" cm="1">
        <f t="array" ref="BS15">_xll.EQNXTDZ($A$1,$B15,BS$1)</f>
        <v>635</v>
      </c>
      <c r="BT15" s="116" cm="1">
        <f t="array" ref="BT15">_xll.EQNXTDZ($A$1,$B15,BT$1)</f>
        <v>611.875</v>
      </c>
      <c r="BU15" s="116" cm="1">
        <f t="array" ref="BU15">_xll.EQNXTDZ($A$1,$B15,BU$1)</f>
        <v>622.5</v>
      </c>
      <c r="BV15" s="116" cm="1">
        <f t="array" ref="BV15">_xll.EQNXTDZ($A$1,$B15,BV$1)</f>
        <v>641</v>
      </c>
      <c r="BW15" s="116" cm="1">
        <f t="array" ref="BW15">_xll.EQNXTDZ($A$1,$B15,BW$1)</f>
        <v>683</v>
      </c>
      <c r="BX15" s="116" cm="1">
        <f t="array" ref="BX15">_xll.EQNXTDZ($A$1,$B15,BX$1)</f>
        <v>697.05</v>
      </c>
      <c r="BY15" s="116" cm="1">
        <f t="array" ref="BY15">_xll.EQNXTDZ($A$1,$B15,BY$1)</f>
        <v>755.75</v>
      </c>
      <c r="BZ15" s="116" cm="1">
        <f t="array" ref="BZ15">_xll.EQNXTDZ($A$1,$B15,BZ$1)</f>
        <v>794.47500000000002</v>
      </c>
      <c r="CA15" s="116" cm="1">
        <f t="array" ref="CA15">_xll.EQNXTDZ($A$1,$B15,CA$1)</f>
        <v>757.95</v>
      </c>
      <c r="CB15" s="116" cm="1">
        <f t="array" ref="CB15">_xll.EQNXTDZ($A$1,$B15,CB$1)</f>
        <v>787.27499999999998</v>
      </c>
      <c r="CC15" s="116" cm="1">
        <f t="array" ref="CC15">_xll.EQNXTDZ($A$1,$B15,CC$1)</f>
        <v>834.82500000000005</v>
      </c>
      <c r="CD15" s="116" cm="1">
        <f t="array" ref="CD15">_xll.EQNXTDZ($A$1,$B15,CD$1)</f>
        <v>874.4</v>
      </c>
      <c r="CE15" s="116" cm="1">
        <f t="array" ref="CE15">_xll.EQNXTDZ($A$1,$B15,CE$1)</f>
        <v>861.05</v>
      </c>
      <c r="CF15" s="116" cm="1">
        <f t="array" ref="CF15">_xll.EQNXTDZ($A$1,$B15,CF$1)</f>
        <v>879</v>
      </c>
      <c r="CG15" s="116" cm="1">
        <f t="array" ref="CG15">_xll.EQNXTDZ($A$1,$B15,CG$1)</f>
        <v>858.5</v>
      </c>
      <c r="CH15" s="116" cm="1">
        <f t="array" ref="CH15">_xll.EQNXTDZ($A$1,$B15,CH$1)</f>
        <v>752.5</v>
      </c>
      <c r="CI15" s="116" cm="1">
        <f t="array" ref="CI15">_xll.EQNXTDZ($A$1,$B15,CI$1)</f>
        <v>732.375</v>
      </c>
      <c r="CJ15" s="116" cm="1">
        <f t="array" ref="CJ15">_xll.EQNXTDZ($A$1,$B15,CJ$1)</f>
        <v>726.5</v>
      </c>
      <c r="CK15" s="116" cm="1">
        <f t="array" ref="CK15">_xll.EQNXTDZ($A$1,$B15,CK$1)</f>
        <v>796.07500000000005</v>
      </c>
      <c r="CL15" s="116" cm="1">
        <f t="array" ref="CL15">_xll.EQNXTDZ($A$1,$B15,CL$1)</f>
        <v>823.22500000000002</v>
      </c>
      <c r="CM15" s="116" cm="1">
        <f t="array" ref="CM15">_xll.EQNXTDZ($A$1,$B15,CM$1)</f>
        <v>777.32500000000005</v>
      </c>
      <c r="CN15" s="116" cm="1">
        <f t="array" ref="CN15">_xll.EQNXTDZ($A$1,$B15,CN$1)</f>
        <v>845.65</v>
      </c>
      <c r="CO15" s="116" cm="1">
        <f t="array" ref="CO15">_xll.EQNXTDZ($A$1,$B15,CO$1)</f>
        <v>905</v>
      </c>
      <c r="CP15" s="116" cm="1">
        <f t="array" ref="CP15">_xll.EQNXTDZ($A$1,$B15,CP$1)</f>
        <v>920.55</v>
      </c>
      <c r="CQ15" s="116" cm="1">
        <f t="array" ref="CQ15">_xll.EQNXTDZ($A$1,$B15,CQ$1)</f>
        <v>941.57500000000005</v>
      </c>
      <c r="CR15" s="116" cm="1">
        <f t="array" ref="CR15">_xll.EQNXTDZ($A$1,$B15,CR$1)</f>
        <v>809.5</v>
      </c>
      <c r="CS15" s="116" cm="1">
        <f t="array" ref="CS15">_xll.EQNXTDZ($A$1,$B15,CS$1)</f>
        <v>966.65</v>
      </c>
      <c r="CT15" s="116" cm="1">
        <f t="array" ref="CT15">_xll.EQNXTDZ($A$1,$B15,CT$1)</f>
        <v>1140.075</v>
      </c>
      <c r="CU15" s="116" cm="1">
        <f t="array" ref="CU15">_xll.EQNXTDZ($A$1,$B15,CU$1)</f>
        <v>1140.2</v>
      </c>
      <c r="CV15" s="116" cm="1">
        <f t="array" ref="CV15">_xll.EQNXTDZ($A$1,$B15,CV$1)</f>
        <v>1116</v>
      </c>
      <c r="CW15" s="116" cm="1">
        <f t="array" ref="CW15">_xll.EQNXTDZ($A$1,$B15,CW$1)</f>
        <v>1309.75</v>
      </c>
      <c r="CX15" s="116" cm="1">
        <f t="array" ref="CX15">_xll.EQNXTDZ($A$1,$B15,CX$1)</f>
        <v>1279.3</v>
      </c>
      <c r="CY15" s="116" cm="1">
        <f t="array" ref="CY15">_xll.EQNXTDZ($A$1,$B15,CY$1)</f>
        <v>1250</v>
      </c>
      <c r="CZ15" s="116" cm="1">
        <f t="array" ref="CZ15">_xll.EQNXTDZ($A$1,$B15,CZ$1)</f>
        <v>1210.6500000000001</v>
      </c>
      <c r="DA15" s="116" cm="1">
        <f t="array" ref="DA15">_xll.EQNXTDZ($A$1,$B15,DA$1)</f>
        <v>1291.925</v>
      </c>
      <c r="DB15" s="116" cm="1">
        <f t="array" ref="DB15">_xll.EQNXTDZ($A$1,$B15,DB$1)</f>
        <v>1285.95</v>
      </c>
      <c r="DC15" s="116" cm="1">
        <f t="array" ref="DC15">_xll.EQNXTDZ($A$1,$B15,DC$1)</f>
        <v>1200.5250000000001</v>
      </c>
      <c r="DD15" s="116" cm="1">
        <f t="array" ref="DD15">_xll.EQNXTDZ($A$1,$B15,DD$1)</f>
        <v>1155.6500000000001</v>
      </c>
      <c r="DE15" s="116" cm="1">
        <f t="array" ref="DE15">_xll.EQNXTDZ($A$1,$B15,DE$1)</f>
        <v>1238.825</v>
      </c>
      <c r="DF15" s="116" cm="1">
        <f t="array" ref="DF15">_xll.EQNXTDZ($A$1,$B15,DF$1)</f>
        <v>1243.3</v>
      </c>
      <c r="DG15" s="116" cm="1">
        <f t="array" ref="DG15">_xll.EQNXTDZ($A$1,$B15,DG$1)</f>
        <v>1357.5</v>
      </c>
      <c r="DH15" s="116" cm="1">
        <f t="array" ref="DH15">_xll.EQNXTDZ($A$1,$B15,DH$1)</f>
        <v>1441.4749999999999</v>
      </c>
      <c r="DI15" s="116" cm="1">
        <f t="array" ref="DI15">_xll.EQNXTDZ($A$1,$B15,DI$1)</f>
        <v>1427.925</v>
      </c>
      <c r="DJ15" s="116" cm="1">
        <f t="array" ref="DJ15">_xll.EQNXTDZ($A$1,$B15,DJ$1)</f>
        <v>1508.8</v>
      </c>
      <c r="DK15" s="116" cm="1">
        <f t="array" ref="DK15">_xll.EQNXTDZ($A$1,$B15,DK$1)</f>
        <v>1382.825</v>
      </c>
      <c r="DL15" s="116" cm="1">
        <f t="array" ref="DL15">_xll.EQNXTDZ($A$1,$B15,DL$1)</f>
        <v>1367.25</v>
      </c>
      <c r="DM15" s="116" cm="1">
        <f t="array" ref="DM15">_xll.EQNXTDZ($A$1,$B15,DM$1)</f>
        <v>1459.6</v>
      </c>
      <c r="DN15" s="116" cm="1">
        <f t="array" ref="DN15">_xll.EQNXTDZ($A$1,$B15,DN$1)</f>
        <v>1300.6500000000001</v>
      </c>
      <c r="DO15" s="116" cm="1">
        <f t="array" ref="DO15">_xll.EQNXTDZ($A$1,$B15,DO$1)</f>
        <v>1270</v>
      </c>
      <c r="DP15" s="116" cm="1">
        <f t="array" ref="DP15">_xll.EQNXTDZ($A$1,$B15,DP$1)</f>
        <v>1325.95</v>
      </c>
      <c r="DQ15" s="116" cm="1">
        <f t="array" ref="DQ15">_xll.EQNXTDZ($A$1,$B15,DQ$1)</f>
        <v>1345.5</v>
      </c>
      <c r="DR15" s="116" cm="1">
        <f t="array" ref="DR15">_xll.EQNXTDZ($A$1,$B15,DR$1)</f>
        <v>1242.5</v>
      </c>
      <c r="DS15" s="116" cm="1">
        <f t="array" ref="DS15">_xll.EQNXTDZ($A$1,$B15,DS$1)</f>
        <v>1343.875</v>
      </c>
      <c r="DT15" s="116" cm="1">
        <f t="array" ref="DT15">_xll.EQNXTDZ($A$1,$B15,DT$1)</f>
        <v>1421</v>
      </c>
      <c r="DU15" s="116" cm="1">
        <f t="array" ref="DU15">_xll.EQNXTDZ($A$1,$B15,DU$1)</f>
        <v>1503</v>
      </c>
      <c r="DV15" s="116" cm="1">
        <f t="array" ref="DV15">_xll.EQNXTDZ($A$1,$B15,DV$1)</f>
        <v>1449.25</v>
      </c>
      <c r="DW15" s="116" cm="1">
        <f t="array" ref="DW15">_xll.EQNXTDZ($A$1,$B15,DW$1)</f>
        <v>1549.7</v>
      </c>
      <c r="DX15" s="116" cm="1">
        <f t="array" ref="DX15">_xll.EQNXTDZ($A$1,$B15,DX$1)</f>
        <v>1597.8</v>
      </c>
      <c r="DY15" s="116" cm="1">
        <f t="array" ref="DY15">_xll.EQNXTDZ($A$1,$B15,DY$1)</f>
        <v>1531.25</v>
      </c>
      <c r="DZ15" s="116" cm="1">
        <f t="array" ref="DZ15">_xll.EQNXTDZ($A$1,$B15,DZ$1)</f>
        <v>1507.05</v>
      </c>
      <c r="EA15" s="116" cm="1">
        <f t="array" ref="EA15">_xll.EQNXTDZ($A$1,$B15,EA$1)</f>
        <v>1454.3</v>
      </c>
      <c r="EB15" s="116" cm="1">
        <f t="array" ref="EB15">_xll.EQNXTDZ($A$1,$B15,EB$1)</f>
        <v>1446.15</v>
      </c>
      <c r="EC15" s="116" cm="1">
        <f t="array" ref="EC15">_xll.EQNXTDZ($A$1,$B15,EC$1)</f>
        <v>1524.05</v>
      </c>
      <c r="ED15" s="116" cm="1">
        <f t="array" ref="ED15">_xll.EQNXTDZ($A$1,$B15,ED$1)</f>
        <v>1599</v>
      </c>
      <c r="EE15" s="116" cm="1">
        <f t="array" ref="EE15">_xll.EQNXTDZ($A$1,$B15,EE$1)</f>
        <v>1761.45</v>
      </c>
      <c r="EF15" s="116" cm="1">
        <f t="array" ref="EF15">_xll.EQNXTDZ($A$1,$B15,EF$1)</f>
        <v>1862.15</v>
      </c>
      <c r="EG15" s="116" cm="1">
        <f t="array" ref="EG15">_xll.EQNXTDZ($A$1,$B15,EG$1)</f>
        <v>1837.5</v>
      </c>
      <c r="EH15" s="116" cm="1">
        <f t="array" ref="EH15">_xll.EQNXTDZ($A$1,$B15,EH$1)</f>
        <v>1771.35</v>
      </c>
      <c r="EI15" s="116" cm="1">
        <f t="array" ref="EI15">_xll.EQNXTDZ($A$1,$B15,EI$1)</f>
        <v>1822.8</v>
      </c>
      <c r="EJ15" s="116" cm="1">
        <f t="array" ref="EJ15">_xll.EQNXTDZ($A$1,$B15,EJ$1)</f>
        <v>1912.5</v>
      </c>
      <c r="EK15" s="116" cm="1">
        <f t="array" ref="EK15">_xll.EQNXTDZ($A$1,$B15,EK$1)</f>
        <v>2025</v>
      </c>
      <c r="EL15" s="116" cm="1">
        <f t="array" ref="EL15">_xll.EQNXTDZ($A$1,$B15,EL$1)</f>
        <v>2270.15</v>
      </c>
      <c r="EM15" s="116" cm="1">
        <f t="array" ref="EM15">_xll.EQNXTDZ($A$1,$B15,EM$1)</f>
        <v>2481.15</v>
      </c>
      <c r="EN15" s="116" cm="1">
        <f t="array" ref="EN15">_xll.EQNXTDZ($A$1,$B15,EN$1)</f>
        <v>2488</v>
      </c>
      <c r="EO15" s="116" cm="1">
        <f t="array" ref="EO15">_xll.EQNXTDZ($A$1,$B15,EO$1)</f>
        <v>2508.65</v>
      </c>
      <c r="EP15" s="116" cm="1">
        <f t="array" ref="EP15">_xll.EQNXTDZ($A$1,$B15,EP$1)</f>
        <v>2513.0500000000002</v>
      </c>
      <c r="EQ15" s="116" cm="1">
        <f t="array" ref="EQ15">_xll.EQNXTDZ($A$1,$B15,EQ$1)</f>
        <v>2576.4</v>
      </c>
      <c r="ER15" s="116" cm="1">
        <f t="array" ref="ER15">_xll.EQNXTDZ($A$1,$B15,ER$1)</f>
        <v>2760.3</v>
      </c>
      <c r="ES15" s="116" cm="1">
        <f t="array" ref="ES15">_xll.EQNXTDZ($A$1,$B15,ES$1)</f>
        <v>3158.6</v>
      </c>
      <c r="ET15" s="116" cm="1">
        <f t="array" ref="ET15">_xll.EQNXTDZ($A$1,$B15,ET$1)</f>
        <v>3321.35</v>
      </c>
      <c r="EU15" s="116" cm="1">
        <f t="array" ref="EU15">_xll.EQNXTDZ($A$1,$B15,EU$1)</f>
        <v>3084.8</v>
      </c>
      <c r="EV15" s="116" cm="1">
        <f t="array" ref="EV15">_xll.EQNXTDZ($A$1,$B15,EV$1)</f>
        <v>3060.8</v>
      </c>
      <c r="EW15" s="116" cm="1">
        <f t="array" ref="EW15">_xll.EQNXTDZ($A$1,$B15,EW$1)</f>
        <v>3275.05</v>
      </c>
      <c r="EX15" s="116" cm="1">
        <f t="array" ref="EX15">_xll.EQNXTDZ($A$1,$B15,EX$1)</f>
        <v>3124.05</v>
      </c>
      <c r="EY15" s="116" cm="1">
        <f t="array" ref="EY15">_xll.EQNXTDZ($A$1,$B15,EY$1)</f>
        <v>2918</v>
      </c>
      <c r="EZ15" s="116" cm="1">
        <f t="array" ref="EZ15">_xll.EQNXTDZ($A$1,$B15,EZ$1)</f>
        <v>2891.45</v>
      </c>
      <c r="FA15" s="116" cm="1">
        <f t="array" ref="FA15">_xll.EQNXTDZ($A$1,$B15,FA$1)</f>
        <v>3111.5</v>
      </c>
      <c r="FB15" s="116" cm="1">
        <f t="array" ref="FB15">_xll.EQNXTDZ($A$1,$B15,FB$1)</f>
        <v>3101</v>
      </c>
      <c r="FC15" s="116" cm="1">
        <f t="array" ref="FC15">_xll.EQNXTDZ($A$1,$B15,FC$1)</f>
        <v>3103</v>
      </c>
      <c r="FD15" s="116" cm="1">
        <f t="array" ref="FD15">_xll.EQNXTDZ($A$1,$B15,FD$1)</f>
        <v>3289.55</v>
      </c>
      <c r="FE15" s="116" cm="1">
        <f t="array" ref="FE15">_xll.EQNXTDZ($A$1,$B15,FE$1)</f>
        <v>3488.95</v>
      </c>
      <c r="FF15" s="116" cm="1">
        <f t="array" ref="FF15">_xll.EQNXTDZ($A$1,$B15,FF$1)</f>
        <v>3480.65</v>
      </c>
      <c r="FG15" s="116" cm="1">
        <f t="array" ref="FG15">_xll.EQNXTDZ($A$1,$B15,FG$1)</f>
        <v>3480</v>
      </c>
      <c r="FH15" s="116" cm="1">
        <f t="array" ref="FH15">_xll.EQNXTDZ($A$1,$B15,FH$1)</f>
        <v>3532.85</v>
      </c>
      <c r="FI15" s="116" cm="1">
        <f t="array" ref="FI15">_xll.EQNXTDZ($A$1,$B15,FI$1)</f>
        <v>3690.45</v>
      </c>
      <c r="FJ15" s="116" cm="1">
        <f t="array" ref="FJ15">_xll.EQNXTDZ($A$1,$B15,FJ$1)</f>
        <v>3724.1</v>
      </c>
      <c r="FK15" s="116" cm="1">
        <f t="array" ref="FK15">_xll.EQNXTDZ($A$1,$B15,FK$1)</f>
        <v>3855.55</v>
      </c>
      <c r="FL15" s="116" cm="1">
        <f t="array" ref="FL15">_xll.EQNXTDZ($A$1,$B15,FL$1)</f>
        <v>4005.95</v>
      </c>
      <c r="FM15" s="116" cm="1">
        <f t="array" ref="FM15">_xll.EQNXTDZ($A$1,$B15,FM$1)</f>
        <v>3871.25</v>
      </c>
      <c r="FN15" s="116" cm="1">
        <f t="array" ref="FN15">_xll.EQNXTDZ($A$1,$B15,FN$1)</f>
        <v>4213.3999999999996</v>
      </c>
      <c r="FO15" s="116" cm="1">
        <f t="array" ref="FO15">_xll.EQNXTDZ($A$1,$B15,FO$1)</f>
        <v>4242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150.38749999999999</v>
      </c>
      <c r="HQ15" s="116">
        <f>+MIN(G15:I15)</f>
        <v>157.5</v>
      </c>
      <c r="HR15" s="116">
        <f>+MIN(J15:L15)</f>
        <v>164</v>
      </c>
      <c r="HS15" s="116">
        <f>+MIN(M15:O15)</f>
        <v>167.125</v>
      </c>
      <c r="HT15" s="116">
        <f>+MIN(P15:R15)</f>
        <v>192.97499999999999</v>
      </c>
      <c r="HU15" s="116">
        <f>+MIN(S15:U15)</f>
        <v>202</v>
      </c>
      <c r="HV15" s="116">
        <f>+MIN(V15:X15)</f>
        <v>230.7</v>
      </c>
      <c r="HW15" s="116">
        <f>+MIN(Y15:AA15)</f>
        <v>261.5</v>
      </c>
      <c r="HX15" s="116">
        <f>+MIN(AB15:AD15)</f>
        <v>327.75</v>
      </c>
      <c r="HY15" s="116">
        <f>+MIN(AE15:AG15)</f>
        <v>405.125</v>
      </c>
      <c r="HZ15" s="116">
        <f>+MIN(AH15:AJ15)</f>
        <v>516.5</v>
      </c>
      <c r="IA15" s="116">
        <f>+MIN(AK15:AM15)</f>
        <v>566.72500000000002</v>
      </c>
      <c r="IB15" s="116">
        <f>+MIN(AN15:AP15)</f>
        <v>644</v>
      </c>
      <c r="IC15" s="116">
        <f>+MIN(AQ15:AS15)</f>
        <v>687.75</v>
      </c>
      <c r="ID15" s="116">
        <f>+MIN(AT15:AV15)</f>
        <v>595</v>
      </c>
      <c r="IE15" s="116">
        <f>+MIN(AW15:AY15)</f>
        <v>625.42499999999995</v>
      </c>
      <c r="IF15" s="116">
        <f>+MIN(AZ15:BB15)</f>
        <v>681.05</v>
      </c>
      <c r="IG15" s="116">
        <f>+MIN(BC15:BE15)</f>
        <v>592.79999999999995</v>
      </c>
      <c r="IH15" s="116">
        <f>+MIN(BF15:BH15)</f>
        <v>604</v>
      </c>
      <c r="II15" s="116">
        <f>+MIN(BI15:BK15)</f>
        <v>571.75</v>
      </c>
      <c r="IJ15" s="116">
        <f>+MIN(BL15:BN15)</f>
        <v>574.52499999999998</v>
      </c>
      <c r="IK15" s="116">
        <f>+MIN(BO15:BQ15)</f>
        <v>603</v>
      </c>
      <c r="IL15" s="116">
        <f>+MIN(BR15:BT15)</f>
        <v>611.875</v>
      </c>
      <c r="IM15" s="116">
        <f>+MIN(BU15:BW15)</f>
        <v>622.5</v>
      </c>
      <c r="IN15" s="116">
        <f>+MIN(BX15:BZ15)</f>
        <v>697.05</v>
      </c>
      <c r="IO15" s="116">
        <f>+MIN(CA15:CC15)</f>
        <v>757.95</v>
      </c>
      <c r="IP15" s="116">
        <f>+MIN(CD15:CF15)</f>
        <v>861.05</v>
      </c>
      <c r="IQ15" s="116">
        <f>+MIN(CG15:CI15)</f>
        <v>732.375</v>
      </c>
      <c r="IR15" s="116">
        <f>+MIN(CJ15:CL15)</f>
        <v>726.5</v>
      </c>
      <c r="IS15" s="116">
        <f>+MIN(CM15:CO15)</f>
        <v>777.32500000000005</v>
      </c>
      <c r="IT15" s="116">
        <f>+MIN(CP15:CR15)</f>
        <v>809.5</v>
      </c>
      <c r="IU15" s="116">
        <f>+MIN(CS15:CU15)</f>
        <v>966.65</v>
      </c>
      <c r="IV15" s="116">
        <f>+MIN(CV15:CX15)</f>
        <v>1116</v>
      </c>
      <c r="IW15" s="116">
        <f>+MIN(CY15:DA15)</f>
        <v>1210.6500000000001</v>
      </c>
      <c r="IX15" s="116">
        <f>+MIN(DB15:DD15)</f>
        <v>1155.6500000000001</v>
      </c>
      <c r="IY15" s="116">
        <f>+MIN(DE15:DG15)</f>
        <v>1238.825</v>
      </c>
      <c r="IZ15" s="116">
        <f>+MIN(DH15:DJ15)</f>
        <v>1427.925</v>
      </c>
      <c r="JA15" s="116">
        <f>+MIN(DK15:DM15)</f>
        <v>1367.25</v>
      </c>
      <c r="JB15" s="116">
        <f>+MIN(DN15:DP15)</f>
        <v>1270</v>
      </c>
      <c r="JC15" s="116">
        <f>+MIN(DQ15:DS15)</f>
        <v>1242.5</v>
      </c>
      <c r="JD15" s="116">
        <f>+MIN(DT15:DV15)</f>
        <v>1421</v>
      </c>
      <c r="JE15" s="116">
        <f>+MIN(DW15:DY15)</f>
        <v>1531.25</v>
      </c>
      <c r="JF15" s="116">
        <f>+MIN(DZ15:EB15)</f>
        <v>1446.15</v>
      </c>
      <c r="JG15" s="116">
        <f>+MIN(EC15:EE15)</f>
        <v>1524.05</v>
      </c>
      <c r="JH15" s="116">
        <f>+MIN(EF15:EH15)</f>
        <v>1771.35</v>
      </c>
      <c r="JI15" s="116">
        <f>+MIN(EI15:EK15)</f>
        <v>1822.8</v>
      </c>
      <c r="JJ15" s="116">
        <f>+MIN(EL15:EN15)</f>
        <v>2270.15</v>
      </c>
      <c r="JK15" s="116">
        <f>MIN(EO15:EQ15)</f>
        <v>2508.65</v>
      </c>
      <c r="JL15" s="116">
        <f>MIN(ER15:ET15)</f>
        <v>2760.3</v>
      </c>
      <c r="JM15" s="116">
        <f>MIN(EU15:EW15)</f>
        <v>3060.8</v>
      </c>
      <c r="JN15" s="116">
        <f>MIN(EX15:EZ15)</f>
        <v>2891.45</v>
      </c>
      <c r="JO15" s="116">
        <f>MIN(FA15:FC15)</f>
        <v>3101</v>
      </c>
      <c r="JP15" s="116">
        <f>MIN(FD15:FF15)</f>
        <v>3289.55</v>
      </c>
      <c r="JQ15" s="116">
        <f>MIN(FG15:FI15)</f>
        <v>3480</v>
      </c>
      <c r="JR15" s="116">
        <f>MIN(FJ15:FL15)</f>
        <v>3724.1</v>
      </c>
      <c r="JS15" s="116">
        <f>MIN(FM15:FO15)</f>
        <v>3871.25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149.96250000000001</v>
      </c>
      <c r="D16" s="116" cm="1">
        <f t="array" ref="D16">_xll.EQNXTDZ($A$1,$B16,D$1)</f>
        <v>167.3</v>
      </c>
      <c r="E16" s="116" cm="1">
        <f t="array" ref="E16">_xll.EQNXTDZ($A$1,$B16,E$1)</f>
        <v>176.85</v>
      </c>
      <c r="F16" s="116" cm="1">
        <f t="array" ref="F16">_xll.EQNXTDZ($A$1,$B16,F$1)</f>
        <v>173.66249999999999</v>
      </c>
      <c r="G16" s="116" cm="1">
        <f t="array" ref="G16">_xll.EQNXTDZ($A$1,$B16,G$1)</f>
        <v>169.11250000000001</v>
      </c>
      <c r="H16" s="116" cm="1">
        <f t="array" ref="H16">_xll.EQNXTDZ($A$1,$B16,H$1)</f>
        <v>166.375</v>
      </c>
      <c r="I16" s="116" cm="1">
        <f t="array" ref="I16">_xll.EQNXTDZ($A$1,$B16,I$1)</f>
        <v>181.63749999999999</v>
      </c>
      <c r="J16" s="116" cm="1">
        <f t="array" ref="J16">_xll.EQNXTDZ($A$1,$B16,J$1)</f>
        <v>175.6</v>
      </c>
      <c r="K16" s="116" cm="1">
        <f t="array" ref="K16">_xll.EQNXTDZ($A$1,$B16,K$1)</f>
        <v>168.17500000000001</v>
      </c>
      <c r="L16" s="116" cm="1">
        <f t="array" ref="L16">_xll.EQNXTDZ($A$1,$B16,L$1)</f>
        <v>173.8125</v>
      </c>
      <c r="M16" s="116" cm="1">
        <f t="array" ref="M16">_xll.EQNXTDZ($A$1,$B16,M$1)</f>
        <v>172.6875</v>
      </c>
      <c r="N16" s="116" cm="1">
        <f t="array" ref="N16">_xll.EQNXTDZ($A$1,$B16,N$1)</f>
        <v>196.6875</v>
      </c>
      <c r="O16" s="116" cm="1">
        <f t="array" ref="O16">_xll.EQNXTDZ($A$1,$B16,O$1)</f>
        <v>205.45</v>
      </c>
      <c r="P16" s="116" cm="1">
        <f t="array" ref="P16">_xll.EQNXTDZ($A$1,$B16,P$1)</f>
        <v>213.52500000000001</v>
      </c>
      <c r="Q16" s="116" cm="1">
        <f t="array" ref="Q16">_xll.EQNXTDZ($A$1,$B16,Q$1)</f>
        <v>204.77500000000001</v>
      </c>
      <c r="R16" s="116" cm="1">
        <f t="array" ref="R16">_xll.EQNXTDZ($A$1,$B16,R$1)</f>
        <v>218.42500000000001</v>
      </c>
      <c r="S16" s="116" cm="1">
        <f t="array" ref="S16">_xll.EQNXTDZ($A$1,$B16,S$1)</f>
        <v>223.77500000000001</v>
      </c>
      <c r="T16" s="116" cm="1">
        <f t="array" ref="T16">_xll.EQNXTDZ($A$1,$B16,T$1)</f>
        <v>231.07499999999999</v>
      </c>
      <c r="U16" s="116" cm="1">
        <f t="array" ref="U16">_xll.EQNXTDZ($A$1,$B16,U$1)</f>
        <v>237.02500000000001</v>
      </c>
      <c r="V16" s="116" cm="1">
        <f t="array" ref="V16">_xll.EQNXTDZ($A$1,$B16,V$1)</f>
        <v>268.8</v>
      </c>
      <c r="W16" s="116" cm="1">
        <f t="array" ref="W16">_xll.EQNXTDZ($A$1,$B16,W$1)</f>
        <v>277.10000000000002</v>
      </c>
      <c r="X16" s="116" cm="1">
        <f t="array" ref="X16">_xll.EQNXTDZ($A$1,$B16,X$1)</f>
        <v>261.82499999999999</v>
      </c>
      <c r="Y16" s="116" cm="1">
        <f t="array" ref="Y16">_xll.EQNXTDZ($A$1,$B16,Y$1)</f>
        <v>288.67500000000001</v>
      </c>
      <c r="Z16" s="116" cm="1">
        <f t="array" ref="Z16">_xll.EQNXTDZ($A$1,$B16,Z$1)</f>
        <v>305.875</v>
      </c>
      <c r="AA16" s="116" cm="1">
        <f t="array" ref="AA16">_xll.EQNXTDZ($A$1,$B16,AA$1)</f>
        <v>354.82499999999999</v>
      </c>
      <c r="AB16" s="116" cm="1">
        <f t="array" ref="AB16">_xll.EQNXTDZ($A$1,$B16,AB$1)</f>
        <v>372.05</v>
      </c>
      <c r="AC16" s="116" cm="1">
        <f t="array" ref="AC16">_xll.EQNXTDZ($A$1,$B16,AC$1)</f>
        <v>415.77499999999998</v>
      </c>
      <c r="AD16" s="116" cm="1">
        <f t="array" ref="AD16">_xll.EQNXTDZ($A$1,$B16,AD$1)</f>
        <v>434.125</v>
      </c>
      <c r="AE16" s="116" cm="1">
        <f t="array" ref="AE16">_xll.EQNXTDZ($A$1,$B16,AE$1)</f>
        <v>442.05</v>
      </c>
      <c r="AF16" s="116" cm="1">
        <f t="array" ref="AF16">_xll.EQNXTDZ($A$1,$B16,AF$1)</f>
        <v>514.65</v>
      </c>
      <c r="AG16" s="116" cm="1">
        <f t="array" ref="AG16">_xll.EQNXTDZ($A$1,$B16,AG$1)</f>
        <v>565.65</v>
      </c>
      <c r="AH16" s="116" cm="1">
        <f t="array" ref="AH16">_xll.EQNXTDZ($A$1,$B16,AH$1)</f>
        <v>550.47500000000002</v>
      </c>
      <c r="AI16" s="116" cm="1">
        <f t="array" ref="AI16">_xll.EQNXTDZ($A$1,$B16,AI$1)</f>
        <v>535.70000000000005</v>
      </c>
      <c r="AJ16" s="116" cm="1">
        <f t="array" ref="AJ16">_xll.EQNXTDZ($A$1,$B16,AJ$1)</f>
        <v>580.42499999999995</v>
      </c>
      <c r="AK16" s="116" cm="1">
        <f t="array" ref="AK16">_xll.EQNXTDZ($A$1,$B16,AK$1)</f>
        <v>602.6</v>
      </c>
      <c r="AL16" s="116" cm="1">
        <f t="array" ref="AL16">_xll.EQNXTDZ($A$1,$B16,AL$1)</f>
        <v>607.45000000000005</v>
      </c>
      <c r="AM16" s="116" cm="1">
        <f t="array" ref="AM16">_xll.EQNXTDZ($A$1,$B16,AM$1)</f>
        <v>649.25</v>
      </c>
      <c r="AN16" s="116" cm="1">
        <f t="array" ref="AN16">_xll.EQNXTDZ($A$1,$B16,AN$1)</f>
        <v>720.22500000000002</v>
      </c>
      <c r="AO16" s="116" cm="1">
        <f t="array" ref="AO16">_xll.EQNXTDZ($A$1,$B16,AO$1)</f>
        <v>802.95</v>
      </c>
      <c r="AP16" s="116" cm="1">
        <f t="array" ref="AP16">_xll.EQNXTDZ($A$1,$B16,AP$1)</f>
        <v>749.92499999999995</v>
      </c>
      <c r="AQ16" s="116" cm="1">
        <f t="array" ref="AQ16">_xll.EQNXTDZ($A$1,$B16,AQ$1)</f>
        <v>771.35</v>
      </c>
      <c r="AR16" s="116" cm="1">
        <f t="array" ref="AR16">_xll.EQNXTDZ($A$1,$B16,AR$1)</f>
        <v>716.47500000000002</v>
      </c>
      <c r="AS16" s="116" cm="1">
        <f t="array" ref="AS16">_xll.EQNXTDZ($A$1,$B16,AS$1)</f>
        <v>726.82500000000005</v>
      </c>
      <c r="AT16" s="116" cm="1">
        <f t="array" ref="AT16">_xll.EQNXTDZ($A$1,$B16,AT$1)</f>
        <v>697.85</v>
      </c>
      <c r="AU16" s="116" cm="1">
        <f t="array" ref="AU16">_xll.EQNXTDZ($A$1,$B16,AU$1)</f>
        <v>630.52499999999998</v>
      </c>
      <c r="AV16" s="116" cm="1">
        <f t="array" ref="AV16">_xll.EQNXTDZ($A$1,$B16,AV$1)</f>
        <v>669.85</v>
      </c>
      <c r="AW16" s="116" cm="1">
        <f t="array" ref="AW16">_xll.EQNXTDZ($A$1,$B16,AW$1)</f>
        <v>712.4</v>
      </c>
      <c r="AX16" s="116" cm="1">
        <f t="array" ref="AX16">_xll.EQNXTDZ($A$1,$B16,AX$1)</f>
        <v>671.4</v>
      </c>
      <c r="AY16" s="116" cm="1">
        <f t="array" ref="AY16">_xll.EQNXTDZ($A$1,$B16,AY$1)</f>
        <v>685.375</v>
      </c>
      <c r="AZ16" s="116" cm="1">
        <f t="array" ref="AZ16">_xll.EQNXTDZ($A$1,$B16,AZ$1)</f>
        <v>720.82500000000005</v>
      </c>
      <c r="BA16" s="116" cm="1">
        <f t="array" ref="BA16">_xll.EQNXTDZ($A$1,$B16,BA$1)</f>
        <v>814.42499999999995</v>
      </c>
      <c r="BB16" s="116" cm="1">
        <f t="array" ref="BB16">_xll.EQNXTDZ($A$1,$B16,BB$1)</f>
        <v>812.07500000000005</v>
      </c>
      <c r="BC16" s="116" cm="1">
        <f t="array" ref="BC16">_xll.EQNXTDZ($A$1,$B16,BC$1)</f>
        <v>709.25</v>
      </c>
      <c r="BD16" s="116" cm="1">
        <f t="array" ref="BD16">_xll.EQNXTDZ($A$1,$B16,BD$1)</f>
        <v>688.72500000000002</v>
      </c>
      <c r="BE16" s="116" cm="1">
        <f t="array" ref="BE16">_xll.EQNXTDZ($A$1,$B16,BE$1)</f>
        <v>657.75</v>
      </c>
      <c r="BF16" s="116" cm="1">
        <f t="array" ref="BF16">_xll.EQNXTDZ($A$1,$B16,BF$1)</f>
        <v>649.5</v>
      </c>
      <c r="BG16" s="116" cm="1">
        <f t="array" ref="BG16">_xll.EQNXTDZ($A$1,$B16,BG$1)</f>
        <v>680.25</v>
      </c>
      <c r="BH16" s="116" cm="1">
        <f t="array" ref="BH16">_xll.EQNXTDZ($A$1,$B16,BH$1)</f>
        <v>774.625</v>
      </c>
      <c r="BI16" s="116" cm="1">
        <f t="array" ref="BI16">_xll.EQNXTDZ($A$1,$B16,BI$1)</f>
        <v>708.02499999999998</v>
      </c>
      <c r="BJ16" s="116" cm="1">
        <f t="array" ref="BJ16">_xll.EQNXTDZ($A$1,$B16,BJ$1)</f>
        <v>612.07500000000005</v>
      </c>
      <c r="BK16" s="116" cm="1">
        <f t="array" ref="BK16">_xll.EQNXTDZ($A$1,$B16,BK$1)</f>
        <v>606.5</v>
      </c>
      <c r="BL16" s="116" cm="1">
        <f t="array" ref="BL16">_xll.EQNXTDZ($A$1,$B16,BL$1)</f>
        <v>658.375</v>
      </c>
      <c r="BM16" s="116" cm="1">
        <f t="array" ref="BM16">_xll.EQNXTDZ($A$1,$B16,BM$1)</f>
        <v>601.35</v>
      </c>
      <c r="BN16" s="116" cm="1">
        <f t="array" ref="BN16">_xll.EQNXTDZ($A$1,$B16,BN$1)</f>
        <v>615.625</v>
      </c>
      <c r="BO16" s="116" cm="1">
        <f t="array" ref="BO16">_xll.EQNXTDZ($A$1,$B16,BO$1)</f>
        <v>635.70000000000005</v>
      </c>
      <c r="BP16" s="116" cm="1">
        <f t="array" ref="BP16">_xll.EQNXTDZ($A$1,$B16,BP$1)</f>
        <v>643.95000000000005</v>
      </c>
      <c r="BQ16" s="116" cm="1">
        <f t="array" ref="BQ16">_xll.EQNXTDZ($A$1,$B16,BQ$1)</f>
        <v>708.32500000000005</v>
      </c>
      <c r="BR16" s="116" cm="1">
        <f t="array" ref="BR16">_xll.EQNXTDZ($A$1,$B16,BR$1)</f>
        <v>681.47500000000002</v>
      </c>
      <c r="BS16" s="116" cm="1">
        <f t="array" ref="BS16">_xll.EQNXTDZ($A$1,$B16,BS$1)</f>
        <v>684.625</v>
      </c>
      <c r="BT16" s="116" cm="1">
        <f t="array" ref="BT16">_xll.EQNXTDZ($A$1,$B16,BT$1)</f>
        <v>623.95000000000005</v>
      </c>
      <c r="BU16" s="116" cm="1">
        <f t="array" ref="BU16">_xll.EQNXTDZ($A$1,$B16,BU$1)</f>
        <v>707.72500000000002</v>
      </c>
      <c r="BV16" s="116" cm="1">
        <f t="array" ref="BV16">_xll.EQNXTDZ($A$1,$B16,BV$1)</f>
        <v>705.125</v>
      </c>
      <c r="BW16" s="116" cm="1">
        <f t="array" ref="BW16">_xll.EQNXTDZ($A$1,$B16,BW$1)</f>
        <v>701.25</v>
      </c>
      <c r="BX16" s="116" cm="1">
        <f t="array" ref="BX16">_xll.EQNXTDZ($A$1,$B16,BX$1)</f>
        <v>763.1</v>
      </c>
      <c r="BY16" s="116" cm="1">
        <f t="array" ref="BY16">_xll.EQNXTDZ($A$1,$B16,BY$1)</f>
        <v>906.52499999999998</v>
      </c>
      <c r="BZ16" s="116" cm="1">
        <f t="array" ref="BZ16">_xll.EQNXTDZ($A$1,$B16,BZ$1)</f>
        <v>825.125</v>
      </c>
      <c r="CA16" s="116" cm="1">
        <f t="array" ref="CA16">_xll.EQNXTDZ($A$1,$B16,CA$1)</f>
        <v>832.625</v>
      </c>
      <c r="CB16" s="116" cm="1">
        <f t="array" ref="CB16">_xll.EQNXTDZ($A$1,$B16,CB$1)</f>
        <v>884.375</v>
      </c>
      <c r="CC16" s="116" cm="1">
        <f t="array" ref="CC16">_xll.EQNXTDZ($A$1,$B16,CC$1)</f>
        <v>885.625</v>
      </c>
      <c r="CD16" s="116" cm="1">
        <f t="array" ref="CD16">_xll.EQNXTDZ($A$1,$B16,CD$1)</f>
        <v>908.55</v>
      </c>
      <c r="CE16" s="116" cm="1">
        <f t="array" ref="CE16">_xll.EQNXTDZ($A$1,$B16,CE$1)</f>
        <v>902.82500000000005</v>
      </c>
      <c r="CF16" s="116" cm="1">
        <f t="array" ref="CF16">_xll.EQNXTDZ($A$1,$B16,CF$1)</f>
        <v>976.1</v>
      </c>
      <c r="CG16" s="116" cm="1">
        <f t="array" ref="CG16">_xll.EQNXTDZ($A$1,$B16,CG$1)</f>
        <v>896.07500000000005</v>
      </c>
      <c r="CH16" s="116" cm="1">
        <f t="array" ref="CH16">_xll.EQNXTDZ($A$1,$B16,CH$1)</f>
        <v>781.42499999999995</v>
      </c>
      <c r="CI16" s="116" cm="1">
        <f t="array" ref="CI16">_xll.EQNXTDZ($A$1,$B16,CI$1)</f>
        <v>774.4</v>
      </c>
      <c r="CJ16" s="116" cm="1">
        <f t="array" ref="CJ16">_xll.EQNXTDZ($A$1,$B16,CJ$1)</f>
        <v>834.625</v>
      </c>
      <c r="CK16" s="116" cm="1">
        <f t="array" ref="CK16">_xll.EQNXTDZ($A$1,$B16,CK$1)</f>
        <v>853.77499999999998</v>
      </c>
      <c r="CL16" s="116" cm="1">
        <f t="array" ref="CL16">_xll.EQNXTDZ($A$1,$B16,CL$1)</f>
        <v>833.2</v>
      </c>
      <c r="CM16" s="116" cm="1">
        <f t="array" ref="CM16">_xll.EQNXTDZ($A$1,$B16,CM$1)</f>
        <v>887.5</v>
      </c>
      <c r="CN16" s="116" cm="1">
        <f t="array" ref="CN16">_xll.EQNXTDZ($A$1,$B16,CN$1)</f>
        <v>948.45</v>
      </c>
      <c r="CO16" s="116" cm="1">
        <f t="array" ref="CO16">_xll.EQNXTDZ($A$1,$B16,CO$1)</f>
        <v>923.47500000000002</v>
      </c>
      <c r="CP16" s="116" cm="1">
        <f t="array" ref="CP16">_xll.EQNXTDZ($A$1,$B16,CP$1)</f>
        <v>965.17499999999995</v>
      </c>
      <c r="CQ16" s="116" cm="1">
        <f t="array" ref="CQ16">_xll.EQNXTDZ($A$1,$B16,CQ$1)</f>
        <v>1074.55</v>
      </c>
      <c r="CR16" s="116" cm="1">
        <f t="array" ref="CR16">_xll.EQNXTDZ($A$1,$B16,CR$1)</f>
        <v>985.75</v>
      </c>
      <c r="CS16" s="116" cm="1">
        <f t="array" ref="CS16">_xll.EQNXTDZ($A$1,$B16,CS$1)</f>
        <v>1172.25</v>
      </c>
      <c r="CT16" s="116" cm="1">
        <f t="array" ref="CT16">_xll.EQNXTDZ($A$1,$B16,CT$1)</f>
        <v>1182.4000000000001</v>
      </c>
      <c r="CU16" s="116" cm="1">
        <f t="array" ref="CU16">_xll.EQNXTDZ($A$1,$B16,CU$1)</f>
        <v>1185.45</v>
      </c>
      <c r="CV16" s="116" cm="1">
        <f t="array" ref="CV16">_xll.EQNXTDZ($A$1,$B16,CV$1)</f>
        <v>1331.35</v>
      </c>
      <c r="CW16" s="116" cm="1">
        <f t="array" ref="CW16">_xll.EQNXTDZ($A$1,$B16,CW$1)</f>
        <v>1330.5</v>
      </c>
      <c r="CX16" s="116" cm="1">
        <f t="array" ref="CX16">_xll.EQNXTDZ($A$1,$B16,CX$1)</f>
        <v>1400.1</v>
      </c>
      <c r="CY16" s="116" cm="1">
        <f t="array" ref="CY16">_xll.EQNXTDZ($A$1,$B16,CY$1)</f>
        <v>1282.3499999999999</v>
      </c>
      <c r="CZ16" s="116" cm="1">
        <f t="array" ref="CZ16">_xll.EQNXTDZ($A$1,$B16,CZ$1)</f>
        <v>1305.55</v>
      </c>
      <c r="DA16" s="116" cm="1">
        <f t="array" ref="DA16">_xll.EQNXTDZ($A$1,$B16,DA$1)</f>
        <v>1400.35</v>
      </c>
      <c r="DB16" s="116" cm="1">
        <f t="array" ref="DB16">_xll.EQNXTDZ($A$1,$B16,DB$1)</f>
        <v>1302</v>
      </c>
      <c r="DC16" s="116" cm="1">
        <f t="array" ref="DC16">_xll.EQNXTDZ($A$1,$B16,DC$1)</f>
        <v>1214.7750000000001</v>
      </c>
      <c r="DD16" s="116" cm="1">
        <f t="array" ref="DD16">_xll.EQNXTDZ($A$1,$B16,DD$1)</f>
        <v>1270.5999999999999</v>
      </c>
      <c r="DE16" s="116" cm="1">
        <f t="array" ref="DE16">_xll.EQNXTDZ($A$1,$B16,DE$1)</f>
        <v>1254.8499999999999</v>
      </c>
      <c r="DF16" s="116" cm="1">
        <f t="array" ref="DF16">_xll.EQNXTDZ($A$1,$B16,DF$1)</f>
        <v>1370</v>
      </c>
      <c r="DG16" s="116" cm="1">
        <f t="array" ref="DG16">_xll.EQNXTDZ($A$1,$B16,DG$1)</f>
        <v>1451.325</v>
      </c>
      <c r="DH16" s="116" cm="1">
        <f t="array" ref="DH16">_xll.EQNXTDZ($A$1,$B16,DH$1)</f>
        <v>1534.85</v>
      </c>
      <c r="DI16" s="116" cm="1">
        <f t="array" ref="DI16">_xll.EQNXTDZ($A$1,$B16,DI$1)</f>
        <v>1552.2</v>
      </c>
      <c r="DJ16" s="116" cm="1">
        <f t="array" ref="DJ16">_xll.EQNXTDZ($A$1,$B16,DJ$1)</f>
        <v>1538.4</v>
      </c>
      <c r="DK16" s="116" cm="1">
        <f t="array" ref="DK16">_xll.EQNXTDZ($A$1,$B16,DK$1)</f>
        <v>1430.125</v>
      </c>
      <c r="DL16" s="116" cm="1">
        <f t="array" ref="DL16">_xll.EQNXTDZ($A$1,$B16,DL$1)</f>
        <v>1521.675</v>
      </c>
      <c r="DM16" s="116" cm="1">
        <f t="array" ref="DM16">_xll.EQNXTDZ($A$1,$B16,DM$1)</f>
        <v>1639.575</v>
      </c>
      <c r="DN16" s="116" cm="1">
        <f t="array" ref="DN16">_xll.EQNXTDZ($A$1,$B16,DN$1)</f>
        <v>1335.8</v>
      </c>
      <c r="DO16" s="116" cm="1">
        <f t="array" ref="DO16">_xll.EQNXTDZ($A$1,$B16,DO$1)</f>
        <v>1378.45</v>
      </c>
      <c r="DP16" s="116" cm="1">
        <f t="array" ref="DP16">_xll.EQNXTDZ($A$1,$B16,DP$1)</f>
        <v>1398.15</v>
      </c>
      <c r="DQ16" s="116" cm="1">
        <f t="array" ref="DQ16">_xll.EQNXTDZ($A$1,$B16,DQ$1)</f>
        <v>1403.925</v>
      </c>
      <c r="DR16" s="116" cm="1">
        <f t="array" ref="DR16">_xll.EQNXTDZ($A$1,$B16,DR$1)</f>
        <v>1424.6</v>
      </c>
      <c r="DS16" s="116" cm="1">
        <f t="array" ref="DS16">_xll.EQNXTDZ($A$1,$B16,DS$1)</f>
        <v>1429.7</v>
      </c>
      <c r="DT16" s="116" cm="1">
        <f t="array" ref="DT16">_xll.EQNXTDZ($A$1,$B16,DT$1)</f>
        <v>1528.8</v>
      </c>
      <c r="DU16" s="116" cm="1">
        <f t="array" ref="DU16">_xll.EQNXTDZ($A$1,$B16,DU$1)</f>
        <v>1552.4</v>
      </c>
      <c r="DV16" s="116" cm="1">
        <f t="array" ref="DV16">_xll.EQNXTDZ($A$1,$B16,DV$1)</f>
        <v>1558.65</v>
      </c>
      <c r="DW16" s="116" cm="1">
        <f t="array" ref="DW16">_xll.EQNXTDZ($A$1,$B16,DW$1)</f>
        <v>1649.7</v>
      </c>
      <c r="DX16" s="116" cm="1">
        <f t="array" ref="DX16">_xll.EQNXTDZ($A$1,$B16,DX$1)</f>
        <v>1662.25</v>
      </c>
      <c r="DY16" s="116" cm="1">
        <f t="array" ref="DY16">_xll.EQNXTDZ($A$1,$B16,DY$1)</f>
        <v>1551.65</v>
      </c>
      <c r="DZ16" s="116" cm="1">
        <f t="array" ref="DZ16">_xll.EQNXTDZ($A$1,$B16,DZ$1)</f>
        <v>1521.45</v>
      </c>
      <c r="EA16" s="116" cm="1">
        <f t="array" ref="EA16">_xll.EQNXTDZ($A$1,$B16,EA$1)</f>
        <v>1460.45</v>
      </c>
      <c r="EB16" s="116" cm="1">
        <f t="array" ref="EB16">_xll.EQNXTDZ($A$1,$B16,EB$1)</f>
        <v>1537.35</v>
      </c>
      <c r="EC16" s="116" cm="1">
        <f t="array" ref="EC16">_xll.EQNXTDZ($A$1,$B16,EC$1)</f>
        <v>1652.85</v>
      </c>
      <c r="ED16" s="116" cm="1">
        <f t="array" ref="ED16">_xll.EQNXTDZ($A$1,$B16,ED$1)</f>
        <v>1844.35</v>
      </c>
      <c r="EE16" s="116" cm="1">
        <f t="array" ref="EE16">_xll.EQNXTDZ($A$1,$B16,EE$1)</f>
        <v>1905.2</v>
      </c>
      <c r="EF16" s="116" cm="1">
        <f t="array" ref="EF16">_xll.EQNXTDZ($A$1,$B16,EF$1)</f>
        <v>2002.75</v>
      </c>
      <c r="EG16" s="116" cm="1">
        <f t="array" ref="EG16">_xll.EQNXTDZ($A$1,$B16,EG$1)</f>
        <v>1843.5</v>
      </c>
      <c r="EH16" s="116" cm="1">
        <f t="array" ref="EH16">_xll.EQNXTDZ($A$1,$B16,EH$1)</f>
        <v>1928.35</v>
      </c>
      <c r="EI16" s="116" cm="1">
        <f t="array" ref="EI16">_xll.EQNXTDZ($A$1,$B16,EI$1)</f>
        <v>1927.55</v>
      </c>
      <c r="EJ16" s="116" cm="1">
        <f t="array" ref="EJ16">_xll.EQNXTDZ($A$1,$B16,EJ$1)</f>
        <v>2127.35</v>
      </c>
      <c r="EK16" s="116" cm="1">
        <f t="array" ref="EK16">_xll.EQNXTDZ($A$1,$B16,EK$1)</f>
        <v>2305</v>
      </c>
      <c r="EL16" s="116" cm="1">
        <f t="array" ref="EL16">_xll.EQNXTDZ($A$1,$B16,EL$1)</f>
        <v>2531.65</v>
      </c>
      <c r="EM16" s="116" cm="1">
        <f t="array" ref="EM16">_xll.EQNXTDZ($A$1,$B16,EM$1)</f>
        <v>2664.45</v>
      </c>
      <c r="EN16" s="116" cm="1">
        <f t="array" ref="EN16">_xll.EQNXTDZ($A$1,$B16,EN$1)</f>
        <v>2601.15</v>
      </c>
      <c r="EO16" s="116" cm="1">
        <f t="array" ref="EO16">_xll.EQNXTDZ($A$1,$B16,EO$1)</f>
        <v>2640.4</v>
      </c>
      <c r="EP16" s="116" cm="1">
        <f t="array" ref="EP16">_xll.EQNXTDZ($A$1,$B16,EP$1)</f>
        <v>2696.4</v>
      </c>
      <c r="EQ16" s="116" cm="1">
        <f t="array" ref="EQ16">_xll.EQNXTDZ($A$1,$B16,EQ$1)</f>
        <v>2789.9</v>
      </c>
      <c r="ER16" s="116" cm="1">
        <f t="array" ref="ER16">_xll.EQNXTDZ($A$1,$B16,ER$1)</f>
        <v>3172.8</v>
      </c>
      <c r="ES16" s="116" cm="1">
        <f t="array" ref="ES16">_xll.EQNXTDZ($A$1,$B16,ES$1)</f>
        <v>3488.7</v>
      </c>
      <c r="ET16" s="116" cm="1">
        <f t="array" ref="ET16">_xll.EQNXTDZ($A$1,$B16,ET$1)</f>
        <v>3399.75</v>
      </c>
      <c r="EU16" s="116" cm="1">
        <f t="array" ref="EU16">_xll.EQNXTDZ($A$1,$B16,EU$1)</f>
        <v>3202.15</v>
      </c>
      <c r="EV16" s="116" cm="1">
        <f t="array" ref="EV16">_xll.EQNXTDZ($A$1,$B16,EV$1)</f>
        <v>3326.9</v>
      </c>
      <c r="EW16" s="116" cm="1">
        <f t="array" ref="EW16">_xll.EQNXTDZ($A$1,$B16,EW$1)</f>
        <v>3359.95</v>
      </c>
      <c r="EX16" s="116" cm="1">
        <f t="array" ref="EX16">_xll.EQNXTDZ($A$1,$B16,EX$1)</f>
        <v>3259.2</v>
      </c>
      <c r="EY16" s="116" cm="1">
        <f t="array" ref="EY16">_xll.EQNXTDZ($A$1,$B16,EY$1)</f>
        <v>2945.3</v>
      </c>
      <c r="EZ16" s="116" cm="1">
        <f t="array" ref="EZ16">_xll.EQNXTDZ($A$1,$B16,EZ$1)</f>
        <v>3234.6</v>
      </c>
      <c r="FA16" s="116" cm="1">
        <f t="array" ref="FA16">_xll.EQNXTDZ($A$1,$B16,FA$1)</f>
        <v>3314.45</v>
      </c>
      <c r="FB16" s="116" cm="1">
        <f t="array" ref="FB16">_xll.EQNXTDZ($A$1,$B16,FB$1)</f>
        <v>3173.95</v>
      </c>
      <c r="FC16" s="116" cm="1">
        <f t="array" ref="FC16">_xll.EQNXTDZ($A$1,$B16,FC$1)</f>
        <v>3409.7</v>
      </c>
      <c r="FD16" s="116" cm="1">
        <f t="array" ref="FD16">_xll.EQNXTDZ($A$1,$B16,FD$1)</f>
        <v>3741.9</v>
      </c>
      <c r="FE16" s="116" cm="1">
        <f t="array" ref="FE16">_xll.EQNXTDZ($A$1,$B16,FE$1)</f>
        <v>3558.85</v>
      </c>
      <c r="FF16" s="116" cm="1">
        <f t="array" ref="FF16">_xll.EQNXTDZ($A$1,$B16,FF$1)</f>
        <v>3600.65</v>
      </c>
      <c r="FG16" s="116" cm="1">
        <f t="array" ref="FG16">_xll.EQNXTDZ($A$1,$B16,FG$1)</f>
        <v>3559.1</v>
      </c>
      <c r="FH16" s="116" cm="1">
        <f t="array" ref="FH16">_xll.EQNXTDZ($A$1,$B16,FH$1)</f>
        <v>3721.7</v>
      </c>
      <c r="FI16" s="116" cm="1">
        <f t="array" ref="FI16">_xll.EQNXTDZ($A$1,$B16,FI$1)</f>
        <v>3841.7</v>
      </c>
      <c r="FJ16" s="116" cm="1">
        <f t="array" ref="FJ16">_xll.EQNXTDZ($A$1,$B16,FJ$1)</f>
        <v>3959.75</v>
      </c>
      <c r="FK16" s="116" cm="1">
        <f t="array" ref="FK16">_xll.EQNXTDZ($A$1,$B16,FK$1)</f>
        <v>4337.5</v>
      </c>
      <c r="FL16" s="116" cm="1">
        <f t="array" ref="FL16">_xll.EQNXTDZ($A$1,$B16,FL$1)</f>
        <v>4220.6499999999996</v>
      </c>
      <c r="FM16" s="116" cm="1">
        <f t="array" ref="FM16">_xll.EQNXTDZ($A$1,$B16,FM$1)</f>
        <v>4191.5</v>
      </c>
      <c r="FN16" s="116" cm="1">
        <f t="array" ref="FN16">_xll.EQNXTDZ($A$1,$B16,FN$1)</f>
        <v>4394.1499999999996</v>
      </c>
      <c r="FO16" s="116" cm="1">
        <f t="array" ref="FO16">_xll.EQNXTDZ($A$1,$B16,FO$1)</f>
        <v>4464.5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173.66249999999999</v>
      </c>
      <c r="HQ16" s="116">
        <f>+I16</f>
        <v>181.63749999999999</v>
      </c>
      <c r="HR16" s="116">
        <f>+L16</f>
        <v>173.8125</v>
      </c>
      <c r="HS16" s="116">
        <f>+O16</f>
        <v>205.45</v>
      </c>
      <c r="HT16" s="116">
        <f>+R16</f>
        <v>218.42500000000001</v>
      </c>
      <c r="HU16" s="116">
        <f>+U16</f>
        <v>237.02500000000001</v>
      </c>
      <c r="HV16" s="116">
        <f>+X16</f>
        <v>261.82499999999999</v>
      </c>
      <c r="HW16" s="116">
        <f>+AA16</f>
        <v>354.82499999999999</v>
      </c>
      <c r="HX16" s="116">
        <f>+AD16</f>
        <v>434.125</v>
      </c>
      <c r="HY16" s="116">
        <f>+AG16</f>
        <v>565.65</v>
      </c>
      <c r="HZ16" s="116">
        <f>+AJ16</f>
        <v>580.42499999999995</v>
      </c>
      <c r="IA16" s="116">
        <f>+AM16</f>
        <v>649.25</v>
      </c>
      <c r="IB16" s="116">
        <f>+AP16</f>
        <v>749.92499999999995</v>
      </c>
      <c r="IC16" s="116">
        <f>+AS16</f>
        <v>726.82500000000005</v>
      </c>
      <c r="ID16" s="116">
        <f>+AV16</f>
        <v>669.85</v>
      </c>
      <c r="IE16" s="116">
        <f>+AY16</f>
        <v>685.375</v>
      </c>
      <c r="IF16" s="116">
        <f>+BB16</f>
        <v>812.07500000000005</v>
      </c>
      <c r="IG16" s="116">
        <f>+BE16</f>
        <v>657.75</v>
      </c>
      <c r="IH16" s="116">
        <f>+BH16</f>
        <v>774.625</v>
      </c>
      <c r="II16" s="116">
        <f>+BK16</f>
        <v>606.5</v>
      </c>
      <c r="IJ16" s="116">
        <f>+BN16</f>
        <v>615.625</v>
      </c>
      <c r="IK16" s="116">
        <f>+BQ16</f>
        <v>708.32500000000005</v>
      </c>
      <c r="IL16" s="116">
        <f>+BT16</f>
        <v>623.95000000000005</v>
      </c>
      <c r="IM16" s="116">
        <f>+BW16</f>
        <v>701.25</v>
      </c>
      <c r="IN16" s="116">
        <f>+BZ16</f>
        <v>825.125</v>
      </c>
      <c r="IO16" s="116">
        <f>+CC16</f>
        <v>885.625</v>
      </c>
      <c r="IP16" s="116">
        <f>+CF16</f>
        <v>976.1</v>
      </c>
      <c r="IQ16" s="116">
        <f>+CI16</f>
        <v>774.4</v>
      </c>
      <c r="IR16" s="116">
        <f>+CL16</f>
        <v>833.2</v>
      </c>
      <c r="IS16" s="116">
        <f>+CO16</f>
        <v>923.47500000000002</v>
      </c>
      <c r="IT16" s="116">
        <f>+CR16</f>
        <v>985.75</v>
      </c>
      <c r="IU16" s="116">
        <f>+CU16</f>
        <v>1185.45</v>
      </c>
      <c r="IV16" s="116">
        <f>+CX16</f>
        <v>1400.1</v>
      </c>
      <c r="IW16" s="116">
        <f>+DA16</f>
        <v>1400.35</v>
      </c>
      <c r="IX16" s="116">
        <f>+DD16</f>
        <v>1270.5999999999999</v>
      </c>
      <c r="IY16" s="116">
        <f>+DG16</f>
        <v>1451.325</v>
      </c>
      <c r="IZ16" s="116">
        <f>+DJ16</f>
        <v>1538.4</v>
      </c>
      <c r="JA16" s="116">
        <f>+DM16</f>
        <v>1639.575</v>
      </c>
      <c r="JB16" s="116">
        <f>+DP16</f>
        <v>1398.15</v>
      </c>
      <c r="JC16" s="116">
        <f>+DS16</f>
        <v>1429.7</v>
      </c>
      <c r="JD16" s="116">
        <f>+DV16</f>
        <v>1558.65</v>
      </c>
      <c r="JE16" s="116">
        <f>+DY16</f>
        <v>1551.65</v>
      </c>
      <c r="JF16" s="116">
        <f>+EB16</f>
        <v>1537.35</v>
      </c>
      <c r="JG16" s="116">
        <f>+EE16</f>
        <v>1905.2</v>
      </c>
      <c r="JH16" s="116">
        <f>+EH16</f>
        <v>1928.35</v>
      </c>
      <c r="JI16" s="116">
        <f>+EK16</f>
        <v>2305</v>
      </c>
      <c r="JJ16" s="116">
        <f>+EN16</f>
        <v>2601.15</v>
      </c>
      <c r="JK16" s="116">
        <f>EQ16</f>
        <v>2789.9</v>
      </c>
      <c r="JL16" s="116">
        <f>ET16</f>
        <v>3399.75</v>
      </c>
      <c r="JM16" s="116">
        <f>EW16</f>
        <v>3359.95</v>
      </c>
      <c r="JN16" s="116">
        <f>EZ16</f>
        <v>3234.6</v>
      </c>
      <c r="JO16" s="116">
        <f>FC16</f>
        <v>3409.7</v>
      </c>
      <c r="JP16" s="116">
        <f>FF16</f>
        <v>3600.65</v>
      </c>
      <c r="JQ16" s="116">
        <f>FI16</f>
        <v>3841.7</v>
      </c>
      <c r="JR16" s="116">
        <f>FL16</f>
        <v>4220.6499999999996</v>
      </c>
      <c r="JS16" s="116">
        <f>FO16</f>
        <v>4464.5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181.75</v>
      </c>
      <c r="HQ19" s="116">
        <f t="shared" ref="HQ19:JI21" si="1">+IF(HQ14=0,HQ7,HQ14)</f>
        <v>181.97499999999999</v>
      </c>
      <c r="HR19" s="116">
        <f t="shared" si="1"/>
        <v>191.65</v>
      </c>
      <c r="HS19" s="116">
        <f t="shared" si="1"/>
        <v>217.95</v>
      </c>
      <c r="HT19" s="116">
        <f t="shared" si="1"/>
        <v>232.4</v>
      </c>
      <c r="HU19" s="116">
        <f t="shared" si="1"/>
        <v>260.5</v>
      </c>
      <c r="HV19" s="116">
        <f t="shared" si="1"/>
        <v>289</v>
      </c>
      <c r="HW19" s="116">
        <f t="shared" si="1"/>
        <v>361.22500000000002</v>
      </c>
      <c r="HX19" s="116">
        <f t="shared" si="1"/>
        <v>469.97500000000002</v>
      </c>
      <c r="HY19" s="116">
        <f t="shared" si="1"/>
        <v>594</v>
      </c>
      <c r="HZ19" s="116">
        <f t="shared" si="1"/>
        <v>615.85</v>
      </c>
      <c r="IA19" s="116">
        <f t="shared" si="1"/>
        <v>685</v>
      </c>
      <c r="IB19" s="116">
        <f t="shared" si="1"/>
        <v>860</v>
      </c>
      <c r="IC19" s="116">
        <f t="shared" si="1"/>
        <v>818</v>
      </c>
      <c r="ID19" s="116">
        <f t="shared" si="1"/>
        <v>754.875</v>
      </c>
      <c r="IE19" s="116">
        <f t="shared" si="1"/>
        <v>742.5</v>
      </c>
      <c r="IF19" s="116">
        <f t="shared" si="1"/>
        <v>883.9</v>
      </c>
      <c r="IG19" s="116">
        <f t="shared" si="1"/>
        <v>849.75</v>
      </c>
      <c r="IH19" s="116">
        <f t="shared" si="1"/>
        <v>786.05</v>
      </c>
      <c r="II19" s="116">
        <f t="shared" si="1"/>
        <v>775</v>
      </c>
      <c r="IJ19" s="116">
        <f t="shared" si="1"/>
        <v>683.45</v>
      </c>
      <c r="IK19" s="116">
        <f t="shared" si="1"/>
        <v>717.375</v>
      </c>
      <c r="IL19" s="116">
        <f t="shared" si="1"/>
        <v>736.375</v>
      </c>
      <c r="IM19" s="116">
        <f t="shared" si="1"/>
        <v>763.47500000000002</v>
      </c>
      <c r="IN19" s="116">
        <f t="shared" si="1"/>
        <v>935.97500000000002</v>
      </c>
      <c r="IO19" s="116">
        <f t="shared" si="1"/>
        <v>916.45</v>
      </c>
      <c r="IP19" s="116">
        <f t="shared" si="1"/>
        <v>982</v>
      </c>
      <c r="IQ19" s="116">
        <f t="shared" si="1"/>
        <v>976</v>
      </c>
      <c r="IR19" s="116">
        <f t="shared" si="1"/>
        <v>885.65</v>
      </c>
      <c r="IS19" s="116">
        <f t="shared" si="1"/>
        <v>969.97500000000002</v>
      </c>
      <c r="IT19" s="116">
        <f t="shared" si="1"/>
        <v>1142.9749999999999</v>
      </c>
      <c r="IU19" s="116">
        <f t="shared" si="1"/>
        <v>1339.7249999999999</v>
      </c>
      <c r="IV19" s="116">
        <f t="shared" si="1"/>
        <v>1520</v>
      </c>
      <c r="IW19" s="116">
        <f t="shared" si="1"/>
        <v>1469.65</v>
      </c>
      <c r="IX19" s="116">
        <f t="shared" si="1"/>
        <v>1451.425</v>
      </c>
      <c r="IY19" s="116">
        <f t="shared" si="1"/>
        <v>1503.5</v>
      </c>
      <c r="IZ19" s="116">
        <f t="shared" si="1"/>
        <v>1624</v>
      </c>
      <c r="JA19" s="116">
        <f t="shared" si="1"/>
        <v>1652.2249999999999</v>
      </c>
      <c r="JB19" s="116">
        <f t="shared" si="1"/>
        <v>1649.95</v>
      </c>
      <c r="JC19" s="116">
        <f t="shared" si="1"/>
        <v>1476.95</v>
      </c>
      <c r="JD19" s="116">
        <f t="shared" si="1"/>
        <v>1605</v>
      </c>
      <c r="JE19" s="116">
        <f t="shared" si="1"/>
        <v>1722.7</v>
      </c>
      <c r="JF19" s="116">
        <f t="shared" si="1"/>
        <v>1632</v>
      </c>
      <c r="JG19" s="116">
        <f t="shared" si="1"/>
        <v>1981.5</v>
      </c>
      <c r="JH19" s="116">
        <f t="shared" si="1"/>
        <v>2099.9499999999998</v>
      </c>
      <c r="JI19" s="116">
        <f t="shared" si="1"/>
        <v>2309.9</v>
      </c>
      <c r="JJ19" s="116">
        <f t="shared" ref="JJ19:JJ21" si="2">+IF(JJ14=0,JJ7,JJ14)</f>
        <v>2745.55</v>
      </c>
      <c r="JK19" s="116">
        <f t="shared" ref="JK19" si="3">+IF(JK14=0,JK7,JK14)</f>
        <v>2977.1</v>
      </c>
      <c r="JL19" s="116">
        <f t="shared" ref="JL19:JM19" si="4">+IF(JL14=0,JL7,JL14)</f>
        <v>3574</v>
      </c>
      <c r="JM19" s="116">
        <f t="shared" si="4"/>
        <v>3589.95</v>
      </c>
      <c r="JN19" s="116">
        <f t="shared" ref="JN19:JO19" si="5">+IF(JN14=0,JN7,JN14)</f>
        <v>3460</v>
      </c>
      <c r="JO19" s="116">
        <f t="shared" si="5"/>
        <v>3474.6</v>
      </c>
      <c r="JP19" s="116">
        <f t="shared" ref="JP19" si="6">+IF(JP14=0,JP7,JP14)</f>
        <v>3790</v>
      </c>
      <c r="JQ19" s="116">
        <f t="shared" ref="JQ19:KH19" si="7">+IF(JQ14=0,JQ7,JQ14)</f>
        <v>3880.55</v>
      </c>
      <c r="JR19" s="116">
        <f t="shared" si="7"/>
        <v>4479.7</v>
      </c>
      <c r="JS19" s="116">
        <f t="shared" si="7"/>
        <v>4714.5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150.38749999999999</v>
      </c>
      <c r="HQ20" s="116">
        <f t="shared" si="8"/>
        <v>157.5</v>
      </c>
      <c r="HR20" s="116">
        <f t="shared" si="8"/>
        <v>164</v>
      </c>
      <c r="HS20" s="116">
        <f t="shared" si="8"/>
        <v>167.125</v>
      </c>
      <c r="HT20" s="116">
        <f t="shared" si="8"/>
        <v>192.97499999999999</v>
      </c>
      <c r="HU20" s="116">
        <f t="shared" si="8"/>
        <v>202</v>
      </c>
      <c r="HV20" s="116">
        <f t="shared" si="8"/>
        <v>230.7</v>
      </c>
      <c r="HW20" s="116">
        <f t="shared" si="8"/>
        <v>261.5</v>
      </c>
      <c r="HX20" s="116">
        <f t="shared" si="8"/>
        <v>327.75</v>
      </c>
      <c r="HY20" s="116">
        <f t="shared" si="8"/>
        <v>405.125</v>
      </c>
      <c r="HZ20" s="116">
        <f t="shared" si="8"/>
        <v>516.5</v>
      </c>
      <c r="IA20" s="116">
        <f t="shared" si="8"/>
        <v>566.72500000000002</v>
      </c>
      <c r="IB20" s="116">
        <f t="shared" si="8"/>
        <v>644</v>
      </c>
      <c r="IC20" s="116">
        <f t="shared" si="8"/>
        <v>687.75</v>
      </c>
      <c r="ID20" s="116">
        <f t="shared" si="8"/>
        <v>595</v>
      </c>
      <c r="IE20" s="116">
        <f t="shared" si="8"/>
        <v>625.42499999999995</v>
      </c>
      <c r="IF20" s="116">
        <f t="shared" si="1"/>
        <v>681.05</v>
      </c>
      <c r="IG20" s="116">
        <f t="shared" si="1"/>
        <v>592.79999999999995</v>
      </c>
      <c r="IH20" s="116">
        <f t="shared" si="1"/>
        <v>604</v>
      </c>
      <c r="II20" s="116">
        <f t="shared" si="1"/>
        <v>571.75</v>
      </c>
      <c r="IJ20" s="116">
        <f t="shared" si="1"/>
        <v>574.52499999999998</v>
      </c>
      <c r="IK20" s="116">
        <f t="shared" si="1"/>
        <v>603</v>
      </c>
      <c r="IL20" s="116">
        <f t="shared" si="1"/>
        <v>611.875</v>
      </c>
      <c r="IM20" s="116">
        <f t="shared" si="1"/>
        <v>622.5</v>
      </c>
      <c r="IN20" s="116">
        <f t="shared" si="1"/>
        <v>697.05</v>
      </c>
      <c r="IO20" s="116">
        <f t="shared" si="1"/>
        <v>757.95</v>
      </c>
      <c r="IP20" s="116">
        <f t="shared" si="1"/>
        <v>861.05</v>
      </c>
      <c r="IQ20" s="116">
        <f t="shared" si="1"/>
        <v>732.375</v>
      </c>
      <c r="IR20" s="116">
        <f t="shared" si="1"/>
        <v>726.5</v>
      </c>
      <c r="IS20" s="116">
        <f t="shared" si="1"/>
        <v>777.32500000000005</v>
      </c>
      <c r="IT20" s="116">
        <f t="shared" si="1"/>
        <v>809.5</v>
      </c>
      <c r="IU20" s="116">
        <f t="shared" si="1"/>
        <v>966.65</v>
      </c>
      <c r="IV20" s="116">
        <f t="shared" si="1"/>
        <v>1116</v>
      </c>
      <c r="IW20" s="116">
        <f t="shared" si="1"/>
        <v>1210.6500000000001</v>
      </c>
      <c r="IX20" s="116">
        <f t="shared" si="1"/>
        <v>1155.6500000000001</v>
      </c>
      <c r="IY20" s="116">
        <f t="shared" si="1"/>
        <v>1238.825</v>
      </c>
      <c r="IZ20" s="116">
        <f t="shared" si="1"/>
        <v>1427.925</v>
      </c>
      <c r="JA20" s="116">
        <f t="shared" si="1"/>
        <v>1367.25</v>
      </c>
      <c r="JB20" s="116">
        <f t="shared" si="1"/>
        <v>1270</v>
      </c>
      <c r="JC20" s="116">
        <f t="shared" si="1"/>
        <v>1242.5</v>
      </c>
      <c r="JD20" s="116">
        <f t="shared" si="1"/>
        <v>1421</v>
      </c>
      <c r="JE20" s="116">
        <f t="shared" si="1"/>
        <v>1531.25</v>
      </c>
      <c r="JF20" s="116">
        <f t="shared" si="1"/>
        <v>1446.15</v>
      </c>
      <c r="JG20" s="116">
        <f t="shared" si="1"/>
        <v>1524.05</v>
      </c>
      <c r="JH20" s="116">
        <f t="shared" si="1"/>
        <v>1771.35</v>
      </c>
      <c r="JI20" s="116">
        <f t="shared" si="1"/>
        <v>1822.8</v>
      </c>
      <c r="JJ20" s="116">
        <f t="shared" si="2"/>
        <v>2270.15</v>
      </c>
      <c r="JK20" s="116">
        <f t="shared" ref="JK20" si="9">+IF(JK15=0,JK8,JK15)</f>
        <v>2508.65</v>
      </c>
      <c r="JL20" s="116">
        <f t="shared" ref="JL20:JM20" si="10">+IF(JL15=0,JL8,JL15)</f>
        <v>2760.3</v>
      </c>
      <c r="JM20" s="116">
        <f t="shared" si="10"/>
        <v>3060.8</v>
      </c>
      <c r="JN20" s="116">
        <f t="shared" ref="JN20:JO20" si="11">+IF(JN15=0,JN8,JN15)</f>
        <v>2891.45</v>
      </c>
      <c r="JO20" s="116">
        <f t="shared" si="11"/>
        <v>3101</v>
      </c>
      <c r="JP20" s="116">
        <f t="shared" ref="JP20" si="12">+IF(JP15=0,JP8,JP15)</f>
        <v>3289.55</v>
      </c>
      <c r="JQ20" s="116">
        <f t="shared" ref="JQ20:KH20" si="13">+IF(JQ15=0,JQ8,JQ15)</f>
        <v>3480</v>
      </c>
      <c r="JR20" s="116">
        <f t="shared" si="13"/>
        <v>3724.1</v>
      </c>
      <c r="JS20" s="116">
        <f t="shared" si="13"/>
        <v>3871.25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173.66249999999999</v>
      </c>
      <c r="HQ21" s="116">
        <f t="shared" si="1"/>
        <v>181.63749999999999</v>
      </c>
      <c r="HR21" s="116">
        <f t="shared" si="1"/>
        <v>173.8125</v>
      </c>
      <c r="HS21" s="116">
        <f t="shared" si="1"/>
        <v>205.45</v>
      </c>
      <c r="HT21" s="116">
        <f t="shared" si="1"/>
        <v>218.42500000000001</v>
      </c>
      <c r="HU21" s="116">
        <f t="shared" si="1"/>
        <v>237.02500000000001</v>
      </c>
      <c r="HV21" s="116">
        <f t="shared" si="1"/>
        <v>261.82499999999999</v>
      </c>
      <c r="HW21" s="116">
        <f t="shared" si="1"/>
        <v>354.82499999999999</v>
      </c>
      <c r="HX21" s="116">
        <f t="shared" si="1"/>
        <v>434.125</v>
      </c>
      <c r="HY21" s="116">
        <f t="shared" si="1"/>
        <v>565.65</v>
      </c>
      <c r="HZ21" s="116">
        <f t="shared" si="1"/>
        <v>580.42499999999995</v>
      </c>
      <c r="IA21" s="116">
        <f t="shared" si="1"/>
        <v>649.25</v>
      </c>
      <c r="IB21" s="116">
        <f t="shared" si="1"/>
        <v>749.92499999999995</v>
      </c>
      <c r="IC21" s="116">
        <f t="shared" si="1"/>
        <v>726.82500000000005</v>
      </c>
      <c r="ID21" s="116">
        <f t="shared" si="1"/>
        <v>669.85</v>
      </c>
      <c r="IE21" s="116">
        <f t="shared" si="1"/>
        <v>685.375</v>
      </c>
      <c r="IF21" s="116">
        <f t="shared" si="1"/>
        <v>812.07500000000005</v>
      </c>
      <c r="IG21" s="116">
        <f t="shared" si="1"/>
        <v>657.75</v>
      </c>
      <c r="IH21" s="116">
        <f t="shared" si="1"/>
        <v>774.625</v>
      </c>
      <c r="II21" s="116">
        <f t="shared" si="1"/>
        <v>606.5</v>
      </c>
      <c r="IJ21" s="116">
        <f t="shared" si="1"/>
        <v>615.625</v>
      </c>
      <c r="IK21" s="116">
        <f t="shared" si="1"/>
        <v>708.32500000000005</v>
      </c>
      <c r="IL21" s="116">
        <f t="shared" si="1"/>
        <v>623.95000000000005</v>
      </c>
      <c r="IM21" s="116">
        <f t="shared" si="1"/>
        <v>701.25</v>
      </c>
      <c r="IN21" s="116">
        <f t="shared" si="1"/>
        <v>825.125</v>
      </c>
      <c r="IO21" s="116">
        <f t="shared" si="1"/>
        <v>885.625</v>
      </c>
      <c r="IP21" s="116">
        <f t="shared" si="1"/>
        <v>976.1</v>
      </c>
      <c r="IQ21" s="116">
        <f t="shared" si="1"/>
        <v>774.4</v>
      </c>
      <c r="IR21" s="116">
        <f t="shared" si="1"/>
        <v>833.2</v>
      </c>
      <c r="IS21" s="116">
        <f t="shared" si="1"/>
        <v>923.47500000000002</v>
      </c>
      <c r="IT21" s="116">
        <f t="shared" si="1"/>
        <v>985.75</v>
      </c>
      <c r="IU21" s="116">
        <f t="shared" si="1"/>
        <v>1185.45</v>
      </c>
      <c r="IV21" s="116">
        <f t="shared" si="1"/>
        <v>1400.1</v>
      </c>
      <c r="IW21" s="116">
        <f t="shared" si="1"/>
        <v>1400.35</v>
      </c>
      <c r="IX21" s="116">
        <f t="shared" si="1"/>
        <v>1270.5999999999999</v>
      </c>
      <c r="IY21" s="116">
        <f t="shared" si="1"/>
        <v>1451.325</v>
      </c>
      <c r="IZ21" s="116">
        <f t="shared" si="1"/>
        <v>1538.4</v>
      </c>
      <c r="JA21" s="116">
        <f t="shared" si="1"/>
        <v>1639.575</v>
      </c>
      <c r="JB21" s="116">
        <f t="shared" si="1"/>
        <v>1398.15</v>
      </c>
      <c r="JC21" s="116">
        <f t="shared" si="1"/>
        <v>1429.7</v>
      </c>
      <c r="JD21" s="116">
        <f t="shared" si="1"/>
        <v>1558.65</v>
      </c>
      <c r="JE21" s="116">
        <f t="shared" si="1"/>
        <v>1551.65</v>
      </c>
      <c r="JF21" s="116">
        <f t="shared" si="1"/>
        <v>1537.35</v>
      </c>
      <c r="JG21" s="116">
        <f t="shared" si="1"/>
        <v>1905.2</v>
      </c>
      <c r="JH21" s="116">
        <f t="shared" si="1"/>
        <v>1928.35</v>
      </c>
      <c r="JI21" s="116">
        <f t="shared" si="1"/>
        <v>2305</v>
      </c>
      <c r="JJ21" s="116">
        <f t="shared" si="2"/>
        <v>2601.15</v>
      </c>
      <c r="JK21" s="116">
        <f t="shared" ref="JK21" si="14">+IF(JK16=0,JK9,JK16)</f>
        <v>2789.9</v>
      </c>
      <c r="JL21" s="116">
        <f t="shared" ref="JL21:JM21" si="15">+IF(JL16=0,JL9,JL16)</f>
        <v>3399.75</v>
      </c>
      <c r="JM21" s="116">
        <f t="shared" si="15"/>
        <v>3359.95</v>
      </c>
      <c r="JN21" s="116">
        <f t="shared" ref="JN21:JO21" si="16">+IF(JN16=0,JN9,JN16)</f>
        <v>3234.6</v>
      </c>
      <c r="JO21" s="116">
        <f t="shared" si="16"/>
        <v>3409.7</v>
      </c>
      <c r="JP21" s="116">
        <f t="shared" ref="JP21" si="17">+IF(JP16=0,JP9,JP16)</f>
        <v>3600.65</v>
      </c>
      <c r="JQ21" s="116">
        <f t="shared" ref="JQ21:KH21" si="18">+IF(JQ16=0,JQ9,JQ16)</f>
        <v>3841.7</v>
      </c>
      <c r="JR21" s="116">
        <f t="shared" si="18"/>
        <v>4220.6499999999996</v>
      </c>
      <c r="JS21" s="116">
        <f t="shared" si="18"/>
        <v>4464.5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84611360</v>
      </c>
      <c r="D6" cm="1">
        <f t="array" ref="D6">_xll.EQNXTDZ($A$1,$B6,D$1)</f>
        <v>84611360</v>
      </c>
      <c r="E6" cm="1">
        <f t="array" ref="E6">_xll.EQNXTDZ($A$1,$B6,E$1)</f>
        <v>84611360</v>
      </c>
      <c r="F6" cm="1">
        <f t="array" ref="F6">_xll.EQNXTDZ($A$1,$B6,F$1)</f>
        <v>84611360</v>
      </c>
      <c r="G6" cm="1">
        <f t="array" ref="G6">_xll.EQNXTDZ($A$1,$B6,G$1)</f>
        <v>84611360</v>
      </c>
      <c r="H6" cm="1">
        <f t="array" ref="H6">_xll.EQNXTDZ($A$1,$B6,H$1)</f>
        <v>169222720</v>
      </c>
      <c r="I6" cm="1">
        <f t="array" ref="I6">_xll.EQNXTDZ($A$1,$B6,I$1)</f>
        <v>169222720</v>
      </c>
      <c r="J6" cm="1">
        <f t="array" ref="J6">_xll.EQNXTDZ($A$1,$B6,J$1)</f>
        <v>169222720</v>
      </c>
      <c r="K6" cm="1">
        <f t="array" ref="K6">_xll.EQNXTDZ($A$1,$B6,K$1)</f>
        <v>169222720</v>
      </c>
      <c r="L6" cm="1">
        <f t="array" ref="L6">_xll.EQNXTDZ($A$1,$B6,L$1)</f>
        <v>169222720</v>
      </c>
      <c r="M6" cm="1">
        <f t="array" ref="M6">_xll.EQNXTDZ($A$1,$B6,M$1)</f>
        <v>169222720</v>
      </c>
      <c r="N6" cm="1">
        <f t="array" ref="N6">_xll.EQNXTDZ($A$1,$B6,N$1)</f>
        <v>169222720</v>
      </c>
      <c r="O6" cm="1">
        <f t="array" ref="O6">_xll.EQNXTDZ($A$1,$B6,O$1)</f>
        <v>169222720</v>
      </c>
      <c r="P6" cm="1">
        <f t="array" ref="P6">_xll.EQNXTDZ($A$1,$B6,P$1)</f>
        <v>169222720</v>
      </c>
      <c r="Q6" cm="1">
        <f t="array" ref="Q6">_xll.EQNXTDZ($A$1,$B6,Q$1)</f>
        <v>169222720</v>
      </c>
      <c r="R6" cm="1">
        <f t="array" ref="R6">_xll.EQNXTDZ($A$1,$B6,R$1)</f>
        <v>169222720</v>
      </c>
      <c r="S6" cm="1">
        <f t="array" ref="S6">_xll.EQNXTDZ($A$1,$B6,S$1)</f>
        <v>169222720</v>
      </c>
      <c r="T6" cm="1">
        <f t="array" ref="T6">_xll.EQNXTDZ($A$1,$B6,T$1)</f>
        <v>169222720</v>
      </c>
      <c r="U6" cm="1">
        <f t="array" ref="U6">_xll.EQNXTDZ($A$1,$B6,U$1)</f>
        <v>169222720</v>
      </c>
      <c r="V6" cm="1">
        <f t="array" ref="V6">_xll.EQNXTDZ($A$1,$B6,V$1)</f>
        <v>169222720</v>
      </c>
      <c r="W6" cm="1">
        <f t="array" ref="W6">_xll.EQNXTDZ($A$1,$B6,W$1)</f>
        <v>169222720</v>
      </c>
      <c r="X6" cm="1">
        <f t="array" ref="X6">_xll.EQNXTDZ($A$1,$B6,X$1)</f>
        <v>169222720</v>
      </c>
      <c r="Y6" cm="1">
        <f t="array" ref="Y6">_xll.EQNXTDZ($A$1,$B6,Y$1)</f>
        <v>169222720</v>
      </c>
      <c r="Z6" cm="1">
        <f t="array" ref="Z6">_xll.EQNXTDZ($A$1,$B6,Z$1)</f>
        <v>169222720</v>
      </c>
      <c r="AA6" cm="1">
        <f t="array" ref="AA6">_xll.EQNXTDZ($A$1,$B6,AA$1)</f>
        <v>169222720</v>
      </c>
      <c r="AB6" cm="1">
        <f t="array" ref="AB6">_xll.EQNXTDZ($A$1,$B6,AB$1)</f>
        <v>169222720</v>
      </c>
      <c r="AC6" cm="1">
        <f t="array" ref="AC6">_xll.EQNXTDZ($A$1,$B6,AC$1)</f>
        <v>169222720</v>
      </c>
      <c r="AD6" cm="1">
        <f t="array" ref="AD6">_xll.EQNXTDZ($A$1,$B6,AD$1)</f>
        <v>169222720</v>
      </c>
      <c r="AE6" cm="1">
        <f t="array" ref="AE6">_xll.EQNXTDZ($A$1,$B6,AE$1)</f>
        <v>169222720</v>
      </c>
      <c r="AF6" cm="1">
        <f t="array" ref="AF6">_xll.EQNXTDZ($A$1,$B6,AF$1)</f>
        <v>169222720</v>
      </c>
      <c r="AG6" cm="1">
        <f t="array" ref="AG6">_xll.EQNXTDZ($A$1,$B6,AG$1)</f>
        <v>169222720</v>
      </c>
      <c r="AH6" cm="1">
        <f t="array" ref="AH6">_xll.EQNXTDZ($A$1,$B6,AH$1)</f>
        <v>169222720</v>
      </c>
      <c r="AI6" cm="1">
        <f t="array" ref="AI6">_xll.EQNXTDZ($A$1,$B6,AI$1)</f>
        <v>169222720</v>
      </c>
      <c r="AJ6" cm="1">
        <f t="array" ref="AJ6">_xll.EQNXTDZ($A$1,$B6,AJ$1)</f>
        <v>169222720</v>
      </c>
      <c r="AK6" cm="1">
        <f t="array" ref="AK6">_xll.EQNXTDZ($A$1,$B6,AK$1)</f>
        <v>169222720</v>
      </c>
      <c r="AL6" cm="1">
        <f t="array" ref="AL6">_xll.EQNXTDZ($A$1,$B6,AL$1)</f>
        <v>169222720</v>
      </c>
      <c r="AM6" cm="1">
        <f t="array" ref="AM6">_xll.EQNXTDZ($A$1,$B6,AM$1)</f>
        <v>169222720</v>
      </c>
      <c r="AN6" cm="1">
        <f t="array" ref="AN6">_xll.EQNXTDZ($A$1,$B6,AN$1)</f>
        <v>169222720</v>
      </c>
      <c r="AO6" cm="1">
        <f t="array" ref="AO6">_xll.EQNXTDZ($A$1,$B6,AO$1)</f>
        <v>169222720</v>
      </c>
      <c r="AP6" cm="1">
        <f t="array" ref="AP6">_xll.EQNXTDZ($A$1,$B6,AP$1)</f>
        <v>169222720</v>
      </c>
      <c r="AQ6" cm="1">
        <f t="array" ref="AQ6">_xll.EQNXTDZ($A$1,$B6,AQ$1)</f>
        <v>169222720</v>
      </c>
      <c r="AR6" cm="1">
        <f t="array" ref="AR6">_xll.EQNXTDZ($A$1,$B6,AR$1)</f>
        <v>338445440</v>
      </c>
      <c r="AS6" cm="1">
        <f t="array" ref="AS6">_xll.EQNXTDZ($A$1,$B6,AS$1)</f>
        <v>338445440</v>
      </c>
      <c r="AT6" cm="1">
        <f t="array" ref="AT6">_xll.EQNXTDZ($A$1,$B6,AT$1)</f>
        <v>338445440</v>
      </c>
      <c r="AU6" cm="1">
        <f t="array" ref="AU6">_xll.EQNXTDZ($A$1,$B6,AU$1)</f>
        <v>338445440</v>
      </c>
      <c r="AV6" cm="1">
        <f t="array" ref="AV6">_xll.EQNXTDZ($A$1,$B6,AV$1)</f>
        <v>338445440</v>
      </c>
      <c r="AW6" cm="1">
        <f t="array" ref="AW6">_xll.EQNXTDZ($A$1,$B6,AW$1)</f>
        <v>338445440</v>
      </c>
      <c r="AX6" cm="1">
        <f t="array" ref="AX6">_xll.EQNXTDZ($A$1,$B6,AX$1)</f>
        <v>338445440</v>
      </c>
      <c r="AY6" cm="1">
        <f t="array" ref="AY6">_xll.EQNXTDZ($A$1,$B6,AY$1)</f>
        <v>338445440</v>
      </c>
    </row>
    <row r="7" spans="1:51" x14ac:dyDescent="0.25">
      <c r="B7" t="s">
        <v>429</v>
      </c>
      <c r="C7" s="100">
        <f>+C6/10^7</f>
        <v>8.4611359999999998</v>
      </c>
      <c r="D7" s="100">
        <f t="shared" ref="D7:X7" si="0">+D6/10^7</f>
        <v>8.4611359999999998</v>
      </c>
      <c r="E7" s="100">
        <f t="shared" si="0"/>
        <v>8.4611359999999998</v>
      </c>
      <c r="F7" s="100">
        <f t="shared" si="0"/>
        <v>8.4611359999999998</v>
      </c>
      <c r="G7" s="100">
        <f t="shared" si="0"/>
        <v>8.4611359999999998</v>
      </c>
      <c r="H7" s="100">
        <f t="shared" si="0"/>
        <v>16.922272</v>
      </c>
      <c r="I7" s="100">
        <f t="shared" si="0"/>
        <v>16.922272</v>
      </c>
      <c r="J7" s="100">
        <f t="shared" si="0"/>
        <v>16.922272</v>
      </c>
      <c r="K7" s="100">
        <f t="shared" si="0"/>
        <v>16.922272</v>
      </c>
      <c r="L7" s="100">
        <f t="shared" si="0"/>
        <v>16.922272</v>
      </c>
      <c r="M7" s="100">
        <f t="shared" si="0"/>
        <v>16.922272</v>
      </c>
      <c r="N7" s="100">
        <f t="shared" si="0"/>
        <v>16.922272</v>
      </c>
      <c r="O7" s="100">
        <f t="shared" si="0"/>
        <v>16.922272</v>
      </c>
      <c r="P7" s="100">
        <f t="shared" si="0"/>
        <v>16.922272</v>
      </c>
      <c r="Q7" s="100">
        <f t="shared" si="0"/>
        <v>16.922272</v>
      </c>
      <c r="R7" s="100">
        <f t="shared" si="0"/>
        <v>16.922272</v>
      </c>
      <c r="S7" s="100">
        <f t="shared" si="0"/>
        <v>16.922272</v>
      </c>
      <c r="T7" s="100">
        <f t="shared" si="0"/>
        <v>16.922272</v>
      </c>
      <c r="U7" s="100">
        <f t="shared" si="0"/>
        <v>16.922272</v>
      </c>
      <c r="V7" s="100">
        <f t="shared" si="0"/>
        <v>16.922272</v>
      </c>
      <c r="W7" s="100">
        <f t="shared" si="0"/>
        <v>16.922272</v>
      </c>
      <c r="X7" s="100">
        <f t="shared" si="0"/>
        <v>16.922272</v>
      </c>
      <c r="Y7" s="100">
        <f t="shared" ref="Y7:AS7" si="1">+Y6/10^7</f>
        <v>16.922272</v>
      </c>
      <c r="Z7" s="100">
        <f t="shared" si="1"/>
        <v>16.922272</v>
      </c>
      <c r="AA7" s="100">
        <f t="shared" si="1"/>
        <v>16.922272</v>
      </c>
      <c r="AB7" s="100">
        <f t="shared" si="1"/>
        <v>16.922272</v>
      </c>
      <c r="AC7" s="100">
        <f t="shared" si="1"/>
        <v>16.922272</v>
      </c>
      <c r="AD7" s="100">
        <f t="shared" si="1"/>
        <v>16.922272</v>
      </c>
      <c r="AE7" s="100">
        <f t="shared" si="1"/>
        <v>16.922272</v>
      </c>
      <c r="AF7" s="100">
        <f t="shared" si="1"/>
        <v>16.922272</v>
      </c>
      <c r="AG7" s="100">
        <f t="shared" si="1"/>
        <v>16.922272</v>
      </c>
      <c r="AH7" s="100">
        <f t="shared" si="1"/>
        <v>16.922272</v>
      </c>
      <c r="AI7" s="100">
        <f t="shared" si="1"/>
        <v>16.922272</v>
      </c>
      <c r="AJ7" s="100">
        <f t="shared" si="1"/>
        <v>16.922272</v>
      </c>
      <c r="AK7" s="100">
        <f t="shared" si="1"/>
        <v>16.922272</v>
      </c>
      <c r="AL7" s="100">
        <f t="shared" si="1"/>
        <v>16.922272</v>
      </c>
      <c r="AM7" s="100">
        <f t="shared" si="1"/>
        <v>16.922272</v>
      </c>
      <c r="AN7" s="100">
        <f t="shared" si="1"/>
        <v>16.922272</v>
      </c>
      <c r="AO7" s="100">
        <f t="shared" si="1"/>
        <v>16.922272</v>
      </c>
      <c r="AP7" s="100">
        <f t="shared" si="1"/>
        <v>16.922272</v>
      </c>
      <c r="AQ7" s="100">
        <f t="shared" si="1"/>
        <v>16.922272</v>
      </c>
      <c r="AR7" s="100">
        <f t="shared" si="1"/>
        <v>33.844543999999999</v>
      </c>
      <c r="AS7" s="100">
        <f t="shared" si="1"/>
        <v>33.844543999999999</v>
      </c>
      <c r="AT7" s="100">
        <f t="shared" ref="AT7:AX7" si="2">+AT6/10^7</f>
        <v>33.844543999999999</v>
      </c>
      <c r="AU7" s="100">
        <f t="shared" si="2"/>
        <v>33.844543999999999</v>
      </c>
      <c r="AV7" s="100">
        <f t="shared" si="2"/>
        <v>33.844543999999999</v>
      </c>
      <c r="AW7" s="100">
        <f t="shared" si="2"/>
        <v>33.844543999999999</v>
      </c>
      <c r="AX7" s="100">
        <f t="shared" si="2"/>
        <v>33.844543999999999</v>
      </c>
      <c r="AY7" s="100">
        <f t="shared" ref="AY7" si="3">+AY6/10^7</f>
        <v>33.844543999999999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100420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575</v>
      </c>
      <c r="C4" s="116">
        <v>572.35</v>
      </c>
      <c r="D4" s="116">
        <v>559.02499999999998</v>
      </c>
      <c r="E4" s="116">
        <v>563.92499999999995</v>
      </c>
      <c r="F4" s="116">
        <v>1144.7</v>
      </c>
      <c r="G4">
        <v>9782</v>
      </c>
      <c r="H4" s="116"/>
      <c r="I4" s="116"/>
      <c r="L4" s="170">
        <v>42005</v>
      </c>
      <c r="M4" s="116">
        <v>572.75</v>
      </c>
      <c r="N4" s="116">
        <v>574.95000000000005</v>
      </c>
      <c r="O4" s="116">
        <v>557.54999999999995</v>
      </c>
      <c r="P4" s="116">
        <v>562.5</v>
      </c>
      <c r="Q4" s="116">
        <v>1145.5</v>
      </c>
      <c r="R4">
        <v>38444</v>
      </c>
    </row>
    <row r="5" spans="1:18" x14ac:dyDescent="0.25">
      <c r="A5" s="170">
        <v>42006</v>
      </c>
      <c r="B5" s="116">
        <v>601.22500000000002</v>
      </c>
      <c r="C5" s="116">
        <v>594.1</v>
      </c>
      <c r="D5" s="116">
        <v>570.02499999999998</v>
      </c>
      <c r="E5" s="116">
        <v>579.6</v>
      </c>
      <c r="F5" s="116">
        <v>1188.2</v>
      </c>
      <c r="G5">
        <v>11106</v>
      </c>
      <c r="H5" s="116"/>
      <c r="I5" s="116"/>
      <c r="L5" s="170">
        <v>42006</v>
      </c>
      <c r="M5" s="116">
        <v>596.25</v>
      </c>
      <c r="N5" s="116">
        <v>601.5</v>
      </c>
      <c r="O5" s="116">
        <v>569</v>
      </c>
      <c r="P5" s="116">
        <v>572.5</v>
      </c>
      <c r="Q5" s="116">
        <v>1192.5</v>
      </c>
      <c r="R5">
        <v>77466</v>
      </c>
    </row>
    <row r="6" spans="1:18" x14ac:dyDescent="0.25">
      <c r="A6" s="170">
        <v>42009</v>
      </c>
      <c r="B6" s="116">
        <v>602.5</v>
      </c>
      <c r="C6" s="116">
        <v>593.65</v>
      </c>
      <c r="D6" s="116">
        <v>590</v>
      </c>
      <c r="E6" s="116">
        <v>597.5</v>
      </c>
      <c r="F6" s="116">
        <v>1187.3</v>
      </c>
      <c r="G6">
        <v>7366</v>
      </c>
      <c r="H6" s="116"/>
      <c r="I6" s="116"/>
      <c r="L6" s="170">
        <v>42009</v>
      </c>
      <c r="M6" s="116">
        <v>593.6</v>
      </c>
      <c r="N6" s="116">
        <v>602.5</v>
      </c>
      <c r="O6" s="116">
        <v>589.29999999999995</v>
      </c>
      <c r="P6" s="116">
        <v>592.5</v>
      </c>
      <c r="Q6" s="116">
        <v>1187.2</v>
      </c>
      <c r="R6">
        <v>41712</v>
      </c>
    </row>
    <row r="7" spans="1:18" x14ac:dyDescent="0.25">
      <c r="A7" s="170">
        <v>42010</v>
      </c>
      <c r="B7" s="116">
        <v>588.20000000000005</v>
      </c>
      <c r="C7" s="116">
        <v>568.22500000000002</v>
      </c>
      <c r="D7" s="116">
        <v>563.5</v>
      </c>
      <c r="E7" s="116">
        <v>584.65</v>
      </c>
      <c r="F7" s="116">
        <v>1136.45</v>
      </c>
      <c r="G7">
        <v>8309</v>
      </c>
      <c r="H7" s="116"/>
      <c r="I7" s="116"/>
      <c r="L7" s="170">
        <v>42010</v>
      </c>
      <c r="M7" s="116">
        <v>566.29999999999995</v>
      </c>
      <c r="N7" s="116">
        <v>589.97500000000002</v>
      </c>
      <c r="O7" s="116">
        <v>561.65</v>
      </c>
      <c r="P7" s="116">
        <v>589.97500000000002</v>
      </c>
      <c r="Q7" s="116">
        <v>1132.5999999999999</v>
      </c>
      <c r="R7">
        <v>43222</v>
      </c>
    </row>
    <row r="8" spans="1:18" x14ac:dyDescent="0.25">
      <c r="A8" s="170">
        <v>42011</v>
      </c>
      <c r="B8" s="116">
        <v>573.82500000000005</v>
      </c>
      <c r="C8" s="116">
        <v>564.4</v>
      </c>
      <c r="D8" s="116">
        <v>551.75</v>
      </c>
      <c r="E8" s="116">
        <v>565</v>
      </c>
      <c r="F8" s="116">
        <v>1128.8</v>
      </c>
      <c r="G8">
        <v>7968</v>
      </c>
      <c r="H8" s="116"/>
      <c r="I8" s="116"/>
      <c r="L8" s="170">
        <v>42011</v>
      </c>
      <c r="M8" s="116">
        <v>563.27499999999998</v>
      </c>
      <c r="N8" s="116">
        <v>575</v>
      </c>
      <c r="O8" s="116">
        <v>550.54999999999995</v>
      </c>
      <c r="P8" s="116">
        <v>574</v>
      </c>
      <c r="Q8" s="116">
        <v>1126.55</v>
      </c>
      <c r="R8">
        <v>58436</v>
      </c>
    </row>
    <row r="9" spans="1:18" x14ac:dyDescent="0.25">
      <c r="A9" s="170">
        <v>42012</v>
      </c>
      <c r="B9" s="116">
        <v>582.5</v>
      </c>
      <c r="C9" s="116">
        <v>572.79999999999995</v>
      </c>
      <c r="D9" s="116">
        <v>571.1</v>
      </c>
      <c r="E9" s="116">
        <v>572.5</v>
      </c>
      <c r="F9" s="116">
        <v>1145.5999999999999</v>
      </c>
      <c r="G9">
        <v>3244</v>
      </c>
      <c r="H9" s="116"/>
      <c r="I9" s="116"/>
      <c r="L9" s="170">
        <v>42012</v>
      </c>
      <c r="M9" s="116">
        <v>573.75</v>
      </c>
      <c r="N9" s="116">
        <v>583.5</v>
      </c>
      <c r="O9" s="116">
        <v>569.52499999999998</v>
      </c>
      <c r="P9" s="116">
        <v>574</v>
      </c>
      <c r="Q9" s="116">
        <v>1147.5</v>
      </c>
      <c r="R9">
        <v>50774</v>
      </c>
    </row>
    <row r="10" spans="1:18" x14ac:dyDescent="0.25">
      <c r="A10" s="170">
        <v>42013</v>
      </c>
      <c r="B10" s="116">
        <v>594.82500000000005</v>
      </c>
      <c r="C10" s="116">
        <v>591.04999999999995</v>
      </c>
      <c r="D10" s="116">
        <v>580.125</v>
      </c>
      <c r="E10" s="116">
        <v>580.125</v>
      </c>
      <c r="F10" s="116">
        <v>1182.0999999999999</v>
      </c>
      <c r="G10">
        <v>6800</v>
      </c>
      <c r="H10" s="116"/>
      <c r="I10" s="116"/>
      <c r="L10" s="170">
        <v>42013</v>
      </c>
      <c r="M10" s="116">
        <v>592.17499999999995</v>
      </c>
      <c r="N10" s="116">
        <v>594.5</v>
      </c>
      <c r="O10" s="116">
        <v>576.02499999999998</v>
      </c>
      <c r="P10" s="116">
        <v>583.35</v>
      </c>
      <c r="Q10" s="116">
        <v>1184.3499999999999</v>
      </c>
      <c r="R10">
        <v>81360</v>
      </c>
    </row>
    <row r="11" spans="1:18" x14ac:dyDescent="0.25">
      <c r="A11" s="170">
        <v>42016</v>
      </c>
      <c r="B11" s="116">
        <v>610</v>
      </c>
      <c r="C11" s="116">
        <v>567.9</v>
      </c>
      <c r="D11" s="116">
        <v>537.72500000000002</v>
      </c>
      <c r="E11" s="116">
        <v>610</v>
      </c>
      <c r="F11" s="116">
        <v>1135.8</v>
      </c>
      <c r="G11">
        <v>14941</v>
      </c>
      <c r="H11" s="116"/>
      <c r="I11" s="116"/>
      <c r="L11" s="170">
        <v>42016</v>
      </c>
      <c r="M11" s="116">
        <v>569.1</v>
      </c>
      <c r="N11" s="116">
        <v>599.42499999999995</v>
      </c>
      <c r="O11" s="116">
        <v>539.35</v>
      </c>
      <c r="P11" s="116">
        <v>595.5</v>
      </c>
      <c r="Q11" s="116">
        <v>1138.2</v>
      </c>
      <c r="R11">
        <v>96579</v>
      </c>
    </row>
    <row r="12" spans="1:18" x14ac:dyDescent="0.25">
      <c r="A12" s="170">
        <v>42017</v>
      </c>
      <c r="B12" s="116">
        <v>589</v>
      </c>
      <c r="C12" s="116">
        <v>573.15</v>
      </c>
      <c r="D12" s="116">
        <v>570</v>
      </c>
      <c r="E12" s="116">
        <v>577.5</v>
      </c>
      <c r="F12" s="116">
        <v>1146.3</v>
      </c>
      <c r="G12">
        <v>56547</v>
      </c>
      <c r="H12" s="116"/>
      <c r="I12" s="116"/>
      <c r="L12" s="170">
        <v>42017</v>
      </c>
      <c r="M12" s="116">
        <v>573.97500000000002</v>
      </c>
      <c r="N12" s="116">
        <v>589</v>
      </c>
      <c r="O12" s="116">
        <v>567.5</v>
      </c>
      <c r="P12" s="116">
        <v>567.5</v>
      </c>
      <c r="Q12" s="116">
        <v>1147.95</v>
      </c>
      <c r="R12">
        <v>124854</v>
      </c>
    </row>
    <row r="13" spans="1:18" x14ac:dyDescent="0.25">
      <c r="A13" s="170">
        <v>42018</v>
      </c>
      <c r="B13" s="116">
        <v>579</v>
      </c>
      <c r="C13" s="116">
        <v>563.32500000000005</v>
      </c>
      <c r="D13" s="116">
        <v>558.85</v>
      </c>
      <c r="E13" s="116">
        <v>579</v>
      </c>
      <c r="F13" s="116">
        <v>1126.6500000000001</v>
      </c>
      <c r="G13">
        <v>9888</v>
      </c>
      <c r="H13" s="116"/>
      <c r="I13" s="116"/>
      <c r="L13" s="170">
        <v>42018</v>
      </c>
      <c r="M13" s="116">
        <v>562.79999999999995</v>
      </c>
      <c r="N13" s="116">
        <v>576.45000000000005</v>
      </c>
      <c r="O13" s="116">
        <v>560.125</v>
      </c>
      <c r="P13" s="116">
        <v>575.04999999999995</v>
      </c>
      <c r="Q13" s="116">
        <v>1125.5999999999999</v>
      </c>
      <c r="R13">
        <v>82989</v>
      </c>
    </row>
    <row r="14" spans="1:18" x14ac:dyDescent="0.25">
      <c r="A14" s="170">
        <v>42019</v>
      </c>
      <c r="B14" s="116">
        <v>575.77499999999998</v>
      </c>
      <c r="C14" s="116">
        <v>559.125</v>
      </c>
      <c r="D14" s="116">
        <v>551.57500000000005</v>
      </c>
      <c r="E14" s="116">
        <v>575.75</v>
      </c>
      <c r="F14" s="116">
        <v>1118.25</v>
      </c>
      <c r="G14">
        <v>6731</v>
      </c>
      <c r="H14" s="116"/>
      <c r="I14" s="116"/>
      <c r="L14" s="170">
        <v>42019</v>
      </c>
      <c r="M14" s="116">
        <v>558.02499999999998</v>
      </c>
      <c r="N14" s="116">
        <v>576.52499999999998</v>
      </c>
      <c r="O14" s="116">
        <v>550.92499999999995</v>
      </c>
      <c r="P14" s="116">
        <v>570</v>
      </c>
      <c r="Q14" s="116">
        <v>1116.05</v>
      </c>
      <c r="R14">
        <v>55197</v>
      </c>
    </row>
    <row r="15" spans="1:18" x14ac:dyDescent="0.25">
      <c r="A15" s="170">
        <v>42020</v>
      </c>
      <c r="B15" s="116">
        <v>559.82500000000005</v>
      </c>
      <c r="C15" s="116">
        <v>550.125</v>
      </c>
      <c r="D15" s="116">
        <v>547.5</v>
      </c>
      <c r="E15" s="116">
        <v>559.5</v>
      </c>
      <c r="F15" s="116">
        <v>1100.25</v>
      </c>
      <c r="G15">
        <v>7273</v>
      </c>
      <c r="H15" s="116"/>
      <c r="I15" s="116"/>
      <c r="L15" s="170">
        <v>42020</v>
      </c>
      <c r="M15" s="116">
        <v>548.52499999999998</v>
      </c>
      <c r="N15" s="116">
        <v>561</v>
      </c>
      <c r="O15" s="116">
        <v>546</v>
      </c>
      <c r="P15" s="116">
        <v>561</v>
      </c>
      <c r="Q15" s="116">
        <v>1097.05</v>
      </c>
      <c r="R15">
        <v>84663</v>
      </c>
    </row>
    <row r="16" spans="1:18" x14ac:dyDescent="0.25">
      <c r="A16" s="170">
        <v>42023</v>
      </c>
      <c r="B16" s="116">
        <v>562.29999999999995</v>
      </c>
      <c r="C16" s="116">
        <v>555.125</v>
      </c>
      <c r="D16" s="116">
        <v>545.65</v>
      </c>
      <c r="E16" s="116">
        <v>550</v>
      </c>
      <c r="F16" s="116">
        <v>1110.25</v>
      </c>
      <c r="G16">
        <v>10078</v>
      </c>
      <c r="H16" s="116"/>
      <c r="I16" s="116"/>
      <c r="L16" s="170">
        <v>42023</v>
      </c>
      <c r="M16" s="116">
        <v>555.875</v>
      </c>
      <c r="N16" s="116">
        <v>562.4</v>
      </c>
      <c r="O16" s="116">
        <v>544</v>
      </c>
      <c r="P16" s="116">
        <v>559.22500000000002</v>
      </c>
      <c r="Q16" s="116">
        <v>1111.75</v>
      </c>
      <c r="R16">
        <v>85759</v>
      </c>
    </row>
    <row r="17" spans="1:18" x14ac:dyDescent="0.25">
      <c r="A17" s="170">
        <v>42024</v>
      </c>
      <c r="B17" s="116">
        <v>572.5</v>
      </c>
      <c r="C17" s="116">
        <v>570.45000000000005</v>
      </c>
      <c r="D17" s="116">
        <v>560.77499999999998</v>
      </c>
      <c r="E17" s="116">
        <v>562.5</v>
      </c>
      <c r="F17" s="116">
        <v>1140.9000000000001</v>
      </c>
      <c r="G17">
        <v>10411</v>
      </c>
      <c r="H17" s="116"/>
      <c r="I17" s="116"/>
      <c r="L17" s="170">
        <v>42024</v>
      </c>
      <c r="M17" s="116">
        <v>569.9</v>
      </c>
      <c r="N17" s="116">
        <v>574.45000000000005</v>
      </c>
      <c r="O17" s="116">
        <v>558.04999999999995</v>
      </c>
      <c r="P17" s="116">
        <v>558.04999999999995</v>
      </c>
      <c r="Q17" s="116">
        <v>1139.8</v>
      </c>
      <c r="R17">
        <v>87859</v>
      </c>
    </row>
    <row r="18" spans="1:18" x14ac:dyDescent="0.25">
      <c r="A18" s="170">
        <v>42025</v>
      </c>
      <c r="B18" s="116">
        <v>573.4</v>
      </c>
      <c r="C18" s="116">
        <v>560.15</v>
      </c>
      <c r="D18" s="116">
        <v>557.375</v>
      </c>
      <c r="E18" s="116">
        <v>572.375</v>
      </c>
      <c r="F18" s="116">
        <v>1120.3</v>
      </c>
      <c r="G18">
        <v>15252</v>
      </c>
      <c r="H18" s="116"/>
      <c r="I18" s="116"/>
      <c r="L18" s="170">
        <v>42025</v>
      </c>
      <c r="M18" s="116">
        <v>561.125</v>
      </c>
      <c r="N18" s="116">
        <v>573.97500000000002</v>
      </c>
      <c r="O18" s="116">
        <v>555.5</v>
      </c>
      <c r="P18" s="116">
        <v>570</v>
      </c>
      <c r="Q18" s="116">
        <v>1122.25</v>
      </c>
      <c r="R18">
        <v>40360</v>
      </c>
    </row>
    <row r="19" spans="1:18" x14ac:dyDescent="0.25">
      <c r="A19" s="170">
        <v>42026</v>
      </c>
      <c r="B19" s="116">
        <v>579.5</v>
      </c>
      <c r="C19" s="116">
        <v>571.97500000000002</v>
      </c>
      <c r="D19" s="116">
        <v>562.5</v>
      </c>
      <c r="E19" s="116">
        <v>562.5</v>
      </c>
      <c r="F19" s="116">
        <v>1143.95</v>
      </c>
      <c r="G19">
        <v>9873</v>
      </c>
      <c r="H19" s="116"/>
      <c r="I19" s="116"/>
      <c r="L19" s="170">
        <v>42026</v>
      </c>
      <c r="M19" s="116">
        <v>572.9</v>
      </c>
      <c r="N19" s="116">
        <v>574.5</v>
      </c>
      <c r="O19" s="116">
        <v>557.5</v>
      </c>
      <c r="P19" s="116">
        <v>561.04999999999995</v>
      </c>
      <c r="Q19" s="116">
        <v>1145.8</v>
      </c>
      <c r="R19">
        <v>88188</v>
      </c>
    </row>
    <row r="20" spans="1:18" x14ac:dyDescent="0.25">
      <c r="A20" s="170">
        <v>42027</v>
      </c>
      <c r="B20" s="116">
        <v>575</v>
      </c>
      <c r="C20" s="116">
        <v>571.57500000000005</v>
      </c>
      <c r="D20" s="116">
        <v>564.9</v>
      </c>
      <c r="E20" s="116">
        <v>575</v>
      </c>
      <c r="F20" s="116">
        <v>1143.1500000000001</v>
      </c>
      <c r="G20">
        <v>6738</v>
      </c>
      <c r="H20" s="116"/>
      <c r="I20" s="116"/>
      <c r="L20" s="170">
        <v>42027</v>
      </c>
      <c r="M20" s="116">
        <v>571.625</v>
      </c>
      <c r="N20" s="116">
        <v>577.35</v>
      </c>
      <c r="O20" s="116">
        <v>564</v>
      </c>
      <c r="P20" s="116">
        <v>577.35</v>
      </c>
      <c r="Q20" s="116">
        <v>1143.25</v>
      </c>
      <c r="R20">
        <v>45123</v>
      </c>
    </row>
    <row r="21" spans="1:18" x14ac:dyDescent="0.25">
      <c r="A21" s="170">
        <v>42031</v>
      </c>
      <c r="B21" s="116">
        <v>603.35</v>
      </c>
      <c r="C21" s="116">
        <v>593.125</v>
      </c>
      <c r="D21" s="116">
        <v>567.5</v>
      </c>
      <c r="E21" s="116">
        <v>575</v>
      </c>
      <c r="F21" s="116">
        <v>1186.25</v>
      </c>
      <c r="G21">
        <v>24018</v>
      </c>
      <c r="H21" s="116"/>
      <c r="I21" s="116"/>
      <c r="L21" s="170">
        <v>42031</v>
      </c>
      <c r="M21" s="116">
        <v>590.97500000000002</v>
      </c>
      <c r="N21" s="116">
        <v>604.5</v>
      </c>
      <c r="O21" s="116">
        <v>567.52499999999998</v>
      </c>
      <c r="P21" s="116">
        <v>567.52499999999998</v>
      </c>
      <c r="Q21" s="116">
        <v>1181.95</v>
      </c>
      <c r="R21">
        <v>133979</v>
      </c>
    </row>
    <row r="22" spans="1:18" x14ac:dyDescent="0.25">
      <c r="A22" s="170">
        <v>42032</v>
      </c>
      <c r="B22" s="116">
        <v>615.85</v>
      </c>
      <c r="C22" s="116">
        <v>604.54999999999995</v>
      </c>
      <c r="D22" s="116">
        <v>591</v>
      </c>
      <c r="E22" s="116">
        <v>592.54999999999995</v>
      </c>
      <c r="F22" s="116">
        <v>1209.0999999999999</v>
      </c>
      <c r="G22">
        <v>27299</v>
      </c>
      <c r="H22" s="116"/>
      <c r="I22" s="116"/>
      <c r="L22" s="170">
        <v>42032</v>
      </c>
      <c r="M22" s="116">
        <v>605.97500000000002</v>
      </c>
      <c r="N22" s="116">
        <v>611.5</v>
      </c>
      <c r="O22" s="116">
        <v>591</v>
      </c>
      <c r="P22" s="116">
        <v>592.45000000000005</v>
      </c>
      <c r="Q22" s="116">
        <v>1211.95</v>
      </c>
      <c r="R22">
        <v>134700</v>
      </c>
    </row>
    <row r="23" spans="1:18" x14ac:dyDescent="0.25">
      <c r="A23" s="170">
        <v>42033</v>
      </c>
      <c r="B23" s="116">
        <v>584</v>
      </c>
      <c r="C23" s="116">
        <v>568.9</v>
      </c>
      <c r="D23" s="116">
        <v>554.07500000000005</v>
      </c>
      <c r="E23" s="116">
        <v>584</v>
      </c>
      <c r="F23" s="116">
        <v>1137.8</v>
      </c>
      <c r="G23">
        <v>29447</v>
      </c>
      <c r="H23" s="116"/>
      <c r="I23" s="116"/>
      <c r="L23" s="170">
        <v>42033</v>
      </c>
      <c r="M23" s="116">
        <v>569.20000000000005</v>
      </c>
      <c r="N23" s="116">
        <v>590</v>
      </c>
      <c r="O23" s="116">
        <v>550</v>
      </c>
      <c r="P23" s="116">
        <v>590</v>
      </c>
      <c r="Q23" s="116">
        <v>1138.4000000000001</v>
      </c>
      <c r="R23">
        <v>213047</v>
      </c>
    </row>
    <row r="24" spans="1:18" x14ac:dyDescent="0.25">
      <c r="A24" s="170">
        <v>42034</v>
      </c>
      <c r="B24" s="116">
        <v>575</v>
      </c>
      <c r="C24" s="116">
        <v>550.47500000000002</v>
      </c>
      <c r="D24" s="116">
        <v>535.875</v>
      </c>
      <c r="E24" s="116">
        <v>575</v>
      </c>
      <c r="F24" s="116">
        <v>1100.95</v>
      </c>
      <c r="G24">
        <v>21318</v>
      </c>
      <c r="H24" s="116"/>
      <c r="I24" s="116"/>
      <c r="L24" s="170">
        <v>42034</v>
      </c>
      <c r="M24" s="116">
        <v>549.85</v>
      </c>
      <c r="N24" s="116">
        <v>575.25</v>
      </c>
      <c r="O24" s="116">
        <v>536.6</v>
      </c>
      <c r="P24" s="116">
        <v>571.85</v>
      </c>
      <c r="Q24" s="116">
        <v>1099.7</v>
      </c>
      <c r="R24">
        <v>233753</v>
      </c>
    </row>
    <row r="25" spans="1:18" x14ac:dyDescent="0.25">
      <c r="A25" s="170">
        <v>42037</v>
      </c>
      <c r="B25" s="116">
        <v>575</v>
      </c>
      <c r="C25" s="116">
        <v>561.97500000000002</v>
      </c>
      <c r="D25" s="116">
        <v>550</v>
      </c>
      <c r="E25" s="116">
        <v>555.5</v>
      </c>
      <c r="F25" s="116">
        <v>1123.95</v>
      </c>
      <c r="G25">
        <v>18450</v>
      </c>
      <c r="H25" s="116"/>
      <c r="I25" s="116"/>
      <c r="L25" s="170">
        <v>42037</v>
      </c>
      <c r="M25" s="116">
        <v>567.29999999999995</v>
      </c>
      <c r="N25" s="116">
        <v>574.95000000000005</v>
      </c>
      <c r="O25" s="116">
        <v>550</v>
      </c>
      <c r="P25" s="116">
        <v>550</v>
      </c>
      <c r="Q25" s="116">
        <v>1134.5999999999999</v>
      </c>
      <c r="R25">
        <v>132770</v>
      </c>
    </row>
    <row r="26" spans="1:18" x14ac:dyDescent="0.25">
      <c r="A26" s="170">
        <v>42038</v>
      </c>
      <c r="B26" s="116">
        <v>579</v>
      </c>
      <c r="C26" s="116">
        <v>567.25</v>
      </c>
      <c r="D26" s="116">
        <v>555.75</v>
      </c>
      <c r="E26" s="116">
        <v>579</v>
      </c>
      <c r="F26" s="116">
        <v>1134.5</v>
      </c>
      <c r="G26">
        <v>8465</v>
      </c>
      <c r="H26" s="116"/>
      <c r="I26" s="116"/>
      <c r="L26" s="170">
        <v>42038</v>
      </c>
      <c r="M26" s="116">
        <v>567.65</v>
      </c>
      <c r="N26" s="116">
        <v>570</v>
      </c>
      <c r="O26" s="116">
        <v>556.75</v>
      </c>
      <c r="P26" s="116">
        <v>567.25</v>
      </c>
      <c r="Q26" s="116">
        <v>1135.3</v>
      </c>
      <c r="R26">
        <v>74136</v>
      </c>
    </row>
    <row r="27" spans="1:18" x14ac:dyDescent="0.25">
      <c r="A27" s="170">
        <v>42039</v>
      </c>
      <c r="B27" s="116">
        <v>572.97500000000002</v>
      </c>
      <c r="C27" s="116">
        <v>561.67499999999995</v>
      </c>
      <c r="D27" s="116">
        <v>550</v>
      </c>
      <c r="E27" s="116">
        <v>570</v>
      </c>
      <c r="F27" s="116">
        <v>1123.3499999999999</v>
      </c>
      <c r="G27">
        <v>9113</v>
      </c>
      <c r="H27" s="116"/>
      <c r="I27" s="116"/>
      <c r="L27" s="170">
        <v>42039</v>
      </c>
      <c r="M27" s="116">
        <v>562.42499999999995</v>
      </c>
      <c r="N27" s="116">
        <v>573.22500000000002</v>
      </c>
      <c r="O27" s="116">
        <v>547.5</v>
      </c>
      <c r="P27" s="116">
        <v>572.9</v>
      </c>
      <c r="Q27" s="116">
        <v>1124.8499999999999</v>
      </c>
      <c r="R27">
        <v>89831</v>
      </c>
    </row>
    <row r="28" spans="1:18" x14ac:dyDescent="0.25">
      <c r="A28" s="170">
        <v>42040</v>
      </c>
      <c r="B28" s="116">
        <v>566.4</v>
      </c>
      <c r="C28" s="116">
        <v>552.85</v>
      </c>
      <c r="D28" s="116">
        <v>550.75</v>
      </c>
      <c r="E28" s="116">
        <v>562.5</v>
      </c>
      <c r="F28" s="116">
        <v>1105.7</v>
      </c>
      <c r="G28">
        <v>4230</v>
      </c>
      <c r="H28" s="116"/>
      <c r="I28" s="116"/>
      <c r="L28" s="170">
        <v>42040</v>
      </c>
      <c r="M28" s="116">
        <v>553.54999999999995</v>
      </c>
      <c r="N28" s="116">
        <v>569.45000000000005</v>
      </c>
      <c r="O28" s="116">
        <v>550.54999999999995</v>
      </c>
      <c r="P28" s="116">
        <v>564.45000000000005</v>
      </c>
      <c r="Q28" s="116">
        <v>1107.0999999999999</v>
      </c>
      <c r="R28">
        <v>52455</v>
      </c>
    </row>
    <row r="29" spans="1:18" x14ac:dyDescent="0.25">
      <c r="A29" s="170">
        <v>42041</v>
      </c>
      <c r="B29" s="116">
        <v>560.29999999999995</v>
      </c>
      <c r="C29" s="116">
        <v>539.1</v>
      </c>
      <c r="D29" s="116">
        <v>534.57500000000005</v>
      </c>
      <c r="E29" s="116">
        <v>552.85</v>
      </c>
      <c r="F29" s="116">
        <v>1078.2</v>
      </c>
      <c r="G29">
        <v>7010</v>
      </c>
      <c r="H29" s="116"/>
      <c r="I29" s="116"/>
      <c r="L29" s="170">
        <v>42041</v>
      </c>
      <c r="M29" s="116">
        <v>539.32500000000005</v>
      </c>
      <c r="N29" s="116">
        <v>562.20000000000005</v>
      </c>
      <c r="O29" s="116">
        <v>535</v>
      </c>
      <c r="P29" s="116">
        <v>553.5</v>
      </c>
      <c r="Q29" s="116">
        <v>1078.6500000000001</v>
      </c>
      <c r="R29">
        <v>54804</v>
      </c>
    </row>
    <row r="30" spans="1:18" x14ac:dyDescent="0.25">
      <c r="A30" s="170">
        <v>42044</v>
      </c>
      <c r="B30" s="116">
        <v>566.5</v>
      </c>
      <c r="C30" s="116">
        <v>552.02499999999998</v>
      </c>
      <c r="D30" s="116">
        <v>530</v>
      </c>
      <c r="E30" s="116">
        <v>539</v>
      </c>
      <c r="F30" s="116">
        <v>1104.05</v>
      </c>
      <c r="G30">
        <v>11760</v>
      </c>
      <c r="H30" s="116"/>
      <c r="I30" s="116"/>
      <c r="L30" s="170">
        <v>42044</v>
      </c>
      <c r="M30" s="116">
        <v>550.6</v>
      </c>
      <c r="N30" s="116">
        <v>566.5</v>
      </c>
      <c r="O30" s="116">
        <v>529.97500000000002</v>
      </c>
      <c r="P30" s="116">
        <v>539.32500000000005</v>
      </c>
      <c r="Q30" s="116">
        <v>1101.2</v>
      </c>
      <c r="R30">
        <v>69748</v>
      </c>
    </row>
    <row r="31" spans="1:18" x14ac:dyDescent="0.25">
      <c r="A31" s="170">
        <v>42045</v>
      </c>
      <c r="B31" s="116">
        <v>573.4</v>
      </c>
      <c r="C31" s="116">
        <v>570.125</v>
      </c>
      <c r="D31" s="116">
        <v>549.5</v>
      </c>
      <c r="E31" s="116">
        <v>550</v>
      </c>
      <c r="F31" s="116">
        <v>1140.25</v>
      </c>
      <c r="G31">
        <v>13194</v>
      </c>
      <c r="H31" s="116"/>
      <c r="I31" s="116"/>
      <c r="L31" s="170">
        <v>42045</v>
      </c>
      <c r="M31" s="116">
        <v>570.20000000000005</v>
      </c>
      <c r="N31" s="116">
        <v>574.70000000000005</v>
      </c>
      <c r="O31" s="116">
        <v>538.52499999999998</v>
      </c>
      <c r="P31" s="116">
        <v>543</v>
      </c>
      <c r="Q31" s="116">
        <v>1140.4000000000001</v>
      </c>
      <c r="R31">
        <v>90215</v>
      </c>
    </row>
    <row r="32" spans="1:18" x14ac:dyDescent="0.25">
      <c r="A32" s="170">
        <v>42046</v>
      </c>
      <c r="B32" s="116">
        <v>577.20000000000005</v>
      </c>
      <c r="C32" s="116">
        <v>570.47500000000002</v>
      </c>
      <c r="D32" s="116">
        <v>560.5</v>
      </c>
      <c r="E32" s="116">
        <v>574.75</v>
      </c>
      <c r="F32" s="116">
        <v>1140.95</v>
      </c>
      <c r="G32">
        <v>3431</v>
      </c>
      <c r="H32" s="116"/>
      <c r="I32" s="116"/>
      <c r="L32" s="170">
        <v>42046</v>
      </c>
      <c r="M32" s="116">
        <v>571.45000000000005</v>
      </c>
      <c r="N32" s="116">
        <v>577.79999999999995</v>
      </c>
      <c r="O32" s="116">
        <v>559.625</v>
      </c>
      <c r="P32" s="116">
        <v>568</v>
      </c>
      <c r="Q32" s="116">
        <v>1142.9000000000001</v>
      </c>
      <c r="R32">
        <v>34880</v>
      </c>
    </row>
    <row r="33" spans="1:18" x14ac:dyDescent="0.25">
      <c r="A33" s="170">
        <v>42047</v>
      </c>
      <c r="B33" s="116">
        <v>578.57500000000005</v>
      </c>
      <c r="C33" s="116">
        <v>575.27499999999998</v>
      </c>
      <c r="D33" s="116">
        <v>567</v>
      </c>
      <c r="E33" s="116">
        <v>568</v>
      </c>
      <c r="F33" s="116">
        <v>1150.55</v>
      </c>
      <c r="G33">
        <v>2488</v>
      </c>
      <c r="H33" s="116"/>
      <c r="I33" s="116"/>
      <c r="L33" s="170">
        <v>42047</v>
      </c>
      <c r="M33" s="116">
        <v>575.75</v>
      </c>
      <c r="N33" s="116">
        <v>578.54999999999995</v>
      </c>
      <c r="O33" s="116">
        <v>566.4</v>
      </c>
      <c r="P33" s="116">
        <v>575</v>
      </c>
      <c r="Q33" s="116">
        <v>1151.5</v>
      </c>
      <c r="R33">
        <v>23531</v>
      </c>
    </row>
    <row r="34" spans="1:18" x14ac:dyDescent="0.25">
      <c r="A34" s="170">
        <v>42048</v>
      </c>
      <c r="B34" s="116">
        <v>583.375</v>
      </c>
      <c r="C34" s="116">
        <v>575.42499999999995</v>
      </c>
      <c r="D34" s="116">
        <v>568.75</v>
      </c>
      <c r="E34" s="116">
        <v>578</v>
      </c>
      <c r="F34" s="116">
        <v>1150.8499999999999</v>
      </c>
      <c r="G34">
        <v>7279</v>
      </c>
      <c r="H34" s="116"/>
      <c r="I34" s="116"/>
      <c r="L34" s="170">
        <v>42048</v>
      </c>
      <c r="M34" s="116">
        <v>574.45000000000005</v>
      </c>
      <c r="N34" s="116">
        <v>583</v>
      </c>
      <c r="O34" s="116">
        <v>568</v>
      </c>
      <c r="P34" s="116">
        <v>577.47500000000002</v>
      </c>
      <c r="Q34" s="116">
        <v>1148.9000000000001</v>
      </c>
      <c r="R34">
        <v>27123</v>
      </c>
    </row>
    <row r="35" spans="1:18" x14ac:dyDescent="0.25">
      <c r="A35" s="170">
        <v>42051</v>
      </c>
      <c r="B35" s="116">
        <v>574.20000000000005</v>
      </c>
      <c r="C35" s="116">
        <v>565.45000000000005</v>
      </c>
      <c r="D35" s="116">
        <v>562.875</v>
      </c>
      <c r="E35" s="116">
        <v>570.625</v>
      </c>
      <c r="F35" s="116">
        <v>1130.9000000000001</v>
      </c>
      <c r="G35">
        <v>5220</v>
      </c>
      <c r="H35" s="116"/>
      <c r="I35" s="116"/>
      <c r="L35" s="170">
        <v>42051</v>
      </c>
      <c r="M35" s="116">
        <v>565.875</v>
      </c>
      <c r="N35" s="116">
        <v>576</v>
      </c>
      <c r="O35" s="116">
        <v>563.1</v>
      </c>
      <c r="P35" s="116">
        <v>573.17499999999995</v>
      </c>
      <c r="Q35" s="116">
        <v>1131.75</v>
      </c>
      <c r="R35">
        <v>332275</v>
      </c>
    </row>
    <row r="36" spans="1:18" x14ac:dyDescent="0.25">
      <c r="A36" s="170">
        <v>42053</v>
      </c>
      <c r="B36" s="116">
        <v>579.29999999999995</v>
      </c>
      <c r="C36" s="116">
        <v>571.6</v>
      </c>
      <c r="D36" s="116">
        <v>562.5</v>
      </c>
      <c r="E36" s="116">
        <v>562.5</v>
      </c>
      <c r="F36" s="116">
        <v>1143.2</v>
      </c>
      <c r="G36">
        <v>4118</v>
      </c>
      <c r="H36" s="116"/>
      <c r="I36" s="116"/>
      <c r="L36" s="170">
        <v>42053</v>
      </c>
      <c r="M36" s="116">
        <v>572.42499999999995</v>
      </c>
      <c r="N36" s="116">
        <v>579.52499999999998</v>
      </c>
      <c r="O36" s="116">
        <v>557.65</v>
      </c>
      <c r="P36" s="116">
        <v>557.65</v>
      </c>
      <c r="Q36" s="116">
        <v>1144.8499999999999</v>
      </c>
      <c r="R36">
        <v>50526</v>
      </c>
    </row>
    <row r="37" spans="1:18" x14ac:dyDescent="0.25">
      <c r="A37" s="170">
        <v>42054</v>
      </c>
      <c r="B37" s="116">
        <v>571</v>
      </c>
      <c r="C37" s="116">
        <v>560.72500000000002</v>
      </c>
      <c r="D37" s="116">
        <v>555.82500000000005</v>
      </c>
      <c r="E37" s="116">
        <v>571</v>
      </c>
      <c r="F37" s="116">
        <v>1121.45</v>
      </c>
      <c r="G37">
        <v>19972</v>
      </c>
      <c r="H37" s="116"/>
      <c r="I37" s="116"/>
      <c r="L37" s="170">
        <v>42054</v>
      </c>
      <c r="M37" s="116">
        <v>561.17499999999995</v>
      </c>
      <c r="N37" s="116">
        <v>572.35</v>
      </c>
      <c r="O37" s="116">
        <v>555.5</v>
      </c>
      <c r="P37" s="116">
        <v>571.25</v>
      </c>
      <c r="Q37" s="116">
        <v>1122.3499999999999</v>
      </c>
      <c r="R37">
        <v>90222</v>
      </c>
    </row>
    <row r="38" spans="1:18" x14ac:dyDescent="0.25">
      <c r="A38" s="170">
        <v>42055</v>
      </c>
      <c r="B38" s="116">
        <v>570</v>
      </c>
      <c r="C38" s="116">
        <v>559.22500000000002</v>
      </c>
      <c r="D38" s="116">
        <v>556.07500000000005</v>
      </c>
      <c r="E38" s="116">
        <v>561.47500000000002</v>
      </c>
      <c r="F38" s="116">
        <v>1118.45</v>
      </c>
      <c r="G38">
        <v>2663</v>
      </c>
      <c r="H38" s="116"/>
      <c r="I38" s="116"/>
      <c r="L38" s="170">
        <v>42055</v>
      </c>
      <c r="M38" s="116">
        <v>559.375</v>
      </c>
      <c r="N38" s="116">
        <v>570.70000000000005</v>
      </c>
      <c r="O38" s="116">
        <v>556.29999999999995</v>
      </c>
      <c r="P38" s="116">
        <v>562.97500000000002</v>
      </c>
      <c r="Q38" s="116">
        <v>1118.75</v>
      </c>
      <c r="R38">
        <v>27825</v>
      </c>
    </row>
    <row r="39" spans="1:18" x14ac:dyDescent="0.25">
      <c r="A39" s="170">
        <v>42058</v>
      </c>
      <c r="B39" s="116">
        <v>563.47500000000002</v>
      </c>
      <c r="C39" s="116">
        <v>557.35</v>
      </c>
      <c r="D39" s="116">
        <v>554.97500000000002</v>
      </c>
      <c r="E39" s="116">
        <v>559</v>
      </c>
      <c r="F39" s="116">
        <v>1114.7</v>
      </c>
      <c r="G39">
        <v>6970</v>
      </c>
      <c r="H39" s="116"/>
      <c r="I39" s="116"/>
      <c r="L39" s="170">
        <v>42058</v>
      </c>
      <c r="M39" s="116">
        <v>558.4</v>
      </c>
      <c r="N39" s="116">
        <v>563.65</v>
      </c>
      <c r="O39" s="116">
        <v>555</v>
      </c>
      <c r="P39" s="116">
        <v>560</v>
      </c>
      <c r="Q39" s="116">
        <v>1116.8</v>
      </c>
      <c r="R39">
        <v>26297</v>
      </c>
    </row>
    <row r="40" spans="1:18" x14ac:dyDescent="0.25">
      <c r="A40" s="170">
        <v>42059</v>
      </c>
      <c r="B40" s="116">
        <v>556.97500000000002</v>
      </c>
      <c r="C40" s="116">
        <v>550.6</v>
      </c>
      <c r="D40" s="116">
        <v>546.52499999999998</v>
      </c>
      <c r="E40" s="116">
        <v>555.54999999999995</v>
      </c>
      <c r="F40" s="116">
        <v>1101.2</v>
      </c>
      <c r="G40">
        <v>3757</v>
      </c>
      <c r="H40" s="116"/>
      <c r="I40" s="116"/>
      <c r="L40" s="170">
        <v>42059</v>
      </c>
      <c r="M40" s="116">
        <v>550.4</v>
      </c>
      <c r="N40" s="116">
        <v>560.17499999999995</v>
      </c>
      <c r="O40" s="116">
        <v>546.54999999999995</v>
      </c>
      <c r="P40" s="116">
        <v>556.52499999999998</v>
      </c>
      <c r="Q40" s="116">
        <v>1100.8</v>
      </c>
      <c r="R40">
        <v>38851</v>
      </c>
    </row>
    <row r="41" spans="1:18" x14ac:dyDescent="0.25">
      <c r="A41" s="170">
        <v>42060</v>
      </c>
      <c r="B41" s="116">
        <v>555.67499999999995</v>
      </c>
      <c r="C41" s="116">
        <v>551.32500000000005</v>
      </c>
      <c r="D41" s="116">
        <v>550</v>
      </c>
      <c r="E41" s="116">
        <v>552.5</v>
      </c>
      <c r="F41" s="116">
        <v>1102.6500000000001</v>
      </c>
      <c r="G41">
        <v>2904</v>
      </c>
      <c r="H41" s="116"/>
      <c r="I41" s="116"/>
      <c r="L41" s="170">
        <v>42060</v>
      </c>
      <c r="M41" s="116">
        <v>551.57500000000005</v>
      </c>
      <c r="N41" s="116">
        <v>555.29999999999995</v>
      </c>
      <c r="O41" s="116">
        <v>548.5</v>
      </c>
      <c r="P41" s="116">
        <v>550.07500000000005</v>
      </c>
      <c r="Q41" s="116">
        <v>1103.1500000000001</v>
      </c>
      <c r="R41">
        <v>11991</v>
      </c>
    </row>
    <row r="42" spans="1:18" x14ac:dyDescent="0.25">
      <c r="A42" s="170">
        <v>42061</v>
      </c>
      <c r="B42" s="116">
        <v>549.57500000000005</v>
      </c>
      <c r="C42" s="116">
        <v>535.75</v>
      </c>
      <c r="D42" s="116">
        <v>532.5</v>
      </c>
      <c r="E42" s="116">
        <v>549.57500000000005</v>
      </c>
      <c r="F42" s="116">
        <v>1071.5</v>
      </c>
      <c r="G42">
        <v>6550</v>
      </c>
      <c r="H42" s="116"/>
      <c r="I42" s="116"/>
      <c r="L42" s="170">
        <v>42061</v>
      </c>
      <c r="M42" s="116">
        <v>535.47500000000002</v>
      </c>
      <c r="N42" s="116">
        <v>552.9</v>
      </c>
      <c r="O42" s="116">
        <v>531.47500000000002</v>
      </c>
      <c r="P42" s="116">
        <v>552.9</v>
      </c>
      <c r="Q42" s="116">
        <v>1070.95</v>
      </c>
      <c r="R42">
        <v>41370</v>
      </c>
    </row>
    <row r="43" spans="1:18" x14ac:dyDescent="0.25">
      <c r="A43" s="170">
        <v>42062</v>
      </c>
      <c r="B43" s="116">
        <v>535.35</v>
      </c>
      <c r="C43" s="116">
        <v>523.75</v>
      </c>
      <c r="D43" s="116">
        <v>516.5</v>
      </c>
      <c r="E43" s="116">
        <v>535</v>
      </c>
      <c r="F43" s="116">
        <v>1047.5</v>
      </c>
      <c r="G43">
        <v>9603</v>
      </c>
      <c r="H43" s="116"/>
      <c r="I43" s="116"/>
      <c r="L43" s="170">
        <v>42062</v>
      </c>
      <c r="M43" s="116">
        <v>521.57500000000005</v>
      </c>
      <c r="N43" s="116">
        <v>536.57500000000005</v>
      </c>
      <c r="O43" s="116">
        <v>515.04999999999995</v>
      </c>
      <c r="P43" s="116">
        <v>533.5</v>
      </c>
      <c r="Q43" s="116">
        <v>1043.1500000000001</v>
      </c>
      <c r="R43">
        <v>97595</v>
      </c>
    </row>
    <row r="44" spans="1:18" x14ac:dyDescent="0.25">
      <c r="A44" s="170">
        <v>42063</v>
      </c>
      <c r="B44" s="116">
        <v>541.15</v>
      </c>
      <c r="C44" s="116">
        <v>535.70000000000005</v>
      </c>
      <c r="D44" s="116">
        <v>524</v>
      </c>
      <c r="E44" s="116">
        <v>524</v>
      </c>
      <c r="F44" s="116">
        <v>1071.4000000000001</v>
      </c>
      <c r="G44">
        <v>6124</v>
      </c>
      <c r="H44" s="116"/>
      <c r="I44" s="116"/>
      <c r="L44" s="170">
        <v>42063</v>
      </c>
      <c r="M44" s="116">
        <v>537.20000000000005</v>
      </c>
      <c r="N44" s="116">
        <v>542.25</v>
      </c>
      <c r="O44" s="116">
        <v>523.5</v>
      </c>
      <c r="P44" s="116">
        <v>523.5</v>
      </c>
      <c r="Q44" s="116">
        <v>1074.4000000000001</v>
      </c>
      <c r="R44">
        <v>24411</v>
      </c>
    </row>
    <row r="45" spans="1:18" x14ac:dyDescent="0.25">
      <c r="A45" s="170">
        <v>42065</v>
      </c>
      <c r="B45" s="116">
        <v>540</v>
      </c>
      <c r="C45" s="116">
        <v>530.82500000000005</v>
      </c>
      <c r="D45" s="116">
        <v>527.45000000000005</v>
      </c>
      <c r="E45" s="116">
        <v>535</v>
      </c>
      <c r="F45" s="116">
        <v>1061.6500000000001</v>
      </c>
      <c r="G45">
        <v>3369</v>
      </c>
      <c r="H45" s="116"/>
      <c r="I45" s="116"/>
      <c r="L45" s="170">
        <v>42065</v>
      </c>
      <c r="M45" s="116">
        <v>529.32500000000005</v>
      </c>
      <c r="N45" s="116">
        <v>539</v>
      </c>
      <c r="O45" s="116">
        <v>525</v>
      </c>
      <c r="P45" s="116">
        <v>539</v>
      </c>
      <c r="Q45" s="116">
        <v>1058.6500000000001</v>
      </c>
      <c r="R45">
        <v>47532</v>
      </c>
    </row>
    <row r="46" spans="1:18" x14ac:dyDescent="0.25">
      <c r="A46" s="170">
        <v>42066</v>
      </c>
      <c r="B46" s="116">
        <v>545.35</v>
      </c>
      <c r="C46" s="116">
        <v>541.92499999999995</v>
      </c>
      <c r="D46" s="116">
        <v>527.54999999999995</v>
      </c>
      <c r="E46" s="116">
        <v>527.54999999999995</v>
      </c>
      <c r="F46" s="116">
        <v>1083.8499999999999</v>
      </c>
      <c r="G46">
        <v>7606</v>
      </c>
      <c r="H46" s="116"/>
      <c r="I46" s="116"/>
      <c r="L46" s="170">
        <v>42066</v>
      </c>
      <c r="M46" s="116">
        <v>540.72500000000002</v>
      </c>
      <c r="N46" s="116">
        <v>543.65</v>
      </c>
      <c r="O46" s="116">
        <v>527.52499999999998</v>
      </c>
      <c r="P46" s="116">
        <v>530</v>
      </c>
      <c r="Q46" s="116">
        <v>1081.45</v>
      </c>
      <c r="R46">
        <v>51696</v>
      </c>
    </row>
    <row r="47" spans="1:18" x14ac:dyDescent="0.25">
      <c r="A47" s="170">
        <v>42067</v>
      </c>
      <c r="B47" s="116">
        <v>564.125</v>
      </c>
      <c r="C47" s="116">
        <v>545.92499999999995</v>
      </c>
      <c r="D47" s="116">
        <v>540</v>
      </c>
      <c r="E47" s="116">
        <v>545.75</v>
      </c>
      <c r="F47" s="116">
        <v>1091.8499999999999</v>
      </c>
      <c r="G47">
        <v>18809</v>
      </c>
      <c r="H47" s="116"/>
      <c r="I47" s="116"/>
      <c r="L47" s="170">
        <v>42067</v>
      </c>
      <c r="M47" s="116">
        <v>547.1</v>
      </c>
      <c r="N47" s="116">
        <v>564</v>
      </c>
      <c r="O47" s="116">
        <v>535.125</v>
      </c>
      <c r="P47" s="116">
        <v>540.54999999999995</v>
      </c>
      <c r="Q47" s="116">
        <v>1094.2</v>
      </c>
      <c r="R47">
        <v>69580</v>
      </c>
    </row>
    <row r="48" spans="1:18" x14ac:dyDescent="0.25">
      <c r="A48" s="170">
        <v>42068</v>
      </c>
      <c r="B48" s="116">
        <v>554.95000000000005</v>
      </c>
      <c r="C48" s="116">
        <v>551.15</v>
      </c>
      <c r="D48" s="116">
        <v>545</v>
      </c>
      <c r="E48" s="116">
        <v>553.625</v>
      </c>
      <c r="F48" s="116">
        <v>1102.3</v>
      </c>
      <c r="G48">
        <v>4101</v>
      </c>
      <c r="H48" s="116"/>
      <c r="I48" s="116"/>
      <c r="L48" s="170">
        <v>42068</v>
      </c>
      <c r="M48" s="116">
        <v>550.9</v>
      </c>
      <c r="N48" s="116">
        <v>555.5</v>
      </c>
      <c r="O48" s="116">
        <v>538.70000000000005</v>
      </c>
      <c r="P48" s="116">
        <v>549</v>
      </c>
      <c r="Q48" s="116">
        <v>1101.8</v>
      </c>
      <c r="R48">
        <v>26510</v>
      </c>
    </row>
    <row r="49" spans="1:18" x14ac:dyDescent="0.25">
      <c r="A49" s="170">
        <v>42072</v>
      </c>
      <c r="B49" s="116">
        <v>562.5</v>
      </c>
      <c r="C49" s="116">
        <v>545.17499999999995</v>
      </c>
      <c r="D49" s="116">
        <v>542.75</v>
      </c>
      <c r="E49" s="116">
        <v>552</v>
      </c>
      <c r="F49" s="116">
        <v>1090.3499999999999</v>
      </c>
      <c r="G49">
        <v>4253</v>
      </c>
      <c r="H49" s="116"/>
      <c r="I49" s="116"/>
      <c r="L49" s="170">
        <v>42072</v>
      </c>
      <c r="M49" s="116">
        <v>545.82500000000005</v>
      </c>
      <c r="N49" s="116">
        <v>563.45000000000005</v>
      </c>
      <c r="O49" s="116">
        <v>542.5</v>
      </c>
      <c r="P49" s="116">
        <v>552.97500000000002</v>
      </c>
      <c r="Q49" s="116">
        <v>1091.6500000000001</v>
      </c>
      <c r="R49">
        <v>45516</v>
      </c>
    </row>
    <row r="50" spans="1:18" x14ac:dyDescent="0.25">
      <c r="A50" s="170">
        <v>42073</v>
      </c>
      <c r="B50" s="116">
        <v>561.375</v>
      </c>
      <c r="C50" s="116">
        <v>549.375</v>
      </c>
      <c r="D50" s="116">
        <v>544.02499999999998</v>
      </c>
      <c r="E50" s="116">
        <v>553.5</v>
      </c>
      <c r="F50" s="116">
        <v>1098.75</v>
      </c>
      <c r="G50">
        <v>6170</v>
      </c>
      <c r="H50" s="116"/>
      <c r="I50" s="116"/>
      <c r="L50" s="170">
        <v>42073</v>
      </c>
      <c r="M50" s="116">
        <v>549.54999999999995</v>
      </c>
      <c r="N50" s="116">
        <v>562</v>
      </c>
      <c r="O50" s="116">
        <v>541.29999999999995</v>
      </c>
      <c r="P50" s="116">
        <v>545</v>
      </c>
      <c r="Q50" s="116">
        <v>1099.0999999999999</v>
      </c>
      <c r="R50">
        <v>104652</v>
      </c>
    </row>
    <row r="51" spans="1:18" x14ac:dyDescent="0.25">
      <c r="A51" s="170">
        <v>42074</v>
      </c>
      <c r="B51" s="116">
        <v>551.17499999999995</v>
      </c>
      <c r="C51" s="116">
        <v>540.4</v>
      </c>
      <c r="D51" s="116">
        <v>536.5</v>
      </c>
      <c r="E51" s="116">
        <v>550</v>
      </c>
      <c r="F51" s="116">
        <v>1080.8</v>
      </c>
      <c r="G51">
        <v>4965</v>
      </c>
      <c r="H51" s="116"/>
      <c r="I51" s="116"/>
      <c r="L51" s="170">
        <v>42074</v>
      </c>
      <c r="M51" s="116">
        <v>539.375</v>
      </c>
      <c r="N51" s="116">
        <v>553.17499999999995</v>
      </c>
      <c r="O51" s="116">
        <v>536.5</v>
      </c>
      <c r="P51" s="116">
        <v>547.5</v>
      </c>
      <c r="Q51" s="116">
        <v>1078.75</v>
      </c>
      <c r="R51">
        <v>70852</v>
      </c>
    </row>
    <row r="52" spans="1:18" x14ac:dyDescent="0.25">
      <c r="A52" s="170">
        <v>42075</v>
      </c>
      <c r="B52" s="116">
        <v>553.02499999999998</v>
      </c>
      <c r="C52" s="116">
        <v>547.07500000000005</v>
      </c>
      <c r="D52" s="116">
        <v>543</v>
      </c>
      <c r="E52" s="116">
        <v>547.95000000000005</v>
      </c>
      <c r="F52" s="116">
        <v>1094.1500000000001</v>
      </c>
      <c r="G52">
        <v>3696</v>
      </c>
      <c r="H52" s="116"/>
      <c r="I52" s="116"/>
      <c r="L52" s="170">
        <v>42075</v>
      </c>
      <c r="M52" s="116">
        <v>547.07500000000005</v>
      </c>
      <c r="N52" s="116">
        <v>554</v>
      </c>
      <c r="O52" s="116">
        <v>542.29999999999995</v>
      </c>
      <c r="P52" s="116">
        <v>542.29999999999995</v>
      </c>
      <c r="Q52" s="116">
        <v>1094.1500000000001</v>
      </c>
      <c r="R52">
        <v>39014</v>
      </c>
    </row>
    <row r="53" spans="1:18" x14ac:dyDescent="0.25">
      <c r="A53" s="170">
        <v>42076</v>
      </c>
      <c r="B53" s="116">
        <v>550.95000000000005</v>
      </c>
      <c r="C53" s="116">
        <v>546.17499999999995</v>
      </c>
      <c r="D53" s="116">
        <v>538.54999999999995</v>
      </c>
      <c r="E53" s="116">
        <v>550.95000000000005</v>
      </c>
      <c r="F53" s="116">
        <v>1092.3499999999999</v>
      </c>
      <c r="G53">
        <v>3566</v>
      </c>
      <c r="H53" s="116"/>
      <c r="I53" s="116"/>
      <c r="L53" s="170">
        <v>42076</v>
      </c>
      <c r="M53" s="116">
        <v>544.4</v>
      </c>
      <c r="N53" s="116">
        <v>551.95000000000005</v>
      </c>
      <c r="O53" s="116">
        <v>538.79999999999995</v>
      </c>
      <c r="P53" s="116">
        <v>548.97500000000002</v>
      </c>
      <c r="Q53" s="116">
        <v>1088.8</v>
      </c>
      <c r="R53">
        <v>46076</v>
      </c>
    </row>
    <row r="54" spans="1:18" x14ac:dyDescent="0.25">
      <c r="A54" s="170">
        <v>42079</v>
      </c>
      <c r="B54" s="116">
        <v>580</v>
      </c>
      <c r="C54" s="116">
        <v>567.82500000000005</v>
      </c>
      <c r="D54" s="116">
        <v>546.02499999999998</v>
      </c>
      <c r="E54" s="116">
        <v>548.52499999999998</v>
      </c>
      <c r="F54" s="116">
        <v>1135.6500000000001</v>
      </c>
      <c r="G54">
        <v>26440</v>
      </c>
      <c r="H54" s="116"/>
      <c r="I54" s="116"/>
      <c r="L54" s="170">
        <v>42079</v>
      </c>
      <c r="M54" s="116">
        <v>568.9</v>
      </c>
      <c r="N54" s="116">
        <v>580</v>
      </c>
      <c r="O54" s="116">
        <v>546.5</v>
      </c>
      <c r="P54" s="116">
        <v>546.5</v>
      </c>
      <c r="Q54" s="116">
        <v>1137.8</v>
      </c>
      <c r="R54">
        <v>167453</v>
      </c>
    </row>
    <row r="55" spans="1:18" x14ac:dyDescent="0.25">
      <c r="A55" s="170">
        <v>42080</v>
      </c>
      <c r="B55" s="116">
        <v>581.9</v>
      </c>
      <c r="C55" s="116">
        <v>567.95000000000005</v>
      </c>
      <c r="D55" s="116">
        <v>562.5</v>
      </c>
      <c r="E55" s="116">
        <v>573</v>
      </c>
      <c r="F55" s="116">
        <v>1135.9000000000001</v>
      </c>
      <c r="G55">
        <v>13241</v>
      </c>
      <c r="H55" s="116"/>
      <c r="I55" s="116"/>
      <c r="L55" s="170">
        <v>42080</v>
      </c>
      <c r="M55" s="116">
        <v>567.375</v>
      </c>
      <c r="N55" s="116">
        <v>582</v>
      </c>
      <c r="O55" s="116">
        <v>560.5</v>
      </c>
      <c r="P55" s="116">
        <v>571.5</v>
      </c>
      <c r="Q55" s="116">
        <v>1134.75</v>
      </c>
      <c r="R55">
        <v>147150</v>
      </c>
    </row>
    <row r="56" spans="1:18" x14ac:dyDescent="0.25">
      <c r="A56" s="170">
        <v>42081</v>
      </c>
      <c r="B56" s="116">
        <v>579.95000000000005</v>
      </c>
      <c r="C56" s="116">
        <v>569.97500000000002</v>
      </c>
      <c r="D56" s="116">
        <v>565</v>
      </c>
      <c r="E56" s="116">
        <v>570.35</v>
      </c>
      <c r="F56" s="116">
        <v>1139.95</v>
      </c>
      <c r="G56">
        <v>5613</v>
      </c>
      <c r="H56" s="116"/>
      <c r="I56" s="116"/>
      <c r="L56" s="170">
        <v>42081</v>
      </c>
      <c r="M56" s="116">
        <v>570.52499999999998</v>
      </c>
      <c r="N56" s="116">
        <v>579.35</v>
      </c>
      <c r="O56" s="116">
        <v>560.5</v>
      </c>
      <c r="P56" s="116">
        <v>569.5</v>
      </c>
      <c r="Q56" s="116">
        <v>1141.05</v>
      </c>
      <c r="R56">
        <v>207695</v>
      </c>
    </row>
    <row r="57" spans="1:18" x14ac:dyDescent="0.25">
      <c r="A57" s="170">
        <v>42082</v>
      </c>
      <c r="B57" s="116">
        <v>585.75</v>
      </c>
      <c r="C57" s="116">
        <v>572</v>
      </c>
      <c r="D57" s="116">
        <v>569</v>
      </c>
      <c r="E57" s="116">
        <v>574.5</v>
      </c>
      <c r="F57" s="116">
        <v>1144</v>
      </c>
      <c r="G57">
        <v>8771</v>
      </c>
      <c r="H57" s="116"/>
      <c r="I57" s="116"/>
      <c r="L57" s="170">
        <v>42082</v>
      </c>
      <c r="M57" s="116">
        <v>572.97500000000002</v>
      </c>
      <c r="N57" s="116">
        <v>586.42499999999995</v>
      </c>
      <c r="O57" s="116">
        <v>570.04999999999995</v>
      </c>
      <c r="P57" s="116">
        <v>570.04999999999995</v>
      </c>
      <c r="Q57" s="116">
        <v>1145.95</v>
      </c>
      <c r="R57">
        <v>87822</v>
      </c>
    </row>
    <row r="58" spans="1:18" x14ac:dyDescent="0.25">
      <c r="A58" s="170">
        <v>42083</v>
      </c>
      <c r="B58" s="116">
        <v>580.5</v>
      </c>
      <c r="C58" s="116">
        <v>565.42499999999995</v>
      </c>
      <c r="D58" s="116">
        <v>562.5</v>
      </c>
      <c r="E58" s="116">
        <v>575.47500000000002</v>
      </c>
      <c r="F58" s="116">
        <v>1130.8499999999999</v>
      </c>
      <c r="G58">
        <v>8505</v>
      </c>
      <c r="H58" s="116"/>
      <c r="I58" s="116"/>
      <c r="L58" s="170">
        <v>42083</v>
      </c>
      <c r="M58" s="116">
        <v>565.95000000000005</v>
      </c>
      <c r="N58" s="116">
        <v>580.25</v>
      </c>
      <c r="O58" s="116">
        <v>561</v>
      </c>
      <c r="P58" s="116">
        <v>576.75</v>
      </c>
      <c r="Q58" s="116">
        <v>1131.9000000000001</v>
      </c>
      <c r="R58">
        <v>115920</v>
      </c>
    </row>
    <row r="59" spans="1:18" x14ac:dyDescent="0.25">
      <c r="A59" s="170">
        <v>42086</v>
      </c>
      <c r="B59" s="116">
        <v>575.75</v>
      </c>
      <c r="C59" s="116">
        <v>568.65</v>
      </c>
      <c r="D59" s="116">
        <v>565.02499999999998</v>
      </c>
      <c r="E59" s="116">
        <v>574.5</v>
      </c>
      <c r="F59" s="116">
        <v>1137.3</v>
      </c>
      <c r="G59">
        <v>7738</v>
      </c>
      <c r="H59" s="116"/>
      <c r="I59" s="116"/>
      <c r="L59" s="170">
        <v>42086</v>
      </c>
      <c r="M59" s="116">
        <v>569.47500000000002</v>
      </c>
      <c r="N59" s="116">
        <v>576</v>
      </c>
      <c r="O59" s="116">
        <v>565.5</v>
      </c>
      <c r="P59" s="116">
        <v>574.5</v>
      </c>
      <c r="Q59" s="116">
        <v>1138.95</v>
      </c>
      <c r="R59">
        <v>65478</v>
      </c>
    </row>
    <row r="60" spans="1:18" x14ac:dyDescent="0.25">
      <c r="A60" s="170">
        <v>42087</v>
      </c>
      <c r="B60" s="116">
        <v>574</v>
      </c>
      <c r="C60" s="116">
        <v>560.1</v>
      </c>
      <c r="D60" s="116">
        <v>557.5</v>
      </c>
      <c r="E60" s="116">
        <v>568.85</v>
      </c>
      <c r="F60" s="116">
        <v>1120.2</v>
      </c>
      <c r="G60">
        <v>10279</v>
      </c>
      <c r="H60" s="116"/>
      <c r="I60" s="116"/>
      <c r="L60" s="170">
        <v>42087</v>
      </c>
      <c r="M60" s="116">
        <v>559.45000000000005</v>
      </c>
      <c r="N60" s="116">
        <v>574.5</v>
      </c>
      <c r="O60" s="116">
        <v>555.67499999999995</v>
      </c>
      <c r="P60" s="116">
        <v>570</v>
      </c>
      <c r="Q60" s="116">
        <v>1118.9000000000001</v>
      </c>
      <c r="R60">
        <v>34419</v>
      </c>
    </row>
    <row r="61" spans="1:18" x14ac:dyDescent="0.25">
      <c r="A61" s="170">
        <v>42088</v>
      </c>
      <c r="B61" s="116">
        <v>576.5</v>
      </c>
      <c r="C61" s="116">
        <v>574.20000000000005</v>
      </c>
      <c r="D61" s="116">
        <v>566</v>
      </c>
      <c r="E61" s="116">
        <v>566</v>
      </c>
      <c r="F61" s="116">
        <v>1148.4000000000001</v>
      </c>
      <c r="G61">
        <v>5594</v>
      </c>
      <c r="H61" s="116"/>
      <c r="I61" s="116"/>
      <c r="L61" s="170">
        <v>42088</v>
      </c>
      <c r="M61" s="116">
        <v>574.27499999999998</v>
      </c>
      <c r="N61" s="116">
        <v>575.25</v>
      </c>
      <c r="O61" s="116">
        <v>564</v>
      </c>
      <c r="P61" s="116">
        <v>569.4</v>
      </c>
      <c r="Q61" s="116">
        <v>1148.55</v>
      </c>
      <c r="R61">
        <v>116310</v>
      </c>
    </row>
    <row r="62" spans="1:18" x14ac:dyDescent="0.25">
      <c r="A62" s="170">
        <v>42089</v>
      </c>
      <c r="B62" s="116">
        <v>586.75</v>
      </c>
      <c r="C62" s="116">
        <v>567.52499999999998</v>
      </c>
      <c r="D62" s="116">
        <v>562.5</v>
      </c>
      <c r="E62" s="116">
        <v>573</v>
      </c>
      <c r="F62" s="116">
        <v>1135.05</v>
      </c>
      <c r="G62">
        <v>5720</v>
      </c>
      <c r="H62" s="116"/>
      <c r="I62" s="116"/>
      <c r="L62" s="170">
        <v>42089</v>
      </c>
      <c r="M62" s="116">
        <v>567.17499999999995</v>
      </c>
      <c r="N62" s="116">
        <v>587.5</v>
      </c>
      <c r="O62" s="116">
        <v>562.5</v>
      </c>
      <c r="P62" s="116">
        <v>577.5</v>
      </c>
      <c r="Q62" s="116">
        <v>1134.3499999999999</v>
      </c>
      <c r="R62">
        <v>73015</v>
      </c>
    </row>
    <row r="63" spans="1:18" x14ac:dyDescent="0.25">
      <c r="A63" s="170">
        <v>42090</v>
      </c>
      <c r="B63" s="116">
        <v>576.07500000000005</v>
      </c>
      <c r="C63" s="116">
        <v>568.27499999999998</v>
      </c>
      <c r="D63" s="116">
        <v>560.04999999999995</v>
      </c>
      <c r="E63" s="116">
        <v>570.92499999999995</v>
      </c>
      <c r="F63" s="116">
        <v>1136.55</v>
      </c>
      <c r="G63">
        <v>5040</v>
      </c>
      <c r="H63" s="116"/>
      <c r="I63" s="116"/>
      <c r="L63" s="170">
        <v>42090</v>
      </c>
      <c r="M63" s="116">
        <v>569.125</v>
      </c>
      <c r="N63" s="116">
        <v>576.5</v>
      </c>
      <c r="O63" s="116">
        <v>560.17499999999995</v>
      </c>
      <c r="P63" s="116">
        <v>574.4</v>
      </c>
      <c r="Q63" s="116">
        <v>1138.25</v>
      </c>
      <c r="R63">
        <v>25084</v>
      </c>
    </row>
    <row r="64" spans="1:18" x14ac:dyDescent="0.25">
      <c r="A64" s="170">
        <v>42093</v>
      </c>
      <c r="B64" s="116">
        <v>578.17499999999995</v>
      </c>
      <c r="C64" s="116">
        <v>572.57500000000005</v>
      </c>
      <c r="D64" s="116">
        <v>567.47500000000002</v>
      </c>
      <c r="E64" s="116">
        <v>568</v>
      </c>
      <c r="F64" s="116">
        <v>1145.1500000000001</v>
      </c>
      <c r="G64">
        <v>3800</v>
      </c>
      <c r="H64" s="116"/>
      <c r="I64" s="116"/>
      <c r="L64" s="170">
        <v>42093</v>
      </c>
      <c r="M64" s="116">
        <v>573.02499999999998</v>
      </c>
      <c r="N64" s="116">
        <v>578.82500000000005</v>
      </c>
      <c r="O64" s="116">
        <v>565.67499999999995</v>
      </c>
      <c r="P64" s="116">
        <v>566.04999999999995</v>
      </c>
      <c r="Q64" s="116">
        <v>1146.05</v>
      </c>
      <c r="R64">
        <v>524837</v>
      </c>
    </row>
    <row r="65" spans="1:18" x14ac:dyDescent="0.25">
      <c r="A65" s="170">
        <v>42094</v>
      </c>
      <c r="B65" s="116">
        <v>582.5</v>
      </c>
      <c r="C65" s="116">
        <v>580.42499999999995</v>
      </c>
      <c r="D65" s="116">
        <v>570.04999999999995</v>
      </c>
      <c r="E65" s="116">
        <v>574</v>
      </c>
      <c r="F65" s="116">
        <v>1160.8499999999999</v>
      </c>
      <c r="G65">
        <v>4280</v>
      </c>
      <c r="H65" s="116"/>
      <c r="I65" s="116"/>
      <c r="L65" s="170">
        <v>42094</v>
      </c>
      <c r="M65" s="116">
        <v>579.29999999999995</v>
      </c>
      <c r="N65" s="116">
        <v>583.25</v>
      </c>
      <c r="O65" s="116">
        <v>568.5</v>
      </c>
      <c r="P65" s="116">
        <v>578</v>
      </c>
      <c r="Q65" s="116">
        <v>1158.5999999999999</v>
      </c>
      <c r="R65">
        <v>100444</v>
      </c>
    </row>
    <row r="66" spans="1:18" x14ac:dyDescent="0.25">
      <c r="A66" s="170">
        <v>42095</v>
      </c>
      <c r="B66" s="116">
        <v>607</v>
      </c>
      <c r="C66" s="116">
        <v>598.54999999999995</v>
      </c>
      <c r="D66" s="116">
        <v>575.5</v>
      </c>
      <c r="E66" s="116">
        <v>575.5</v>
      </c>
      <c r="F66" s="116">
        <v>1197.0999999999999</v>
      </c>
      <c r="G66">
        <v>21011</v>
      </c>
      <c r="H66" s="116"/>
      <c r="I66" s="116"/>
      <c r="L66" s="170">
        <v>42095</v>
      </c>
      <c r="M66" s="116">
        <v>597.75</v>
      </c>
      <c r="N66" s="116">
        <v>605.5</v>
      </c>
      <c r="O66" s="116">
        <v>581.95000000000005</v>
      </c>
      <c r="P66" s="116">
        <v>586.97500000000002</v>
      </c>
      <c r="Q66" s="116">
        <v>1195.5</v>
      </c>
      <c r="R66">
        <v>141124</v>
      </c>
    </row>
    <row r="67" spans="1:18" x14ac:dyDescent="0.25">
      <c r="A67" s="170">
        <v>42100</v>
      </c>
      <c r="B67" s="116">
        <v>630.45000000000005</v>
      </c>
      <c r="C67" s="116">
        <v>623.20000000000005</v>
      </c>
      <c r="D67" s="116">
        <v>614.25</v>
      </c>
      <c r="E67" s="116">
        <v>614.25</v>
      </c>
      <c r="F67" s="116">
        <v>1246.4000000000001</v>
      </c>
      <c r="G67">
        <v>16071</v>
      </c>
      <c r="H67" s="116"/>
      <c r="I67" s="116"/>
      <c r="L67" s="170">
        <v>42100</v>
      </c>
      <c r="M67" s="116">
        <v>621.57500000000005</v>
      </c>
      <c r="N67" s="116">
        <v>630</v>
      </c>
      <c r="O67" s="116">
        <v>615.15</v>
      </c>
      <c r="P67" s="116">
        <v>615.15</v>
      </c>
      <c r="Q67" s="116">
        <v>1243.1500000000001</v>
      </c>
      <c r="R67">
        <v>168896</v>
      </c>
    </row>
    <row r="68" spans="1:18" x14ac:dyDescent="0.25">
      <c r="A68" s="170">
        <v>42101</v>
      </c>
      <c r="B68" s="116">
        <v>625.47500000000002</v>
      </c>
      <c r="C68" s="116">
        <v>621.79999999999995</v>
      </c>
      <c r="D68" s="116">
        <v>611.125</v>
      </c>
      <c r="E68" s="116">
        <v>625</v>
      </c>
      <c r="F68" s="116">
        <v>1243.5999999999999</v>
      </c>
      <c r="G68">
        <v>9827</v>
      </c>
      <c r="H68" s="116"/>
      <c r="I68" s="116"/>
      <c r="L68" s="170">
        <v>42101</v>
      </c>
      <c r="M68" s="116">
        <v>620.1</v>
      </c>
      <c r="N68" s="116">
        <v>625.5</v>
      </c>
      <c r="O68" s="116">
        <v>610.27499999999998</v>
      </c>
      <c r="P68" s="116">
        <v>625.45000000000005</v>
      </c>
      <c r="Q68" s="116">
        <v>1240.2</v>
      </c>
      <c r="R68">
        <v>66432</v>
      </c>
    </row>
    <row r="69" spans="1:18" x14ac:dyDescent="0.25">
      <c r="A69" s="170">
        <v>42102</v>
      </c>
      <c r="B69" s="116">
        <v>640.54999999999995</v>
      </c>
      <c r="C69" s="116">
        <v>631.70000000000005</v>
      </c>
      <c r="D69" s="116">
        <v>623</v>
      </c>
      <c r="E69" s="116">
        <v>626</v>
      </c>
      <c r="F69" s="116">
        <v>1263.4000000000001</v>
      </c>
      <c r="G69">
        <v>11935</v>
      </c>
      <c r="H69" s="116"/>
      <c r="I69" s="116"/>
      <c r="L69" s="170">
        <v>42102</v>
      </c>
      <c r="M69" s="116">
        <v>631.375</v>
      </c>
      <c r="N69" s="116">
        <v>641.5</v>
      </c>
      <c r="O69" s="116">
        <v>623.65</v>
      </c>
      <c r="P69" s="116">
        <v>624</v>
      </c>
      <c r="Q69" s="116">
        <v>1262.75</v>
      </c>
      <c r="R69">
        <v>114156</v>
      </c>
    </row>
    <row r="70" spans="1:18" x14ac:dyDescent="0.25">
      <c r="A70" s="170">
        <v>42103</v>
      </c>
      <c r="B70" s="116">
        <v>635</v>
      </c>
      <c r="C70" s="116">
        <v>617.20000000000005</v>
      </c>
      <c r="D70" s="116">
        <v>610</v>
      </c>
      <c r="E70" s="116">
        <v>635</v>
      </c>
      <c r="F70" s="116">
        <v>1234.4000000000001</v>
      </c>
      <c r="G70">
        <v>7227</v>
      </c>
      <c r="H70" s="116"/>
      <c r="I70" s="116"/>
      <c r="L70" s="170">
        <v>42103</v>
      </c>
      <c r="M70" s="116">
        <v>618.42499999999995</v>
      </c>
      <c r="N70" s="116">
        <v>631.67499999999995</v>
      </c>
      <c r="O70" s="116">
        <v>607.5</v>
      </c>
      <c r="P70" s="116">
        <v>630</v>
      </c>
      <c r="Q70" s="116">
        <v>1236.8499999999999</v>
      </c>
      <c r="R70">
        <v>162451</v>
      </c>
    </row>
    <row r="71" spans="1:18" x14ac:dyDescent="0.25">
      <c r="A71" s="170">
        <v>42104</v>
      </c>
      <c r="B71" s="116">
        <v>625</v>
      </c>
      <c r="C71" s="116">
        <v>622.125</v>
      </c>
      <c r="D71" s="116">
        <v>610.15</v>
      </c>
      <c r="E71" s="116">
        <v>620</v>
      </c>
      <c r="F71" s="116">
        <v>1244.25</v>
      </c>
      <c r="G71">
        <v>4231</v>
      </c>
      <c r="H71" s="116"/>
      <c r="I71" s="116"/>
      <c r="L71" s="170">
        <v>42104</v>
      </c>
      <c r="M71" s="116">
        <v>622.15</v>
      </c>
      <c r="N71" s="116">
        <v>624</v>
      </c>
      <c r="O71" s="116">
        <v>609.35</v>
      </c>
      <c r="P71" s="116">
        <v>618.5</v>
      </c>
      <c r="Q71" s="116">
        <v>1244.3</v>
      </c>
      <c r="R71">
        <v>51367</v>
      </c>
    </row>
    <row r="72" spans="1:18" x14ac:dyDescent="0.25">
      <c r="A72" s="170">
        <v>42107</v>
      </c>
      <c r="B72" s="116">
        <v>649</v>
      </c>
      <c r="C72" s="116">
        <v>635.57500000000005</v>
      </c>
      <c r="D72" s="116">
        <v>627</v>
      </c>
      <c r="E72" s="116">
        <v>627</v>
      </c>
      <c r="F72" s="116">
        <v>1271.1500000000001</v>
      </c>
      <c r="G72">
        <v>13254</v>
      </c>
      <c r="H72" s="116"/>
      <c r="I72" s="116"/>
      <c r="L72" s="170">
        <v>42107</v>
      </c>
      <c r="M72" s="116">
        <v>637.4</v>
      </c>
      <c r="N72" s="116">
        <v>650</v>
      </c>
      <c r="O72" s="116">
        <v>626</v>
      </c>
      <c r="P72" s="116">
        <v>626</v>
      </c>
      <c r="Q72" s="116">
        <v>1274.8</v>
      </c>
      <c r="R72">
        <v>118714</v>
      </c>
    </row>
    <row r="73" spans="1:18" x14ac:dyDescent="0.25">
      <c r="A73" s="170">
        <v>42109</v>
      </c>
      <c r="B73" s="116">
        <v>667.375</v>
      </c>
      <c r="C73" s="116">
        <v>652.47500000000002</v>
      </c>
      <c r="D73" s="116">
        <v>649.5</v>
      </c>
      <c r="E73" s="116">
        <v>658</v>
      </c>
      <c r="F73" s="116">
        <v>1304.95</v>
      </c>
      <c r="G73">
        <v>15510</v>
      </c>
      <c r="H73" s="116"/>
      <c r="I73" s="116"/>
      <c r="L73" s="170">
        <v>42109</v>
      </c>
      <c r="M73" s="116">
        <v>651.85</v>
      </c>
      <c r="N73" s="116">
        <v>666.85</v>
      </c>
      <c r="O73" s="116">
        <v>648.29999999999995</v>
      </c>
      <c r="P73" s="116">
        <v>662.5</v>
      </c>
      <c r="Q73" s="116">
        <v>1303.7</v>
      </c>
      <c r="R73">
        <v>136765</v>
      </c>
    </row>
    <row r="74" spans="1:18" x14ac:dyDescent="0.25">
      <c r="A74" s="170">
        <v>42110</v>
      </c>
      <c r="B74" s="116">
        <v>662.4</v>
      </c>
      <c r="C74" s="116">
        <v>653.25</v>
      </c>
      <c r="D74" s="116">
        <v>631.375</v>
      </c>
      <c r="E74" s="116">
        <v>655</v>
      </c>
      <c r="F74" s="116">
        <v>1306.5</v>
      </c>
      <c r="G74">
        <v>10341</v>
      </c>
      <c r="H74" s="116"/>
      <c r="I74" s="116"/>
      <c r="L74" s="170">
        <v>42110</v>
      </c>
      <c r="M74" s="116">
        <v>654.70000000000005</v>
      </c>
      <c r="N74" s="116">
        <v>662.5</v>
      </c>
      <c r="O74" s="116">
        <v>630.70000000000005</v>
      </c>
      <c r="P74" s="116">
        <v>654.25</v>
      </c>
      <c r="Q74" s="116">
        <v>1309.4000000000001</v>
      </c>
      <c r="R74">
        <v>78689</v>
      </c>
    </row>
    <row r="75" spans="1:18" x14ac:dyDescent="0.25">
      <c r="A75" s="170">
        <v>42111</v>
      </c>
      <c r="B75" s="116">
        <v>665</v>
      </c>
      <c r="C75" s="116">
        <v>639.22500000000002</v>
      </c>
      <c r="D75" s="116">
        <v>635</v>
      </c>
      <c r="E75" s="116">
        <v>665</v>
      </c>
      <c r="F75" s="116">
        <v>1278.45</v>
      </c>
      <c r="G75">
        <v>4664</v>
      </c>
      <c r="H75" s="116"/>
      <c r="I75" s="116"/>
      <c r="L75" s="170">
        <v>42111</v>
      </c>
      <c r="M75" s="116">
        <v>640.625</v>
      </c>
      <c r="N75" s="116">
        <v>659.97500000000002</v>
      </c>
      <c r="O75" s="116">
        <v>635.77499999999998</v>
      </c>
      <c r="P75" s="116">
        <v>650.5</v>
      </c>
      <c r="Q75" s="116">
        <v>1281.25</v>
      </c>
      <c r="R75">
        <v>56347</v>
      </c>
    </row>
    <row r="76" spans="1:18" x14ac:dyDescent="0.25">
      <c r="A76" s="170">
        <v>42114</v>
      </c>
      <c r="B76" s="116">
        <v>645.85</v>
      </c>
      <c r="C76" s="116">
        <v>618.82500000000005</v>
      </c>
      <c r="D76" s="116">
        <v>610.5</v>
      </c>
      <c r="E76" s="116">
        <v>643.5</v>
      </c>
      <c r="F76" s="116">
        <v>1237.6500000000001</v>
      </c>
      <c r="G76">
        <v>20393</v>
      </c>
      <c r="H76" s="116"/>
      <c r="I76" s="116"/>
      <c r="L76" s="170">
        <v>42114</v>
      </c>
      <c r="M76" s="116">
        <v>618</v>
      </c>
      <c r="N76" s="116">
        <v>644.5</v>
      </c>
      <c r="O76" s="116">
        <v>609.5</v>
      </c>
      <c r="P76" s="116">
        <v>642.25</v>
      </c>
      <c r="Q76" s="116">
        <v>1236</v>
      </c>
      <c r="R76">
        <v>119937</v>
      </c>
    </row>
    <row r="77" spans="1:18" x14ac:dyDescent="0.25">
      <c r="A77" s="170">
        <v>42115</v>
      </c>
      <c r="B77" s="116">
        <v>617.65</v>
      </c>
      <c r="C77" s="116">
        <v>586.17499999999995</v>
      </c>
      <c r="D77" s="116">
        <v>583</v>
      </c>
      <c r="E77" s="116">
        <v>617.65</v>
      </c>
      <c r="F77" s="116">
        <v>1172.3499999999999</v>
      </c>
      <c r="G77">
        <v>5297</v>
      </c>
      <c r="H77" s="116"/>
      <c r="I77" s="116"/>
      <c r="L77" s="170">
        <v>42115</v>
      </c>
      <c r="M77" s="116">
        <v>587.27499999999998</v>
      </c>
      <c r="N77" s="116">
        <v>625</v>
      </c>
      <c r="O77" s="116">
        <v>583</v>
      </c>
      <c r="P77" s="116">
        <v>625</v>
      </c>
      <c r="Q77" s="116">
        <v>1174.55</v>
      </c>
      <c r="R77">
        <v>76770</v>
      </c>
    </row>
    <row r="78" spans="1:18" x14ac:dyDescent="0.25">
      <c r="A78" s="170">
        <v>42116</v>
      </c>
      <c r="B78" s="116">
        <v>614.17499999999995</v>
      </c>
      <c r="C78" s="116">
        <v>607.1</v>
      </c>
      <c r="D78" s="116">
        <v>585</v>
      </c>
      <c r="E78" s="116">
        <v>590.5</v>
      </c>
      <c r="F78" s="116">
        <v>1214.2</v>
      </c>
      <c r="G78">
        <v>11495</v>
      </c>
      <c r="H78" s="116"/>
      <c r="I78" s="116"/>
      <c r="L78" s="170">
        <v>42116</v>
      </c>
      <c r="M78" s="116">
        <v>606.125</v>
      </c>
      <c r="N78" s="116">
        <v>615.02499999999998</v>
      </c>
      <c r="O78" s="116">
        <v>583.47500000000002</v>
      </c>
      <c r="P78" s="116">
        <v>592</v>
      </c>
      <c r="Q78" s="116">
        <v>1212.25</v>
      </c>
      <c r="R78">
        <v>133033</v>
      </c>
    </row>
    <row r="79" spans="1:18" x14ac:dyDescent="0.25">
      <c r="A79" s="170">
        <v>42117</v>
      </c>
      <c r="B79" s="116">
        <v>621.67499999999995</v>
      </c>
      <c r="C79" s="116">
        <v>608.02499999999998</v>
      </c>
      <c r="D79" s="116">
        <v>601</v>
      </c>
      <c r="E79" s="116">
        <v>611.5</v>
      </c>
      <c r="F79" s="116">
        <v>1216.05</v>
      </c>
      <c r="G79">
        <v>6178</v>
      </c>
      <c r="H79" s="116"/>
      <c r="I79" s="116"/>
      <c r="L79" s="170">
        <v>42117</v>
      </c>
      <c r="M79" s="116">
        <v>606.875</v>
      </c>
      <c r="N79" s="116">
        <v>621</v>
      </c>
      <c r="O79" s="116">
        <v>601.02499999999998</v>
      </c>
      <c r="P79" s="116">
        <v>611</v>
      </c>
      <c r="Q79" s="116">
        <v>1213.75</v>
      </c>
      <c r="R79">
        <v>119392</v>
      </c>
    </row>
    <row r="80" spans="1:18" x14ac:dyDescent="0.25">
      <c r="A80" s="170">
        <v>42118</v>
      </c>
      <c r="B80" s="116">
        <v>614</v>
      </c>
      <c r="C80" s="116">
        <v>606.77499999999998</v>
      </c>
      <c r="D80" s="116">
        <v>590</v>
      </c>
      <c r="E80" s="116">
        <v>602.5</v>
      </c>
      <c r="F80" s="116">
        <v>1213.55</v>
      </c>
      <c r="G80">
        <v>2777</v>
      </c>
      <c r="H80" s="116"/>
      <c r="I80" s="116"/>
      <c r="L80" s="170">
        <v>42118</v>
      </c>
      <c r="M80" s="116">
        <v>608.75</v>
      </c>
      <c r="N80" s="116">
        <v>614.32500000000005</v>
      </c>
      <c r="O80" s="116">
        <v>589.54999999999995</v>
      </c>
      <c r="P80" s="116">
        <v>602.5</v>
      </c>
      <c r="Q80" s="116">
        <v>1217.5</v>
      </c>
      <c r="R80">
        <v>44088</v>
      </c>
    </row>
    <row r="81" spans="1:18" x14ac:dyDescent="0.25">
      <c r="A81" s="170">
        <v>42121</v>
      </c>
      <c r="B81" s="116">
        <v>614</v>
      </c>
      <c r="C81" s="116">
        <v>584</v>
      </c>
      <c r="D81" s="116">
        <v>576.52499999999998</v>
      </c>
      <c r="E81" s="116">
        <v>614</v>
      </c>
      <c r="F81" s="116">
        <v>1168</v>
      </c>
      <c r="G81">
        <v>8298</v>
      </c>
      <c r="H81" s="116"/>
      <c r="I81" s="116"/>
      <c r="L81" s="170">
        <v>42121</v>
      </c>
      <c r="M81" s="116">
        <v>584.97500000000002</v>
      </c>
      <c r="N81" s="116">
        <v>615.52499999999998</v>
      </c>
      <c r="O81" s="116">
        <v>577.77499999999998</v>
      </c>
      <c r="P81" s="116">
        <v>610.04999999999995</v>
      </c>
      <c r="Q81" s="116">
        <v>1169.95</v>
      </c>
      <c r="R81">
        <v>58926</v>
      </c>
    </row>
    <row r="82" spans="1:18" x14ac:dyDescent="0.25">
      <c r="A82" s="170">
        <v>42122</v>
      </c>
      <c r="B82" s="116">
        <v>604.4</v>
      </c>
      <c r="C82" s="116">
        <v>596.52499999999998</v>
      </c>
      <c r="D82" s="116">
        <v>566.72500000000002</v>
      </c>
      <c r="E82" s="116">
        <v>587.5</v>
      </c>
      <c r="F82" s="116">
        <v>1193.05</v>
      </c>
      <c r="G82">
        <v>5309</v>
      </c>
      <c r="H82" s="116"/>
      <c r="I82" s="116"/>
      <c r="L82" s="170">
        <v>42122</v>
      </c>
      <c r="M82" s="116">
        <v>595.52499999999998</v>
      </c>
      <c r="N82" s="116">
        <v>605.5</v>
      </c>
      <c r="O82" s="116">
        <v>567.5</v>
      </c>
      <c r="P82" s="116">
        <v>580.9</v>
      </c>
      <c r="Q82" s="116">
        <v>1191.05</v>
      </c>
      <c r="R82">
        <v>90351</v>
      </c>
    </row>
    <row r="83" spans="1:18" x14ac:dyDescent="0.25">
      <c r="A83" s="170">
        <v>42123</v>
      </c>
      <c r="B83" s="116">
        <v>661.5</v>
      </c>
      <c r="C83" s="116">
        <v>608.77499999999998</v>
      </c>
      <c r="D83" s="116">
        <v>600.5</v>
      </c>
      <c r="E83" s="116">
        <v>615</v>
      </c>
      <c r="F83" s="116">
        <v>1217.55</v>
      </c>
      <c r="G83">
        <v>37570</v>
      </c>
      <c r="H83" s="116"/>
      <c r="I83" s="116"/>
      <c r="L83" s="170">
        <v>42123</v>
      </c>
      <c r="M83" s="116">
        <v>607.75</v>
      </c>
      <c r="N83" s="116">
        <v>661.47500000000002</v>
      </c>
      <c r="O83" s="116">
        <v>600</v>
      </c>
      <c r="P83" s="116">
        <v>630</v>
      </c>
      <c r="Q83" s="116">
        <v>1215.5</v>
      </c>
      <c r="R83">
        <v>298017</v>
      </c>
    </row>
    <row r="84" spans="1:18" x14ac:dyDescent="0.25">
      <c r="A84" s="170">
        <v>42124</v>
      </c>
      <c r="B84" s="116">
        <v>616.45000000000005</v>
      </c>
      <c r="C84" s="116">
        <v>602.6</v>
      </c>
      <c r="D84" s="116">
        <v>592.9</v>
      </c>
      <c r="E84" s="116">
        <v>609</v>
      </c>
      <c r="F84" s="116">
        <v>1205.2</v>
      </c>
      <c r="G84">
        <v>21794</v>
      </c>
      <c r="H84" s="116"/>
      <c r="I84" s="116"/>
      <c r="L84" s="170">
        <v>42124</v>
      </c>
      <c r="M84" s="116">
        <v>600.92499999999995</v>
      </c>
      <c r="N84" s="116">
        <v>619.35</v>
      </c>
      <c r="O84" s="116">
        <v>590.02499999999998</v>
      </c>
      <c r="P84" s="116">
        <v>617.4</v>
      </c>
      <c r="Q84" s="116">
        <v>1201.8499999999999</v>
      </c>
      <c r="R84">
        <v>72040</v>
      </c>
    </row>
    <row r="85" spans="1:18" x14ac:dyDescent="0.25">
      <c r="A85" s="170">
        <v>42128</v>
      </c>
      <c r="B85" s="116">
        <v>607.97500000000002</v>
      </c>
      <c r="C85" s="116">
        <v>587.04999999999995</v>
      </c>
      <c r="D85" s="116">
        <v>575.625</v>
      </c>
      <c r="E85" s="116">
        <v>607.97500000000002</v>
      </c>
      <c r="F85" s="116">
        <v>1174.0999999999999</v>
      </c>
      <c r="G85">
        <v>8377</v>
      </c>
      <c r="H85" s="116"/>
      <c r="I85" s="116"/>
      <c r="L85" s="170">
        <v>42128</v>
      </c>
      <c r="M85" s="116">
        <v>585.79999999999995</v>
      </c>
      <c r="N85" s="116">
        <v>610</v>
      </c>
      <c r="O85" s="116">
        <v>575.5</v>
      </c>
      <c r="P85" s="116">
        <v>602.5</v>
      </c>
      <c r="Q85" s="116">
        <v>1171.5999999999999</v>
      </c>
      <c r="R85">
        <v>246100</v>
      </c>
    </row>
    <row r="86" spans="1:18" x14ac:dyDescent="0.25">
      <c r="A86" s="170">
        <v>42129</v>
      </c>
      <c r="B86" s="116">
        <v>596.45000000000005</v>
      </c>
      <c r="C86" s="116">
        <v>591.70000000000005</v>
      </c>
      <c r="D86" s="116">
        <v>584.45000000000005</v>
      </c>
      <c r="E86" s="116">
        <v>584.5</v>
      </c>
      <c r="F86" s="116">
        <v>1183.4000000000001</v>
      </c>
      <c r="G86">
        <v>4706</v>
      </c>
      <c r="H86" s="116"/>
      <c r="I86" s="116"/>
      <c r="L86" s="170">
        <v>42129</v>
      </c>
      <c r="M86" s="116">
        <v>590.35</v>
      </c>
      <c r="N86" s="116">
        <v>596.95000000000005</v>
      </c>
      <c r="O86" s="116">
        <v>576.25</v>
      </c>
      <c r="P86" s="116">
        <v>576.25</v>
      </c>
      <c r="Q86" s="116">
        <v>1180.7</v>
      </c>
      <c r="R86">
        <v>87504</v>
      </c>
    </row>
    <row r="87" spans="1:18" x14ac:dyDescent="0.25">
      <c r="A87" s="170">
        <v>42130</v>
      </c>
      <c r="B87" s="116">
        <v>608</v>
      </c>
      <c r="C87" s="116">
        <v>599.70000000000005</v>
      </c>
      <c r="D87" s="116">
        <v>592.125</v>
      </c>
      <c r="E87" s="116">
        <v>605.5</v>
      </c>
      <c r="F87" s="116">
        <v>1199.4000000000001</v>
      </c>
      <c r="G87">
        <v>18742</v>
      </c>
      <c r="H87" s="116"/>
      <c r="I87" s="116"/>
      <c r="L87" s="170">
        <v>42130</v>
      </c>
      <c r="M87" s="116">
        <v>599.9</v>
      </c>
      <c r="N87" s="116">
        <v>610</v>
      </c>
      <c r="O87" s="116">
        <v>592.32500000000005</v>
      </c>
      <c r="P87" s="116">
        <v>610</v>
      </c>
      <c r="Q87" s="116">
        <v>1199.8</v>
      </c>
      <c r="R87">
        <v>289134</v>
      </c>
    </row>
    <row r="88" spans="1:18" x14ac:dyDescent="0.25">
      <c r="A88" s="170">
        <v>42131</v>
      </c>
      <c r="B88" s="116">
        <v>609.875</v>
      </c>
      <c r="C88" s="116">
        <v>600.54999999999995</v>
      </c>
      <c r="D88" s="116">
        <v>590.375</v>
      </c>
      <c r="E88" s="116">
        <v>600.95000000000005</v>
      </c>
      <c r="F88" s="116">
        <v>1201.0999999999999</v>
      </c>
      <c r="G88">
        <v>8169</v>
      </c>
      <c r="H88" s="116"/>
      <c r="I88" s="116"/>
      <c r="L88" s="170">
        <v>42131</v>
      </c>
      <c r="M88" s="116">
        <v>602.6</v>
      </c>
      <c r="N88" s="116">
        <v>609</v>
      </c>
      <c r="O88" s="116">
        <v>589.54999999999995</v>
      </c>
      <c r="P88" s="116">
        <v>604.5</v>
      </c>
      <c r="Q88" s="116">
        <v>1205.2</v>
      </c>
      <c r="R88">
        <v>154830</v>
      </c>
    </row>
    <row r="89" spans="1:18" x14ac:dyDescent="0.25">
      <c r="A89" s="170">
        <v>42132</v>
      </c>
      <c r="B89" s="116">
        <v>612.5</v>
      </c>
      <c r="C89" s="116">
        <v>600.9</v>
      </c>
      <c r="D89" s="116">
        <v>592.625</v>
      </c>
      <c r="E89" s="116">
        <v>606</v>
      </c>
      <c r="F89" s="116">
        <v>1201.8</v>
      </c>
      <c r="G89">
        <v>5962</v>
      </c>
      <c r="H89" s="116"/>
      <c r="I89" s="116"/>
      <c r="L89" s="170">
        <v>42132</v>
      </c>
      <c r="M89" s="116">
        <v>598.79999999999995</v>
      </c>
      <c r="N89" s="116">
        <v>613.4</v>
      </c>
      <c r="O89" s="116">
        <v>592.5</v>
      </c>
      <c r="P89" s="116">
        <v>602.5</v>
      </c>
      <c r="Q89" s="116">
        <v>1197.5999999999999</v>
      </c>
      <c r="R89">
        <v>57739</v>
      </c>
    </row>
    <row r="90" spans="1:18" x14ac:dyDescent="0.25">
      <c r="A90" s="170">
        <v>42135</v>
      </c>
      <c r="B90" s="116">
        <v>606</v>
      </c>
      <c r="C90" s="116">
        <v>593.22500000000002</v>
      </c>
      <c r="D90" s="116">
        <v>590</v>
      </c>
      <c r="E90" s="116">
        <v>600</v>
      </c>
      <c r="F90" s="116">
        <v>1186.45</v>
      </c>
      <c r="G90">
        <v>7638</v>
      </c>
      <c r="H90" s="116"/>
      <c r="I90" s="116"/>
      <c r="L90" s="170">
        <v>42135</v>
      </c>
      <c r="M90" s="116">
        <v>596.92499999999995</v>
      </c>
      <c r="N90" s="116">
        <v>607.5</v>
      </c>
      <c r="O90" s="116">
        <v>588.85</v>
      </c>
      <c r="P90" s="116">
        <v>599</v>
      </c>
      <c r="Q90" s="116">
        <v>1193.8499999999999</v>
      </c>
      <c r="R90">
        <v>64955</v>
      </c>
    </row>
    <row r="91" spans="1:18" x14ac:dyDescent="0.25">
      <c r="A91" s="170">
        <v>42136</v>
      </c>
      <c r="B91" s="116">
        <v>592.5</v>
      </c>
      <c r="C91" s="116">
        <v>589.65</v>
      </c>
      <c r="D91" s="116">
        <v>582.5</v>
      </c>
      <c r="E91" s="116">
        <v>591</v>
      </c>
      <c r="F91" s="116">
        <v>1179.3</v>
      </c>
      <c r="G91">
        <v>5848</v>
      </c>
      <c r="H91" s="116"/>
      <c r="I91" s="116"/>
      <c r="L91" s="170">
        <v>42136</v>
      </c>
      <c r="M91" s="116">
        <v>589.70000000000005</v>
      </c>
      <c r="N91" s="116">
        <v>595</v>
      </c>
      <c r="O91" s="116">
        <v>583.02499999999998</v>
      </c>
      <c r="P91" s="116">
        <v>595</v>
      </c>
      <c r="Q91" s="116">
        <v>1179.4000000000001</v>
      </c>
      <c r="R91">
        <v>62232</v>
      </c>
    </row>
    <row r="92" spans="1:18" x14ac:dyDescent="0.25">
      <c r="A92" s="170">
        <v>42137</v>
      </c>
      <c r="B92" s="116">
        <v>646.25</v>
      </c>
      <c r="C92" s="116">
        <v>629.92499999999995</v>
      </c>
      <c r="D92" s="116">
        <v>593.32500000000005</v>
      </c>
      <c r="E92" s="116">
        <v>595</v>
      </c>
      <c r="F92" s="116">
        <v>1259.8499999999999</v>
      </c>
      <c r="G92">
        <v>32533</v>
      </c>
      <c r="H92" s="116"/>
      <c r="I92" s="116"/>
      <c r="L92" s="170">
        <v>42137</v>
      </c>
      <c r="M92" s="116">
        <v>631.65</v>
      </c>
      <c r="N92" s="116">
        <v>647</v>
      </c>
      <c r="O92" s="116">
        <v>590.17499999999995</v>
      </c>
      <c r="P92" s="116">
        <v>595.5</v>
      </c>
      <c r="Q92" s="116">
        <v>1263.3</v>
      </c>
      <c r="R92">
        <v>311052</v>
      </c>
    </row>
    <row r="93" spans="1:18" x14ac:dyDescent="0.25">
      <c r="A93" s="170">
        <v>42138</v>
      </c>
      <c r="B93" s="116">
        <v>643.75</v>
      </c>
      <c r="C93" s="116">
        <v>627.57500000000005</v>
      </c>
      <c r="D93" s="116">
        <v>622.5</v>
      </c>
      <c r="E93" s="116">
        <v>643.75</v>
      </c>
      <c r="F93" s="116">
        <v>1255.1500000000001</v>
      </c>
      <c r="G93">
        <v>12506</v>
      </c>
      <c r="H93" s="116"/>
      <c r="I93" s="116"/>
      <c r="L93" s="170">
        <v>42138</v>
      </c>
      <c r="M93" s="116">
        <v>627.17499999999995</v>
      </c>
      <c r="N93" s="116">
        <v>642.45000000000005</v>
      </c>
      <c r="O93" s="116">
        <v>622.97500000000002</v>
      </c>
      <c r="P93" s="116">
        <v>639.85</v>
      </c>
      <c r="Q93" s="116">
        <v>1254.3499999999999</v>
      </c>
      <c r="R93">
        <v>66792</v>
      </c>
    </row>
    <row r="94" spans="1:18" x14ac:dyDescent="0.25">
      <c r="A94" s="170">
        <v>42139</v>
      </c>
      <c r="B94" s="116">
        <v>635</v>
      </c>
      <c r="C94" s="116">
        <v>628.27499999999998</v>
      </c>
      <c r="D94" s="116">
        <v>618.5</v>
      </c>
      <c r="E94" s="116">
        <v>632.5</v>
      </c>
      <c r="F94" s="116">
        <v>1256.55</v>
      </c>
      <c r="G94">
        <v>8674</v>
      </c>
      <c r="H94" s="116"/>
      <c r="I94" s="116"/>
      <c r="L94" s="170">
        <v>42139</v>
      </c>
      <c r="M94" s="116">
        <v>628.77499999999998</v>
      </c>
      <c r="N94" s="116">
        <v>635.5</v>
      </c>
      <c r="O94" s="116">
        <v>617.97500000000002</v>
      </c>
      <c r="P94" s="116">
        <v>627.17499999999995</v>
      </c>
      <c r="Q94" s="116">
        <v>1257.55</v>
      </c>
      <c r="R94">
        <v>115242</v>
      </c>
    </row>
    <row r="95" spans="1:18" x14ac:dyDescent="0.25">
      <c r="A95" s="170">
        <v>42142</v>
      </c>
      <c r="B95" s="116">
        <v>622.32500000000005</v>
      </c>
      <c r="C95" s="116">
        <v>613.52499999999998</v>
      </c>
      <c r="D95" s="116">
        <v>587.5</v>
      </c>
      <c r="E95" s="116">
        <v>595</v>
      </c>
      <c r="F95" s="116">
        <v>1227.05</v>
      </c>
      <c r="G95">
        <v>29657</v>
      </c>
      <c r="H95" s="116"/>
      <c r="I95" s="116"/>
      <c r="L95" s="170">
        <v>42142</v>
      </c>
      <c r="M95" s="116">
        <v>613.22500000000002</v>
      </c>
      <c r="N95" s="116">
        <v>622.5</v>
      </c>
      <c r="O95" s="116">
        <v>588.125</v>
      </c>
      <c r="P95" s="116">
        <v>591.29999999999995</v>
      </c>
      <c r="Q95" s="116">
        <v>1226.45</v>
      </c>
      <c r="R95">
        <v>367779</v>
      </c>
    </row>
    <row r="96" spans="1:18" x14ac:dyDescent="0.25">
      <c r="A96" s="170">
        <v>42143</v>
      </c>
      <c r="B96" s="116">
        <v>644.5</v>
      </c>
      <c r="C96" s="116">
        <v>638.82500000000005</v>
      </c>
      <c r="D96" s="116">
        <v>610</v>
      </c>
      <c r="E96" s="116">
        <v>610</v>
      </c>
      <c r="F96" s="116">
        <v>1277.6500000000001</v>
      </c>
      <c r="G96">
        <v>20500</v>
      </c>
      <c r="H96" s="116"/>
      <c r="I96" s="116"/>
      <c r="L96" s="170">
        <v>42143</v>
      </c>
      <c r="M96" s="116">
        <v>637.45000000000005</v>
      </c>
      <c r="N96" s="116">
        <v>645</v>
      </c>
      <c r="O96" s="116">
        <v>615</v>
      </c>
      <c r="P96" s="116">
        <v>615</v>
      </c>
      <c r="Q96" s="116">
        <v>1274.9000000000001</v>
      </c>
      <c r="R96">
        <v>173972</v>
      </c>
    </row>
    <row r="97" spans="1:18" x14ac:dyDescent="0.25">
      <c r="A97" s="170">
        <v>42144</v>
      </c>
      <c r="B97" s="116">
        <v>640.67499999999995</v>
      </c>
      <c r="C97" s="116">
        <v>623.15</v>
      </c>
      <c r="D97" s="116">
        <v>618.35</v>
      </c>
      <c r="E97" s="116">
        <v>637.5</v>
      </c>
      <c r="F97" s="116">
        <v>1246.3</v>
      </c>
      <c r="G97">
        <v>8910</v>
      </c>
      <c r="H97" s="116"/>
      <c r="I97" s="116"/>
      <c r="L97" s="170">
        <v>42144</v>
      </c>
      <c r="M97" s="116">
        <v>622.79999999999995</v>
      </c>
      <c r="N97" s="116">
        <v>640.875</v>
      </c>
      <c r="O97" s="116">
        <v>615.125</v>
      </c>
      <c r="P97" s="116">
        <v>638</v>
      </c>
      <c r="Q97" s="116">
        <v>1245.5999999999999</v>
      </c>
      <c r="R97">
        <v>85861</v>
      </c>
    </row>
    <row r="98" spans="1:18" x14ac:dyDescent="0.25">
      <c r="A98" s="170">
        <v>42145</v>
      </c>
      <c r="B98" s="116">
        <v>627.5</v>
      </c>
      <c r="C98" s="116">
        <v>621.4</v>
      </c>
      <c r="D98" s="116">
        <v>617.5</v>
      </c>
      <c r="E98" s="116">
        <v>627.5</v>
      </c>
      <c r="F98" s="116">
        <v>1242.8</v>
      </c>
      <c r="G98">
        <v>5483</v>
      </c>
      <c r="H98" s="116"/>
      <c r="I98" s="116"/>
      <c r="L98" s="170">
        <v>42145</v>
      </c>
      <c r="M98" s="116">
        <v>622.85</v>
      </c>
      <c r="N98" s="116">
        <v>627.5</v>
      </c>
      <c r="O98" s="116">
        <v>617.25</v>
      </c>
      <c r="P98" s="116">
        <v>627.5</v>
      </c>
      <c r="Q98" s="116">
        <v>1245.7</v>
      </c>
      <c r="R98">
        <v>58075</v>
      </c>
    </row>
    <row r="99" spans="1:18" x14ac:dyDescent="0.25">
      <c r="A99" s="170">
        <v>42146</v>
      </c>
      <c r="B99" s="116">
        <v>628.5</v>
      </c>
      <c r="C99" s="116">
        <v>620.52499999999998</v>
      </c>
      <c r="D99" s="116">
        <v>616</v>
      </c>
      <c r="E99" s="116">
        <v>625</v>
      </c>
      <c r="F99" s="116">
        <v>1241.05</v>
      </c>
      <c r="G99">
        <v>4599</v>
      </c>
      <c r="H99" s="116"/>
      <c r="I99" s="116"/>
      <c r="L99" s="170">
        <v>42146</v>
      </c>
      <c r="M99" s="116">
        <v>619.5</v>
      </c>
      <c r="N99" s="116">
        <v>627.45000000000005</v>
      </c>
      <c r="O99" s="116">
        <v>617.4</v>
      </c>
      <c r="P99" s="116">
        <v>618</v>
      </c>
      <c r="Q99" s="116">
        <v>1239</v>
      </c>
      <c r="R99">
        <v>61454</v>
      </c>
    </row>
    <row r="100" spans="1:18" x14ac:dyDescent="0.25">
      <c r="A100" s="170">
        <v>42149</v>
      </c>
      <c r="B100" s="116">
        <v>622.07500000000005</v>
      </c>
      <c r="C100" s="116">
        <v>618.47500000000002</v>
      </c>
      <c r="D100" s="116">
        <v>615</v>
      </c>
      <c r="E100" s="116">
        <v>620.6</v>
      </c>
      <c r="F100" s="116">
        <v>1236.95</v>
      </c>
      <c r="G100">
        <v>3002</v>
      </c>
      <c r="H100" s="116"/>
      <c r="I100" s="116"/>
      <c r="L100" s="170">
        <v>42149</v>
      </c>
      <c r="M100" s="116">
        <v>618.20000000000005</v>
      </c>
      <c r="N100" s="116">
        <v>622.6</v>
      </c>
      <c r="O100" s="116">
        <v>615</v>
      </c>
      <c r="P100" s="116">
        <v>621.92499999999995</v>
      </c>
      <c r="Q100" s="116">
        <v>1236.4000000000001</v>
      </c>
      <c r="R100">
        <v>16655</v>
      </c>
    </row>
    <row r="101" spans="1:18" x14ac:dyDescent="0.25">
      <c r="A101" s="170">
        <v>42150</v>
      </c>
      <c r="B101" s="116">
        <v>620</v>
      </c>
      <c r="C101" s="116">
        <v>618.22500000000002</v>
      </c>
      <c r="D101" s="116">
        <v>617.52499999999998</v>
      </c>
      <c r="E101" s="116">
        <v>619.5</v>
      </c>
      <c r="F101" s="116">
        <v>1236.45</v>
      </c>
      <c r="G101">
        <v>2201</v>
      </c>
      <c r="H101" s="116"/>
      <c r="I101" s="116"/>
      <c r="L101" s="170">
        <v>42150</v>
      </c>
      <c r="M101" s="116">
        <v>619.9</v>
      </c>
      <c r="N101" s="116">
        <v>625.17499999999995</v>
      </c>
      <c r="O101" s="116">
        <v>618</v>
      </c>
      <c r="P101" s="116">
        <v>624</v>
      </c>
      <c r="Q101" s="116">
        <v>1239.8</v>
      </c>
      <c r="R101">
        <v>12608</v>
      </c>
    </row>
    <row r="102" spans="1:18" x14ac:dyDescent="0.25">
      <c r="A102" s="170">
        <v>42151</v>
      </c>
      <c r="B102" s="116">
        <v>621</v>
      </c>
      <c r="C102" s="116">
        <v>619.07500000000005</v>
      </c>
      <c r="D102" s="116">
        <v>616.32500000000005</v>
      </c>
      <c r="E102" s="116">
        <v>617.27499999999998</v>
      </c>
      <c r="F102" s="116">
        <v>1238.1500000000001</v>
      </c>
      <c r="G102">
        <v>2414</v>
      </c>
      <c r="H102" s="116"/>
      <c r="I102" s="116"/>
      <c r="L102" s="170">
        <v>42151</v>
      </c>
      <c r="M102" s="116">
        <v>619.65</v>
      </c>
      <c r="N102" s="116">
        <v>620.52499999999998</v>
      </c>
      <c r="O102" s="116">
        <v>616.1</v>
      </c>
      <c r="P102" s="116">
        <v>619.9</v>
      </c>
      <c r="Q102" s="116">
        <v>1239.3</v>
      </c>
      <c r="R102">
        <v>35393</v>
      </c>
    </row>
    <row r="103" spans="1:18" x14ac:dyDescent="0.25">
      <c r="A103" s="170">
        <v>42152</v>
      </c>
      <c r="B103" s="116">
        <v>619.97500000000002</v>
      </c>
      <c r="C103" s="116">
        <v>617.82500000000005</v>
      </c>
      <c r="D103" s="116">
        <v>613.875</v>
      </c>
      <c r="E103" s="116">
        <v>615.35</v>
      </c>
      <c r="F103" s="116">
        <v>1235.6500000000001</v>
      </c>
      <c r="G103">
        <v>2895</v>
      </c>
      <c r="H103" s="116"/>
      <c r="I103" s="116"/>
      <c r="L103" s="170">
        <v>42152</v>
      </c>
      <c r="M103" s="116">
        <v>619.42499999999995</v>
      </c>
      <c r="N103" s="116">
        <v>622.5</v>
      </c>
      <c r="O103" s="116">
        <v>615</v>
      </c>
      <c r="P103" s="116">
        <v>619.97500000000002</v>
      </c>
      <c r="Q103" s="116">
        <v>1238.8499999999999</v>
      </c>
      <c r="R103">
        <v>145661</v>
      </c>
    </row>
    <row r="104" spans="1:18" x14ac:dyDescent="0.25">
      <c r="A104" s="170">
        <v>42153</v>
      </c>
      <c r="B104" s="116">
        <v>618.27499999999998</v>
      </c>
      <c r="C104" s="116">
        <v>607.45000000000005</v>
      </c>
      <c r="D104" s="116">
        <v>602.125</v>
      </c>
      <c r="E104" s="116">
        <v>617.5</v>
      </c>
      <c r="F104" s="116">
        <v>1214.9000000000001</v>
      </c>
      <c r="G104">
        <v>11321</v>
      </c>
      <c r="H104" s="116"/>
      <c r="I104" s="116"/>
      <c r="L104" s="170">
        <v>42153</v>
      </c>
      <c r="M104" s="116">
        <v>602.375</v>
      </c>
      <c r="N104" s="116">
        <v>618.47500000000002</v>
      </c>
      <c r="O104" s="116">
        <v>599.95000000000005</v>
      </c>
      <c r="P104" s="116">
        <v>616.5</v>
      </c>
      <c r="Q104" s="116">
        <v>1204.75</v>
      </c>
      <c r="R104">
        <v>280506</v>
      </c>
    </row>
    <row r="105" spans="1:18" x14ac:dyDescent="0.25">
      <c r="A105" s="170">
        <v>42156</v>
      </c>
      <c r="B105" s="116">
        <v>620.75</v>
      </c>
      <c r="C105" s="116">
        <v>608.70000000000005</v>
      </c>
      <c r="D105" s="116">
        <v>586.1</v>
      </c>
      <c r="E105" s="116">
        <v>607.5</v>
      </c>
      <c r="F105" s="116">
        <v>1217.4000000000001</v>
      </c>
      <c r="G105">
        <v>8215</v>
      </c>
      <c r="H105" s="116"/>
      <c r="I105" s="116"/>
      <c r="L105" s="170">
        <v>42156</v>
      </c>
      <c r="M105" s="116">
        <v>611.32500000000005</v>
      </c>
      <c r="N105" s="116">
        <v>621</v>
      </c>
      <c r="O105" s="116">
        <v>584.52499999999998</v>
      </c>
      <c r="P105" s="116">
        <v>610</v>
      </c>
      <c r="Q105" s="116">
        <v>1222.6500000000001</v>
      </c>
      <c r="R105">
        <v>89522</v>
      </c>
    </row>
    <row r="106" spans="1:18" x14ac:dyDescent="0.25">
      <c r="A106" s="170">
        <v>42157</v>
      </c>
      <c r="B106" s="116">
        <v>621</v>
      </c>
      <c r="C106" s="116">
        <v>606.20000000000005</v>
      </c>
      <c r="D106" s="116">
        <v>600.75</v>
      </c>
      <c r="E106" s="116">
        <v>610</v>
      </c>
      <c r="F106" s="116">
        <v>1212.4000000000001</v>
      </c>
      <c r="G106">
        <v>6945</v>
      </c>
      <c r="H106" s="116"/>
      <c r="I106" s="116"/>
      <c r="L106" s="170">
        <v>42157</v>
      </c>
      <c r="M106" s="116">
        <v>605.02499999999998</v>
      </c>
      <c r="N106" s="116">
        <v>620.75</v>
      </c>
      <c r="O106" s="116">
        <v>602.5</v>
      </c>
      <c r="P106" s="116">
        <v>611.32500000000005</v>
      </c>
      <c r="Q106" s="116">
        <v>1210.05</v>
      </c>
      <c r="R106">
        <v>177357</v>
      </c>
    </row>
    <row r="107" spans="1:18" x14ac:dyDescent="0.25">
      <c r="A107" s="170">
        <v>42158</v>
      </c>
      <c r="B107" s="116">
        <v>613.5</v>
      </c>
      <c r="C107" s="116">
        <v>601</v>
      </c>
      <c r="D107" s="116">
        <v>594.72500000000002</v>
      </c>
      <c r="E107" s="116">
        <v>610</v>
      </c>
      <c r="F107" s="116">
        <v>1202</v>
      </c>
      <c r="G107">
        <v>2856</v>
      </c>
      <c r="H107" s="116"/>
      <c r="I107" s="116"/>
      <c r="L107" s="170">
        <v>42158</v>
      </c>
      <c r="M107" s="116">
        <v>601.79999999999995</v>
      </c>
      <c r="N107" s="116">
        <v>615.52499999999998</v>
      </c>
      <c r="O107" s="116">
        <v>595</v>
      </c>
      <c r="P107" s="116">
        <v>609.5</v>
      </c>
      <c r="Q107" s="116">
        <v>1203.5999999999999</v>
      </c>
      <c r="R107">
        <v>139748</v>
      </c>
    </row>
    <row r="108" spans="1:18" x14ac:dyDescent="0.25">
      <c r="A108" s="170">
        <v>42159</v>
      </c>
      <c r="B108" s="116">
        <v>615</v>
      </c>
      <c r="C108" s="116">
        <v>606.82500000000005</v>
      </c>
      <c r="D108" s="116">
        <v>596</v>
      </c>
      <c r="E108" s="116">
        <v>608.02499999999998</v>
      </c>
      <c r="F108" s="116">
        <v>1213.6500000000001</v>
      </c>
      <c r="G108">
        <v>2874</v>
      </c>
      <c r="H108" s="116"/>
      <c r="I108" s="116"/>
      <c r="L108" s="170">
        <v>42159</v>
      </c>
      <c r="M108" s="116">
        <v>605.07500000000005</v>
      </c>
      <c r="N108" s="116">
        <v>614.57500000000005</v>
      </c>
      <c r="O108" s="116">
        <v>596</v>
      </c>
      <c r="P108" s="116">
        <v>606.22500000000002</v>
      </c>
      <c r="Q108" s="116">
        <v>1210.1500000000001</v>
      </c>
      <c r="R108">
        <v>523355</v>
      </c>
    </row>
    <row r="109" spans="1:18" x14ac:dyDescent="0.25">
      <c r="A109" s="170">
        <v>42160</v>
      </c>
      <c r="B109" s="116">
        <v>621.35</v>
      </c>
      <c r="C109" s="116">
        <v>616.5</v>
      </c>
      <c r="D109" s="116">
        <v>603</v>
      </c>
      <c r="E109" s="116">
        <v>603</v>
      </c>
      <c r="F109" s="116">
        <v>1233</v>
      </c>
      <c r="G109">
        <v>3671</v>
      </c>
      <c r="H109" s="116"/>
      <c r="I109" s="116"/>
      <c r="L109" s="170">
        <v>42160</v>
      </c>
      <c r="M109" s="116">
        <v>615.77499999999998</v>
      </c>
      <c r="N109" s="116">
        <v>621.95000000000005</v>
      </c>
      <c r="O109" s="116">
        <v>600</v>
      </c>
      <c r="P109" s="116">
        <v>600</v>
      </c>
      <c r="Q109" s="116">
        <v>1231.55</v>
      </c>
      <c r="R109">
        <v>79634</v>
      </c>
    </row>
    <row r="110" spans="1:18" x14ac:dyDescent="0.25">
      <c r="A110" s="170">
        <v>42163</v>
      </c>
      <c r="B110" s="116">
        <v>625.1</v>
      </c>
      <c r="C110" s="116">
        <v>613.95000000000005</v>
      </c>
      <c r="D110" s="116">
        <v>605</v>
      </c>
      <c r="E110" s="116">
        <v>619.5</v>
      </c>
      <c r="F110" s="116">
        <v>1227.9000000000001</v>
      </c>
      <c r="G110">
        <v>2715</v>
      </c>
      <c r="H110" s="116"/>
      <c r="I110" s="116"/>
      <c r="L110" s="170">
        <v>42163</v>
      </c>
      <c r="M110" s="116">
        <v>614.5</v>
      </c>
      <c r="N110" s="116">
        <v>624.85</v>
      </c>
      <c r="O110" s="116">
        <v>604.35</v>
      </c>
      <c r="P110" s="116">
        <v>622</v>
      </c>
      <c r="Q110" s="116">
        <v>1229</v>
      </c>
      <c r="R110">
        <v>40209</v>
      </c>
    </row>
    <row r="111" spans="1:18" x14ac:dyDescent="0.25">
      <c r="A111" s="170">
        <v>42164</v>
      </c>
      <c r="B111" s="116">
        <v>624.85</v>
      </c>
      <c r="C111" s="116">
        <v>620.25</v>
      </c>
      <c r="D111" s="116">
        <v>611</v>
      </c>
      <c r="E111" s="116">
        <v>611.02499999999998</v>
      </c>
      <c r="F111" s="116">
        <v>1240.5</v>
      </c>
      <c r="G111">
        <v>4798</v>
      </c>
      <c r="H111" s="116"/>
      <c r="I111" s="116"/>
      <c r="L111" s="170">
        <v>42164</v>
      </c>
      <c r="M111" s="116">
        <v>620.52499999999998</v>
      </c>
      <c r="N111" s="116">
        <v>624</v>
      </c>
      <c r="O111" s="116">
        <v>609.97500000000002</v>
      </c>
      <c r="P111" s="116">
        <v>617.875</v>
      </c>
      <c r="Q111" s="116">
        <v>1241.05</v>
      </c>
      <c r="R111">
        <v>37464</v>
      </c>
    </row>
    <row r="112" spans="1:18" x14ac:dyDescent="0.25">
      <c r="A112" s="170">
        <v>42165</v>
      </c>
      <c r="B112" s="116">
        <v>640</v>
      </c>
      <c r="C112" s="116">
        <v>634.22500000000002</v>
      </c>
      <c r="D112" s="116">
        <v>624.5</v>
      </c>
      <c r="E112" s="116">
        <v>625</v>
      </c>
      <c r="F112" s="116">
        <v>1268.45</v>
      </c>
      <c r="G112">
        <v>7462</v>
      </c>
      <c r="H112" s="116"/>
      <c r="I112" s="116"/>
      <c r="L112" s="170">
        <v>42165</v>
      </c>
      <c r="M112" s="116">
        <v>634.875</v>
      </c>
      <c r="N112" s="116">
        <v>640</v>
      </c>
      <c r="O112" s="116">
        <v>620.04999999999995</v>
      </c>
      <c r="P112" s="116">
        <v>622.5</v>
      </c>
      <c r="Q112" s="116">
        <v>1269.75</v>
      </c>
      <c r="R112">
        <v>75589</v>
      </c>
    </row>
    <row r="113" spans="1:18" x14ac:dyDescent="0.25">
      <c r="A113" s="170">
        <v>42166</v>
      </c>
      <c r="B113" s="116">
        <v>655</v>
      </c>
      <c r="C113" s="116">
        <v>642.17499999999995</v>
      </c>
      <c r="D113" s="116">
        <v>635.02499999999998</v>
      </c>
      <c r="E113" s="116">
        <v>640</v>
      </c>
      <c r="F113" s="116">
        <v>1284.3499999999999</v>
      </c>
      <c r="G113">
        <v>7487</v>
      </c>
      <c r="H113" s="116"/>
      <c r="I113" s="116"/>
      <c r="L113" s="170">
        <v>42166</v>
      </c>
      <c r="M113" s="116">
        <v>643.67499999999995</v>
      </c>
      <c r="N113" s="116">
        <v>654.5</v>
      </c>
      <c r="O113" s="116">
        <v>636.17499999999995</v>
      </c>
      <c r="P113" s="116">
        <v>642.29999999999995</v>
      </c>
      <c r="Q113" s="116">
        <v>1287.3499999999999</v>
      </c>
      <c r="R113">
        <v>86776</v>
      </c>
    </row>
    <row r="114" spans="1:18" x14ac:dyDescent="0.25">
      <c r="A114" s="170">
        <v>42167</v>
      </c>
      <c r="B114" s="116">
        <v>643.625</v>
      </c>
      <c r="C114" s="116">
        <v>639.4</v>
      </c>
      <c r="D114" s="116">
        <v>627.25</v>
      </c>
      <c r="E114" s="116">
        <v>637.5</v>
      </c>
      <c r="F114" s="116">
        <v>1278.8</v>
      </c>
      <c r="G114">
        <v>2637</v>
      </c>
      <c r="H114" s="116"/>
      <c r="I114" s="116"/>
      <c r="L114" s="170">
        <v>42167</v>
      </c>
      <c r="M114" s="116">
        <v>640.29999999999995</v>
      </c>
      <c r="N114" s="116">
        <v>645.07500000000005</v>
      </c>
      <c r="O114" s="116">
        <v>628.125</v>
      </c>
      <c r="P114" s="116">
        <v>645</v>
      </c>
      <c r="Q114" s="116">
        <v>1280.5999999999999</v>
      </c>
      <c r="R114">
        <v>40721</v>
      </c>
    </row>
    <row r="115" spans="1:18" x14ac:dyDescent="0.25">
      <c r="A115" s="170">
        <v>42170</v>
      </c>
      <c r="B115" s="116">
        <v>641</v>
      </c>
      <c r="C115" s="116">
        <v>636.9</v>
      </c>
      <c r="D115" s="116">
        <v>632.52499999999998</v>
      </c>
      <c r="E115" s="116">
        <v>640</v>
      </c>
      <c r="F115" s="116">
        <v>1273.8</v>
      </c>
      <c r="G115">
        <v>3376</v>
      </c>
      <c r="H115" s="116"/>
      <c r="I115" s="116"/>
      <c r="L115" s="170">
        <v>42170</v>
      </c>
      <c r="M115" s="116">
        <v>639.47500000000002</v>
      </c>
      <c r="N115" s="116">
        <v>645</v>
      </c>
      <c r="O115" s="116">
        <v>634.5</v>
      </c>
      <c r="P115" s="116">
        <v>645</v>
      </c>
      <c r="Q115" s="116">
        <v>1278.95</v>
      </c>
      <c r="R115">
        <v>26911</v>
      </c>
    </row>
    <row r="116" spans="1:18" x14ac:dyDescent="0.25">
      <c r="A116" s="170">
        <v>42171</v>
      </c>
      <c r="B116" s="116">
        <v>632.625</v>
      </c>
      <c r="C116" s="116">
        <v>627.79999999999995</v>
      </c>
      <c r="D116" s="116">
        <v>622.6</v>
      </c>
      <c r="E116" s="116">
        <v>632.5</v>
      </c>
      <c r="F116" s="116">
        <v>1255.5999999999999</v>
      </c>
      <c r="G116">
        <v>1219</v>
      </c>
      <c r="H116" s="116"/>
      <c r="I116" s="116"/>
      <c r="L116" s="170">
        <v>42171</v>
      </c>
      <c r="M116" s="116">
        <v>628.17499999999995</v>
      </c>
      <c r="N116" s="116">
        <v>634.9</v>
      </c>
      <c r="O116" s="116">
        <v>621.52499999999998</v>
      </c>
      <c r="P116" s="116">
        <v>631.5</v>
      </c>
      <c r="Q116" s="116">
        <v>1256.3499999999999</v>
      </c>
      <c r="R116">
        <v>23344</v>
      </c>
    </row>
    <row r="117" spans="1:18" x14ac:dyDescent="0.25">
      <c r="A117" s="170">
        <v>42172</v>
      </c>
      <c r="B117" s="116">
        <v>667.45</v>
      </c>
      <c r="C117" s="116">
        <v>653.92499999999995</v>
      </c>
      <c r="D117" s="116">
        <v>628.04999999999995</v>
      </c>
      <c r="E117" s="116">
        <v>632.5</v>
      </c>
      <c r="F117" s="116">
        <v>1307.8499999999999</v>
      </c>
      <c r="G117">
        <v>16482</v>
      </c>
      <c r="H117" s="116"/>
      <c r="I117" s="116"/>
      <c r="L117" s="170">
        <v>42172</v>
      </c>
      <c r="M117" s="116">
        <v>648.625</v>
      </c>
      <c r="N117" s="116">
        <v>662.375</v>
      </c>
      <c r="O117" s="116">
        <v>627.52499999999998</v>
      </c>
      <c r="P117" s="116">
        <v>634</v>
      </c>
      <c r="Q117" s="116">
        <v>1297.25</v>
      </c>
      <c r="R117">
        <v>126613</v>
      </c>
    </row>
    <row r="118" spans="1:18" x14ac:dyDescent="0.25">
      <c r="A118" s="170">
        <v>42173</v>
      </c>
      <c r="B118" s="116">
        <v>683.5</v>
      </c>
      <c r="C118" s="116">
        <v>665.8</v>
      </c>
      <c r="D118" s="116">
        <v>660</v>
      </c>
      <c r="E118" s="116">
        <v>670.2</v>
      </c>
      <c r="F118" s="116">
        <v>1331.6</v>
      </c>
      <c r="G118">
        <v>42682</v>
      </c>
      <c r="H118" s="116"/>
      <c r="I118" s="116"/>
      <c r="L118" s="170">
        <v>42173</v>
      </c>
      <c r="M118" s="116">
        <v>668.85</v>
      </c>
      <c r="N118" s="116">
        <v>684.25</v>
      </c>
      <c r="O118" s="116">
        <v>664.5</v>
      </c>
      <c r="P118" s="116">
        <v>671.7</v>
      </c>
      <c r="Q118" s="116">
        <v>1337.7</v>
      </c>
      <c r="R118">
        <v>357051</v>
      </c>
    </row>
    <row r="119" spans="1:18" x14ac:dyDescent="0.25">
      <c r="A119" s="170">
        <v>42174</v>
      </c>
      <c r="B119" s="116">
        <v>672.5</v>
      </c>
      <c r="C119" s="116">
        <v>669.15</v>
      </c>
      <c r="D119" s="116">
        <v>660</v>
      </c>
      <c r="E119" s="116">
        <v>665.5</v>
      </c>
      <c r="F119" s="116">
        <v>1338.3</v>
      </c>
      <c r="G119">
        <v>3076</v>
      </c>
      <c r="H119" s="116"/>
      <c r="I119" s="116"/>
      <c r="L119" s="170">
        <v>42174</v>
      </c>
      <c r="M119" s="116">
        <v>667.32500000000005</v>
      </c>
      <c r="N119" s="116">
        <v>674</v>
      </c>
      <c r="O119" s="116">
        <v>657.5</v>
      </c>
      <c r="P119" s="116">
        <v>674</v>
      </c>
      <c r="Q119" s="116">
        <v>1334.65</v>
      </c>
      <c r="R119">
        <v>144518</v>
      </c>
    </row>
    <row r="120" spans="1:18" x14ac:dyDescent="0.25">
      <c r="A120" s="170">
        <v>42177</v>
      </c>
      <c r="B120" s="116">
        <v>677.5</v>
      </c>
      <c r="C120" s="116">
        <v>671.2</v>
      </c>
      <c r="D120" s="116">
        <v>668.5</v>
      </c>
      <c r="E120" s="116">
        <v>672.5</v>
      </c>
      <c r="F120" s="116">
        <v>1342.4</v>
      </c>
      <c r="G120">
        <v>5593</v>
      </c>
      <c r="H120" s="116"/>
      <c r="I120" s="116"/>
      <c r="L120" s="170">
        <v>42177</v>
      </c>
      <c r="M120" s="116">
        <v>673.125</v>
      </c>
      <c r="N120" s="116">
        <v>680</v>
      </c>
      <c r="O120" s="116">
        <v>668</v>
      </c>
      <c r="P120" s="116">
        <v>669.45</v>
      </c>
      <c r="Q120" s="116">
        <v>1346.25</v>
      </c>
      <c r="R120">
        <v>67204</v>
      </c>
    </row>
    <row r="121" spans="1:18" x14ac:dyDescent="0.25">
      <c r="A121" s="170">
        <v>42178</v>
      </c>
      <c r="B121" s="116">
        <v>677.72500000000002</v>
      </c>
      <c r="C121" s="116">
        <v>670.47500000000002</v>
      </c>
      <c r="D121" s="116">
        <v>669</v>
      </c>
      <c r="E121" s="116">
        <v>671</v>
      </c>
      <c r="F121" s="116">
        <v>1340.95</v>
      </c>
      <c r="G121">
        <v>2179</v>
      </c>
      <c r="H121" s="116"/>
      <c r="I121" s="116"/>
      <c r="L121" s="170">
        <v>42178</v>
      </c>
      <c r="M121" s="116">
        <v>671.85</v>
      </c>
      <c r="N121" s="116">
        <v>679</v>
      </c>
      <c r="O121" s="116">
        <v>667.5</v>
      </c>
      <c r="P121" s="116">
        <v>670</v>
      </c>
      <c r="Q121" s="116">
        <v>1343.7</v>
      </c>
      <c r="R121">
        <v>135376</v>
      </c>
    </row>
    <row r="122" spans="1:18" x14ac:dyDescent="0.25">
      <c r="A122" s="170">
        <v>42179</v>
      </c>
      <c r="B122" s="116">
        <v>678.65</v>
      </c>
      <c r="C122" s="116">
        <v>672.35</v>
      </c>
      <c r="D122" s="116">
        <v>670.25</v>
      </c>
      <c r="E122" s="116">
        <v>675</v>
      </c>
      <c r="F122" s="116">
        <v>1344.7</v>
      </c>
      <c r="G122">
        <v>2128</v>
      </c>
      <c r="H122" s="116"/>
      <c r="I122" s="116"/>
      <c r="L122" s="170">
        <v>42179</v>
      </c>
      <c r="M122" s="116">
        <v>673.15</v>
      </c>
      <c r="N122" s="116">
        <v>677.5</v>
      </c>
      <c r="O122" s="116">
        <v>670.97500000000002</v>
      </c>
      <c r="P122" s="116">
        <v>675.25</v>
      </c>
      <c r="Q122" s="116">
        <v>1346.3</v>
      </c>
      <c r="R122">
        <v>135738</v>
      </c>
    </row>
    <row r="123" spans="1:18" x14ac:dyDescent="0.25">
      <c r="A123" s="170">
        <v>42180</v>
      </c>
      <c r="B123" s="116">
        <v>685</v>
      </c>
      <c r="C123" s="116">
        <v>672.9</v>
      </c>
      <c r="D123" s="116">
        <v>667.375</v>
      </c>
      <c r="E123" s="116">
        <v>670</v>
      </c>
      <c r="F123" s="116">
        <v>1345.8</v>
      </c>
      <c r="G123">
        <v>7321</v>
      </c>
      <c r="H123" s="116"/>
      <c r="I123" s="116"/>
      <c r="L123" s="170">
        <v>42180</v>
      </c>
      <c r="M123" s="116">
        <v>672.1</v>
      </c>
      <c r="N123" s="116">
        <v>685</v>
      </c>
      <c r="O123" s="116">
        <v>666</v>
      </c>
      <c r="P123" s="116">
        <v>677</v>
      </c>
      <c r="Q123" s="116">
        <v>1344.2</v>
      </c>
      <c r="R123">
        <v>167311</v>
      </c>
    </row>
    <row r="124" spans="1:18" x14ac:dyDescent="0.25">
      <c r="A124" s="170">
        <v>42181</v>
      </c>
      <c r="B124" s="116">
        <v>673</v>
      </c>
      <c r="C124" s="116">
        <v>669.7</v>
      </c>
      <c r="D124" s="116">
        <v>661.42499999999995</v>
      </c>
      <c r="E124" s="116">
        <v>672.875</v>
      </c>
      <c r="F124" s="116">
        <v>1339.4</v>
      </c>
      <c r="G124">
        <v>2880</v>
      </c>
      <c r="H124" s="116"/>
      <c r="I124" s="116"/>
      <c r="L124" s="170">
        <v>42181</v>
      </c>
      <c r="M124" s="116">
        <v>670.02499999999998</v>
      </c>
      <c r="N124" s="116">
        <v>673.9</v>
      </c>
      <c r="O124" s="116">
        <v>662.57500000000005</v>
      </c>
      <c r="P124" s="116">
        <v>670</v>
      </c>
      <c r="Q124" s="116">
        <v>1340.05</v>
      </c>
      <c r="R124">
        <v>49755</v>
      </c>
    </row>
    <row r="125" spans="1:18" x14ac:dyDescent="0.25">
      <c r="A125" s="170">
        <v>42184</v>
      </c>
      <c r="B125" s="116">
        <v>664.5</v>
      </c>
      <c r="C125" s="116">
        <v>647.77499999999998</v>
      </c>
      <c r="D125" s="116">
        <v>639.17499999999995</v>
      </c>
      <c r="E125" s="116">
        <v>664.5</v>
      </c>
      <c r="F125" s="116">
        <v>1295.55</v>
      </c>
      <c r="G125">
        <v>3153</v>
      </c>
      <c r="H125" s="116"/>
      <c r="I125" s="116"/>
      <c r="L125" s="170">
        <v>42184</v>
      </c>
      <c r="M125" s="116">
        <v>647</v>
      </c>
      <c r="N125" s="116">
        <v>666.47500000000002</v>
      </c>
      <c r="O125" s="116">
        <v>638.5</v>
      </c>
      <c r="P125" s="116">
        <v>666.47500000000002</v>
      </c>
      <c r="Q125" s="116">
        <v>1294</v>
      </c>
      <c r="R125">
        <v>68939</v>
      </c>
    </row>
    <row r="126" spans="1:18" x14ac:dyDescent="0.25">
      <c r="A126" s="170">
        <v>42185</v>
      </c>
      <c r="B126" s="116">
        <v>656.1</v>
      </c>
      <c r="C126" s="116">
        <v>649.25</v>
      </c>
      <c r="D126" s="116">
        <v>641</v>
      </c>
      <c r="E126" s="116">
        <v>641</v>
      </c>
      <c r="F126" s="116">
        <v>1298.5</v>
      </c>
      <c r="G126">
        <v>5173</v>
      </c>
      <c r="H126" s="116"/>
      <c r="I126" s="116"/>
      <c r="L126" s="170">
        <v>42185</v>
      </c>
      <c r="M126" s="116">
        <v>650.72500000000002</v>
      </c>
      <c r="N126" s="116">
        <v>657.5</v>
      </c>
      <c r="O126" s="116">
        <v>640.5</v>
      </c>
      <c r="P126" s="116">
        <v>646</v>
      </c>
      <c r="Q126" s="116">
        <v>1301.45</v>
      </c>
      <c r="R126">
        <v>185441</v>
      </c>
    </row>
    <row r="127" spans="1:18" x14ac:dyDescent="0.25">
      <c r="A127" s="170">
        <v>42186</v>
      </c>
      <c r="B127" s="116">
        <v>668.9</v>
      </c>
      <c r="C127" s="116">
        <v>660.8</v>
      </c>
      <c r="D127" s="116">
        <v>657</v>
      </c>
      <c r="E127" s="116">
        <v>657</v>
      </c>
      <c r="F127" s="116">
        <v>1321.6</v>
      </c>
      <c r="G127">
        <v>5891</v>
      </c>
      <c r="H127" s="116"/>
      <c r="I127" s="116"/>
      <c r="L127" s="170">
        <v>42186</v>
      </c>
      <c r="M127" s="116">
        <v>661.45</v>
      </c>
      <c r="N127" s="116">
        <v>668</v>
      </c>
      <c r="O127" s="116">
        <v>658.65</v>
      </c>
      <c r="P127" s="116">
        <v>658.75</v>
      </c>
      <c r="Q127" s="116">
        <v>1322.9</v>
      </c>
      <c r="R127">
        <v>98446</v>
      </c>
    </row>
    <row r="128" spans="1:18" x14ac:dyDescent="0.25">
      <c r="A128" s="170">
        <v>42187</v>
      </c>
      <c r="B128" s="116">
        <v>676.92499999999995</v>
      </c>
      <c r="C128" s="116">
        <v>658.6</v>
      </c>
      <c r="D128" s="116">
        <v>658</v>
      </c>
      <c r="E128" s="116">
        <v>666</v>
      </c>
      <c r="F128" s="116">
        <v>1317.2</v>
      </c>
      <c r="G128">
        <v>19356</v>
      </c>
      <c r="H128" s="116"/>
      <c r="I128" s="116"/>
      <c r="L128" s="170">
        <v>42187</v>
      </c>
      <c r="M128" s="116">
        <v>658.22500000000002</v>
      </c>
      <c r="N128" s="116">
        <v>677.45</v>
      </c>
      <c r="O128" s="116">
        <v>655.5</v>
      </c>
      <c r="P128" s="116">
        <v>671</v>
      </c>
      <c r="Q128" s="116">
        <v>1316.45</v>
      </c>
      <c r="R128">
        <v>90752</v>
      </c>
    </row>
    <row r="129" spans="1:18" x14ac:dyDescent="0.25">
      <c r="A129" s="170">
        <v>42188</v>
      </c>
      <c r="B129" s="116">
        <v>664.125</v>
      </c>
      <c r="C129" s="116">
        <v>661.17499999999995</v>
      </c>
      <c r="D129" s="116">
        <v>655.22500000000002</v>
      </c>
      <c r="E129" s="116">
        <v>657.5</v>
      </c>
      <c r="F129" s="116">
        <v>1322.35</v>
      </c>
      <c r="G129">
        <v>3257</v>
      </c>
      <c r="H129" s="116"/>
      <c r="I129" s="116"/>
      <c r="L129" s="170">
        <v>42188</v>
      </c>
      <c r="M129" s="116">
        <v>660.85</v>
      </c>
      <c r="N129" s="116">
        <v>664.9</v>
      </c>
      <c r="O129" s="116">
        <v>655.5</v>
      </c>
      <c r="P129" s="116">
        <v>663.75</v>
      </c>
      <c r="Q129" s="116">
        <v>1321.7</v>
      </c>
      <c r="R129">
        <v>166080</v>
      </c>
    </row>
    <row r="130" spans="1:18" x14ac:dyDescent="0.25">
      <c r="A130" s="170">
        <v>42191</v>
      </c>
      <c r="B130" s="116">
        <v>666</v>
      </c>
      <c r="C130" s="116">
        <v>661.17499999999995</v>
      </c>
      <c r="D130" s="116">
        <v>648.47500000000002</v>
      </c>
      <c r="E130" s="116">
        <v>660</v>
      </c>
      <c r="F130" s="116">
        <v>1322.35</v>
      </c>
      <c r="G130">
        <v>6471</v>
      </c>
      <c r="H130" s="116"/>
      <c r="I130" s="116"/>
      <c r="L130" s="170">
        <v>42191</v>
      </c>
      <c r="M130" s="116">
        <v>659.95</v>
      </c>
      <c r="N130" s="116">
        <v>674.75</v>
      </c>
      <c r="O130" s="116">
        <v>647.47500000000002</v>
      </c>
      <c r="P130" s="116">
        <v>660</v>
      </c>
      <c r="Q130" s="116">
        <v>1319.9</v>
      </c>
      <c r="R130">
        <v>220141</v>
      </c>
    </row>
    <row r="131" spans="1:18" x14ac:dyDescent="0.25">
      <c r="A131" s="170">
        <v>42192</v>
      </c>
      <c r="B131" s="116">
        <v>666.5</v>
      </c>
      <c r="C131" s="116">
        <v>661.27499999999998</v>
      </c>
      <c r="D131" s="116">
        <v>657.8</v>
      </c>
      <c r="E131" s="116">
        <v>665</v>
      </c>
      <c r="F131" s="116">
        <v>1322.55</v>
      </c>
      <c r="G131">
        <v>3199</v>
      </c>
      <c r="H131" s="116"/>
      <c r="I131" s="116"/>
      <c r="L131" s="170">
        <v>42192</v>
      </c>
      <c r="M131" s="116">
        <v>662.42499999999995</v>
      </c>
      <c r="N131" s="116">
        <v>665.02499999999998</v>
      </c>
      <c r="O131" s="116">
        <v>659.9</v>
      </c>
      <c r="P131" s="116">
        <v>665</v>
      </c>
      <c r="Q131" s="116">
        <v>1324.85</v>
      </c>
      <c r="R131">
        <v>124365</v>
      </c>
    </row>
    <row r="132" spans="1:18" x14ac:dyDescent="0.25">
      <c r="A132" s="170">
        <v>42193</v>
      </c>
      <c r="B132" s="116">
        <v>664.97500000000002</v>
      </c>
      <c r="C132" s="116">
        <v>659</v>
      </c>
      <c r="D132" s="116">
        <v>655.75</v>
      </c>
      <c r="E132" s="116">
        <v>659</v>
      </c>
      <c r="F132" s="116">
        <v>1318</v>
      </c>
      <c r="G132">
        <v>3997</v>
      </c>
      <c r="H132" s="116"/>
      <c r="I132" s="116"/>
      <c r="L132" s="170">
        <v>42193</v>
      </c>
      <c r="M132" s="116">
        <v>658.5</v>
      </c>
      <c r="N132" s="116">
        <v>665</v>
      </c>
      <c r="O132" s="116">
        <v>653.5</v>
      </c>
      <c r="P132" s="116">
        <v>664.97500000000002</v>
      </c>
      <c r="Q132" s="116">
        <v>1317</v>
      </c>
      <c r="R132">
        <v>67492</v>
      </c>
    </row>
    <row r="133" spans="1:18" x14ac:dyDescent="0.25">
      <c r="A133" s="170">
        <v>42194</v>
      </c>
      <c r="B133" s="116">
        <v>664.5</v>
      </c>
      <c r="C133" s="116">
        <v>645.92499999999995</v>
      </c>
      <c r="D133" s="116">
        <v>644</v>
      </c>
      <c r="E133" s="116">
        <v>662.625</v>
      </c>
      <c r="F133" s="116">
        <v>1291.8499999999999</v>
      </c>
      <c r="G133">
        <v>4995</v>
      </c>
      <c r="H133" s="116"/>
      <c r="I133" s="116"/>
      <c r="L133" s="170">
        <v>42194</v>
      </c>
      <c r="M133" s="116">
        <v>645.95000000000005</v>
      </c>
      <c r="N133" s="116">
        <v>664.97500000000002</v>
      </c>
      <c r="O133" s="116">
        <v>643</v>
      </c>
      <c r="P133" s="116">
        <v>657.5</v>
      </c>
      <c r="Q133" s="116">
        <v>1291.9000000000001</v>
      </c>
      <c r="R133">
        <v>66745</v>
      </c>
    </row>
    <row r="134" spans="1:18" x14ac:dyDescent="0.25">
      <c r="A134" s="170">
        <v>42195</v>
      </c>
      <c r="B134" s="116">
        <v>666.5</v>
      </c>
      <c r="C134" s="116">
        <v>663.47500000000002</v>
      </c>
      <c r="D134" s="116">
        <v>645.17499999999995</v>
      </c>
      <c r="E134" s="116">
        <v>645.17499999999995</v>
      </c>
      <c r="F134" s="116">
        <v>1326.95</v>
      </c>
      <c r="G134">
        <v>7233</v>
      </c>
      <c r="H134" s="116"/>
      <c r="I134" s="116"/>
      <c r="L134" s="170">
        <v>42195</v>
      </c>
      <c r="M134" s="116">
        <v>664.35</v>
      </c>
      <c r="N134" s="116">
        <v>665.02499999999998</v>
      </c>
      <c r="O134" s="116">
        <v>650</v>
      </c>
      <c r="P134" s="116">
        <v>652.4</v>
      </c>
      <c r="Q134" s="116">
        <v>1328.7</v>
      </c>
      <c r="R134">
        <v>188994</v>
      </c>
    </row>
    <row r="135" spans="1:18" x14ac:dyDescent="0.25">
      <c r="A135" s="170">
        <v>42198</v>
      </c>
      <c r="B135" s="116">
        <v>678.97500000000002</v>
      </c>
      <c r="C135" s="116">
        <v>665.67499999999995</v>
      </c>
      <c r="D135" s="116">
        <v>663.15</v>
      </c>
      <c r="E135" s="116">
        <v>678.97500000000002</v>
      </c>
      <c r="F135" s="116">
        <v>1331.35</v>
      </c>
      <c r="G135">
        <v>3916</v>
      </c>
      <c r="H135" s="116"/>
      <c r="I135" s="116"/>
      <c r="L135" s="170">
        <v>42198</v>
      </c>
      <c r="M135" s="116">
        <v>664.85</v>
      </c>
      <c r="N135" s="116">
        <v>666</v>
      </c>
      <c r="O135" s="116">
        <v>662.2</v>
      </c>
      <c r="P135" s="116">
        <v>666</v>
      </c>
      <c r="Q135" s="116">
        <v>1329.7</v>
      </c>
      <c r="R135">
        <v>78531</v>
      </c>
    </row>
    <row r="136" spans="1:18" x14ac:dyDescent="0.25">
      <c r="A136" s="170">
        <v>42199</v>
      </c>
      <c r="B136" s="116">
        <v>666.25</v>
      </c>
      <c r="C136" s="116">
        <v>664.47500000000002</v>
      </c>
      <c r="D136" s="116">
        <v>663.4</v>
      </c>
      <c r="E136" s="116">
        <v>666.25</v>
      </c>
      <c r="F136" s="116">
        <v>1328.95</v>
      </c>
      <c r="G136">
        <v>1951</v>
      </c>
      <c r="H136" s="116"/>
      <c r="I136" s="116"/>
      <c r="L136" s="170">
        <v>42199</v>
      </c>
      <c r="M136" s="116">
        <v>664.17499999999995</v>
      </c>
      <c r="N136" s="116">
        <v>667.5</v>
      </c>
      <c r="O136" s="116">
        <v>663</v>
      </c>
      <c r="P136" s="116">
        <v>667.5</v>
      </c>
      <c r="Q136" s="116">
        <v>1328.35</v>
      </c>
      <c r="R136">
        <v>86818</v>
      </c>
    </row>
    <row r="137" spans="1:18" x14ac:dyDescent="0.25">
      <c r="A137" s="170">
        <v>42200</v>
      </c>
      <c r="B137" s="116">
        <v>666.2</v>
      </c>
      <c r="C137" s="116">
        <v>660.22500000000002</v>
      </c>
      <c r="D137" s="116">
        <v>656.375</v>
      </c>
      <c r="E137" s="116">
        <v>662.5</v>
      </c>
      <c r="F137" s="116">
        <v>1320.45</v>
      </c>
      <c r="G137">
        <v>5848</v>
      </c>
      <c r="H137" s="116"/>
      <c r="I137" s="116"/>
      <c r="L137" s="170">
        <v>42200</v>
      </c>
      <c r="M137" s="116">
        <v>661</v>
      </c>
      <c r="N137" s="116">
        <v>667.6</v>
      </c>
      <c r="O137" s="116">
        <v>654</v>
      </c>
      <c r="P137" s="116">
        <v>666.95</v>
      </c>
      <c r="Q137" s="116">
        <v>1322</v>
      </c>
      <c r="R137">
        <v>365299</v>
      </c>
    </row>
    <row r="138" spans="1:18" x14ac:dyDescent="0.25">
      <c r="A138" s="170">
        <v>42201</v>
      </c>
      <c r="B138" s="116">
        <v>667.5</v>
      </c>
      <c r="C138" s="116">
        <v>663.92499999999995</v>
      </c>
      <c r="D138" s="116">
        <v>653.77499999999998</v>
      </c>
      <c r="E138" s="116">
        <v>665</v>
      </c>
      <c r="F138" s="116">
        <v>1327.85</v>
      </c>
      <c r="G138">
        <v>40900</v>
      </c>
      <c r="H138" s="116"/>
      <c r="I138" s="116"/>
      <c r="L138" s="170">
        <v>42201</v>
      </c>
      <c r="M138" s="116">
        <v>663.25</v>
      </c>
      <c r="N138" s="116">
        <v>665.25</v>
      </c>
      <c r="O138" s="116">
        <v>655.52499999999998</v>
      </c>
      <c r="P138" s="116">
        <v>664.97500000000002</v>
      </c>
      <c r="Q138" s="116">
        <v>1326.5</v>
      </c>
      <c r="R138">
        <v>81578</v>
      </c>
    </row>
    <row r="139" spans="1:18" x14ac:dyDescent="0.25">
      <c r="A139" s="170">
        <v>42202</v>
      </c>
      <c r="B139" s="116">
        <v>679.15</v>
      </c>
      <c r="C139" s="116">
        <v>667.15</v>
      </c>
      <c r="D139" s="116">
        <v>662.75</v>
      </c>
      <c r="E139" s="116">
        <v>667.6</v>
      </c>
      <c r="F139" s="116">
        <v>1334.3</v>
      </c>
      <c r="G139">
        <v>13261</v>
      </c>
      <c r="H139" s="116"/>
      <c r="I139" s="116"/>
      <c r="L139" s="170">
        <v>42202</v>
      </c>
      <c r="M139" s="116">
        <v>666.72500000000002</v>
      </c>
      <c r="N139" s="116">
        <v>678</v>
      </c>
      <c r="O139" s="116">
        <v>662.5</v>
      </c>
      <c r="P139" s="116">
        <v>665.5</v>
      </c>
      <c r="Q139" s="116">
        <v>1333.45</v>
      </c>
      <c r="R139">
        <v>171443</v>
      </c>
    </row>
    <row r="140" spans="1:18" x14ac:dyDescent="0.25">
      <c r="A140" s="170">
        <v>42205</v>
      </c>
      <c r="B140" s="116">
        <v>687.4</v>
      </c>
      <c r="C140" s="116">
        <v>669.95</v>
      </c>
      <c r="D140" s="116">
        <v>666.02499999999998</v>
      </c>
      <c r="E140" s="116">
        <v>672.5</v>
      </c>
      <c r="F140" s="116">
        <v>1339.9</v>
      </c>
      <c r="G140">
        <v>4620</v>
      </c>
      <c r="H140" s="116"/>
      <c r="I140" s="116"/>
      <c r="L140" s="170">
        <v>42205</v>
      </c>
      <c r="M140" s="116">
        <v>668.17499999999995</v>
      </c>
      <c r="N140" s="116">
        <v>672.5</v>
      </c>
      <c r="O140" s="116">
        <v>665.05</v>
      </c>
      <c r="P140" s="116">
        <v>669.9</v>
      </c>
      <c r="Q140" s="116">
        <v>1336.35</v>
      </c>
      <c r="R140">
        <v>79574</v>
      </c>
    </row>
    <row r="141" spans="1:18" x14ac:dyDescent="0.25">
      <c r="A141" s="170">
        <v>42206</v>
      </c>
      <c r="B141" s="116">
        <v>671.875</v>
      </c>
      <c r="C141" s="116">
        <v>660.625</v>
      </c>
      <c r="D141" s="116">
        <v>652.5</v>
      </c>
      <c r="E141" s="116">
        <v>670.07500000000005</v>
      </c>
      <c r="F141" s="116">
        <v>1321.25</v>
      </c>
      <c r="G141">
        <v>56613</v>
      </c>
      <c r="H141" s="116"/>
      <c r="I141" s="116"/>
      <c r="L141" s="170">
        <v>42206</v>
      </c>
      <c r="M141" s="116">
        <v>660.72500000000002</v>
      </c>
      <c r="N141" s="116">
        <v>672</v>
      </c>
      <c r="O141" s="116">
        <v>652.5</v>
      </c>
      <c r="P141" s="116">
        <v>672</v>
      </c>
      <c r="Q141" s="116">
        <v>1321.45</v>
      </c>
      <c r="R141">
        <v>51033</v>
      </c>
    </row>
    <row r="142" spans="1:18" x14ac:dyDescent="0.25">
      <c r="A142" s="170">
        <v>42207</v>
      </c>
      <c r="B142" s="116">
        <v>671</v>
      </c>
      <c r="C142" s="116">
        <v>667</v>
      </c>
      <c r="D142" s="116">
        <v>663.875</v>
      </c>
      <c r="E142" s="116">
        <v>671</v>
      </c>
      <c r="F142" s="116">
        <v>1334</v>
      </c>
      <c r="G142">
        <v>6396</v>
      </c>
      <c r="H142" s="116"/>
      <c r="I142" s="116"/>
      <c r="L142" s="170">
        <v>42207</v>
      </c>
      <c r="M142" s="116">
        <v>664.6</v>
      </c>
      <c r="N142" s="116">
        <v>670.02499999999998</v>
      </c>
      <c r="O142" s="116">
        <v>662.07500000000005</v>
      </c>
      <c r="P142" s="116">
        <v>666.5</v>
      </c>
      <c r="Q142" s="116">
        <v>1329.2</v>
      </c>
      <c r="R142">
        <v>105097</v>
      </c>
    </row>
    <row r="143" spans="1:18" x14ac:dyDescent="0.25">
      <c r="A143" s="170">
        <v>42208</v>
      </c>
      <c r="B143" s="116">
        <v>672.5</v>
      </c>
      <c r="C143" s="116">
        <v>663.45</v>
      </c>
      <c r="D143" s="116">
        <v>662</v>
      </c>
      <c r="E143" s="116">
        <v>672.5</v>
      </c>
      <c r="F143" s="116">
        <v>1326.9</v>
      </c>
      <c r="G143">
        <v>3469</v>
      </c>
      <c r="H143" s="116"/>
      <c r="I143" s="116"/>
      <c r="L143" s="170">
        <v>42208</v>
      </c>
      <c r="M143" s="116">
        <v>663.82500000000005</v>
      </c>
      <c r="N143" s="116">
        <v>671.4</v>
      </c>
      <c r="O143" s="116">
        <v>660.02499999999998</v>
      </c>
      <c r="P143" s="116">
        <v>671.4</v>
      </c>
      <c r="Q143" s="116">
        <v>1327.65</v>
      </c>
      <c r="R143">
        <v>180690</v>
      </c>
    </row>
    <row r="144" spans="1:18" x14ac:dyDescent="0.25">
      <c r="A144" s="170">
        <v>42209</v>
      </c>
      <c r="B144" s="116">
        <v>693.125</v>
      </c>
      <c r="C144" s="116">
        <v>683.65</v>
      </c>
      <c r="D144" s="116">
        <v>664.65</v>
      </c>
      <c r="E144" s="116">
        <v>664.875</v>
      </c>
      <c r="F144" s="116">
        <v>1367.3</v>
      </c>
      <c r="G144">
        <v>15260</v>
      </c>
      <c r="H144" s="116"/>
      <c r="I144" s="116"/>
      <c r="L144" s="170">
        <v>42209</v>
      </c>
      <c r="M144" s="116">
        <v>682.52499999999998</v>
      </c>
      <c r="N144" s="116">
        <v>689.97500000000002</v>
      </c>
      <c r="O144" s="116">
        <v>664</v>
      </c>
      <c r="P144" s="116">
        <v>664</v>
      </c>
      <c r="Q144" s="116">
        <v>1365.05</v>
      </c>
      <c r="R144">
        <v>271883</v>
      </c>
    </row>
    <row r="145" spans="1:18" x14ac:dyDescent="0.25">
      <c r="A145" s="170">
        <v>42212</v>
      </c>
      <c r="B145" s="116">
        <v>705</v>
      </c>
      <c r="C145" s="116">
        <v>698.5</v>
      </c>
      <c r="D145" s="116">
        <v>687.5</v>
      </c>
      <c r="E145" s="116">
        <v>687.5</v>
      </c>
      <c r="F145" s="116">
        <v>1397</v>
      </c>
      <c r="G145">
        <v>39549</v>
      </c>
      <c r="H145" s="116"/>
      <c r="I145" s="116"/>
      <c r="L145" s="170">
        <v>42212</v>
      </c>
      <c r="M145" s="116">
        <v>695.2</v>
      </c>
      <c r="N145" s="116">
        <v>705</v>
      </c>
      <c r="O145" s="116">
        <v>682.95</v>
      </c>
      <c r="P145" s="116">
        <v>682.95</v>
      </c>
      <c r="Q145" s="116">
        <v>1390.4</v>
      </c>
      <c r="R145">
        <v>428649</v>
      </c>
    </row>
    <row r="146" spans="1:18" x14ac:dyDescent="0.25">
      <c r="A146" s="170">
        <v>42213</v>
      </c>
      <c r="B146" s="116">
        <v>760</v>
      </c>
      <c r="C146" s="116">
        <v>700.125</v>
      </c>
      <c r="D146" s="116">
        <v>692.2</v>
      </c>
      <c r="E146" s="116">
        <v>755</v>
      </c>
      <c r="F146" s="116">
        <v>1400.25</v>
      </c>
      <c r="G146">
        <v>162055</v>
      </c>
      <c r="H146" s="116"/>
      <c r="I146" s="116"/>
      <c r="L146" s="170">
        <v>42213</v>
      </c>
      <c r="M146" s="116">
        <v>698.7</v>
      </c>
      <c r="N146" s="116">
        <v>757.5</v>
      </c>
      <c r="O146" s="116">
        <v>690.8</v>
      </c>
      <c r="P146" s="116">
        <v>757.45</v>
      </c>
      <c r="Q146" s="116">
        <v>1397.4</v>
      </c>
      <c r="R146">
        <v>1068630</v>
      </c>
    </row>
    <row r="147" spans="1:18" x14ac:dyDescent="0.25">
      <c r="A147" s="170">
        <v>42214</v>
      </c>
      <c r="B147" s="116">
        <v>714.5</v>
      </c>
      <c r="C147" s="116">
        <v>709.15</v>
      </c>
      <c r="D147" s="116">
        <v>701</v>
      </c>
      <c r="E147" s="116">
        <v>706</v>
      </c>
      <c r="F147" s="116">
        <v>1418.3</v>
      </c>
      <c r="G147">
        <v>34957</v>
      </c>
      <c r="H147" s="116"/>
      <c r="I147" s="116"/>
      <c r="L147" s="170">
        <v>42214</v>
      </c>
      <c r="M147" s="116">
        <v>710.65</v>
      </c>
      <c r="N147" s="116">
        <v>715</v>
      </c>
      <c r="O147" s="116">
        <v>700</v>
      </c>
      <c r="P147" s="116">
        <v>708.9</v>
      </c>
      <c r="Q147" s="116">
        <v>1421.3</v>
      </c>
      <c r="R147">
        <v>411583</v>
      </c>
    </row>
    <row r="148" spans="1:18" x14ac:dyDescent="0.25">
      <c r="A148" s="170">
        <v>42215</v>
      </c>
      <c r="B148" s="116">
        <v>725.3</v>
      </c>
      <c r="C148" s="116">
        <v>718.3</v>
      </c>
      <c r="D148" s="116">
        <v>713</v>
      </c>
      <c r="E148" s="116">
        <v>715</v>
      </c>
      <c r="F148" s="116">
        <v>1436.6</v>
      </c>
      <c r="G148">
        <v>27585</v>
      </c>
      <c r="H148" s="116"/>
      <c r="I148" s="116"/>
      <c r="L148" s="170">
        <v>42215</v>
      </c>
      <c r="M148" s="116">
        <v>718</v>
      </c>
      <c r="N148" s="116">
        <v>724.97500000000002</v>
      </c>
      <c r="O148" s="116">
        <v>711.5</v>
      </c>
      <c r="P148" s="116">
        <v>714.875</v>
      </c>
      <c r="Q148" s="116">
        <v>1436</v>
      </c>
      <c r="R148">
        <v>241846</v>
      </c>
    </row>
    <row r="149" spans="1:18" x14ac:dyDescent="0.25">
      <c r="A149" s="170">
        <v>42216</v>
      </c>
      <c r="B149" s="116">
        <v>725</v>
      </c>
      <c r="C149" s="116">
        <v>720.22500000000002</v>
      </c>
      <c r="D149" s="116">
        <v>716.65</v>
      </c>
      <c r="E149" s="116">
        <v>725</v>
      </c>
      <c r="F149" s="116">
        <v>1440.45</v>
      </c>
      <c r="G149">
        <v>14197</v>
      </c>
      <c r="H149" s="116"/>
      <c r="I149" s="116"/>
      <c r="L149" s="170">
        <v>42216</v>
      </c>
      <c r="M149" s="116">
        <v>720.82500000000005</v>
      </c>
      <c r="N149" s="116">
        <v>725</v>
      </c>
      <c r="O149" s="116">
        <v>717</v>
      </c>
      <c r="P149" s="116">
        <v>724</v>
      </c>
      <c r="Q149" s="116">
        <v>1441.65</v>
      </c>
      <c r="R149">
        <v>121033</v>
      </c>
    </row>
    <row r="150" spans="1:18" x14ac:dyDescent="0.25">
      <c r="A150" s="170">
        <v>42219</v>
      </c>
      <c r="B150" s="116">
        <v>730</v>
      </c>
      <c r="C150" s="116">
        <v>714.35</v>
      </c>
      <c r="D150" s="116">
        <v>710</v>
      </c>
      <c r="E150" s="116">
        <v>720.5</v>
      </c>
      <c r="F150" s="116">
        <v>1428.7</v>
      </c>
      <c r="G150">
        <v>14740</v>
      </c>
      <c r="H150" s="116"/>
      <c r="I150" s="116"/>
      <c r="L150" s="170">
        <v>42219</v>
      </c>
      <c r="M150" s="116">
        <v>713.2</v>
      </c>
      <c r="N150" s="116">
        <v>724.95</v>
      </c>
      <c r="O150" s="116">
        <v>710</v>
      </c>
      <c r="P150" s="116">
        <v>721</v>
      </c>
      <c r="Q150" s="116">
        <v>1426.4</v>
      </c>
      <c r="R150">
        <v>144519</v>
      </c>
    </row>
    <row r="151" spans="1:18" x14ac:dyDescent="0.25">
      <c r="A151" s="170">
        <v>42220</v>
      </c>
      <c r="B151" s="116">
        <v>721.65</v>
      </c>
      <c r="C151" s="116">
        <v>712.5</v>
      </c>
      <c r="D151" s="116">
        <v>707.5</v>
      </c>
      <c r="E151" s="116">
        <v>714.95</v>
      </c>
      <c r="F151" s="116">
        <v>1425</v>
      </c>
      <c r="G151">
        <v>13554</v>
      </c>
      <c r="H151" s="116"/>
      <c r="I151" s="116"/>
      <c r="L151" s="170">
        <v>42220</v>
      </c>
      <c r="M151" s="116">
        <v>712.4</v>
      </c>
      <c r="N151" s="116">
        <v>720.95</v>
      </c>
      <c r="O151" s="116">
        <v>705.75</v>
      </c>
      <c r="P151" s="116">
        <v>713.65</v>
      </c>
      <c r="Q151" s="116">
        <v>1424.8</v>
      </c>
      <c r="R151">
        <v>146036</v>
      </c>
    </row>
    <row r="152" spans="1:18" x14ac:dyDescent="0.25">
      <c r="A152" s="170">
        <v>42221</v>
      </c>
      <c r="B152" s="116">
        <v>744.5</v>
      </c>
      <c r="C152" s="116">
        <v>739.65</v>
      </c>
      <c r="D152" s="116">
        <v>715</v>
      </c>
      <c r="E152" s="116">
        <v>716.65</v>
      </c>
      <c r="F152" s="116">
        <v>1479.3</v>
      </c>
      <c r="G152">
        <v>25695</v>
      </c>
      <c r="H152" s="116"/>
      <c r="I152" s="116"/>
      <c r="L152" s="170">
        <v>42221</v>
      </c>
      <c r="M152" s="116">
        <v>740.02499999999998</v>
      </c>
      <c r="N152" s="116">
        <v>744.5</v>
      </c>
      <c r="O152" s="116">
        <v>715</v>
      </c>
      <c r="P152" s="116">
        <v>716.6</v>
      </c>
      <c r="Q152" s="116">
        <v>1480.05</v>
      </c>
      <c r="R152">
        <v>243025</v>
      </c>
    </row>
    <row r="153" spans="1:18" x14ac:dyDescent="0.25">
      <c r="A153" s="170">
        <v>42222</v>
      </c>
      <c r="B153" s="116">
        <v>747</v>
      </c>
      <c r="C153" s="116">
        <v>741.15</v>
      </c>
      <c r="D153" s="116">
        <v>738.1</v>
      </c>
      <c r="E153" s="116">
        <v>744.5</v>
      </c>
      <c r="F153" s="116">
        <v>1482.3</v>
      </c>
      <c r="G153">
        <v>14067</v>
      </c>
      <c r="H153" s="116"/>
      <c r="I153" s="116"/>
      <c r="L153" s="170">
        <v>42222</v>
      </c>
      <c r="M153" s="116">
        <v>742.72500000000002</v>
      </c>
      <c r="N153" s="116">
        <v>747</v>
      </c>
      <c r="O153" s="116">
        <v>738.02499999999998</v>
      </c>
      <c r="P153" s="116">
        <v>745</v>
      </c>
      <c r="Q153" s="116">
        <v>1485.45</v>
      </c>
      <c r="R153">
        <v>128578</v>
      </c>
    </row>
    <row r="154" spans="1:18" x14ac:dyDescent="0.25">
      <c r="A154" s="170">
        <v>42223</v>
      </c>
      <c r="B154" s="116">
        <v>747.5</v>
      </c>
      <c r="C154" s="116">
        <v>743.1</v>
      </c>
      <c r="D154" s="116">
        <v>740.125</v>
      </c>
      <c r="E154" s="116">
        <v>747</v>
      </c>
      <c r="F154" s="116">
        <v>1486.2</v>
      </c>
      <c r="G154">
        <v>6112</v>
      </c>
      <c r="H154" s="116"/>
      <c r="I154" s="116"/>
      <c r="L154" s="170">
        <v>42223</v>
      </c>
      <c r="M154" s="116">
        <v>742</v>
      </c>
      <c r="N154" s="116">
        <v>748.97500000000002</v>
      </c>
      <c r="O154" s="116">
        <v>739</v>
      </c>
      <c r="P154" s="116">
        <v>747</v>
      </c>
      <c r="Q154" s="116">
        <v>1484</v>
      </c>
      <c r="R154">
        <v>77335</v>
      </c>
    </row>
    <row r="155" spans="1:18" x14ac:dyDescent="0.25">
      <c r="A155" s="170">
        <v>42226</v>
      </c>
      <c r="B155" s="116">
        <v>749.5</v>
      </c>
      <c r="C155" s="116">
        <v>744.8</v>
      </c>
      <c r="D155" s="116">
        <v>741.2</v>
      </c>
      <c r="E155" s="116">
        <v>745.25</v>
      </c>
      <c r="F155" s="116">
        <v>1489.6</v>
      </c>
      <c r="G155">
        <v>9930</v>
      </c>
      <c r="H155" s="116"/>
      <c r="I155" s="116"/>
      <c r="L155" s="170">
        <v>42226</v>
      </c>
      <c r="M155" s="116">
        <v>746</v>
      </c>
      <c r="N155" s="116">
        <v>749.15</v>
      </c>
      <c r="O155" s="116">
        <v>739.52499999999998</v>
      </c>
      <c r="P155" s="116">
        <v>745.5</v>
      </c>
      <c r="Q155" s="116">
        <v>1492</v>
      </c>
      <c r="R155">
        <v>81705</v>
      </c>
    </row>
    <row r="156" spans="1:18" x14ac:dyDescent="0.25">
      <c r="A156" s="170">
        <v>42227</v>
      </c>
      <c r="B156" s="116">
        <v>755</v>
      </c>
      <c r="C156" s="116">
        <v>747.22500000000002</v>
      </c>
      <c r="D156" s="116">
        <v>745</v>
      </c>
      <c r="E156" s="116">
        <v>755</v>
      </c>
      <c r="F156" s="116">
        <v>1494.45</v>
      </c>
      <c r="G156">
        <v>13864</v>
      </c>
      <c r="H156" s="116"/>
      <c r="I156" s="116"/>
      <c r="L156" s="170">
        <v>42227</v>
      </c>
      <c r="M156" s="116">
        <v>746.8</v>
      </c>
      <c r="N156" s="116">
        <v>752.8</v>
      </c>
      <c r="O156" s="116">
        <v>743.55</v>
      </c>
      <c r="P156" s="116">
        <v>749.125</v>
      </c>
      <c r="Q156" s="116">
        <v>1493.6</v>
      </c>
      <c r="R156">
        <v>104967</v>
      </c>
    </row>
    <row r="157" spans="1:18" x14ac:dyDescent="0.25">
      <c r="A157" s="170">
        <v>42228</v>
      </c>
      <c r="B157" s="116">
        <v>769.5</v>
      </c>
      <c r="C157" s="116">
        <v>759.75</v>
      </c>
      <c r="D157" s="116">
        <v>742</v>
      </c>
      <c r="E157" s="116">
        <v>745</v>
      </c>
      <c r="F157" s="116">
        <v>1519.5</v>
      </c>
      <c r="G157">
        <v>20992</v>
      </c>
      <c r="H157" s="116"/>
      <c r="I157" s="116"/>
      <c r="L157" s="170">
        <v>42228</v>
      </c>
      <c r="M157" s="116">
        <v>760.97500000000002</v>
      </c>
      <c r="N157" s="116">
        <v>769.85</v>
      </c>
      <c r="O157" s="116">
        <v>740.625</v>
      </c>
      <c r="P157" s="116">
        <v>743</v>
      </c>
      <c r="Q157" s="116">
        <v>1521.95</v>
      </c>
      <c r="R157">
        <v>260461</v>
      </c>
    </row>
    <row r="158" spans="1:18" x14ac:dyDescent="0.25">
      <c r="A158" s="170">
        <v>42229</v>
      </c>
      <c r="B158" s="116">
        <v>769</v>
      </c>
      <c r="C158" s="116">
        <v>757.55</v>
      </c>
      <c r="D158" s="116">
        <v>743.5</v>
      </c>
      <c r="E158" s="116">
        <v>769</v>
      </c>
      <c r="F158" s="116">
        <v>1515.1</v>
      </c>
      <c r="G158">
        <v>8773</v>
      </c>
      <c r="H158" s="116"/>
      <c r="I158" s="116"/>
      <c r="L158" s="170">
        <v>42229</v>
      </c>
      <c r="M158" s="116">
        <v>758.2</v>
      </c>
      <c r="N158" s="116">
        <v>770</v>
      </c>
      <c r="O158" s="116">
        <v>743.57500000000005</v>
      </c>
      <c r="P158" s="116">
        <v>765.15</v>
      </c>
      <c r="Q158" s="116">
        <v>1516.4</v>
      </c>
      <c r="R158">
        <v>102107</v>
      </c>
    </row>
    <row r="159" spans="1:18" x14ac:dyDescent="0.25">
      <c r="A159" s="170">
        <v>42230</v>
      </c>
      <c r="B159" s="116">
        <v>802.95</v>
      </c>
      <c r="C159" s="116">
        <v>784.17499999999995</v>
      </c>
      <c r="D159" s="116">
        <v>772.5</v>
      </c>
      <c r="E159" s="116">
        <v>776.9</v>
      </c>
      <c r="F159" s="116">
        <v>1568.35</v>
      </c>
      <c r="G159">
        <v>40744</v>
      </c>
      <c r="H159" s="116"/>
      <c r="I159" s="116"/>
      <c r="L159" s="170">
        <v>42230</v>
      </c>
      <c r="M159" s="116">
        <v>782.9</v>
      </c>
      <c r="N159" s="116">
        <v>802.9</v>
      </c>
      <c r="O159" s="116">
        <v>771</v>
      </c>
      <c r="P159" s="116">
        <v>772</v>
      </c>
      <c r="Q159" s="116">
        <v>1565.8</v>
      </c>
      <c r="R159">
        <v>290480</v>
      </c>
    </row>
    <row r="160" spans="1:18" x14ac:dyDescent="0.25">
      <c r="A160" s="170">
        <v>42233</v>
      </c>
      <c r="B160" s="116">
        <v>811</v>
      </c>
      <c r="C160" s="116">
        <v>799.92499999999995</v>
      </c>
      <c r="D160" s="116">
        <v>775.05</v>
      </c>
      <c r="E160" s="116">
        <v>790</v>
      </c>
      <c r="F160" s="116">
        <v>1599.85</v>
      </c>
      <c r="G160">
        <v>17002</v>
      </c>
      <c r="H160" s="116"/>
      <c r="I160" s="116"/>
      <c r="L160" s="170">
        <v>42233</v>
      </c>
      <c r="M160" s="116">
        <v>799.57500000000005</v>
      </c>
      <c r="N160" s="116">
        <v>811.02499999999998</v>
      </c>
      <c r="O160" s="116">
        <v>775.17499999999995</v>
      </c>
      <c r="P160" s="116">
        <v>782.75</v>
      </c>
      <c r="Q160" s="116">
        <v>1599.15</v>
      </c>
      <c r="R160">
        <v>125266</v>
      </c>
    </row>
    <row r="161" spans="1:18" x14ac:dyDescent="0.25">
      <c r="A161" s="170">
        <v>42234</v>
      </c>
      <c r="B161" s="116">
        <v>825</v>
      </c>
      <c r="C161" s="116">
        <v>802.25</v>
      </c>
      <c r="D161" s="116">
        <v>797.5</v>
      </c>
      <c r="E161" s="116">
        <v>815.67499999999995</v>
      </c>
      <c r="F161" s="116">
        <v>1604.5</v>
      </c>
      <c r="G161">
        <v>19018</v>
      </c>
      <c r="H161" s="116"/>
      <c r="I161" s="116"/>
      <c r="L161" s="170">
        <v>42234</v>
      </c>
      <c r="M161" s="116">
        <v>801.45</v>
      </c>
      <c r="N161" s="116">
        <v>822</v>
      </c>
      <c r="O161" s="116">
        <v>797.625</v>
      </c>
      <c r="P161" s="116">
        <v>822</v>
      </c>
      <c r="Q161" s="116">
        <v>1602.9</v>
      </c>
      <c r="R161">
        <v>135279</v>
      </c>
    </row>
    <row r="162" spans="1:18" x14ac:dyDescent="0.25">
      <c r="A162" s="170">
        <v>42235</v>
      </c>
      <c r="B162" s="116">
        <v>813.22500000000002</v>
      </c>
      <c r="C162" s="116">
        <v>802.65</v>
      </c>
      <c r="D162" s="116">
        <v>793.72500000000002</v>
      </c>
      <c r="E162" s="116">
        <v>802.2</v>
      </c>
      <c r="F162" s="116">
        <v>1605.3</v>
      </c>
      <c r="G162">
        <v>15356</v>
      </c>
      <c r="H162" s="116"/>
      <c r="I162" s="116"/>
      <c r="L162" s="170">
        <v>42235</v>
      </c>
      <c r="M162" s="116">
        <v>803.97500000000002</v>
      </c>
      <c r="N162" s="116">
        <v>814</v>
      </c>
      <c r="O162" s="116">
        <v>792.6</v>
      </c>
      <c r="P162" s="116">
        <v>806.45</v>
      </c>
      <c r="Q162" s="116">
        <v>1607.95</v>
      </c>
      <c r="R162">
        <v>101795</v>
      </c>
    </row>
    <row r="163" spans="1:18" x14ac:dyDescent="0.25">
      <c r="A163" s="170">
        <v>42236</v>
      </c>
      <c r="B163" s="116">
        <v>837.3</v>
      </c>
      <c r="C163" s="116">
        <v>801.42499999999995</v>
      </c>
      <c r="D163" s="116">
        <v>798.27499999999998</v>
      </c>
      <c r="E163" s="116">
        <v>819</v>
      </c>
      <c r="F163" s="116">
        <v>1602.85</v>
      </c>
      <c r="G163">
        <v>34190</v>
      </c>
      <c r="H163" s="116"/>
      <c r="I163" s="116"/>
      <c r="L163" s="170">
        <v>42236</v>
      </c>
      <c r="M163" s="116">
        <v>802.52499999999998</v>
      </c>
      <c r="N163" s="116">
        <v>837.375</v>
      </c>
      <c r="O163" s="116">
        <v>797.5</v>
      </c>
      <c r="P163" s="116">
        <v>804.5</v>
      </c>
      <c r="Q163" s="116">
        <v>1605.05</v>
      </c>
      <c r="R163">
        <v>240573</v>
      </c>
    </row>
    <row r="164" spans="1:18" x14ac:dyDescent="0.25">
      <c r="A164" s="170">
        <v>42237</v>
      </c>
      <c r="B164" s="116">
        <v>834.5</v>
      </c>
      <c r="C164" s="116">
        <v>822.17499999999995</v>
      </c>
      <c r="D164" s="116">
        <v>793.375</v>
      </c>
      <c r="E164" s="116">
        <v>800</v>
      </c>
      <c r="F164" s="116">
        <v>1644.35</v>
      </c>
      <c r="G164">
        <v>28547</v>
      </c>
      <c r="H164" s="116"/>
      <c r="I164" s="116"/>
      <c r="L164" s="170">
        <v>42237</v>
      </c>
      <c r="M164" s="116">
        <v>820.72500000000002</v>
      </c>
      <c r="N164" s="116">
        <v>834.5</v>
      </c>
      <c r="O164" s="116">
        <v>792</v>
      </c>
      <c r="P164" s="116">
        <v>807</v>
      </c>
      <c r="Q164" s="116">
        <v>1641.45</v>
      </c>
      <c r="R164">
        <v>189026</v>
      </c>
    </row>
    <row r="165" spans="1:18" x14ac:dyDescent="0.25">
      <c r="A165" s="170">
        <v>42240</v>
      </c>
      <c r="B165" s="116">
        <v>805</v>
      </c>
      <c r="C165" s="116">
        <v>743.625</v>
      </c>
      <c r="D165" s="116">
        <v>725.02499999999998</v>
      </c>
      <c r="E165" s="116">
        <v>799.5</v>
      </c>
      <c r="F165" s="116">
        <v>1487.25</v>
      </c>
      <c r="G165">
        <v>41433</v>
      </c>
      <c r="H165" s="116"/>
      <c r="I165" s="116"/>
      <c r="L165" s="170">
        <v>42240</v>
      </c>
      <c r="M165" s="116">
        <v>737.57500000000005</v>
      </c>
      <c r="N165" s="116">
        <v>805</v>
      </c>
      <c r="O165" s="116">
        <v>725</v>
      </c>
      <c r="P165" s="116">
        <v>795</v>
      </c>
      <c r="Q165" s="116">
        <v>1475.15</v>
      </c>
      <c r="R165">
        <v>221177</v>
      </c>
    </row>
    <row r="166" spans="1:18" x14ac:dyDescent="0.25">
      <c r="A166" s="170">
        <v>42241</v>
      </c>
      <c r="B166" s="116">
        <v>780</v>
      </c>
      <c r="C166" s="116">
        <v>772</v>
      </c>
      <c r="D166" s="116">
        <v>687.5</v>
      </c>
      <c r="E166" s="116">
        <v>746</v>
      </c>
      <c r="F166" s="116">
        <v>1544</v>
      </c>
      <c r="G166">
        <v>27418</v>
      </c>
      <c r="H166" s="116"/>
      <c r="I166" s="116"/>
      <c r="L166" s="170">
        <v>42241</v>
      </c>
      <c r="M166" s="116">
        <v>772.05</v>
      </c>
      <c r="N166" s="116">
        <v>780.5</v>
      </c>
      <c r="O166" s="116">
        <v>695.02499999999998</v>
      </c>
      <c r="P166" s="116">
        <v>756</v>
      </c>
      <c r="Q166" s="116">
        <v>1544.1</v>
      </c>
      <c r="R166">
        <v>380466</v>
      </c>
    </row>
    <row r="167" spans="1:18" x14ac:dyDescent="0.25">
      <c r="A167" s="170">
        <v>42242</v>
      </c>
      <c r="B167" s="116">
        <v>803.1</v>
      </c>
      <c r="C167" s="116">
        <v>784.07500000000005</v>
      </c>
      <c r="D167" s="116">
        <v>761.3</v>
      </c>
      <c r="E167" s="116">
        <v>773.5</v>
      </c>
      <c r="F167" s="116">
        <v>1568.15</v>
      </c>
      <c r="G167">
        <v>20617</v>
      </c>
      <c r="H167" s="116"/>
      <c r="I167" s="116"/>
      <c r="L167" s="170">
        <v>42242</v>
      </c>
      <c r="M167" s="116">
        <v>785.02499999999998</v>
      </c>
      <c r="N167" s="116">
        <v>802</v>
      </c>
      <c r="O167" s="116">
        <v>761.1</v>
      </c>
      <c r="P167" s="116">
        <v>772.45</v>
      </c>
      <c r="Q167" s="116">
        <v>1570.05</v>
      </c>
      <c r="R167">
        <v>161750</v>
      </c>
    </row>
    <row r="168" spans="1:18" x14ac:dyDescent="0.25">
      <c r="A168" s="170">
        <v>42243</v>
      </c>
      <c r="B168" s="116">
        <v>827.375</v>
      </c>
      <c r="C168" s="116">
        <v>801.55</v>
      </c>
      <c r="D168" s="116">
        <v>795</v>
      </c>
      <c r="E168" s="116">
        <v>800</v>
      </c>
      <c r="F168" s="116">
        <v>1603.1</v>
      </c>
      <c r="G168">
        <v>23986</v>
      </c>
      <c r="H168" s="116"/>
      <c r="I168" s="116"/>
      <c r="L168" s="170">
        <v>42243</v>
      </c>
      <c r="M168" s="116">
        <v>802.57500000000005</v>
      </c>
      <c r="N168" s="116">
        <v>828</v>
      </c>
      <c r="O168" s="116">
        <v>797.5</v>
      </c>
      <c r="P168" s="116">
        <v>805</v>
      </c>
      <c r="Q168" s="116">
        <v>1605.15</v>
      </c>
      <c r="R168">
        <v>191463</v>
      </c>
    </row>
    <row r="169" spans="1:18" x14ac:dyDescent="0.25">
      <c r="A169" s="170">
        <v>42244</v>
      </c>
      <c r="B169" s="116">
        <v>818</v>
      </c>
      <c r="C169" s="116">
        <v>807.25</v>
      </c>
      <c r="D169" s="116">
        <v>799.85</v>
      </c>
      <c r="E169" s="116">
        <v>817.75</v>
      </c>
      <c r="F169" s="116">
        <v>1614.5</v>
      </c>
      <c r="G169">
        <v>16019</v>
      </c>
      <c r="H169" s="116"/>
      <c r="I169" s="116"/>
      <c r="L169" s="170">
        <v>42244</v>
      </c>
      <c r="M169" s="116">
        <v>807.32500000000005</v>
      </c>
      <c r="N169" s="116">
        <v>823.625</v>
      </c>
      <c r="O169" s="116">
        <v>798.77499999999998</v>
      </c>
      <c r="P169" s="116">
        <v>815.4</v>
      </c>
      <c r="Q169" s="116">
        <v>1614.65</v>
      </c>
      <c r="R169">
        <v>151974</v>
      </c>
    </row>
    <row r="170" spans="1:18" x14ac:dyDescent="0.25">
      <c r="A170" s="170">
        <v>42247</v>
      </c>
      <c r="B170" s="116">
        <v>810</v>
      </c>
      <c r="C170" s="116">
        <v>802.95</v>
      </c>
      <c r="D170" s="116">
        <v>799.17499999999995</v>
      </c>
      <c r="E170" s="116">
        <v>805.57500000000005</v>
      </c>
      <c r="F170" s="116">
        <v>1605.9</v>
      </c>
      <c r="G170">
        <v>6481</v>
      </c>
      <c r="H170" s="116"/>
      <c r="I170" s="116"/>
      <c r="L170" s="170">
        <v>42247</v>
      </c>
      <c r="M170" s="116">
        <v>803.5</v>
      </c>
      <c r="N170" s="116">
        <v>810</v>
      </c>
      <c r="O170" s="116">
        <v>797.8</v>
      </c>
      <c r="P170" s="116">
        <v>801.6</v>
      </c>
      <c r="Q170" s="116">
        <v>1607</v>
      </c>
      <c r="R170">
        <v>98185</v>
      </c>
    </row>
    <row r="171" spans="1:18" x14ac:dyDescent="0.25">
      <c r="A171" s="170">
        <v>42248</v>
      </c>
      <c r="B171" s="116">
        <v>860</v>
      </c>
      <c r="C171" s="116">
        <v>820.15</v>
      </c>
      <c r="D171" s="116">
        <v>792.07500000000005</v>
      </c>
      <c r="E171" s="116">
        <v>809.85</v>
      </c>
      <c r="F171" s="116">
        <v>1640.3</v>
      </c>
      <c r="G171">
        <v>62487</v>
      </c>
      <c r="H171" s="116"/>
      <c r="I171" s="116"/>
      <c r="L171" s="170">
        <v>42248</v>
      </c>
      <c r="M171" s="116">
        <v>817.9</v>
      </c>
      <c r="N171" s="116">
        <v>859.2</v>
      </c>
      <c r="O171" s="116">
        <v>791.57500000000005</v>
      </c>
      <c r="P171" s="116">
        <v>800</v>
      </c>
      <c r="Q171" s="116">
        <v>1635.8</v>
      </c>
      <c r="R171">
        <v>498744</v>
      </c>
    </row>
    <row r="172" spans="1:18" x14ac:dyDescent="0.25">
      <c r="A172" s="170">
        <v>42249</v>
      </c>
      <c r="B172" s="116">
        <v>837.5</v>
      </c>
      <c r="C172" s="116">
        <v>812.15</v>
      </c>
      <c r="D172" s="116">
        <v>810.3</v>
      </c>
      <c r="E172" s="116">
        <v>825.5</v>
      </c>
      <c r="F172" s="116">
        <v>1624.3</v>
      </c>
      <c r="G172">
        <v>24196</v>
      </c>
      <c r="H172" s="116"/>
      <c r="I172" s="116"/>
      <c r="L172" s="170">
        <v>42249</v>
      </c>
      <c r="M172" s="116">
        <v>812.75</v>
      </c>
      <c r="N172" s="116">
        <v>837.57500000000005</v>
      </c>
      <c r="O172" s="116">
        <v>810.57500000000005</v>
      </c>
      <c r="P172" s="116">
        <v>822.35</v>
      </c>
      <c r="Q172" s="116">
        <v>1625.5</v>
      </c>
      <c r="R172">
        <v>181067</v>
      </c>
    </row>
    <row r="173" spans="1:18" x14ac:dyDescent="0.25">
      <c r="A173" s="170">
        <v>42250</v>
      </c>
      <c r="B173" s="116">
        <v>850</v>
      </c>
      <c r="C173" s="116">
        <v>824.65</v>
      </c>
      <c r="D173" s="116">
        <v>814.57500000000005</v>
      </c>
      <c r="E173" s="116">
        <v>823.75</v>
      </c>
      <c r="F173" s="116">
        <v>1649.3</v>
      </c>
      <c r="G173">
        <v>17221</v>
      </c>
      <c r="H173" s="116"/>
      <c r="I173" s="116"/>
      <c r="L173" s="170">
        <v>42250</v>
      </c>
      <c r="M173" s="116">
        <v>825</v>
      </c>
      <c r="N173" s="116">
        <v>837.5</v>
      </c>
      <c r="O173" s="116">
        <v>814.05</v>
      </c>
      <c r="P173" s="116">
        <v>822.32500000000005</v>
      </c>
      <c r="Q173" s="116">
        <v>1650</v>
      </c>
      <c r="R173">
        <v>410694</v>
      </c>
    </row>
    <row r="174" spans="1:18" x14ac:dyDescent="0.25">
      <c r="A174" s="170">
        <v>42251</v>
      </c>
      <c r="B174" s="116">
        <v>825</v>
      </c>
      <c r="C174" s="116">
        <v>795.57500000000005</v>
      </c>
      <c r="D174" s="116">
        <v>782.5</v>
      </c>
      <c r="E174" s="116">
        <v>825</v>
      </c>
      <c r="F174" s="116">
        <v>1591.15</v>
      </c>
      <c r="G174">
        <v>12041</v>
      </c>
      <c r="H174" s="116"/>
      <c r="I174" s="116"/>
      <c r="L174" s="170">
        <v>42251</v>
      </c>
      <c r="M174" s="116">
        <v>794.67499999999995</v>
      </c>
      <c r="N174" s="116">
        <v>829.97500000000002</v>
      </c>
      <c r="O174" s="116">
        <v>781.57500000000005</v>
      </c>
      <c r="P174" s="116">
        <v>829.97500000000002</v>
      </c>
      <c r="Q174" s="116">
        <v>1589.35</v>
      </c>
      <c r="R174">
        <v>143138</v>
      </c>
    </row>
    <row r="175" spans="1:18" x14ac:dyDescent="0.25">
      <c r="A175" s="170">
        <v>42254</v>
      </c>
      <c r="B175" s="116">
        <v>797.5</v>
      </c>
      <c r="C175" s="116">
        <v>763.9</v>
      </c>
      <c r="D175" s="116">
        <v>756.52499999999998</v>
      </c>
      <c r="E175" s="116">
        <v>797.5</v>
      </c>
      <c r="F175" s="116">
        <v>1527.8</v>
      </c>
      <c r="G175">
        <v>15016</v>
      </c>
      <c r="H175" s="116"/>
      <c r="I175" s="116"/>
      <c r="L175" s="170">
        <v>42254</v>
      </c>
      <c r="M175" s="116">
        <v>764.35</v>
      </c>
      <c r="N175" s="116">
        <v>797.5</v>
      </c>
      <c r="O175" s="116">
        <v>757.47500000000002</v>
      </c>
      <c r="P175" s="116">
        <v>797.5</v>
      </c>
      <c r="Q175" s="116">
        <v>1528.7</v>
      </c>
      <c r="R175">
        <v>139770</v>
      </c>
    </row>
    <row r="176" spans="1:18" x14ac:dyDescent="0.25">
      <c r="A176" s="170">
        <v>42255</v>
      </c>
      <c r="B176" s="116">
        <v>784.5</v>
      </c>
      <c r="C176" s="116">
        <v>771.27499999999998</v>
      </c>
      <c r="D176" s="116">
        <v>735</v>
      </c>
      <c r="E176" s="116">
        <v>760</v>
      </c>
      <c r="F176" s="116">
        <v>1542.55</v>
      </c>
      <c r="G176">
        <v>21284</v>
      </c>
      <c r="H176" s="116"/>
      <c r="I176" s="116"/>
      <c r="L176" s="170">
        <v>42255</v>
      </c>
      <c r="M176" s="116">
        <v>767.2</v>
      </c>
      <c r="N176" s="116">
        <v>785</v>
      </c>
      <c r="O176" s="116">
        <v>736.82500000000005</v>
      </c>
      <c r="P176" s="116">
        <v>766.45</v>
      </c>
      <c r="Q176" s="116">
        <v>1534.4</v>
      </c>
      <c r="R176">
        <v>189917</v>
      </c>
    </row>
    <row r="177" spans="1:18" x14ac:dyDescent="0.25">
      <c r="A177" s="170">
        <v>42256</v>
      </c>
      <c r="B177" s="116">
        <v>787.2</v>
      </c>
      <c r="C177" s="116">
        <v>744.75</v>
      </c>
      <c r="D177" s="116">
        <v>740</v>
      </c>
      <c r="E177" s="116">
        <v>768</v>
      </c>
      <c r="F177" s="116">
        <v>1489.5</v>
      </c>
      <c r="G177">
        <v>22128</v>
      </c>
      <c r="H177" s="116"/>
      <c r="I177" s="116"/>
      <c r="L177" s="170">
        <v>42256</v>
      </c>
      <c r="M177" s="116">
        <v>744.55</v>
      </c>
      <c r="N177" s="116">
        <v>787.2</v>
      </c>
      <c r="O177" s="116">
        <v>741</v>
      </c>
      <c r="P177" s="116">
        <v>779.75</v>
      </c>
      <c r="Q177" s="116">
        <v>1489.1</v>
      </c>
      <c r="R177">
        <v>147422</v>
      </c>
    </row>
    <row r="178" spans="1:18" x14ac:dyDescent="0.25">
      <c r="A178" s="170">
        <v>42257</v>
      </c>
      <c r="B178" s="116">
        <v>730</v>
      </c>
      <c r="C178" s="116">
        <v>708.8</v>
      </c>
      <c r="D178" s="116">
        <v>705.3</v>
      </c>
      <c r="E178" s="116">
        <v>730</v>
      </c>
      <c r="F178" s="116">
        <v>1417.6</v>
      </c>
      <c r="G178">
        <v>29421</v>
      </c>
      <c r="H178" s="116"/>
      <c r="I178" s="116"/>
      <c r="L178" s="170">
        <v>42257</v>
      </c>
      <c r="M178" s="116">
        <v>707.82500000000005</v>
      </c>
      <c r="N178" s="116">
        <v>730</v>
      </c>
      <c r="O178" s="116">
        <v>703.45</v>
      </c>
      <c r="P178" s="116">
        <v>725.17499999999995</v>
      </c>
      <c r="Q178" s="116">
        <v>1415.65</v>
      </c>
      <c r="R178">
        <v>226913</v>
      </c>
    </row>
    <row r="179" spans="1:18" x14ac:dyDescent="0.25">
      <c r="A179" s="170">
        <v>42258</v>
      </c>
      <c r="B179" s="116">
        <v>735</v>
      </c>
      <c r="C179" s="116">
        <v>711.92499999999995</v>
      </c>
      <c r="D179" s="116">
        <v>707.5</v>
      </c>
      <c r="E179" s="116">
        <v>713.75</v>
      </c>
      <c r="F179" s="116">
        <v>1423.85</v>
      </c>
      <c r="G179">
        <v>23009</v>
      </c>
      <c r="H179" s="116"/>
      <c r="I179" s="116"/>
      <c r="L179" s="170">
        <v>42258</v>
      </c>
      <c r="M179" s="116">
        <v>710.625</v>
      </c>
      <c r="N179" s="116">
        <v>735.5</v>
      </c>
      <c r="O179" s="116">
        <v>706.75</v>
      </c>
      <c r="P179" s="116">
        <v>709.75</v>
      </c>
      <c r="Q179" s="116">
        <v>1421.25</v>
      </c>
      <c r="R179">
        <v>208672</v>
      </c>
    </row>
    <row r="180" spans="1:18" x14ac:dyDescent="0.25">
      <c r="A180" s="170">
        <v>42261</v>
      </c>
      <c r="B180" s="116">
        <v>734.5</v>
      </c>
      <c r="C180" s="116">
        <v>729.7</v>
      </c>
      <c r="D180" s="116">
        <v>717.05</v>
      </c>
      <c r="E180" s="116">
        <v>720.625</v>
      </c>
      <c r="F180" s="116">
        <v>1459.4</v>
      </c>
      <c r="G180">
        <v>15459</v>
      </c>
      <c r="H180" s="116"/>
      <c r="I180" s="116"/>
      <c r="L180" s="170">
        <v>42261</v>
      </c>
      <c r="M180" s="116">
        <v>729.22500000000002</v>
      </c>
      <c r="N180" s="116">
        <v>735</v>
      </c>
      <c r="O180" s="116">
        <v>713.875</v>
      </c>
      <c r="P180" s="116">
        <v>717.5</v>
      </c>
      <c r="Q180" s="116">
        <v>1458.45</v>
      </c>
      <c r="R180">
        <v>195140</v>
      </c>
    </row>
    <row r="181" spans="1:18" x14ac:dyDescent="0.25">
      <c r="A181" s="170">
        <v>42262</v>
      </c>
      <c r="B181" s="116">
        <v>754.72500000000002</v>
      </c>
      <c r="C181" s="116">
        <v>751.65</v>
      </c>
      <c r="D181" s="116">
        <v>730.5</v>
      </c>
      <c r="E181" s="116">
        <v>730.5</v>
      </c>
      <c r="F181" s="116">
        <v>1503.3</v>
      </c>
      <c r="G181">
        <v>23834</v>
      </c>
      <c r="H181" s="116"/>
      <c r="I181" s="116"/>
      <c r="L181" s="170">
        <v>42262</v>
      </c>
      <c r="M181" s="116">
        <v>751.2</v>
      </c>
      <c r="N181" s="116">
        <v>754.95</v>
      </c>
      <c r="O181" s="116">
        <v>731.45</v>
      </c>
      <c r="P181" s="116">
        <v>731.45</v>
      </c>
      <c r="Q181" s="116">
        <v>1502.4</v>
      </c>
      <c r="R181">
        <v>153843</v>
      </c>
    </row>
    <row r="182" spans="1:18" x14ac:dyDescent="0.25">
      <c r="A182" s="170">
        <v>42263</v>
      </c>
      <c r="B182" s="116">
        <v>757.5</v>
      </c>
      <c r="C182" s="116">
        <v>736.15</v>
      </c>
      <c r="D182" s="116">
        <v>730</v>
      </c>
      <c r="E182" s="116">
        <v>755</v>
      </c>
      <c r="F182" s="116">
        <v>1472.3</v>
      </c>
      <c r="G182">
        <v>14174</v>
      </c>
      <c r="H182" s="116"/>
      <c r="I182" s="116"/>
      <c r="L182" s="170">
        <v>42263</v>
      </c>
      <c r="M182" s="116">
        <v>735.85</v>
      </c>
      <c r="N182" s="116">
        <v>758.5</v>
      </c>
      <c r="O182" s="116">
        <v>729</v>
      </c>
      <c r="P182" s="116">
        <v>756</v>
      </c>
      <c r="Q182" s="116">
        <v>1471.7</v>
      </c>
      <c r="R182">
        <v>187783</v>
      </c>
    </row>
    <row r="183" spans="1:18" x14ac:dyDescent="0.25">
      <c r="A183" s="170">
        <v>42265</v>
      </c>
      <c r="B183" s="116">
        <v>764.42499999999995</v>
      </c>
      <c r="C183" s="116">
        <v>708</v>
      </c>
      <c r="D183" s="116">
        <v>698</v>
      </c>
      <c r="E183" s="116">
        <v>726</v>
      </c>
      <c r="F183" s="116">
        <v>1416</v>
      </c>
      <c r="G183">
        <v>37288</v>
      </c>
      <c r="H183" s="116"/>
      <c r="I183" s="116"/>
      <c r="L183" s="170">
        <v>42265</v>
      </c>
      <c r="M183" s="116">
        <v>708.45</v>
      </c>
      <c r="N183" s="116">
        <v>765.45</v>
      </c>
      <c r="O183" s="116">
        <v>696</v>
      </c>
      <c r="P183" s="116">
        <v>744.95</v>
      </c>
      <c r="Q183" s="116">
        <v>1416.9</v>
      </c>
      <c r="R183">
        <v>859748</v>
      </c>
    </row>
    <row r="184" spans="1:18" x14ac:dyDescent="0.25">
      <c r="A184" s="170">
        <v>42268</v>
      </c>
      <c r="B184" s="116">
        <v>720.5</v>
      </c>
      <c r="C184" s="116">
        <v>717.02499999999998</v>
      </c>
      <c r="D184" s="116">
        <v>698</v>
      </c>
      <c r="E184" s="116">
        <v>707.67499999999995</v>
      </c>
      <c r="F184" s="116">
        <v>1434.05</v>
      </c>
      <c r="G184">
        <v>26867</v>
      </c>
      <c r="H184" s="116"/>
      <c r="I184" s="116"/>
      <c r="L184" s="170">
        <v>42268</v>
      </c>
      <c r="M184" s="116">
        <v>718.95</v>
      </c>
      <c r="N184" s="116">
        <v>722.45</v>
      </c>
      <c r="O184" s="116">
        <v>697.5</v>
      </c>
      <c r="P184" s="116">
        <v>709.75</v>
      </c>
      <c r="Q184" s="116">
        <v>1437.9</v>
      </c>
      <c r="R184">
        <v>208680</v>
      </c>
    </row>
    <row r="185" spans="1:18" x14ac:dyDescent="0.25">
      <c r="A185" s="170">
        <v>42269</v>
      </c>
      <c r="B185" s="116">
        <v>727.25</v>
      </c>
      <c r="C185" s="116">
        <v>700.52499999999998</v>
      </c>
      <c r="D185" s="116">
        <v>696.5</v>
      </c>
      <c r="E185" s="116">
        <v>710.55</v>
      </c>
      <c r="F185" s="116">
        <v>1401.05</v>
      </c>
      <c r="G185">
        <v>26716</v>
      </c>
      <c r="H185" s="116"/>
      <c r="I185" s="116"/>
      <c r="L185" s="170">
        <v>42269</v>
      </c>
      <c r="M185" s="116">
        <v>700.55</v>
      </c>
      <c r="N185" s="116">
        <v>727.5</v>
      </c>
      <c r="O185" s="116">
        <v>696</v>
      </c>
      <c r="P185" s="116">
        <v>726</v>
      </c>
      <c r="Q185" s="116">
        <v>1401.1</v>
      </c>
      <c r="R185">
        <v>152804</v>
      </c>
    </row>
    <row r="186" spans="1:18" x14ac:dyDescent="0.25">
      <c r="A186" s="170">
        <v>42270</v>
      </c>
      <c r="B186" s="116">
        <v>700</v>
      </c>
      <c r="C186" s="116">
        <v>692.15</v>
      </c>
      <c r="D186" s="116">
        <v>690</v>
      </c>
      <c r="E186" s="116">
        <v>693.75</v>
      </c>
      <c r="F186" s="116">
        <v>1384.3</v>
      </c>
      <c r="G186">
        <v>18583</v>
      </c>
      <c r="H186" s="116"/>
      <c r="I186" s="116"/>
      <c r="L186" s="170">
        <v>42270</v>
      </c>
      <c r="M186" s="116">
        <v>692.47500000000002</v>
      </c>
      <c r="N186" s="116">
        <v>700.5</v>
      </c>
      <c r="O186" s="116">
        <v>688.75</v>
      </c>
      <c r="P186" s="116">
        <v>693.05</v>
      </c>
      <c r="Q186" s="116">
        <v>1384.95</v>
      </c>
      <c r="R186">
        <v>156174</v>
      </c>
    </row>
    <row r="187" spans="1:18" x14ac:dyDescent="0.25">
      <c r="A187" s="170">
        <v>42271</v>
      </c>
      <c r="B187" s="116">
        <v>707</v>
      </c>
      <c r="C187" s="116">
        <v>700.2</v>
      </c>
      <c r="D187" s="116">
        <v>692.5</v>
      </c>
      <c r="E187" s="116">
        <v>692.5</v>
      </c>
      <c r="F187" s="116">
        <v>1400.4</v>
      </c>
      <c r="G187">
        <v>16845</v>
      </c>
      <c r="H187" s="116"/>
      <c r="I187" s="116"/>
      <c r="L187" s="170">
        <v>42271</v>
      </c>
      <c r="M187" s="116">
        <v>700.35</v>
      </c>
      <c r="N187" s="116">
        <v>708.5</v>
      </c>
      <c r="O187" s="116">
        <v>694.82500000000005</v>
      </c>
      <c r="P187" s="116">
        <v>701</v>
      </c>
      <c r="Q187" s="116">
        <v>1400.7</v>
      </c>
      <c r="R187">
        <v>179079</v>
      </c>
    </row>
    <row r="188" spans="1:18" x14ac:dyDescent="0.25">
      <c r="A188" s="170">
        <v>42275</v>
      </c>
      <c r="B188" s="116">
        <v>712.02499999999998</v>
      </c>
      <c r="C188" s="116">
        <v>699.375</v>
      </c>
      <c r="D188" s="116">
        <v>696.15</v>
      </c>
      <c r="E188" s="116">
        <v>702.5</v>
      </c>
      <c r="F188" s="116">
        <v>1398.75</v>
      </c>
      <c r="G188">
        <v>19422</v>
      </c>
      <c r="H188" s="116"/>
      <c r="I188" s="116"/>
      <c r="L188" s="170">
        <v>42275</v>
      </c>
      <c r="M188" s="116">
        <v>698.32500000000005</v>
      </c>
      <c r="N188" s="116">
        <v>712</v>
      </c>
      <c r="O188" s="116">
        <v>695.625</v>
      </c>
      <c r="P188" s="116">
        <v>706.32500000000005</v>
      </c>
      <c r="Q188" s="116">
        <v>1396.65</v>
      </c>
      <c r="R188">
        <v>189252</v>
      </c>
    </row>
    <row r="189" spans="1:18" x14ac:dyDescent="0.25">
      <c r="A189" s="170">
        <v>42276</v>
      </c>
      <c r="B189" s="116">
        <v>708</v>
      </c>
      <c r="C189" s="116">
        <v>702.2</v>
      </c>
      <c r="D189" s="116">
        <v>689.5</v>
      </c>
      <c r="E189" s="116">
        <v>692.8</v>
      </c>
      <c r="F189" s="116">
        <v>1404.4</v>
      </c>
      <c r="G189">
        <v>10669</v>
      </c>
      <c r="H189" s="116"/>
      <c r="I189" s="116"/>
      <c r="L189" s="170">
        <v>42276</v>
      </c>
      <c r="M189" s="116">
        <v>703.8</v>
      </c>
      <c r="N189" s="116">
        <v>709.45</v>
      </c>
      <c r="O189" s="116">
        <v>687.5</v>
      </c>
      <c r="P189" s="116">
        <v>696.5</v>
      </c>
      <c r="Q189" s="116">
        <v>1407.6</v>
      </c>
      <c r="R189">
        <v>138548</v>
      </c>
    </row>
    <row r="190" spans="1:18" x14ac:dyDescent="0.25">
      <c r="A190" s="170">
        <v>42277</v>
      </c>
      <c r="B190" s="116">
        <v>758</v>
      </c>
      <c r="C190" s="116">
        <v>749.92499999999995</v>
      </c>
      <c r="D190" s="116">
        <v>706</v>
      </c>
      <c r="E190" s="116">
        <v>708.55</v>
      </c>
      <c r="F190" s="116">
        <v>1499.85</v>
      </c>
      <c r="G190">
        <v>43527</v>
      </c>
      <c r="H190" s="116"/>
      <c r="I190" s="116"/>
      <c r="L190" s="170">
        <v>42277</v>
      </c>
      <c r="M190" s="116">
        <v>751.125</v>
      </c>
      <c r="N190" s="116">
        <v>755</v>
      </c>
      <c r="O190" s="116">
        <v>705.2</v>
      </c>
      <c r="P190" s="116">
        <v>708.5</v>
      </c>
      <c r="Q190" s="116">
        <v>1502.25</v>
      </c>
      <c r="R190">
        <v>282808</v>
      </c>
    </row>
    <row r="191" spans="1:18" x14ac:dyDescent="0.25">
      <c r="A191" s="170">
        <v>42278</v>
      </c>
      <c r="B191" s="116">
        <v>764.47500000000002</v>
      </c>
      <c r="C191" s="116">
        <v>747</v>
      </c>
      <c r="D191" s="116">
        <v>736</v>
      </c>
      <c r="E191" s="116">
        <v>752</v>
      </c>
      <c r="F191" s="116">
        <v>1494</v>
      </c>
      <c r="G191">
        <v>18571</v>
      </c>
      <c r="H191" s="116"/>
      <c r="I191" s="116"/>
      <c r="L191" s="170">
        <v>42278</v>
      </c>
      <c r="M191" s="116">
        <v>746.32500000000005</v>
      </c>
      <c r="N191" s="116">
        <v>764.95</v>
      </c>
      <c r="O191" s="116">
        <v>735.55</v>
      </c>
      <c r="P191" s="116">
        <v>755.5</v>
      </c>
      <c r="Q191" s="116">
        <v>1492.65</v>
      </c>
      <c r="R191">
        <v>111186</v>
      </c>
    </row>
    <row r="192" spans="1:18" x14ac:dyDescent="0.25">
      <c r="A192" s="170">
        <v>42282</v>
      </c>
      <c r="B192" s="116">
        <v>795</v>
      </c>
      <c r="C192" s="116">
        <v>787.55</v>
      </c>
      <c r="D192" s="116">
        <v>750</v>
      </c>
      <c r="E192" s="116">
        <v>751</v>
      </c>
      <c r="F192" s="116">
        <v>1575.1</v>
      </c>
      <c r="G192">
        <v>29258</v>
      </c>
      <c r="H192" s="116"/>
      <c r="I192" s="116"/>
      <c r="L192" s="170">
        <v>42282</v>
      </c>
      <c r="M192" s="116">
        <v>788.875</v>
      </c>
      <c r="N192" s="116">
        <v>797</v>
      </c>
      <c r="O192" s="116">
        <v>752.52499999999998</v>
      </c>
      <c r="P192" s="116">
        <v>753.8</v>
      </c>
      <c r="Q192" s="116">
        <v>1577.75</v>
      </c>
      <c r="R192">
        <v>196479</v>
      </c>
    </row>
    <row r="193" spans="1:18" x14ac:dyDescent="0.25">
      <c r="A193" s="170">
        <v>42283</v>
      </c>
      <c r="B193" s="116">
        <v>802.47500000000002</v>
      </c>
      <c r="C193" s="116">
        <v>784.125</v>
      </c>
      <c r="D193" s="116">
        <v>775.5</v>
      </c>
      <c r="E193" s="116">
        <v>796</v>
      </c>
      <c r="F193" s="116">
        <v>1568.25</v>
      </c>
      <c r="G193">
        <v>11378</v>
      </c>
      <c r="H193" s="116"/>
      <c r="I193" s="116"/>
      <c r="L193" s="170">
        <v>42283</v>
      </c>
      <c r="M193" s="116">
        <v>784.85</v>
      </c>
      <c r="N193" s="116">
        <v>802.4</v>
      </c>
      <c r="O193" s="116">
        <v>778.05</v>
      </c>
      <c r="P193" s="116">
        <v>792.95</v>
      </c>
      <c r="Q193" s="116">
        <v>1569.7</v>
      </c>
      <c r="R193">
        <v>97660</v>
      </c>
    </row>
    <row r="194" spans="1:18" x14ac:dyDescent="0.25">
      <c r="A194" s="170">
        <v>42284</v>
      </c>
      <c r="B194" s="116">
        <v>800</v>
      </c>
      <c r="C194" s="116">
        <v>773.9</v>
      </c>
      <c r="D194" s="116">
        <v>771.625</v>
      </c>
      <c r="E194" s="116">
        <v>792.75</v>
      </c>
      <c r="F194" s="116">
        <v>1547.8</v>
      </c>
      <c r="G194">
        <v>14218</v>
      </c>
      <c r="H194" s="116"/>
      <c r="I194" s="116"/>
      <c r="L194" s="170">
        <v>42284</v>
      </c>
      <c r="M194" s="116">
        <v>773.3</v>
      </c>
      <c r="N194" s="116">
        <v>801</v>
      </c>
      <c r="O194" s="116">
        <v>769.25</v>
      </c>
      <c r="P194" s="116">
        <v>795.27499999999998</v>
      </c>
      <c r="Q194" s="116">
        <v>1546.6</v>
      </c>
      <c r="R194">
        <v>90391</v>
      </c>
    </row>
    <row r="195" spans="1:18" x14ac:dyDescent="0.25">
      <c r="A195" s="170">
        <v>42285</v>
      </c>
      <c r="B195" s="116">
        <v>784.95</v>
      </c>
      <c r="C195" s="116">
        <v>755.55</v>
      </c>
      <c r="D195" s="116">
        <v>751.45</v>
      </c>
      <c r="E195" s="116">
        <v>777.5</v>
      </c>
      <c r="F195" s="116">
        <v>1511.1</v>
      </c>
      <c r="G195">
        <v>13808</v>
      </c>
      <c r="H195" s="116"/>
      <c r="I195" s="116"/>
      <c r="L195" s="170">
        <v>42285</v>
      </c>
      <c r="M195" s="116">
        <v>754.65</v>
      </c>
      <c r="N195" s="116">
        <v>784</v>
      </c>
      <c r="O195" s="116">
        <v>750.55</v>
      </c>
      <c r="P195" s="116">
        <v>778</v>
      </c>
      <c r="Q195" s="116">
        <v>1509.3</v>
      </c>
      <c r="R195">
        <v>111111</v>
      </c>
    </row>
    <row r="196" spans="1:18" x14ac:dyDescent="0.25">
      <c r="A196" s="170">
        <v>42286</v>
      </c>
      <c r="B196" s="116">
        <v>774.3</v>
      </c>
      <c r="C196" s="116">
        <v>762.85</v>
      </c>
      <c r="D196" s="116">
        <v>752.5</v>
      </c>
      <c r="E196" s="116">
        <v>766.5</v>
      </c>
      <c r="F196" s="116">
        <v>1525.7</v>
      </c>
      <c r="G196">
        <v>15683</v>
      </c>
      <c r="H196" s="116"/>
      <c r="I196" s="116"/>
      <c r="L196" s="170">
        <v>42286</v>
      </c>
      <c r="M196" s="116">
        <v>763.42499999999995</v>
      </c>
      <c r="N196" s="116">
        <v>774.4</v>
      </c>
      <c r="O196" s="116">
        <v>752.65</v>
      </c>
      <c r="P196" s="116">
        <v>768</v>
      </c>
      <c r="Q196" s="116">
        <v>1526.85</v>
      </c>
      <c r="R196">
        <v>88824</v>
      </c>
    </row>
    <row r="197" spans="1:18" x14ac:dyDescent="0.25">
      <c r="A197" s="170">
        <v>42289</v>
      </c>
      <c r="B197" s="116">
        <v>771.27499999999998</v>
      </c>
      <c r="C197" s="116">
        <v>763.7</v>
      </c>
      <c r="D197" s="116">
        <v>762.22500000000002</v>
      </c>
      <c r="E197" s="116">
        <v>766.1</v>
      </c>
      <c r="F197" s="116">
        <v>1527.4</v>
      </c>
      <c r="G197">
        <v>7223</v>
      </c>
      <c r="H197" s="116"/>
      <c r="I197" s="116"/>
      <c r="L197" s="170">
        <v>42289</v>
      </c>
      <c r="M197" s="116">
        <v>764.32500000000005</v>
      </c>
      <c r="N197" s="116">
        <v>770.55</v>
      </c>
      <c r="O197" s="116">
        <v>760.35</v>
      </c>
      <c r="P197" s="116">
        <v>760.35</v>
      </c>
      <c r="Q197" s="116">
        <v>1528.65</v>
      </c>
      <c r="R197">
        <v>77693</v>
      </c>
    </row>
    <row r="198" spans="1:18" x14ac:dyDescent="0.25">
      <c r="A198" s="170">
        <v>42290</v>
      </c>
      <c r="B198" s="116">
        <v>766.52499999999998</v>
      </c>
      <c r="C198" s="116">
        <v>755.32500000000005</v>
      </c>
      <c r="D198" s="116">
        <v>752.75</v>
      </c>
      <c r="E198" s="116">
        <v>764.92499999999995</v>
      </c>
      <c r="F198" s="116">
        <v>1510.65</v>
      </c>
      <c r="G198">
        <v>10701</v>
      </c>
      <c r="H198" s="116"/>
      <c r="I198" s="116"/>
      <c r="L198" s="170">
        <v>42290</v>
      </c>
      <c r="M198" s="116">
        <v>754.67499999999995</v>
      </c>
      <c r="N198" s="116">
        <v>768.5</v>
      </c>
      <c r="O198" s="116">
        <v>752.67499999999995</v>
      </c>
      <c r="P198" s="116">
        <v>768.5</v>
      </c>
      <c r="Q198" s="116">
        <v>1509.35</v>
      </c>
      <c r="R198">
        <v>62427</v>
      </c>
    </row>
    <row r="199" spans="1:18" x14ac:dyDescent="0.25">
      <c r="A199" s="170">
        <v>42291</v>
      </c>
      <c r="B199" s="116">
        <v>775</v>
      </c>
      <c r="C199" s="116">
        <v>770.85</v>
      </c>
      <c r="D199" s="116">
        <v>756.875</v>
      </c>
      <c r="E199" s="116">
        <v>757</v>
      </c>
      <c r="F199" s="116">
        <v>1541.7</v>
      </c>
      <c r="G199">
        <v>12302</v>
      </c>
      <c r="H199" s="116"/>
      <c r="I199" s="116"/>
      <c r="L199" s="170">
        <v>42291</v>
      </c>
      <c r="M199" s="116">
        <v>771.97500000000002</v>
      </c>
      <c r="N199" s="116">
        <v>775</v>
      </c>
      <c r="O199" s="116">
        <v>755.02499999999998</v>
      </c>
      <c r="P199" s="116">
        <v>758.5</v>
      </c>
      <c r="Q199" s="116">
        <v>1543.95</v>
      </c>
      <c r="R199">
        <v>73737</v>
      </c>
    </row>
    <row r="200" spans="1:18" x14ac:dyDescent="0.25">
      <c r="A200" s="170">
        <v>42292</v>
      </c>
      <c r="B200" s="116">
        <v>784.95</v>
      </c>
      <c r="C200" s="116">
        <v>761.6</v>
      </c>
      <c r="D200" s="116">
        <v>759.5</v>
      </c>
      <c r="E200" s="116">
        <v>780.5</v>
      </c>
      <c r="F200" s="116">
        <v>1523.2</v>
      </c>
      <c r="G200">
        <v>14348</v>
      </c>
      <c r="H200" s="116"/>
      <c r="I200" s="116"/>
      <c r="L200" s="170">
        <v>42292</v>
      </c>
      <c r="M200" s="116">
        <v>760.65</v>
      </c>
      <c r="N200" s="116">
        <v>783.95</v>
      </c>
      <c r="O200" s="116">
        <v>758.5</v>
      </c>
      <c r="P200" s="116">
        <v>783.95</v>
      </c>
      <c r="Q200" s="116">
        <v>1521.3</v>
      </c>
      <c r="R200">
        <v>128998</v>
      </c>
    </row>
    <row r="201" spans="1:18" x14ac:dyDescent="0.25">
      <c r="A201" s="170">
        <v>42293</v>
      </c>
      <c r="B201" s="116">
        <v>770</v>
      </c>
      <c r="C201" s="116">
        <v>761.9</v>
      </c>
      <c r="D201" s="116">
        <v>754.15</v>
      </c>
      <c r="E201" s="116">
        <v>763.92499999999995</v>
      </c>
      <c r="F201" s="116">
        <v>1523.8</v>
      </c>
      <c r="G201">
        <v>9469</v>
      </c>
      <c r="H201" s="116"/>
      <c r="I201" s="116"/>
      <c r="L201" s="170">
        <v>42293</v>
      </c>
      <c r="M201" s="116">
        <v>760.875</v>
      </c>
      <c r="N201" s="116">
        <v>770</v>
      </c>
      <c r="O201" s="116">
        <v>752.75</v>
      </c>
      <c r="P201" s="116">
        <v>766.42499999999995</v>
      </c>
      <c r="Q201" s="116">
        <v>1521.75</v>
      </c>
      <c r="R201">
        <v>60346</v>
      </c>
    </row>
    <row r="202" spans="1:18" x14ac:dyDescent="0.25">
      <c r="A202" s="170">
        <v>42296</v>
      </c>
      <c r="B202" s="116">
        <v>775</v>
      </c>
      <c r="C202" s="116">
        <v>762.7</v>
      </c>
      <c r="D202" s="116">
        <v>760</v>
      </c>
      <c r="E202" s="116">
        <v>763.17499999999995</v>
      </c>
      <c r="F202" s="116">
        <v>1525.4</v>
      </c>
      <c r="G202">
        <v>6108</v>
      </c>
      <c r="H202" s="116"/>
      <c r="I202" s="116"/>
      <c r="L202" s="170">
        <v>42296</v>
      </c>
      <c r="M202" s="116">
        <v>763.5</v>
      </c>
      <c r="N202" s="116">
        <v>774.5</v>
      </c>
      <c r="O202" s="116">
        <v>759.25</v>
      </c>
      <c r="P202" s="116">
        <v>766.45</v>
      </c>
      <c r="Q202" s="116">
        <v>1527</v>
      </c>
      <c r="R202">
        <v>71352</v>
      </c>
    </row>
    <row r="203" spans="1:18" x14ac:dyDescent="0.25">
      <c r="A203" s="170">
        <v>42297</v>
      </c>
      <c r="B203" s="116">
        <v>772.77499999999998</v>
      </c>
      <c r="C203" s="116">
        <v>764.77499999999998</v>
      </c>
      <c r="D203" s="116">
        <v>762.5</v>
      </c>
      <c r="E203" s="116">
        <v>766.8</v>
      </c>
      <c r="F203" s="116">
        <v>1529.55</v>
      </c>
      <c r="G203">
        <v>6372</v>
      </c>
      <c r="H203" s="116"/>
      <c r="I203" s="116"/>
      <c r="L203" s="170">
        <v>42297</v>
      </c>
      <c r="M203" s="116">
        <v>765.92499999999995</v>
      </c>
      <c r="N203" s="116">
        <v>772.5</v>
      </c>
      <c r="O203" s="116">
        <v>762.67499999999995</v>
      </c>
      <c r="P203" s="116">
        <v>765.55</v>
      </c>
      <c r="Q203" s="116">
        <v>1531.85</v>
      </c>
      <c r="R203">
        <v>41328</v>
      </c>
    </row>
    <row r="204" spans="1:18" x14ac:dyDescent="0.25">
      <c r="A204" s="170">
        <v>42298</v>
      </c>
      <c r="B204" s="116">
        <v>811.35</v>
      </c>
      <c r="C204" s="116">
        <v>791.17499999999995</v>
      </c>
      <c r="D204" s="116">
        <v>768.375</v>
      </c>
      <c r="E204" s="116">
        <v>776</v>
      </c>
      <c r="F204" s="116">
        <v>1582.35</v>
      </c>
      <c r="G204">
        <v>58605</v>
      </c>
      <c r="H204" s="116"/>
      <c r="I204" s="116"/>
      <c r="L204" s="170">
        <v>42298</v>
      </c>
      <c r="M204" s="116">
        <v>791.07500000000005</v>
      </c>
      <c r="N204" s="116">
        <v>811.45</v>
      </c>
      <c r="O204" s="116">
        <v>766.75</v>
      </c>
      <c r="P204" s="116">
        <v>769.5</v>
      </c>
      <c r="Q204" s="116">
        <v>1582.15</v>
      </c>
      <c r="R204">
        <v>421328</v>
      </c>
    </row>
    <row r="205" spans="1:18" x14ac:dyDescent="0.25">
      <c r="A205" s="170">
        <v>42300</v>
      </c>
      <c r="B205" s="116">
        <v>802.3</v>
      </c>
      <c r="C205" s="116">
        <v>790.82500000000005</v>
      </c>
      <c r="D205" s="116">
        <v>786.22500000000002</v>
      </c>
      <c r="E205" s="116">
        <v>802.3</v>
      </c>
      <c r="F205" s="116">
        <v>1581.65</v>
      </c>
      <c r="G205">
        <v>17333</v>
      </c>
      <c r="H205" s="116"/>
      <c r="I205" s="116"/>
      <c r="L205" s="170">
        <v>42300</v>
      </c>
      <c r="M205" s="116">
        <v>790.7</v>
      </c>
      <c r="N205" s="116">
        <v>802.72500000000002</v>
      </c>
      <c r="O205" s="116">
        <v>786.5</v>
      </c>
      <c r="P205" s="116">
        <v>800</v>
      </c>
      <c r="Q205" s="116">
        <v>1581.4</v>
      </c>
      <c r="R205">
        <v>142505</v>
      </c>
    </row>
    <row r="206" spans="1:18" x14ac:dyDescent="0.25">
      <c r="A206" s="170">
        <v>42303</v>
      </c>
      <c r="B206" s="116">
        <v>800.82500000000005</v>
      </c>
      <c r="C206" s="116">
        <v>785.42499999999995</v>
      </c>
      <c r="D206" s="116">
        <v>779</v>
      </c>
      <c r="E206" s="116">
        <v>795</v>
      </c>
      <c r="F206" s="116">
        <v>1570.85</v>
      </c>
      <c r="G206">
        <v>16983</v>
      </c>
      <c r="H206" s="116"/>
      <c r="I206" s="116"/>
      <c r="L206" s="170">
        <v>42303</v>
      </c>
      <c r="M206" s="116">
        <v>786.125</v>
      </c>
      <c r="N206" s="116">
        <v>802.45</v>
      </c>
      <c r="O206" s="116">
        <v>777.95</v>
      </c>
      <c r="P206" s="116">
        <v>797.5</v>
      </c>
      <c r="Q206" s="116">
        <v>1572.25</v>
      </c>
      <c r="R206">
        <v>97663</v>
      </c>
    </row>
    <row r="207" spans="1:18" x14ac:dyDescent="0.25">
      <c r="A207" s="170">
        <v>42304</v>
      </c>
      <c r="B207" s="116">
        <v>804</v>
      </c>
      <c r="C207" s="116">
        <v>800.32500000000005</v>
      </c>
      <c r="D207" s="116">
        <v>784.5</v>
      </c>
      <c r="E207" s="116">
        <v>785</v>
      </c>
      <c r="F207" s="116">
        <v>1600.65</v>
      </c>
      <c r="G207">
        <v>16822</v>
      </c>
      <c r="H207" s="116"/>
      <c r="I207" s="116"/>
      <c r="L207" s="170">
        <v>42304</v>
      </c>
      <c r="M207" s="116">
        <v>799.42499999999995</v>
      </c>
      <c r="N207" s="116">
        <v>802.5</v>
      </c>
      <c r="O207" s="116">
        <v>783</v>
      </c>
      <c r="P207" s="116">
        <v>783.05</v>
      </c>
      <c r="Q207" s="116">
        <v>1598.85</v>
      </c>
      <c r="R207">
        <v>145814</v>
      </c>
    </row>
    <row r="208" spans="1:18" x14ac:dyDescent="0.25">
      <c r="A208" s="170">
        <v>42305</v>
      </c>
      <c r="B208" s="116">
        <v>809.95</v>
      </c>
      <c r="C208" s="116">
        <v>799.02499999999998</v>
      </c>
      <c r="D208" s="116">
        <v>788.2</v>
      </c>
      <c r="E208" s="116">
        <v>802.55</v>
      </c>
      <c r="F208" s="116">
        <v>1598.05</v>
      </c>
      <c r="G208">
        <v>39040</v>
      </c>
      <c r="H208" s="116"/>
      <c r="I208" s="116"/>
      <c r="L208" s="170">
        <v>42305</v>
      </c>
      <c r="M208" s="116">
        <v>799.3</v>
      </c>
      <c r="N208" s="116">
        <v>810</v>
      </c>
      <c r="O208" s="116">
        <v>787.625</v>
      </c>
      <c r="P208" s="116">
        <v>802.55</v>
      </c>
      <c r="Q208" s="116">
        <v>1598.6</v>
      </c>
      <c r="R208">
        <v>227221</v>
      </c>
    </row>
    <row r="209" spans="1:18" x14ac:dyDescent="0.25">
      <c r="A209" s="170">
        <v>42306</v>
      </c>
      <c r="B209" s="116">
        <v>818</v>
      </c>
      <c r="C209" s="116">
        <v>788.97500000000002</v>
      </c>
      <c r="D209" s="116">
        <v>762.5</v>
      </c>
      <c r="E209" s="116">
        <v>805</v>
      </c>
      <c r="F209" s="116">
        <v>1577.95</v>
      </c>
      <c r="G209">
        <v>95424</v>
      </c>
      <c r="H209" s="116"/>
      <c r="I209" s="116"/>
      <c r="L209" s="170">
        <v>42306</v>
      </c>
      <c r="M209" s="116">
        <v>789.32500000000005</v>
      </c>
      <c r="N209" s="116">
        <v>817.5</v>
      </c>
      <c r="O209" s="116">
        <v>761.15</v>
      </c>
      <c r="P209" s="116">
        <v>802.55</v>
      </c>
      <c r="Q209" s="116">
        <v>1578.65</v>
      </c>
      <c r="R209">
        <v>558676</v>
      </c>
    </row>
    <row r="210" spans="1:18" x14ac:dyDescent="0.25">
      <c r="A210" s="170">
        <v>42307</v>
      </c>
      <c r="B210" s="116">
        <v>812</v>
      </c>
      <c r="C210" s="116">
        <v>771.35</v>
      </c>
      <c r="D210" s="116">
        <v>765.625</v>
      </c>
      <c r="E210" s="116">
        <v>808.5</v>
      </c>
      <c r="F210" s="116">
        <v>1542.7</v>
      </c>
      <c r="G210">
        <v>64583</v>
      </c>
      <c r="H210" s="116"/>
      <c r="I210" s="116"/>
      <c r="L210" s="170">
        <v>42307</v>
      </c>
      <c r="M210" s="116">
        <v>770.57500000000005</v>
      </c>
      <c r="N210" s="116">
        <v>812.5</v>
      </c>
      <c r="O210" s="116">
        <v>765</v>
      </c>
      <c r="P210" s="116">
        <v>810</v>
      </c>
      <c r="Q210" s="116">
        <v>1541.15</v>
      </c>
      <c r="R210">
        <v>417573</v>
      </c>
    </row>
    <row r="211" spans="1:18" x14ac:dyDescent="0.25">
      <c r="A211" s="170">
        <v>42310</v>
      </c>
      <c r="B211" s="116">
        <v>787.02499999999998</v>
      </c>
      <c r="C211" s="116">
        <v>768.72500000000002</v>
      </c>
      <c r="D211" s="116">
        <v>765</v>
      </c>
      <c r="E211" s="116">
        <v>772</v>
      </c>
      <c r="F211" s="116">
        <v>1537.45</v>
      </c>
      <c r="G211">
        <v>53817</v>
      </c>
      <c r="H211" s="116"/>
      <c r="I211" s="116"/>
      <c r="L211" s="170">
        <v>42310</v>
      </c>
      <c r="M211" s="116">
        <v>768.27499999999998</v>
      </c>
      <c r="N211" s="116">
        <v>786.05</v>
      </c>
      <c r="O211" s="116">
        <v>762.07500000000005</v>
      </c>
      <c r="P211" s="116">
        <v>770</v>
      </c>
      <c r="Q211" s="116">
        <v>1536.55</v>
      </c>
      <c r="R211">
        <v>237450</v>
      </c>
    </row>
    <row r="212" spans="1:18" x14ac:dyDescent="0.25">
      <c r="A212" s="170">
        <v>42311</v>
      </c>
      <c r="B212" s="116">
        <v>785.97500000000002</v>
      </c>
      <c r="C212" s="116">
        <v>782.8</v>
      </c>
      <c r="D212" s="116">
        <v>770</v>
      </c>
      <c r="E212" s="116">
        <v>772.5</v>
      </c>
      <c r="F212" s="116">
        <v>1565.6</v>
      </c>
      <c r="G212">
        <v>12331</v>
      </c>
      <c r="H212" s="116"/>
      <c r="I212" s="116"/>
      <c r="L212" s="170">
        <v>42311</v>
      </c>
      <c r="M212" s="116">
        <v>783.6</v>
      </c>
      <c r="N212" s="116">
        <v>787.375</v>
      </c>
      <c r="O212" s="116">
        <v>769.67499999999995</v>
      </c>
      <c r="P212" s="116">
        <v>776</v>
      </c>
      <c r="Q212" s="116">
        <v>1567.2</v>
      </c>
      <c r="R212">
        <v>127389</v>
      </c>
    </row>
    <row r="213" spans="1:18" x14ac:dyDescent="0.25">
      <c r="A213" s="170">
        <v>42312</v>
      </c>
      <c r="B213" s="116">
        <v>792.45</v>
      </c>
      <c r="C213" s="116">
        <v>782.02499999999998</v>
      </c>
      <c r="D213" s="116">
        <v>780</v>
      </c>
      <c r="E213" s="116">
        <v>787.5</v>
      </c>
      <c r="F213" s="116">
        <v>1564.05</v>
      </c>
      <c r="G213">
        <v>14681</v>
      </c>
      <c r="H213" s="116"/>
      <c r="I213" s="116"/>
      <c r="L213" s="170">
        <v>42312</v>
      </c>
      <c r="M213" s="116">
        <v>783.22500000000002</v>
      </c>
      <c r="N213" s="116">
        <v>792.92499999999995</v>
      </c>
      <c r="O213" s="116">
        <v>780.5</v>
      </c>
      <c r="P213" s="116">
        <v>785.5</v>
      </c>
      <c r="Q213" s="116">
        <v>1566.45</v>
      </c>
      <c r="R213">
        <v>123365</v>
      </c>
    </row>
    <row r="214" spans="1:18" x14ac:dyDescent="0.25">
      <c r="A214" s="170">
        <v>42313</v>
      </c>
      <c r="B214" s="116">
        <v>785</v>
      </c>
      <c r="C214" s="116">
        <v>774.92499999999995</v>
      </c>
      <c r="D214" s="116">
        <v>772.5</v>
      </c>
      <c r="E214" s="116">
        <v>783.25</v>
      </c>
      <c r="F214" s="116">
        <v>1549.85</v>
      </c>
      <c r="G214">
        <v>43983</v>
      </c>
      <c r="H214" s="116"/>
      <c r="I214" s="116"/>
      <c r="L214" s="170">
        <v>42313</v>
      </c>
      <c r="M214" s="116">
        <v>774.47500000000002</v>
      </c>
      <c r="N214" s="116">
        <v>786.625</v>
      </c>
      <c r="O214" s="116">
        <v>770.02499999999998</v>
      </c>
      <c r="P214" s="116">
        <v>786.625</v>
      </c>
      <c r="Q214" s="116">
        <v>1548.95</v>
      </c>
      <c r="R214">
        <v>75160</v>
      </c>
    </row>
    <row r="215" spans="1:18" x14ac:dyDescent="0.25">
      <c r="A215" s="170">
        <v>42314</v>
      </c>
      <c r="B215" s="116">
        <v>785.875</v>
      </c>
      <c r="C215" s="116">
        <v>773.375</v>
      </c>
      <c r="D215" s="116">
        <v>769.25</v>
      </c>
      <c r="E215" s="116">
        <v>780</v>
      </c>
      <c r="F215" s="116">
        <v>1546.75</v>
      </c>
      <c r="G215">
        <v>13922</v>
      </c>
      <c r="H215" s="116"/>
      <c r="I215" s="116"/>
      <c r="L215" s="170">
        <v>42314</v>
      </c>
      <c r="M215" s="116">
        <v>773.8</v>
      </c>
      <c r="N215" s="116">
        <v>786.5</v>
      </c>
      <c r="O215" s="116">
        <v>764.4</v>
      </c>
      <c r="P215" s="116">
        <v>776.52499999999998</v>
      </c>
      <c r="Q215" s="116">
        <v>1547.6</v>
      </c>
      <c r="R215">
        <v>82040</v>
      </c>
    </row>
    <row r="216" spans="1:18" x14ac:dyDescent="0.25">
      <c r="A216" s="170">
        <v>42317</v>
      </c>
      <c r="B216" s="116">
        <v>782</v>
      </c>
      <c r="C216" s="116">
        <v>774.625</v>
      </c>
      <c r="D216" s="116">
        <v>753.17499999999995</v>
      </c>
      <c r="E216" s="116">
        <v>767.5</v>
      </c>
      <c r="F216" s="116">
        <v>1549.25</v>
      </c>
      <c r="G216">
        <v>16825</v>
      </c>
      <c r="H216" s="116"/>
      <c r="I216" s="116"/>
      <c r="L216" s="170">
        <v>42317</v>
      </c>
      <c r="M216" s="116">
        <v>775.07500000000005</v>
      </c>
      <c r="N216" s="116">
        <v>780</v>
      </c>
      <c r="O216" s="116">
        <v>755.02499999999998</v>
      </c>
      <c r="P216" s="116">
        <v>756</v>
      </c>
      <c r="Q216" s="116">
        <v>1550.15</v>
      </c>
      <c r="R216">
        <v>127346</v>
      </c>
    </row>
    <row r="217" spans="1:18" x14ac:dyDescent="0.25">
      <c r="A217" s="170">
        <v>42318</v>
      </c>
      <c r="B217" s="116">
        <v>784.7</v>
      </c>
      <c r="C217" s="116">
        <v>776.17499999999995</v>
      </c>
      <c r="D217" s="116">
        <v>771.27499999999998</v>
      </c>
      <c r="E217" s="116">
        <v>779.4</v>
      </c>
      <c r="F217" s="116">
        <v>1552.35</v>
      </c>
      <c r="G217">
        <v>6888</v>
      </c>
      <c r="H217" s="116"/>
      <c r="I217" s="116"/>
      <c r="L217" s="170">
        <v>42318</v>
      </c>
      <c r="M217" s="116">
        <v>774.22500000000002</v>
      </c>
      <c r="N217" s="116">
        <v>785</v>
      </c>
      <c r="O217" s="116">
        <v>771.5</v>
      </c>
      <c r="P217" s="116">
        <v>774</v>
      </c>
      <c r="Q217" s="116">
        <v>1548.45</v>
      </c>
      <c r="R217">
        <v>129761</v>
      </c>
    </row>
    <row r="218" spans="1:18" x14ac:dyDescent="0.25">
      <c r="A218" s="170">
        <v>42319</v>
      </c>
      <c r="B218" s="116">
        <v>792.52499999999998</v>
      </c>
      <c r="C218" s="116">
        <v>790.17499999999995</v>
      </c>
      <c r="D218" s="116">
        <v>777.5</v>
      </c>
      <c r="E218" s="116">
        <v>777.5</v>
      </c>
      <c r="F218" s="116">
        <v>1580.35</v>
      </c>
      <c r="G218">
        <v>4784</v>
      </c>
      <c r="H218" s="116"/>
      <c r="I218" s="116"/>
      <c r="L218" s="170">
        <v>42319</v>
      </c>
      <c r="M218" s="116">
        <v>789.65</v>
      </c>
      <c r="N218" s="116">
        <v>791.97500000000002</v>
      </c>
      <c r="O218" s="116">
        <v>777.5</v>
      </c>
      <c r="P218" s="116">
        <v>780.5</v>
      </c>
      <c r="Q218" s="116">
        <v>1579.3</v>
      </c>
      <c r="R218">
        <v>21969</v>
      </c>
    </row>
    <row r="219" spans="1:18" x14ac:dyDescent="0.25">
      <c r="A219" s="170">
        <v>42321</v>
      </c>
      <c r="B219" s="116">
        <v>785.92499999999995</v>
      </c>
      <c r="C219" s="116">
        <v>773.1</v>
      </c>
      <c r="D219" s="116">
        <v>770</v>
      </c>
      <c r="E219" s="116">
        <v>782.875</v>
      </c>
      <c r="F219" s="116">
        <v>1546.2</v>
      </c>
      <c r="G219">
        <v>17397</v>
      </c>
      <c r="H219" s="116"/>
      <c r="I219" s="116"/>
      <c r="L219" s="170">
        <v>42321</v>
      </c>
      <c r="M219" s="116">
        <v>773.57500000000005</v>
      </c>
      <c r="N219" s="116">
        <v>787.5</v>
      </c>
      <c r="O219" s="116">
        <v>770.55</v>
      </c>
      <c r="P219" s="116">
        <v>787.5</v>
      </c>
      <c r="Q219" s="116">
        <v>1547.15</v>
      </c>
      <c r="R219">
        <v>113465</v>
      </c>
    </row>
    <row r="220" spans="1:18" x14ac:dyDescent="0.25">
      <c r="A220" s="170">
        <v>42324</v>
      </c>
      <c r="B220" s="116">
        <v>772.45</v>
      </c>
      <c r="C220" s="116">
        <v>763.95</v>
      </c>
      <c r="D220" s="116">
        <v>761</v>
      </c>
      <c r="E220" s="116">
        <v>770</v>
      </c>
      <c r="F220" s="116">
        <v>1527.9</v>
      </c>
      <c r="G220">
        <v>14573</v>
      </c>
      <c r="H220" s="116"/>
      <c r="I220" s="116"/>
      <c r="L220" s="170">
        <v>42324</v>
      </c>
      <c r="M220" s="116">
        <v>765.02499999999998</v>
      </c>
      <c r="N220" s="116">
        <v>777.375</v>
      </c>
      <c r="O220" s="116">
        <v>760.5</v>
      </c>
      <c r="P220" s="116">
        <v>772.5</v>
      </c>
      <c r="Q220" s="116">
        <v>1530.05</v>
      </c>
      <c r="R220">
        <v>63416</v>
      </c>
    </row>
    <row r="221" spans="1:18" x14ac:dyDescent="0.25">
      <c r="A221" s="170">
        <v>42325</v>
      </c>
      <c r="B221" s="116">
        <v>772.07500000000005</v>
      </c>
      <c r="C221" s="116">
        <v>763.92499999999995</v>
      </c>
      <c r="D221" s="116">
        <v>760.02499999999998</v>
      </c>
      <c r="E221" s="116">
        <v>767.52499999999998</v>
      </c>
      <c r="F221" s="116">
        <v>1527.85</v>
      </c>
      <c r="G221">
        <v>14164</v>
      </c>
      <c r="H221" s="116"/>
      <c r="I221" s="116"/>
      <c r="L221" s="170">
        <v>42325</v>
      </c>
      <c r="M221" s="116">
        <v>764.52499999999998</v>
      </c>
      <c r="N221" s="116">
        <v>772.75</v>
      </c>
      <c r="O221" s="116">
        <v>758.625</v>
      </c>
      <c r="P221" s="116">
        <v>766</v>
      </c>
      <c r="Q221" s="116">
        <v>1529.05</v>
      </c>
      <c r="R221">
        <v>273727</v>
      </c>
    </row>
    <row r="222" spans="1:18" x14ac:dyDescent="0.25">
      <c r="A222" s="170">
        <v>42326</v>
      </c>
      <c r="B222" s="116">
        <v>776.35</v>
      </c>
      <c r="C222" s="116">
        <v>770.625</v>
      </c>
      <c r="D222" s="116">
        <v>764.5</v>
      </c>
      <c r="E222" s="116">
        <v>766</v>
      </c>
      <c r="F222" s="116">
        <v>1541.25</v>
      </c>
      <c r="G222">
        <v>8148</v>
      </c>
      <c r="H222" s="116"/>
      <c r="I222" s="116"/>
      <c r="L222" s="170">
        <v>42326</v>
      </c>
      <c r="M222" s="116">
        <v>770.2</v>
      </c>
      <c r="N222" s="116">
        <v>776.72500000000002</v>
      </c>
      <c r="O222" s="116">
        <v>764.95</v>
      </c>
      <c r="P222" s="116">
        <v>767</v>
      </c>
      <c r="Q222" s="116">
        <v>1540.4</v>
      </c>
      <c r="R222">
        <v>208327</v>
      </c>
    </row>
    <row r="223" spans="1:18" x14ac:dyDescent="0.25">
      <c r="A223" s="170">
        <v>42327</v>
      </c>
      <c r="B223" s="116">
        <v>773.5</v>
      </c>
      <c r="C223" s="116">
        <v>766.3</v>
      </c>
      <c r="D223" s="116">
        <v>762.05</v>
      </c>
      <c r="E223" s="116">
        <v>770.05</v>
      </c>
      <c r="F223" s="116">
        <v>1532.6</v>
      </c>
      <c r="G223">
        <v>14768</v>
      </c>
      <c r="H223" s="116"/>
      <c r="I223" s="116"/>
      <c r="L223" s="170">
        <v>42327</v>
      </c>
      <c r="M223" s="116">
        <v>767.15</v>
      </c>
      <c r="N223" s="116">
        <v>774.5</v>
      </c>
      <c r="O223" s="116">
        <v>760.72500000000002</v>
      </c>
      <c r="P223" s="116">
        <v>772</v>
      </c>
      <c r="Q223" s="116">
        <v>1534.3</v>
      </c>
      <c r="R223">
        <v>119628</v>
      </c>
    </row>
    <row r="224" spans="1:18" x14ac:dyDescent="0.25">
      <c r="A224" s="170">
        <v>42328</v>
      </c>
      <c r="B224" s="116">
        <v>768.625</v>
      </c>
      <c r="C224" s="116">
        <v>765.42499999999995</v>
      </c>
      <c r="D224" s="116">
        <v>759.32500000000005</v>
      </c>
      <c r="E224" s="116">
        <v>767.5</v>
      </c>
      <c r="F224" s="116">
        <v>1530.85</v>
      </c>
      <c r="G224">
        <v>10210</v>
      </c>
      <c r="H224" s="116"/>
      <c r="I224" s="116"/>
      <c r="L224" s="170">
        <v>42328</v>
      </c>
      <c r="M224" s="116">
        <v>767.2</v>
      </c>
      <c r="N224" s="116">
        <v>771</v>
      </c>
      <c r="O224" s="116">
        <v>758.05</v>
      </c>
      <c r="P224" s="116">
        <v>770</v>
      </c>
      <c r="Q224" s="116">
        <v>1534.4</v>
      </c>
      <c r="R224">
        <v>85943</v>
      </c>
    </row>
    <row r="225" spans="1:18" x14ac:dyDescent="0.25">
      <c r="A225" s="170">
        <v>42331</v>
      </c>
      <c r="B225" s="116">
        <v>773</v>
      </c>
      <c r="C225" s="116">
        <v>768.07500000000005</v>
      </c>
      <c r="D225" s="116">
        <v>766.05</v>
      </c>
      <c r="E225" s="116">
        <v>770</v>
      </c>
      <c r="F225" s="116">
        <v>1536.15</v>
      </c>
      <c r="G225">
        <v>4967</v>
      </c>
      <c r="H225" s="116"/>
      <c r="I225" s="116"/>
      <c r="L225" s="170">
        <v>42331</v>
      </c>
      <c r="M225" s="116">
        <v>767.35</v>
      </c>
      <c r="N225" s="116">
        <v>772.42499999999995</v>
      </c>
      <c r="O225" s="116">
        <v>767</v>
      </c>
      <c r="P225" s="116">
        <v>769.5</v>
      </c>
      <c r="Q225" s="116">
        <v>1534.7</v>
      </c>
      <c r="R225">
        <v>65012</v>
      </c>
    </row>
    <row r="226" spans="1:18" x14ac:dyDescent="0.25">
      <c r="A226" s="170">
        <v>42332</v>
      </c>
      <c r="B226" s="116">
        <v>770</v>
      </c>
      <c r="C226" s="116">
        <v>754.67499999999995</v>
      </c>
      <c r="D226" s="116">
        <v>753</v>
      </c>
      <c r="E226" s="116">
        <v>770</v>
      </c>
      <c r="F226" s="116">
        <v>1509.35</v>
      </c>
      <c r="G226">
        <v>25003</v>
      </c>
      <c r="H226" s="116"/>
      <c r="I226" s="116"/>
      <c r="L226" s="170">
        <v>42332</v>
      </c>
      <c r="M226" s="116">
        <v>755.47500000000002</v>
      </c>
      <c r="N226" s="116">
        <v>769.95</v>
      </c>
      <c r="O226" s="116">
        <v>752.625</v>
      </c>
      <c r="P226" s="116">
        <v>769.95</v>
      </c>
      <c r="Q226" s="116">
        <v>1510.95</v>
      </c>
      <c r="R226">
        <v>61791</v>
      </c>
    </row>
    <row r="227" spans="1:18" x14ac:dyDescent="0.25">
      <c r="A227" s="170">
        <v>42334</v>
      </c>
      <c r="B227" s="116">
        <v>763.5</v>
      </c>
      <c r="C227" s="116">
        <v>757.8</v>
      </c>
      <c r="D227" s="116">
        <v>752.125</v>
      </c>
      <c r="E227" s="116">
        <v>757.625</v>
      </c>
      <c r="F227" s="116">
        <v>1515.6</v>
      </c>
      <c r="G227">
        <v>7313</v>
      </c>
      <c r="H227" s="116"/>
      <c r="I227" s="116"/>
      <c r="L227" s="170">
        <v>42334</v>
      </c>
      <c r="M227" s="116">
        <v>757.92499999999995</v>
      </c>
      <c r="N227" s="116">
        <v>762.42499999999995</v>
      </c>
      <c r="O227" s="116">
        <v>751.52499999999998</v>
      </c>
      <c r="P227" s="116">
        <v>756.5</v>
      </c>
      <c r="Q227" s="116">
        <v>1515.85</v>
      </c>
      <c r="R227">
        <v>57265</v>
      </c>
    </row>
    <row r="228" spans="1:18" x14ac:dyDescent="0.25">
      <c r="A228" s="170">
        <v>42335</v>
      </c>
      <c r="B228" s="116">
        <v>765.55</v>
      </c>
      <c r="C228" s="116">
        <v>760.8</v>
      </c>
      <c r="D228" s="116">
        <v>752.52499999999998</v>
      </c>
      <c r="E228" s="116">
        <v>755</v>
      </c>
      <c r="F228" s="116">
        <v>1521.6</v>
      </c>
      <c r="G228">
        <v>8719</v>
      </c>
      <c r="H228" s="116"/>
      <c r="I228" s="116"/>
      <c r="L228" s="170">
        <v>42335</v>
      </c>
      <c r="M228" s="116">
        <v>761.22500000000002</v>
      </c>
      <c r="N228" s="116">
        <v>765.8</v>
      </c>
      <c r="O228" s="116">
        <v>752.5</v>
      </c>
      <c r="P228" s="116">
        <v>761.47500000000002</v>
      </c>
      <c r="Q228" s="116">
        <v>1522.45</v>
      </c>
      <c r="R228">
        <v>56427</v>
      </c>
    </row>
    <row r="229" spans="1:18" x14ac:dyDescent="0.25">
      <c r="A229" s="170">
        <v>42338</v>
      </c>
      <c r="B229" s="116">
        <v>771.2</v>
      </c>
      <c r="C229" s="116">
        <v>716.47500000000002</v>
      </c>
      <c r="D229" s="116">
        <v>702.77499999999998</v>
      </c>
      <c r="E229" s="116">
        <v>760.5</v>
      </c>
      <c r="F229" s="116">
        <v>1432.95</v>
      </c>
      <c r="G229">
        <v>89588</v>
      </c>
      <c r="H229" s="116"/>
      <c r="I229" s="116"/>
      <c r="L229" s="170">
        <v>42338</v>
      </c>
      <c r="M229" s="116">
        <v>712.77499999999998</v>
      </c>
      <c r="N229" s="116">
        <v>770.9</v>
      </c>
      <c r="O229" s="116">
        <v>701.75</v>
      </c>
      <c r="P229" s="116">
        <v>764.5</v>
      </c>
      <c r="Q229" s="116">
        <v>1425.55</v>
      </c>
      <c r="R229">
        <v>864606</v>
      </c>
    </row>
    <row r="230" spans="1:18" x14ac:dyDescent="0.25">
      <c r="A230" s="170">
        <v>42339</v>
      </c>
      <c r="B230" s="116">
        <v>742.42499999999995</v>
      </c>
      <c r="C230" s="116">
        <v>733.27499999999998</v>
      </c>
      <c r="D230" s="116">
        <v>715</v>
      </c>
      <c r="E230" s="116">
        <v>715</v>
      </c>
      <c r="F230" s="116">
        <v>1466.55</v>
      </c>
      <c r="G230">
        <v>24687</v>
      </c>
      <c r="H230" s="116"/>
      <c r="I230" s="116"/>
      <c r="L230" s="170">
        <v>42339</v>
      </c>
      <c r="M230" s="116">
        <v>734.32500000000005</v>
      </c>
      <c r="N230" s="116">
        <v>742.25</v>
      </c>
      <c r="O230" s="116">
        <v>715</v>
      </c>
      <c r="P230" s="116">
        <v>719</v>
      </c>
      <c r="Q230" s="116">
        <v>1468.65</v>
      </c>
      <c r="R230">
        <v>388668</v>
      </c>
    </row>
    <row r="231" spans="1:18" x14ac:dyDescent="0.25">
      <c r="A231" s="170">
        <v>42340</v>
      </c>
      <c r="B231" s="116">
        <v>746.65</v>
      </c>
      <c r="C231" s="116">
        <v>742</v>
      </c>
      <c r="D231" s="116">
        <v>723.75</v>
      </c>
      <c r="E231" s="116">
        <v>737.5</v>
      </c>
      <c r="F231" s="116">
        <v>1484</v>
      </c>
      <c r="G231">
        <v>22926</v>
      </c>
      <c r="H231" s="116"/>
      <c r="I231" s="116"/>
      <c r="L231" s="170">
        <v>42340</v>
      </c>
      <c r="M231" s="116">
        <v>741.97500000000002</v>
      </c>
      <c r="N231" s="116">
        <v>747.07500000000005</v>
      </c>
      <c r="O231" s="116">
        <v>720.6</v>
      </c>
      <c r="P231" s="116">
        <v>740</v>
      </c>
      <c r="Q231" s="116">
        <v>1483.95</v>
      </c>
      <c r="R231">
        <v>136902</v>
      </c>
    </row>
    <row r="232" spans="1:18" x14ac:dyDescent="0.25">
      <c r="A232" s="170">
        <v>42341</v>
      </c>
      <c r="B232" s="116">
        <v>750</v>
      </c>
      <c r="C232" s="116">
        <v>735.57500000000005</v>
      </c>
      <c r="D232" s="116">
        <v>728.35</v>
      </c>
      <c r="E232" s="116">
        <v>748.47500000000002</v>
      </c>
      <c r="F232" s="116">
        <v>1471.15</v>
      </c>
      <c r="G232">
        <v>6889</v>
      </c>
      <c r="H232" s="116"/>
      <c r="I232" s="116"/>
      <c r="L232" s="170">
        <v>42341</v>
      </c>
      <c r="M232" s="116">
        <v>734.97500000000002</v>
      </c>
      <c r="N232" s="116">
        <v>747.5</v>
      </c>
      <c r="O232" s="116">
        <v>727.42499999999995</v>
      </c>
      <c r="P232" s="116">
        <v>746.625</v>
      </c>
      <c r="Q232" s="116">
        <v>1469.95</v>
      </c>
      <c r="R232">
        <v>92744</v>
      </c>
    </row>
    <row r="233" spans="1:18" x14ac:dyDescent="0.25">
      <c r="A233" s="170">
        <v>42342</v>
      </c>
      <c r="B233" s="116">
        <v>753.97500000000002</v>
      </c>
      <c r="C233" s="116">
        <v>744.55</v>
      </c>
      <c r="D233" s="116">
        <v>725.875</v>
      </c>
      <c r="E233" s="116">
        <v>736</v>
      </c>
      <c r="F233" s="116">
        <v>1489.1</v>
      </c>
      <c r="G233">
        <v>11694</v>
      </c>
      <c r="H233" s="116"/>
      <c r="I233" s="116"/>
      <c r="L233" s="170">
        <v>42342</v>
      </c>
      <c r="M233" s="116">
        <v>744.75</v>
      </c>
      <c r="N233" s="116">
        <v>754.95</v>
      </c>
      <c r="O233" s="116">
        <v>726</v>
      </c>
      <c r="P233" s="116">
        <v>732.625</v>
      </c>
      <c r="Q233" s="116">
        <v>1489.5</v>
      </c>
      <c r="R233">
        <v>231225</v>
      </c>
    </row>
    <row r="234" spans="1:18" x14ac:dyDescent="0.25">
      <c r="A234" s="170">
        <v>42345</v>
      </c>
      <c r="B234" s="116">
        <v>748.02499999999998</v>
      </c>
      <c r="C234" s="116">
        <v>738.52499999999998</v>
      </c>
      <c r="D234" s="116">
        <v>732.67499999999995</v>
      </c>
      <c r="E234" s="116">
        <v>748</v>
      </c>
      <c r="F234" s="116">
        <v>1477.05</v>
      </c>
      <c r="G234">
        <v>6497</v>
      </c>
      <c r="H234" s="116"/>
      <c r="I234" s="116"/>
      <c r="L234" s="170">
        <v>42345</v>
      </c>
      <c r="M234" s="116">
        <v>737.8</v>
      </c>
      <c r="N234" s="116">
        <v>751.47500000000002</v>
      </c>
      <c r="O234" s="116">
        <v>732.5</v>
      </c>
      <c r="P234" s="116">
        <v>751.47500000000002</v>
      </c>
      <c r="Q234" s="116">
        <v>1475.6</v>
      </c>
      <c r="R234">
        <v>90313</v>
      </c>
    </row>
    <row r="235" spans="1:18" x14ac:dyDescent="0.25">
      <c r="A235" s="170">
        <v>42346</v>
      </c>
      <c r="B235" s="116">
        <v>738.5</v>
      </c>
      <c r="C235" s="116">
        <v>729.55</v>
      </c>
      <c r="D235" s="116">
        <v>725.02499999999998</v>
      </c>
      <c r="E235" s="116">
        <v>737.5</v>
      </c>
      <c r="F235" s="116">
        <v>1459.1</v>
      </c>
      <c r="G235">
        <v>7426</v>
      </c>
      <c r="H235" s="116"/>
      <c r="I235" s="116"/>
      <c r="L235" s="170">
        <v>42346</v>
      </c>
      <c r="M235" s="116">
        <v>729.77499999999998</v>
      </c>
      <c r="N235" s="116">
        <v>737.95</v>
      </c>
      <c r="O235" s="116">
        <v>724</v>
      </c>
      <c r="P235" s="116">
        <v>737.5</v>
      </c>
      <c r="Q235" s="116">
        <v>1459.55</v>
      </c>
      <c r="R235">
        <v>90523</v>
      </c>
    </row>
    <row r="236" spans="1:18" x14ac:dyDescent="0.25">
      <c r="A236" s="170">
        <v>42347</v>
      </c>
      <c r="B236" s="116">
        <v>734.9</v>
      </c>
      <c r="C236" s="116">
        <v>721.22500000000002</v>
      </c>
      <c r="D236" s="116">
        <v>715.05</v>
      </c>
      <c r="E236" s="116">
        <v>730.02499999999998</v>
      </c>
      <c r="F236" s="116">
        <v>1442.45</v>
      </c>
      <c r="G236">
        <v>11428</v>
      </c>
      <c r="H236" s="116"/>
      <c r="I236" s="116"/>
      <c r="L236" s="170">
        <v>42347</v>
      </c>
      <c r="M236" s="116">
        <v>721.42499999999995</v>
      </c>
      <c r="N236" s="116">
        <v>736.47500000000002</v>
      </c>
      <c r="O236" s="116">
        <v>715.5</v>
      </c>
      <c r="P236" s="116">
        <v>730</v>
      </c>
      <c r="Q236" s="116">
        <v>1442.85</v>
      </c>
      <c r="R236">
        <v>93137</v>
      </c>
    </row>
    <row r="237" spans="1:18" x14ac:dyDescent="0.25">
      <c r="A237" s="170">
        <v>42348</v>
      </c>
      <c r="B237" s="116">
        <v>733</v>
      </c>
      <c r="C237" s="116">
        <v>721.67499999999995</v>
      </c>
      <c r="D237" s="116">
        <v>706.15</v>
      </c>
      <c r="E237" s="116">
        <v>726.15</v>
      </c>
      <c r="F237" s="116">
        <v>1443.35</v>
      </c>
      <c r="G237">
        <v>18568</v>
      </c>
      <c r="H237" s="116"/>
      <c r="I237" s="116"/>
      <c r="L237" s="170">
        <v>42348</v>
      </c>
      <c r="M237" s="116">
        <v>724.1</v>
      </c>
      <c r="N237" s="116">
        <v>736.17499999999995</v>
      </c>
      <c r="O237" s="116">
        <v>705</v>
      </c>
      <c r="P237" s="116">
        <v>721.42499999999995</v>
      </c>
      <c r="Q237" s="116">
        <v>1448.2</v>
      </c>
      <c r="R237">
        <v>205199</v>
      </c>
    </row>
    <row r="238" spans="1:18" x14ac:dyDescent="0.25">
      <c r="A238" s="170">
        <v>42349</v>
      </c>
      <c r="B238" s="116">
        <v>724</v>
      </c>
      <c r="C238" s="116">
        <v>714.95</v>
      </c>
      <c r="D238" s="116">
        <v>710.15</v>
      </c>
      <c r="E238" s="116">
        <v>724</v>
      </c>
      <c r="F238" s="116">
        <v>1429.9</v>
      </c>
      <c r="G238">
        <v>68014</v>
      </c>
      <c r="H238" s="116"/>
      <c r="I238" s="116"/>
      <c r="L238" s="170">
        <v>42349</v>
      </c>
      <c r="M238" s="116">
        <v>716.55</v>
      </c>
      <c r="N238" s="116">
        <v>728.4</v>
      </c>
      <c r="O238" s="116">
        <v>710.82500000000005</v>
      </c>
      <c r="P238" s="116">
        <v>728.4</v>
      </c>
      <c r="Q238" s="116">
        <v>1433.1</v>
      </c>
      <c r="R238">
        <v>130757</v>
      </c>
    </row>
    <row r="239" spans="1:18" x14ac:dyDescent="0.25">
      <c r="A239" s="170">
        <v>42352</v>
      </c>
      <c r="B239" s="116">
        <v>714.5</v>
      </c>
      <c r="C239" s="116">
        <v>699</v>
      </c>
      <c r="D239" s="116">
        <v>695.02499999999998</v>
      </c>
      <c r="E239" s="116">
        <v>714.5</v>
      </c>
      <c r="F239" s="116">
        <v>1398</v>
      </c>
      <c r="G239">
        <v>16626</v>
      </c>
      <c r="H239" s="116"/>
      <c r="I239" s="116"/>
      <c r="L239" s="170">
        <v>42352</v>
      </c>
      <c r="M239" s="116">
        <v>698.57500000000005</v>
      </c>
      <c r="N239" s="116">
        <v>712</v>
      </c>
      <c r="O239" s="116">
        <v>695</v>
      </c>
      <c r="P239" s="116">
        <v>712</v>
      </c>
      <c r="Q239" s="116">
        <v>1397.15</v>
      </c>
      <c r="R239">
        <v>186391</v>
      </c>
    </row>
    <row r="240" spans="1:18" x14ac:dyDescent="0.25">
      <c r="A240" s="170">
        <v>42353</v>
      </c>
      <c r="B240" s="116">
        <v>704.4</v>
      </c>
      <c r="C240" s="116">
        <v>692.85</v>
      </c>
      <c r="D240" s="116">
        <v>687.75</v>
      </c>
      <c r="E240" s="116">
        <v>704.125</v>
      </c>
      <c r="F240" s="116">
        <v>1385.7</v>
      </c>
      <c r="G240">
        <v>16848</v>
      </c>
      <c r="H240" s="116"/>
      <c r="I240" s="116"/>
      <c r="L240" s="170">
        <v>42353</v>
      </c>
      <c r="M240" s="116">
        <v>693.65</v>
      </c>
      <c r="N240" s="116">
        <v>703.5</v>
      </c>
      <c r="O240" s="116">
        <v>687.8</v>
      </c>
      <c r="P240" s="116">
        <v>700</v>
      </c>
      <c r="Q240" s="116">
        <v>1387.3</v>
      </c>
      <c r="R240">
        <v>121685</v>
      </c>
    </row>
    <row r="241" spans="1:18" x14ac:dyDescent="0.25">
      <c r="A241" s="170">
        <v>42354</v>
      </c>
      <c r="B241" s="116">
        <v>707</v>
      </c>
      <c r="C241" s="116">
        <v>703.55</v>
      </c>
      <c r="D241" s="116">
        <v>695</v>
      </c>
      <c r="E241" s="116">
        <v>695</v>
      </c>
      <c r="F241" s="116">
        <v>1407.1</v>
      </c>
      <c r="G241">
        <v>10463</v>
      </c>
      <c r="H241" s="116"/>
      <c r="I241" s="116"/>
      <c r="L241" s="170">
        <v>42354</v>
      </c>
      <c r="M241" s="116">
        <v>702.77499999999998</v>
      </c>
      <c r="N241" s="116">
        <v>706.5</v>
      </c>
      <c r="O241" s="116">
        <v>696.5</v>
      </c>
      <c r="P241" s="116">
        <v>696.5</v>
      </c>
      <c r="Q241" s="116">
        <v>1405.55</v>
      </c>
      <c r="R241">
        <v>156906</v>
      </c>
    </row>
    <row r="242" spans="1:18" x14ac:dyDescent="0.25">
      <c r="A242" s="170">
        <v>42355</v>
      </c>
      <c r="B242" s="116">
        <v>725</v>
      </c>
      <c r="C242" s="116">
        <v>721.97500000000002</v>
      </c>
      <c r="D242" s="116">
        <v>707.45</v>
      </c>
      <c r="E242" s="116">
        <v>708</v>
      </c>
      <c r="F242" s="116">
        <v>1443.95</v>
      </c>
      <c r="G242">
        <v>14243</v>
      </c>
      <c r="H242" s="116"/>
      <c r="I242" s="116"/>
      <c r="L242" s="170">
        <v>42355</v>
      </c>
      <c r="M242" s="116">
        <v>721.125</v>
      </c>
      <c r="N242" s="116">
        <v>725</v>
      </c>
      <c r="O242" s="116">
        <v>707</v>
      </c>
      <c r="P242" s="116">
        <v>708.15</v>
      </c>
      <c r="Q242" s="116">
        <v>1442.25</v>
      </c>
      <c r="R242">
        <v>138992</v>
      </c>
    </row>
    <row r="243" spans="1:18" x14ac:dyDescent="0.25">
      <c r="A243" s="170">
        <v>42356</v>
      </c>
      <c r="B243" s="116">
        <v>734.4</v>
      </c>
      <c r="C243" s="116">
        <v>723.52499999999998</v>
      </c>
      <c r="D243" s="116">
        <v>716.5</v>
      </c>
      <c r="E243" s="116">
        <v>732.5</v>
      </c>
      <c r="F243" s="116">
        <v>1447.05</v>
      </c>
      <c r="G243">
        <v>11480</v>
      </c>
      <c r="H243" s="116"/>
      <c r="I243" s="116"/>
      <c r="L243" s="170">
        <v>42356</v>
      </c>
      <c r="M243" s="116">
        <v>723.07500000000005</v>
      </c>
      <c r="N243" s="116">
        <v>735</v>
      </c>
      <c r="O243" s="116">
        <v>715.1</v>
      </c>
      <c r="P243" s="116">
        <v>721.125</v>
      </c>
      <c r="Q243" s="116">
        <v>1446.15</v>
      </c>
      <c r="R243">
        <v>162698</v>
      </c>
    </row>
    <row r="244" spans="1:18" x14ac:dyDescent="0.25">
      <c r="A244" s="170">
        <v>42359</v>
      </c>
      <c r="B244" s="116">
        <v>740.5</v>
      </c>
      <c r="C244" s="116">
        <v>735.8</v>
      </c>
      <c r="D244" s="116">
        <v>720</v>
      </c>
      <c r="E244" s="116">
        <v>723.5</v>
      </c>
      <c r="F244" s="116">
        <v>1471.6</v>
      </c>
      <c r="G244">
        <v>8063</v>
      </c>
      <c r="H244" s="116"/>
      <c r="I244" s="116"/>
      <c r="L244" s="170">
        <v>42359</v>
      </c>
      <c r="M244" s="116">
        <v>735.05</v>
      </c>
      <c r="N244" s="116">
        <v>737.3</v>
      </c>
      <c r="O244" s="116">
        <v>723.75</v>
      </c>
      <c r="P244" s="116">
        <v>728.42499999999995</v>
      </c>
      <c r="Q244" s="116">
        <v>1470.1</v>
      </c>
      <c r="R244">
        <v>118693</v>
      </c>
    </row>
    <row r="245" spans="1:18" x14ac:dyDescent="0.25">
      <c r="A245" s="170">
        <v>42360</v>
      </c>
      <c r="B245" s="116">
        <v>737.65</v>
      </c>
      <c r="C245" s="116">
        <v>729.75</v>
      </c>
      <c r="D245" s="116">
        <v>727.5</v>
      </c>
      <c r="E245" s="116">
        <v>735.5</v>
      </c>
      <c r="F245" s="116">
        <v>1459.5</v>
      </c>
      <c r="G245">
        <v>7398</v>
      </c>
      <c r="H245" s="116"/>
      <c r="I245" s="116"/>
      <c r="L245" s="170">
        <v>42360</v>
      </c>
      <c r="M245" s="116">
        <v>729.55</v>
      </c>
      <c r="N245" s="116">
        <v>738.95</v>
      </c>
      <c r="O245" s="116">
        <v>728.05</v>
      </c>
      <c r="P245" s="116">
        <v>731.52499999999998</v>
      </c>
      <c r="Q245" s="116">
        <v>1459.1</v>
      </c>
      <c r="R245">
        <v>98221</v>
      </c>
    </row>
    <row r="246" spans="1:18" x14ac:dyDescent="0.25">
      <c r="A246" s="170">
        <v>42361</v>
      </c>
      <c r="B246" s="116">
        <v>737.22500000000002</v>
      </c>
      <c r="C246" s="116">
        <v>731.17499999999995</v>
      </c>
      <c r="D246" s="116">
        <v>730</v>
      </c>
      <c r="E246" s="116">
        <v>735</v>
      </c>
      <c r="F246" s="116">
        <v>1462.35</v>
      </c>
      <c r="G246">
        <v>15922</v>
      </c>
      <c r="H246" s="116"/>
      <c r="I246" s="116"/>
      <c r="L246" s="170">
        <v>42361</v>
      </c>
      <c r="M246" s="116">
        <v>731.97500000000002</v>
      </c>
      <c r="N246" s="116">
        <v>737.375</v>
      </c>
      <c r="O246" s="116">
        <v>729.07500000000005</v>
      </c>
      <c r="P246" s="116">
        <v>732.5</v>
      </c>
      <c r="Q246" s="116">
        <v>1463.95</v>
      </c>
      <c r="R246">
        <v>39644</v>
      </c>
    </row>
    <row r="247" spans="1:18" x14ac:dyDescent="0.25">
      <c r="A247" s="170">
        <v>42362</v>
      </c>
      <c r="B247" s="116">
        <v>735</v>
      </c>
      <c r="C247" s="116">
        <v>728.17499999999995</v>
      </c>
      <c r="D247" s="116">
        <v>725</v>
      </c>
      <c r="E247" s="116">
        <v>733.15</v>
      </c>
      <c r="F247" s="116">
        <v>1456.35</v>
      </c>
      <c r="G247">
        <v>3750</v>
      </c>
      <c r="H247" s="116"/>
      <c r="I247" s="116"/>
      <c r="L247" s="170">
        <v>42362</v>
      </c>
      <c r="M247" s="116">
        <v>727.72500000000002</v>
      </c>
      <c r="N247" s="116">
        <v>735</v>
      </c>
      <c r="O247" s="116">
        <v>723.5</v>
      </c>
      <c r="P247" s="116">
        <v>730.05</v>
      </c>
      <c r="Q247" s="116">
        <v>1455.45</v>
      </c>
      <c r="R247">
        <v>43846</v>
      </c>
    </row>
    <row r="248" spans="1:18" x14ac:dyDescent="0.25">
      <c r="A248" s="170">
        <v>42366</v>
      </c>
      <c r="B248" s="116">
        <v>740</v>
      </c>
      <c r="C248" s="116">
        <v>730.27499999999998</v>
      </c>
      <c r="D248" s="116">
        <v>727.125</v>
      </c>
      <c r="E248" s="116">
        <v>728.17499999999995</v>
      </c>
      <c r="F248" s="116">
        <v>1460.55</v>
      </c>
      <c r="G248">
        <v>5787</v>
      </c>
      <c r="H248" s="116"/>
      <c r="I248" s="116"/>
      <c r="L248" s="170">
        <v>42366</v>
      </c>
      <c r="M248" s="116">
        <v>731.75</v>
      </c>
      <c r="N248" s="116">
        <v>741</v>
      </c>
      <c r="O248" s="116">
        <v>727.32500000000005</v>
      </c>
      <c r="P248" s="116">
        <v>728.5</v>
      </c>
      <c r="Q248" s="116">
        <v>1463.5</v>
      </c>
      <c r="R248">
        <v>106001</v>
      </c>
    </row>
    <row r="249" spans="1:18" x14ac:dyDescent="0.25">
      <c r="A249" s="170">
        <v>42367</v>
      </c>
      <c r="B249" s="116">
        <v>740</v>
      </c>
      <c r="C249" s="116">
        <v>732.45</v>
      </c>
      <c r="D249" s="116">
        <v>730.5</v>
      </c>
      <c r="E249" s="116">
        <v>734.875</v>
      </c>
      <c r="F249" s="116">
        <v>1464.9</v>
      </c>
      <c r="G249">
        <v>7086</v>
      </c>
      <c r="H249" s="116"/>
      <c r="I249" s="116"/>
      <c r="L249" s="170">
        <v>42367</v>
      </c>
      <c r="M249" s="116">
        <v>732.67499999999995</v>
      </c>
      <c r="N249" s="116">
        <v>739.52499999999998</v>
      </c>
      <c r="O249" s="116">
        <v>730.625</v>
      </c>
      <c r="P249" s="116">
        <v>734.75</v>
      </c>
      <c r="Q249" s="116">
        <v>1465.35</v>
      </c>
      <c r="R249">
        <v>47993</v>
      </c>
    </row>
    <row r="250" spans="1:18" x14ac:dyDescent="0.25">
      <c r="A250" s="170">
        <v>42368</v>
      </c>
      <c r="B250" s="116">
        <v>741.75</v>
      </c>
      <c r="C250" s="116">
        <v>730.2</v>
      </c>
      <c r="D250" s="116">
        <v>727.5</v>
      </c>
      <c r="E250" s="116">
        <v>741.75</v>
      </c>
      <c r="F250" s="116">
        <v>1460.4</v>
      </c>
      <c r="G250">
        <v>10328</v>
      </c>
      <c r="H250" s="116"/>
      <c r="I250" s="116"/>
      <c r="L250" s="170">
        <v>42368</v>
      </c>
      <c r="M250" s="116">
        <v>729.05</v>
      </c>
      <c r="N250" s="116">
        <v>739.45</v>
      </c>
      <c r="O250" s="116">
        <v>726</v>
      </c>
      <c r="P250" s="116">
        <v>739.45</v>
      </c>
      <c r="Q250" s="116">
        <v>1458.1</v>
      </c>
      <c r="R250">
        <v>66364</v>
      </c>
    </row>
    <row r="251" spans="1:18" x14ac:dyDescent="0.25">
      <c r="A251" s="170">
        <v>42369</v>
      </c>
      <c r="B251" s="116">
        <v>747.47500000000002</v>
      </c>
      <c r="C251" s="116">
        <v>726.82500000000005</v>
      </c>
      <c r="D251" s="116">
        <v>722</v>
      </c>
      <c r="E251" s="116">
        <v>740</v>
      </c>
      <c r="F251" s="116">
        <v>1453.65</v>
      </c>
      <c r="G251">
        <v>30546</v>
      </c>
      <c r="H251" s="116"/>
      <c r="I251" s="116"/>
      <c r="L251" s="170">
        <v>42369</v>
      </c>
      <c r="M251" s="116">
        <v>725.82500000000005</v>
      </c>
      <c r="N251" s="116">
        <v>749.35</v>
      </c>
      <c r="O251" s="116">
        <v>720.55</v>
      </c>
      <c r="P251" s="116">
        <v>743.1</v>
      </c>
      <c r="Q251" s="116">
        <v>1451.65</v>
      </c>
      <c r="R251">
        <v>219158</v>
      </c>
    </row>
    <row r="252" spans="1:18" x14ac:dyDescent="0.25">
      <c r="A252" s="170">
        <v>42370</v>
      </c>
      <c r="B252" s="116">
        <v>754.875</v>
      </c>
      <c r="C252" s="116">
        <v>739.52499999999998</v>
      </c>
      <c r="D252" s="116">
        <v>721.07500000000005</v>
      </c>
      <c r="E252" s="116">
        <v>721.07500000000005</v>
      </c>
      <c r="F252" s="116">
        <v>1479.05</v>
      </c>
      <c r="G252">
        <v>23876</v>
      </c>
      <c r="H252" s="116"/>
      <c r="I252" s="116"/>
      <c r="L252" s="170">
        <v>42370</v>
      </c>
      <c r="M252" s="116">
        <v>739.45</v>
      </c>
      <c r="N252" s="116">
        <v>754.95</v>
      </c>
      <c r="O252" s="116">
        <v>728.1</v>
      </c>
      <c r="P252" s="116">
        <v>729.95</v>
      </c>
      <c r="Q252" s="116">
        <v>1478.9</v>
      </c>
      <c r="R252">
        <v>375474</v>
      </c>
    </row>
    <row r="253" spans="1:18" x14ac:dyDescent="0.25">
      <c r="A253" s="170">
        <v>42373</v>
      </c>
      <c r="B253" s="116">
        <v>741.25</v>
      </c>
      <c r="C253" s="116">
        <v>724.3</v>
      </c>
      <c r="D253" s="116">
        <v>721.5</v>
      </c>
      <c r="E253" s="116">
        <v>735</v>
      </c>
      <c r="F253" s="116">
        <v>1448.6</v>
      </c>
      <c r="G253">
        <v>14139</v>
      </c>
      <c r="H253" s="116"/>
      <c r="I253" s="116"/>
      <c r="L253" s="170">
        <v>42373</v>
      </c>
      <c r="M253" s="116">
        <v>724.17499999999995</v>
      </c>
      <c r="N253" s="116">
        <v>741.47500000000002</v>
      </c>
      <c r="O253" s="116">
        <v>721.05</v>
      </c>
      <c r="P253" s="116">
        <v>735</v>
      </c>
      <c r="Q253" s="116">
        <v>1448.35</v>
      </c>
      <c r="R253">
        <v>143612</v>
      </c>
    </row>
    <row r="254" spans="1:18" x14ac:dyDescent="0.25">
      <c r="A254" s="170">
        <v>42374</v>
      </c>
      <c r="B254" s="116">
        <v>730.65</v>
      </c>
      <c r="C254" s="116">
        <v>717.22500000000002</v>
      </c>
      <c r="D254" s="116">
        <v>711.7</v>
      </c>
      <c r="E254" s="116">
        <v>725</v>
      </c>
      <c r="F254" s="116">
        <v>1434.45</v>
      </c>
      <c r="G254">
        <v>12514</v>
      </c>
      <c r="H254" s="116"/>
      <c r="I254" s="116"/>
      <c r="L254" s="170">
        <v>42374</v>
      </c>
      <c r="M254" s="116">
        <v>717.97500000000002</v>
      </c>
      <c r="N254" s="116">
        <v>729.85</v>
      </c>
      <c r="O254" s="116">
        <v>710.27499999999998</v>
      </c>
      <c r="P254" s="116">
        <v>722.07500000000005</v>
      </c>
      <c r="Q254" s="116">
        <v>1435.95</v>
      </c>
      <c r="R254">
        <v>186614</v>
      </c>
    </row>
    <row r="255" spans="1:18" x14ac:dyDescent="0.25">
      <c r="A255" s="170">
        <v>42375</v>
      </c>
      <c r="B255" s="116">
        <v>737.875</v>
      </c>
      <c r="C255" s="116">
        <v>722.625</v>
      </c>
      <c r="D255" s="116">
        <v>717.75</v>
      </c>
      <c r="E255" s="116">
        <v>718.5</v>
      </c>
      <c r="F255" s="116">
        <v>1445.25</v>
      </c>
      <c r="G255">
        <v>12603</v>
      </c>
      <c r="H255" s="116"/>
      <c r="I255" s="116"/>
      <c r="L255" s="170">
        <v>42375</v>
      </c>
      <c r="M255" s="116">
        <v>721.42499999999995</v>
      </c>
      <c r="N255" s="116">
        <v>738</v>
      </c>
      <c r="O255" s="116">
        <v>715.07500000000005</v>
      </c>
      <c r="P255" s="116">
        <v>715.07500000000005</v>
      </c>
      <c r="Q255" s="116">
        <v>1442.85</v>
      </c>
      <c r="R255">
        <v>162094</v>
      </c>
    </row>
    <row r="256" spans="1:18" x14ac:dyDescent="0.25">
      <c r="A256" s="170">
        <v>42376</v>
      </c>
      <c r="B256" s="116">
        <v>720.42499999999995</v>
      </c>
      <c r="C256" s="116">
        <v>712.32500000000005</v>
      </c>
      <c r="D256" s="116">
        <v>708.5</v>
      </c>
      <c r="E256" s="116">
        <v>715</v>
      </c>
      <c r="F256" s="116">
        <v>1424.65</v>
      </c>
      <c r="G256">
        <v>13437</v>
      </c>
      <c r="H256" s="116"/>
      <c r="I256" s="116"/>
      <c r="L256" s="170">
        <v>42376</v>
      </c>
      <c r="M256" s="116">
        <v>712.5</v>
      </c>
      <c r="N256" s="116">
        <v>720.02499999999998</v>
      </c>
      <c r="O256" s="116">
        <v>708</v>
      </c>
      <c r="P256" s="116">
        <v>712.52499999999998</v>
      </c>
      <c r="Q256" s="116">
        <v>1425</v>
      </c>
      <c r="R256">
        <v>163423</v>
      </c>
    </row>
    <row r="257" spans="1:18" x14ac:dyDescent="0.25">
      <c r="A257" s="170">
        <v>42377</v>
      </c>
      <c r="B257" s="116">
        <v>724.97500000000002</v>
      </c>
      <c r="C257" s="116">
        <v>720.27499999999998</v>
      </c>
      <c r="D257" s="116">
        <v>711.22500000000002</v>
      </c>
      <c r="E257" s="116">
        <v>711.22500000000002</v>
      </c>
      <c r="F257" s="116">
        <v>1440.55</v>
      </c>
      <c r="G257">
        <v>8563</v>
      </c>
      <c r="H257" s="116"/>
      <c r="I257" s="116"/>
      <c r="L257" s="170">
        <v>42377</v>
      </c>
      <c r="M257" s="116">
        <v>720.3</v>
      </c>
      <c r="N257" s="116">
        <v>724.5</v>
      </c>
      <c r="O257" s="116">
        <v>712.6</v>
      </c>
      <c r="P257" s="116">
        <v>712.6</v>
      </c>
      <c r="Q257" s="116">
        <v>1440.6</v>
      </c>
      <c r="R257">
        <v>189952</v>
      </c>
    </row>
    <row r="258" spans="1:18" x14ac:dyDescent="0.25">
      <c r="A258" s="170">
        <v>42380</v>
      </c>
      <c r="B258" s="116">
        <v>717.5</v>
      </c>
      <c r="C258" s="116">
        <v>707.35</v>
      </c>
      <c r="D258" s="116">
        <v>704.72500000000002</v>
      </c>
      <c r="E258" s="116">
        <v>717.5</v>
      </c>
      <c r="F258" s="116">
        <v>1414.7</v>
      </c>
      <c r="G258">
        <v>8712</v>
      </c>
      <c r="H258" s="116"/>
      <c r="I258" s="116"/>
      <c r="L258" s="170">
        <v>42380</v>
      </c>
      <c r="M258" s="116">
        <v>708.25</v>
      </c>
      <c r="N258" s="116">
        <v>719.97500000000002</v>
      </c>
      <c r="O258" s="116">
        <v>704.25</v>
      </c>
      <c r="P258" s="116">
        <v>719.97500000000002</v>
      </c>
      <c r="Q258" s="116">
        <v>1416.5</v>
      </c>
      <c r="R258">
        <v>199017</v>
      </c>
    </row>
    <row r="259" spans="1:18" x14ac:dyDescent="0.25">
      <c r="A259" s="170">
        <v>42381</v>
      </c>
      <c r="B259" s="116">
        <v>718.82500000000005</v>
      </c>
      <c r="C259" s="116">
        <v>715.375</v>
      </c>
      <c r="D259" s="116">
        <v>705</v>
      </c>
      <c r="E259" s="116">
        <v>705</v>
      </c>
      <c r="F259" s="116">
        <v>1430.75</v>
      </c>
      <c r="G259">
        <v>12290</v>
      </c>
      <c r="H259" s="116"/>
      <c r="I259" s="116"/>
      <c r="L259" s="170">
        <v>42381</v>
      </c>
      <c r="M259" s="116">
        <v>716.82500000000005</v>
      </c>
      <c r="N259" s="116">
        <v>725</v>
      </c>
      <c r="O259" s="116">
        <v>707.35</v>
      </c>
      <c r="P259" s="116">
        <v>708.65</v>
      </c>
      <c r="Q259" s="116">
        <v>1433.65</v>
      </c>
      <c r="R259">
        <v>89837</v>
      </c>
    </row>
    <row r="260" spans="1:18" x14ac:dyDescent="0.25">
      <c r="A260" s="170">
        <v>42382</v>
      </c>
      <c r="B260" s="116">
        <v>728</v>
      </c>
      <c r="C260" s="116">
        <v>704.55</v>
      </c>
      <c r="D260" s="116">
        <v>683.375</v>
      </c>
      <c r="E260" s="116">
        <v>720</v>
      </c>
      <c r="F260" s="116">
        <v>1409.1</v>
      </c>
      <c r="G260">
        <v>18963</v>
      </c>
      <c r="H260" s="116"/>
      <c r="I260" s="116"/>
      <c r="L260" s="170">
        <v>42382</v>
      </c>
      <c r="M260" s="116">
        <v>704.92499999999995</v>
      </c>
      <c r="N260" s="116">
        <v>727.875</v>
      </c>
      <c r="O260" s="116">
        <v>682.05</v>
      </c>
      <c r="P260" s="116">
        <v>720.35</v>
      </c>
      <c r="Q260" s="116">
        <v>1409.85</v>
      </c>
      <c r="R260">
        <v>227613</v>
      </c>
    </row>
    <row r="261" spans="1:18" x14ac:dyDescent="0.25">
      <c r="A261" s="170">
        <v>42383</v>
      </c>
      <c r="B261" s="116">
        <v>705.67499999999995</v>
      </c>
      <c r="C261" s="116">
        <v>694.17499999999995</v>
      </c>
      <c r="D261" s="116">
        <v>687.97500000000002</v>
      </c>
      <c r="E261" s="116">
        <v>704.55</v>
      </c>
      <c r="F261" s="116">
        <v>1388.35</v>
      </c>
      <c r="G261">
        <v>8944</v>
      </c>
      <c r="H261" s="116"/>
      <c r="I261" s="116"/>
      <c r="L261" s="170">
        <v>42383</v>
      </c>
      <c r="M261" s="116">
        <v>695.07500000000005</v>
      </c>
      <c r="N261" s="116">
        <v>706</v>
      </c>
      <c r="O261" s="116">
        <v>682.52499999999998</v>
      </c>
      <c r="P261" s="116">
        <v>682.52499999999998</v>
      </c>
      <c r="Q261" s="116">
        <v>1390.15</v>
      </c>
      <c r="R261">
        <v>126518</v>
      </c>
    </row>
    <row r="262" spans="1:18" x14ac:dyDescent="0.25">
      <c r="A262" s="170">
        <v>42384</v>
      </c>
      <c r="B262" s="116">
        <v>701.75</v>
      </c>
      <c r="C262" s="116">
        <v>661.625</v>
      </c>
      <c r="D262" s="116">
        <v>653.5</v>
      </c>
      <c r="E262" s="116">
        <v>695.05</v>
      </c>
      <c r="F262" s="116">
        <v>1323.25</v>
      </c>
      <c r="G262">
        <v>31422</v>
      </c>
      <c r="H262" s="116"/>
      <c r="I262" s="116"/>
      <c r="L262" s="170">
        <v>42384</v>
      </c>
      <c r="M262" s="116">
        <v>661.9</v>
      </c>
      <c r="N262" s="116">
        <v>701.125</v>
      </c>
      <c r="O262" s="116">
        <v>653.125</v>
      </c>
      <c r="P262" s="116">
        <v>693.27499999999998</v>
      </c>
      <c r="Q262" s="116">
        <v>1323.8</v>
      </c>
      <c r="R262">
        <v>246741</v>
      </c>
    </row>
    <row r="263" spans="1:18" x14ac:dyDescent="0.25">
      <c r="A263" s="170">
        <v>42387</v>
      </c>
      <c r="B263" s="116">
        <v>681</v>
      </c>
      <c r="C263" s="116">
        <v>666.875</v>
      </c>
      <c r="D263" s="116">
        <v>635</v>
      </c>
      <c r="E263" s="116">
        <v>662</v>
      </c>
      <c r="F263" s="116">
        <v>1333.75</v>
      </c>
      <c r="G263">
        <v>28269</v>
      </c>
      <c r="H263" s="116"/>
      <c r="I263" s="116"/>
      <c r="L263" s="170">
        <v>42387</v>
      </c>
      <c r="M263" s="116">
        <v>664.75</v>
      </c>
      <c r="N263" s="116">
        <v>679.92499999999995</v>
      </c>
      <c r="O263" s="116">
        <v>635.5</v>
      </c>
      <c r="P263" s="116">
        <v>651.07500000000005</v>
      </c>
      <c r="Q263" s="116">
        <v>1329.5</v>
      </c>
      <c r="R263">
        <v>219038</v>
      </c>
    </row>
    <row r="264" spans="1:18" x14ac:dyDescent="0.25">
      <c r="A264" s="170">
        <v>42388</v>
      </c>
      <c r="B264" s="116">
        <v>688.3</v>
      </c>
      <c r="C264" s="116">
        <v>681.625</v>
      </c>
      <c r="D264" s="116">
        <v>651.875</v>
      </c>
      <c r="E264" s="116">
        <v>660.02499999999998</v>
      </c>
      <c r="F264" s="116">
        <v>1363.25</v>
      </c>
      <c r="G264">
        <v>9863</v>
      </c>
      <c r="H264" s="116"/>
      <c r="I264" s="116"/>
      <c r="L264" s="170">
        <v>42388</v>
      </c>
      <c r="M264" s="116">
        <v>685.375</v>
      </c>
      <c r="N264" s="116">
        <v>689.9</v>
      </c>
      <c r="O264" s="116">
        <v>652.07500000000005</v>
      </c>
      <c r="P264" s="116">
        <v>664.5</v>
      </c>
      <c r="Q264" s="116">
        <v>1370.75</v>
      </c>
      <c r="R264">
        <v>122998</v>
      </c>
    </row>
    <row r="265" spans="1:18" x14ac:dyDescent="0.25">
      <c r="A265" s="170">
        <v>42389</v>
      </c>
      <c r="B265" s="116">
        <v>678.5</v>
      </c>
      <c r="C265" s="116">
        <v>655.17499999999995</v>
      </c>
      <c r="D265" s="116">
        <v>643.17499999999995</v>
      </c>
      <c r="E265" s="116">
        <v>678.5</v>
      </c>
      <c r="F265" s="116">
        <v>1310.3499999999999</v>
      </c>
      <c r="G265">
        <v>15901</v>
      </c>
      <c r="H265" s="116"/>
      <c r="I265" s="116"/>
      <c r="L265" s="170">
        <v>42389</v>
      </c>
      <c r="M265" s="116">
        <v>655.95</v>
      </c>
      <c r="N265" s="116">
        <v>675</v>
      </c>
      <c r="O265" s="116">
        <v>642.04999999999995</v>
      </c>
      <c r="P265" s="116">
        <v>675</v>
      </c>
      <c r="Q265" s="116">
        <v>1311.9</v>
      </c>
      <c r="R265">
        <v>281492</v>
      </c>
    </row>
    <row r="266" spans="1:18" x14ac:dyDescent="0.25">
      <c r="A266" s="170">
        <v>42390</v>
      </c>
      <c r="B266" s="116">
        <v>676</v>
      </c>
      <c r="C266" s="116">
        <v>666.5</v>
      </c>
      <c r="D266" s="116">
        <v>651</v>
      </c>
      <c r="E266" s="116">
        <v>651</v>
      </c>
      <c r="F266" s="116">
        <v>1333</v>
      </c>
      <c r="G266">
        <v>9783</v>
      </c>
      <c r="H266" s="116"/>
      <c r="I266" s="116"/>
      <c r="L266" s="170">
        <v>42390</v>
      </c>
      <c r="M266" s="116">
        <v>669.47500000000002</v>
      </c>
      <c r="N266" s="116">
        <v>676.7</v>
      </c>
      <c r="O266" s="116">
        <v>656.3</v>
      </c>
      <c r="P266" s="116">
        <v>658.82500000000005</v>
      </c>
      <c r="Q266" s="116">
        <v>1338.95</v>
      </c>
      <c r="R266">
        <v>135859</v>
      </c>
    </row>
    <row r="267" spans="1:18" x14ac:dyDescent="0.25">
      <c r="A267" s="170">
        <v>42391</v>
      </c>
      <c r="B267" s="116">
        <v>698.02499999999998</v>
      </c>
      <c r="C267" s="116">
        <v>694.07500000000005</v>
      </c>
      <c r="D267" s="116">
        <v>671.5</v>
      </c>
      <c r="E267" s="116">
        <v>671.5</v>
      </c>
      <c r="F267" s="116">
        <v>1388.15</v>
      </c>
      <c r="G267">
        <v>14168</v>
      </c>
      <c r="H267" s="116"/>
      <c r="I267" s="116"/>
      <c r="L267" s="170">
        <v>42391</v>
      </c>
      <c r="M267" s="116">
        <v>695.65</v>
      </c>
      <c r="N267" s="116">
        <v>699.2</v>
      </c>
      <c r="O267" s="116">
        <v>670.52499999999998</v>
      </c>
      <c r="P267" s="116">
        <v>670.52499999999998</v>
      </c>
      <c r="Q267" s="116">
        <v>1391.3</v>
      </c>
      <c r="R267">
        <v>138269</v>
      </c>
    </row>
    <row r="268" spans="1:18" x14ac:dyDescent="0.25">
      <c r="A268" s="170">
        <v>42394</v>
      </c>
      <c r="B268" s="116">
        <v>705.4</v>
      </c>
      <c r="C268" s="116">
        <v>699.47500000000002</v>
      </c>
      <c r="D268" s="116">
        <v>692.5</v>
      </c>
      <c r="E268" s="116">
        <v>700.17499999999995</v>
      </c>
      <c r="F268" s="116">
        <v>1398.95</v>
      </c>
      <c r="G268">
        <v>4688</v>
      </c>
      <c r="H268" s="116"/>
      <c r="I268" s="116"/>
      <c r="L268" s="170">
        <v>42394</v>
      </c>
      <c r="M268" s="116">
        <v>699.95</v>
      </c>
      <c r="N268" s="116">
        <v>705.5</v>
      </c>
      <c r="O268" s="116">
        <v>691.875</v>
      </c>
      <c r="P268" s="116">
        <v>696.1</v>
      </c>
      <c r="Q268" s="116">
        <v>1399.9</v>
      </c>
      <c r="R268">
        <v>141747</v>
      </c>
    </row>
    <row r="269" spans="1:18" x14ac:dyDescent="0.25">
      <c r="A269" s="170">
        <v>42396</v>
      </c>
      <c r="B269" s="116">
        <v>711.125</v>
      </c>
      <c r="C269" s="116">
        <v>698.32500000000005</v>
      </c>
      <c r="D269" s="116">
        <v>695.15</v>
      </c>
      <c r="E269" s="116">
        <v>700</v>
      </c>
      <c r="F269" s="116">
        <v>1396.65</v>
      </c>
      <c r="G269">
        <v>7571</v>
      </c>
      <c r="H269" s="116"/>
      <c r="I269" s="116"/>
      <c r="L269" s="170">
        <v>42396</v>
      </c>
      <c r="M269" s="116">
        <v>697.57500000000005</v>
      </c>
      <c r="N269" s="116">
        <v>712.5</v>
      </c>
      <c r="O269" s="116">
        <v>695</v>
      </c>
      <c r="P269" s="116">
        <v>700.5</v>
      </c>
      <c r="Q269" s="116">
        <v>1395.15</v>
      </c>
      <c r="R269">
        <v>143793</v>
      </c>
    </row>
    <row r="270" spans="1:18" x14ac:dyDescent="0.25">
      <c r="A270" s="170">
        <v>42397</v>
      </c>
      <c r="B270" s="116">
        <v>701.65</v>
      </c>
      <c r="C270" s="116">
        <v>690.625</v>
      </c>
      <c r="D270" s="116">
        <v>678.6</v>
      </c>
      <c r="E270" s="116">
        <v>688.25</v>
      </c>
      <c r="F270" s="116">
        <v>1381.25</v>
      </c>
      <c r="G270">
        <v>11318</v>
      </c>
      <c r="H270" s="116"/>
      <c r="I270" s="116"/>
      <c r="L270" s="170">
        <v>42397</v>
      </c>
      <c r="M270" s="116">
        <v>692</v>
      </c>
      <c r="N270" s="116">
        <v>702.5</v>
      </c>
      <c r="O270" s="116">
        <v>677.52499999999998</v>
      </c>
      <c r="P270" s="116">
        <v>701.5</v>
      </c>
      <c r="Q270" s="116">
        <v>1384</v>
      </c>
      <c r="R270">
        <v>197368</v>
      </c>
    </row>
    <row r="271" spans="1:18" x14ac:dyDescent="0.25">
      <c r="A271" s="170">
        <v>42398</v>
      </c>
      <c r="B271" s="116">
        <v>704.95</v>
      </c>
      <c r="C271" s="116">
        <v>697.85</v>
      </c>
      <c r="D271" s="116">
        <v>693.17499999999995</v>
      </c>
      <c r="E271" s="116">
        <v>693.67499999999995</v>
      </c>
      <c r="F271" s="116">
        <v>1395.7</v>
      </c>
      <c r="G271">
        <v>9871</v>
      </c>
      <c r="H271" s="116"/>
      <c r="I271" s="116"/>
      <c r="L271" s="170">
        <v>42398</v>
      </c>
      <c r="M271" s="116">
        <v>699.42499999999995</v>
      </c>
      <c r="N271" s="116">
        <v>704.92499999999995</v>
      </c>
      <c r="O271" s="116">
        <v>692.375</v>
      </c>
      <c r="P271" s="116">
        <v>696.375</v>
      </c>
      <c r="Q271" s="116">
        <v>1398.85</v>
      </c>
      <c r="R271">
        <v>114040</v>
      </c>
    </row>
    <row r="272" spans="1:18" x14ac:dyDescent="0.25">
      <c r="A272" s="170">
        <v>42401</v>
      </c>
      <c r="B272" s="116">
        <v>705.02499999999998</v>
      </c>
      <c r="C272" s="116">
        <v>697.9</v>
      </c>
      <c r="D272" s="116">
        <v>693.05</v>
      </c>
      <c r="E272" s="116">
        <v>705</v>
      </c>
      <c r="F272" s="116">
        <v>1395.8</v>
      </c>
      <c r="G272">
        <v>6086</v>
      </c>
      <c r="H272" s="116"/>
      <c r="I272" s="116"/>
      <c r="L272" s="170">
        <v>42401</v>
      </c>
      <c r="M272" s="116">
        <v>697.95</v>
      </c>
      <c r="N272" s="116">
        <v>706</v>
      </c>
      <c r="O272" s="116">
        <v>692.8</v>
      </c>
      <c r="P272" s="116">
        <v>706</v>
      </c>
      <c r="Q272" s="116">
        <v>1395.9</v>
      </c>
      <c r="R272">
        <v>97479</v>
      </c>
    </row>
    <row r="273" spans="1:18" x14ac:dyDescent="0.25">
      <c r="A273" s="170">
        <v>42402</v>
      </c>
      <c r="B273" s="116">
        <v>700</v>
      </c>
      <c r="C273" s="116">
        <v>673.57500000000005</v>
      </c>
      <c r="D273" s="116">
        <v>671.82500000000005</v>
      </c>
      <c r="E273" s="116">
        <v>698</v>
      </c>
      <c r="F273" s="116">
        <v>1347.15</v>
      </c>
      <c r="G273">
        <v>9407</v>
      </c>
      <c r="H273" s="116"/>
      <c r="I273" s="116"/>
      <c r="L273" s="170">
        <v>42402</v>
      </c>
      <c r="M273" s="116">
        <v>674.3</v>
      </c>
      <c r="N273" s="116">
        <v>701.97500000000002</v>
      </c>
      <c r="O273" s="116">
        <v>671</v>
      </c>
      <c r="P273" s="116">
        <v>701.97500000000002</v>
      </c>
      <c r="Q273" s="116">
        <v>1348.6</v>
      </c>
      <c r="R273">
        <v>185352</v>
      </c>
    </row>
    <row r="274" spans="1:18" x14ac:dyDescent="0.25">
      <c r="A274" s="170">
        <v>42403</v>
      </c>
      <c r="B274" s="116">
        <v>696.35</v>
      </c>
      <c r="C274" s="116">
        <v>689.75</v>
      </c>
      <c r="D274" s="116">
        <v>665</v>
      </c>
      <c r="E274" s="116">
        <v>670</v>
      </c>
      <c r="F274" s="116">
        <v>1379.5</v>
      </c>
      <c r="G274">
        <v>13374</v>
      </c>
      <c r="H274" s="116"/>
      <c r="I274" s="116"/>
      <c r="L274" s="170">
        <v>42403</v>
      </c>
      <c r="M274" s="116">
        <v>689.32500000000005</v>
      </c>
      <c r="N274" s="116">
        <v>697</v>
      </c>
      <c r="O274" s="116">
        <v>662.2</v>
      </c>
      <c r="P274" s="116">
        <v>672</v>
      </c>
      <c r="Q274" s="116">
        <v>1378.65</v>
      </c>
      <c r="R274">
        <v>138404</v>
      </c>
    </row>
    <row r="275" spans="1:18" x14ac:dyDescent="0.25">
      <c r="A275" s="170">
        <v>42404</v>
      </c>
      <c r="B275" s="116">
        <v>704</v>
      </c>
      <c r="C275" s="116">
        <v>674.92499999999995</v>
      </c>
      <c r="D275" s="116">
        <v>666.82500000000005</v>
      </c>
      <c r="E275" s="116">
        <v>690</v>
      </c>
      <c r="F275" s="116">
        <v>1349.85</v>
      </c>
      <c r="G275">
        <v>17384</v>
      </c>
      <c r="H275" s="116"/>
      <c r="I275" s="116"/>
      <c r="L275" s="170">
        <v>42404</v>
      </c>
      <c r="M275" s="116">
        <v>675.65</v>
      </c>
      <c r="N275" s="116">
        <v>704.95</v>
      </c>
      <c r="O275" s="116">
        <v>666.67499999999995</v>
      </c>
      <c r="P275" s="116">
        <v>694.95</v>
      </c>
      <c r="Q275" s="116">
        <v>1351.3</v>
      </c>
      <c r="R275">
        <v>246450</v>
      </c>
    </row>
    <row r="276" spans="1:18" x14ac:dyDescent="0.25">
      <c r="A276" s="170">
        <v>42405</v>
      </c>
      <c r="B276" s="116">
        <v>700</v>
      </c>
      <c r="C276" s="116">
        <v>686.8</v>
      </c>
      <c r="D276" s="116">
        <v>680.92499999999995</v>
      </c>
      <c r="E276" s="116">
        <v>700</v>
      </c>
      <c r="F276" s="116">
        <v>1373.6</v>
      </c>
      <c r="G276">
        <v>166470</v>
      </c>
      <c r="H276" s="116"/>
      <c r="I276" s="116"/>
      <c r="L276" s="170">
        <v>42405</v>
      </c>
      <c r="M276" s="116">
        <v>687.15</v>
      </c>
      <c r="N276" s="116">
        <v>701</v>
      </c>
      <c r="O276" s="116">
        <v>680.07500000000005</v>
      </c>
      <c r="P276" s="116">
        <v>695</v>
      </c>
      <c r="Q276" s="116">
        <v>1374.3</v>
      </c>
      <c r="R276">
        <v>907688</v>
      </c>
    </row>
    <row r="277" spans="1:18" x14ac:dyDescent="0.25">
      <c r="A277" s="170">
        <v>42408</v>
      </c>
      <c r="B277" s="116">
        <v>696.22500000000002</v>
      </c>
      <c r="C277" s="116">
        <v>669.5</v>
      </c>
      <c r="D277" s="116">
        <v>663.1</v>
      </c>
      <c r="E277" s="116">
        <v>690</v>
      </c>
      <c r="F277" s="116">
        <v>1339</v>
      </c>
      <c r="G277">
        <v>45332</v>
      </c>
      <c r="H277" s="116"/>
      <c r="I277" s="116"/>
      <c r="L277" s="170">
        <v>42408</v>
      </c>
      <c r="M277" s="116">
        <v>670.375</v>
      </c>
      <c r="N277" s="116">
        <v>696.97500000000002</v>
      </c>
      <c r="O277" s="116">
        <v>662.5</v>
      </c>
      <c r="P277" s="116">
        <v>690.97500000000002</v>
      </c>
      <c r="Q277" s="116">
        <v>1340.75</v>
      </c>
      <c r="R277">
        <v>190781</v>
      </c>
    </row>
    <row r="278" spans="1:18" x14ac:dyDescent="0.25">
      <c r="A278" s="170">
        <v>42409</v>
      </c>
      <c r="B278" s="116">
        <v>668.75</v>
      </c>
      <c r="C278" s="116">
        <v>663.45</v>
      </c>
      <c r="D278" s="116">
        <v>651.42499999999995</v>
      </c>
      <c r="E278" s="116">
        <v>664.95</v>
      </c>
      <c r="F278" s="116">
        <v>1326.9</v>
      </c>
      <c r="G278">
        <v>11459</v>
      </c>
      <c r="H278" s="116"/>
      <c r="I278" s="116"/>
      <c r="L278" s="170">
        <v>42409</v>
      </c>
      <c r="M278" s="116">
        <v>663.27499999999998</v>
      </c>
      <c r="N278" s="116">
        <v>669.42499999999995</v>
      </c>
      <c r="O278" s="116">
        <v>651.20000000000005</v>
      </c>
      <c r="P278" s="116">
        <v>661.9</v>
      </c>
      <c r="Q278" s="116">
        <v>1326.55</v>
      </c>
      <c r="R278">
        <v>94206</v>
      </c>
    </row>
    <row r="279" spans="1:18" x14ac:dyDescent="0.25">
      <c r="A279" s="170">
        <v>42410</v>
      </c>
      <c r="B279" s="116">
        <v>665.17499999999995</v>
      </c>
      <c r="C279" s="116">
        <v>659.35</v>
      </c>
      <c r="D279" s="116">
        <v>651.04999999999995</v>
      </c>
      <c r="E279" s="116">
        <v>661.52499999999998</v>
      </c>
      <c r="F279" s="116">
        <v>1318.7</v>
      </c>
      <c r="G279">
        <v>229049</v>
      </c>
      <c r="H279" s="116"/>
      <c r="I279" s="116"/>
      <c r="L279" s="170">
        <v>42410</v>
      </c>
      <c r="M279" s="116">
        <v>659.47500000000002</v>
      </c>
      <c r="N279" s="116">
        <v>667.47500000000002</v>
      </c>
      <c r="O279" s="116">
        <v>651.25</v>
      </c>
      <c r="P279" s="116">
        <v>664.97500000000002</v>
      </c>
      <c r="Q279" s="116">
        <v>1318.95</v>
      </c>
      <c r="R279">
        <v>137502</v>
      </c>
    </row>
    <row r="280" spans="1:18" x14ac:dyDescent="0.25">
      <c r="A280" s="170">
        <v>42411</v>
      </c>
      <c r="B280" s="116">
        <v>654</v>
      </c>
      <c r="C280" s="116">
        <v>633.1</v>
      </c>
      <c r="D280" s="116">
        <v>626.375</v>
      </c>
      <c r="E280" s="116">
        <v>654</v>
      </c>
      <c r="F280" s="116">
        <v>1266.2</v>
      </c>
      <c r="G280">
        <v>24302</v>
      </c>
      <c r="H280" s="116"/>
      <c r="I280" s="116"/>
      <c r="L280" s="170">
        <v>42411</v>
      </c>
      <c r="M280" s="116">
        <v>633.04999999999995</v>
      </c>
      <c r="N280" s="116">
        <v>654.95000000000005</v>
      </c>
      <c r="O280" s="116">
        <v>627.375</v>
      </c>
      <c r="P280" s="116">
        <v>650.04999999999995</v>
      </c>
      <c r="Q280" s="116">
        <v>1266.0999999999999</v>
      </c>
      <c r="R280">
        <v>308282</v>
      </c>
    </row>
    <row r="281" spans="1:18" x14ac:dyDescent="0.25">
      <c r="A281" s="170">
        <v>42412</v>
      </c>
      <c r="B281" s="116">
        <v>637.25</v>
      </c>
      <c r="C281" s="116">
        <v>615.97500000000002</v>
      </c>
      <c r="D281" s="116">
        <v>595</v>
      </c>
      <c r="E281" s="116">
        <v>627.5</v>
      </c>
      <c r="F281" s="116">
        <v>1231.95</v>
      </c>
      <c r="G281">
        <v>36433</v>
      </c>
      <c r="H281" s="116"/>
      <c r="I281" s="116"/>
      <c r="L281" s="170">
        <v>42412</v>
      </c>
      <c r="M281" s="116">
        <v>617.52499999999998</v>
      </c>
      <c r="N281" s="116">
        <v>638.72500000000002</v>
      </c>
      <c r="O281" s="116">
        <v>594.5</v>
      </c>
      <c r="P281" s="116">
        <v>635</v>
      </c>
      <c r="Q281" s="116">
        <v>1235.05</v>
      </c>
      <c r="R281">
        <v>408712</v>
      </c>
    </row>
    <row r="282" spans="1:18" x14ac:dyDescent="0.25">
      <c r="A282" s="170">
        <v>42415</v>
      </c>
      <c r="B282" s="116">
        <v>655</v>
      </c>
      <c r="C282" s="116">
        <v>650.75</v>
      </c>
      <c r="D282" s="116">
        <v>623</v>
      </c>
      <c r="E282" s="116">
        <v>634.5</v>
      </c>
      <c r="F282" s="116">
        <v>1301.5</v>
      </c>
      <c r="G282">
        <v>21821</v>
      </c>
      <c r="H282" s="116"/>
      <c r="I282" s="116"/>
      <c r="L282" s="170">
        <v>42415</v>
      </c>
      <c r="M282" s="116">
        <v>650.72500000000002</v>
      </c>
      <c r="N282" s="116">
        <v>653.5</v>
      </c>
      <c r="O282" s="116">
        <v>622.5</v>
      </c>
      <c r="P282" s="116">
        <v>633.04999999999995</v>
      </c>
      <c r="Q282" s="116">
        <v>1301.45</v>
      </c>
      <c r="R282">
        <v>160868</v>
      </c>
    </row>
    <row r="283" spans="1:18" x14ac:dyDescent="0.25">
      <c r="A283" s="170">
        <v>42416</v>
      </c>
      <c r="B283" s="116">
        <v>660</v>
      </c>
      <c r="C283" s="116">
        <v>638.1</v>
      </c>
      <c r="D283" s="116">
        <v>619.52499999999998</v>
      </c>
      <c r="E283" s="116">
        <v>660</v>
      </c>
      <c r="F283" s="116">
        <v>1276.2</v>
      </c>
      <c r="G283">
        <v>13828</v>
      </c>
      <c r="H283" s="116"/>
      <c r="I283" s="116"/>
      <c r="L283" s="170">
        <v>42416</v>
      </c>
      <c r="M283" s="116">
        <v>636.27499999999998</v>
      </c>
      <c r="N283" s="116">
        <v>654.875</v>
      </c>
      <c r="O283" s="116">
        <v>618.54999999999995</v>
      </c>
      <c r="P283" s="116">
        <v>650.5</v>
      </c>
      <c r="Q283" s="116">
        <v>1272.55</v>
      </c>
      <c r="R283">
        <v>223295</v>
      </c>
    </row>
    <row r="284" spans="1:18" x14ac:dyDescent="0.25">
      <c r="A284" s="170">
        <v>42417</v>
      </c>
      <c r="B284" s="116">
        <v>665</v>
      </c>
      <c r="C284" s="116">
        <v>661.05</v>
      </c>
      <c r="D284" s="116">
        <v>625</v>
      </c>
      <c r="E284" s="116">
        <v>639.17499999999995</v>
      </c>
      <c r="F284" s="116">
        <v>1322.1</v>
      </c>
      <c r="G284">
        <v>12899</v>
      </c>
      <c r="H284" s="116"/>
      <c r="I284" s="116"/>
      <c r="L284" s="170">
        <v>42417</v>
      </c>
      <c r="M284" s="116">
        <v>661.45</v>
      </c>
      <c r="N284" s="116">
        <v>665.47500000000002</v>
      </c>
      <c r="O284" s="116">
        <v>625</v>
      </c>
      <c r="P284" s="116">
        <v>639</v>
      </c>
      <c r="Q284" s="116">
        <v>1322.9</v>
      </c>
      <c r="R284">
        <v>161975</v>
      </c>
    </row>
    <row r="285" spans="1:18" x14ac:dyDescent="0.25">
      <c r="A285" s="170">
        <v>42418</v>
      </c>
      <c r="B285" s="116">
        <v>669.47500000000002</v>
      </c>
      <c r="C285" s="116">
        <v>664.45</v>
      </c>
      <c r="D285" s="116">
        <v>653.5</v>
      </c>
      <c r="E285" s="116">
        <v>667</v>
      </c>
      <c r="F285" s="116">
        <v>1328.9</v>
      </c>
      <c r="G285">
        <v>11689</v>
      </c>
      <c r="H285" s="116"/>
      <c r="I285" s="116"/>
      <c r="L285" s="170">
        <v>42418</v>
      </c>
      <c r="M285" s="116">
        <v>664.75</v>
      </c>
      <c r="N285" s="116">
        <v>668.47500000000002</v>
      </c>
      <c r="O285" s="116">
        <v>652.54999999999995</v>
      </c>
      <c r="P285" s="116">
        <v>665.02499999999998</v>
      </c>
      <c r="Q285" s="116">
        <v>1329.5</v>
      </c>
      <c r="R285">
        <v>177184</v>
      </c>
    </row>
    <row r="286" spans="1:18" x14ac:dyDescent="0.25">
      <c r="A286" s="170">
        <v>42419</v>
      </c>
      <c r="B286" s="116">
        <v>678.7</v>
      </c>
      <c r="C286" s="116">
        <v>663.02499999999998</v>
      </c>
      <c r="D286" s="116">
        <v>656.5</v>
      </c>
      <c r="E286" s="116">
        <v>665</v>
      </c>
      <c r="F286" s="116">
        <v>1326.05</v>
      </c>
      <c r="G286">
        <v>13127</v>
      </c>
      <c r="H286" s="116"/>
      <c r="I286" s="116"/>
      <c r="L286" s="170">
        <v>42419</v>
      </c>
      <c r="M286" s="116">
        <v>667.4</v>
      </c>
      <c r="N286" s="116">
        <v>679.22500000000002</v>
      </c>
      <c r="O286" s="116">
        <v>654.5</v>
      </c>
      <c r="P286" s="116">
        <v>664.75</v>
      </c>
      <c r="Q286" s="116">
        <v>1334.8</v>
      </c>
      <c r="R286">
        <v>73764</v>
      </c>
    </row>
    <row r="287" spans="1:18" x14ac:dyDescent="0.25">
      <c r="A287" s="170">
        <v>42422</v>
      </c>
      <c r="B287" s="116">
        <v>677</v>
      </c>
      <c r="C287" s="116">
        <v>675.57500000000005</v>
      </c>
      <c r="D287" s="116">
        <v>653.97500000000002</v>
      </c>
      <c r="E287" s="116">
        <v>665.5</v>
      </c>
      <c r="F287" s="116">
        <v>1351.15</v>
      </c>
      <c r="G287">
        <v>8448</v>
      </c>
      <c r="H287" s="116"/>
      <c r="I287" s="116"/>
      <c r="L287" s="170">
        <v>42422</v>
      </c>
      <c r="M287" s="116">
        <v>675.1</v>
      </c>
      <c r="N287" s="116">
        <v>677.3</v>
      </c>
      <c r="O287" s="116">
        <v>652.29999999999995</v>
      </c>
      <c r="P287" s="116">
        <v>667.5</v>
      </c>
      <c r="Q287" s="116">
        <v>1350.2</v>
      </c>
      <c r="R287">
        <v>136956</v>
      </c>
    </row>
    <row r="288" spans="1:18" x14ac:dyDescent="0.25">
      <c r="A288" s="170">
        <v>42423</v>
      </c>
      <c r="B288" s="116">
        <v>677.5</v>
      </c>
      <c r="C288" s="116">
        <v>654.92499999999995</v>
      </c>
      <c r="D288" s="116">
        <v>652.5</v>
      </c>
      <c r="E288" s="116">
        <v>677.5</v>
      </c>
      <c r="F288" s="116">
        <v>1309.8499999999999</v>
      </c>
      <c r="G288">
        <v>7812</v>
      </c>
      <c r="H288" s="116"/>
      <c r="I288" s="116"/>
      <c r="L288" s="170">
        <v>42423</v>
      </c>
      <c r="M288" s="116">
        <v>654.27499999999998</v>
      </c>
      <c r="N288" s="116">
        <v>679.85</v>
      </c>
      <c r="O288" s="116">
        <v>652</v>
      </c>
      <c r="P288" s="116">
        <v>677.5</v>
      </c>
      <c r="Q288" s="116">
        <v>1308.55</v>
      </c>
      <c r="R288">
        <v>97255</v>
      </c>
    </row>
    <row r="289" spans="1:18" x14ac:dyDescent="0.25">
      <c r="A289" s="170">
        <v>42424</v>
      </c>
      <c r="B289" s="116">
        <v>655</v>
      </c>
      <c r="C289" s="116">
        <v>632.47500000000002</v>
      </c>
      <c r="D289" s="116">
        <v>626.1</v>
      </c>
      <c r="E289" s="116">
        <v>655</v>
      </c>
      <c r="F289" s="116">
        <v>1264.95</v>
      </c>
      <c r="G289">
        <v>15902</v>
      </c>
      <c r="H289" s="116"/>
      <c r="I289" s="116"/>
      <c r="L289" s="170">
        <v>42424</v>
      </c>
      <c r="M289" s="116">
        <v>631.70000000000005</v>
      </c>
      <c r="N289" s="116">
        <v>652.47500000000002</v>
      </c>
      <c r="O289" s="116">
        <v>625</v>
      </c>
      <c r="P289" s="116">
        <v>652.47500000000002</v>
      </c>
      <c r="Q289" s="116">
        <v>1263.4000000000001</v>
      </c>
      <c r="R289">
        <v>180970</v>
      </c>
    </row>
    <row r="290" spans="1:18" x14ac:dyDescent="0.25">
      <c r="A290" s="170">
        <v>42425</v>
      </c>
      <c r="B290" s="116">
        <v>642.1</v>
      </c>
      <c r="C290" s="116">
        <v>632.67499999999995</v>
      </c>
      <c r="D290" s="116">
        <v>628</v>
      </c>
      <c r="E290" s="116">
        <v>632.57500000000005</v>
      </c>
      <c r="F290" s="116">
        <v>1265.3499999999999</v>
      </c>
      <c r="G290">
        <v>9242</v>
      </c>
      <c r="H290" s="116"/>
      <c r="I290" s="116"/>
      <c r="L290" s="170">
        <v>42425</v>
      </c>
      <c r="M290" s="116">
        <v>632.57500000000005</v>
      </c>
      <c r="N290" s="116">
        <v>642.5</v>
      </c>
      <c r="O290" s="116">
        <v>628</v>
      </c>
      <c r="P290" s="116">
        <v>633.75</v>
      </c>
      <c r="Q290" s="116">
        <v>1265.1500000000001</v>
      </c>
      <c r="R290">
        <v>178733</v>
      </c>
    </row>
    <row r="291" spans="1:18" x14ac:dyDescent="0.25">
      <c r="A291" s="170">
        <v>42426</v>
      </c>
      <c r="B291" s="116">
        <v>645.45000000000005</v>
      </c>
      <c r="C291" s="116">
        <v>632.54999999999995</v>
      </c>
      <c r="D291" s="116">
        <v>621.5</v>
      </c>
      <c r="E291" s="116">
        <v>640</v>
      </c>
      <c r="F291" s="116">
        <v>1265.0999999999999</v>
      </c>
      <c r="G291">
        <v>7011</v>
      </c>
      <c r="H291" s="116"/>
      <c r="I291" s="116"/>
      <c r="L291" s="170">
        <v>42426</v>
      </c>
      <c r="M291" s="116">
        <v>632.47500000000002</v>
      </c>
      <c r="N291" s="116">
        <v>646.04999999999995</v>
      </c>
      <c r="O291" s="116">
        <v>621.52499999999998</v>
      </c>
      <c r="P291" s="116">
        <v>636.27499999999998</v>
      </c>
      <c r="Q291" s="116">
        <v>1264.95</v>
      </c>
      <c r="R291">
        <v>203396</v>
      </c>
    </row>
    <row r="292" spans="1:18" x14ac:dyDescent="0.25">
      <c r="A292" s="170">
        <v>42429</v>
      </c>
      <c r="B292" s="116">
        <v>637.5</v>
      </c>
      <c r="C292" s="116">
        <v>630.52499999999998</v>
      </c>
      <c r="D292" s="116">
        <v>611.85</v>
      </c>
      <c r="E292" s="116">
        <v>637.5</v>
      </c>
      <c r="F292" s="116">
        <v>1261.05</v>
      </c>
      <c r="G292">
        <v>10238</v>
      </c>
      <c r="H292" s="116"/>
      <c r="I292" s="116"/>
      <c r="L292" s="170">
        <v>42429</v>
      </c>
      <c r="M292" s="116">
        <v>630.5</v>
      </c>
      <c r="N292" s="116">
        <v>637.5</v>
      </c>
      <c r="O292" s="116">
        <v>612</v>
      </c>
      <c r="P292" s="116">
        <v>636.97500000000002</v>
      </c>
      <c r="Q292" s="116">
        <v>1261</v>
      </c>
      <c r="R292">
        <v>192204</v>
      </c>
    </row>
    <row r="293" spans="1:18" x14ac:dyDescent="0.25">
      <c r="A293" s="170">
        <v>42430</v>
      </c>
      <c r="B293" s="116">
        <v>647.5</v>
      </c>
      <c r="C293" s="116">
        <v>643.625</v>
      </c>
      <c r="D293" s="116">
        <v>629</v>
      </c>
      <c r="E293" s="116">
        <v>637.5</v>
      </c>
      <c r="F293" s="116">
        <v>1287.25</v>
      </c>
      <c r="G293">
        <v>7190</v>
      </c>
      <c r="H293" s="116"/>
      <c r="I293" s="116"/>
      <c r="L293" s="170">
        <v>42430</v>
      </c>
      <c r="M293" s="116">
        <v>643.72500000000002</v>
      </c>
      <c r="N293" s="116">
        <v>648.625</v>
      </c>
      <c r="O293" s="116">
        <v>625.57500000000005</v>
      </c>
      <c r="P293" s="116">
        <v>632.5</v>
      </c>
      <c r="Q293" s="116">
        <v>1287.45</v>
      </c>
      <c r="R293">
        <v>118325</v>
      </c>
    </row>
    <row r="294" spans="1:18" x14ac:dyDescent="0.25">
      <c r="A294" s="170">
        <v>42431</v>
      </c>
      <c r="B294" s="116">
        <v>662.5</v>
      </c>
      <c r="C294" s="116">
        <v>651.27499999999998</v>
      </c>
      <c r="D294" s="116">
        <v>642.5</v>
      </c>
      <c r="E294" s="116">
        <v>647.5</v>
      </c>
      <c r="F294" s="116">
        <v>1302.55</v>
      </c>
      <c r="G294">
        <v>13738</v>
      </c>
      <c r="H294" s="116"/>
      <c r="I294" s="116"/>
      <c r="L294" s="170">
        <v>42431</v>
      </c>
      <c r="M294" s="116">
        <v>650.57500000000005</v>
      </c>
      <c r="N294" s="116">
        <v>662.5</v>
      </c>
      <c r="O294" s="116">
        <v>643.77499999999998</v>
      </c>
      <c r="P294" s="116">
        <v>648</v>
      </c>
      <c r="Q294" s="116">
        <v>1301.1500000000001</v>
      </c>
      <c r="R294">
        <v>314817</v>
      </c>
    </row>
    <row r="295" spans="1:18" x14ac:dyDescent="0.25">
      <c r="A295" s="170">
        <v>42432</v>
      </c>
      <c r="B295" s="116">
        <v>664</v>
      </c>
      <c r="C295" s="116">
        <v>658.07500000000005</v>
      </c>
      <c r="D295" s="116">
        <v>649.52499999999998</v>
      </c>
      <c r="E295" s="116">
        <v>655.75</v>
      </c>
      <c r="F295" s="116">
        <v>1316.15</v>
      </c>
      <c r="G295">
        <v>5122</v>
      </c>
      <c r="H295" s="116"/>
      <c r="I295" s="116"/>
      <c r="L295" s="170">
        <v>42432</v>
      </c>
      <c r="M295" s="116">
        <v>658</v>
      </c>
      <c r="N295" s="116">
        <v>663.92499999999995</v>
      </c>
      <c r="O295" s="116">
        <v>648.85</v>
      </c>
      <c r="P295" s="116">
        <v>657.5</v>
      </c>
      <c r="Q295" s="116">
        <v>1316</v>
      </c>
      <c r="R295">
        <v>415342</v>
      </c>
    </row>
    <row r="296" spans="1:18" x14ac:dyDescent="0.25">
      <c r="A296" s="170">
        <v>42433</v>
      </c>
      <c r="B296" s="116">
        <v>674.375</v>
      </c>
      <c r="C296" s="116">
        <v>663</v>
      </c>
      <c r="D296" s="116">
        <v>657.5</v>
      </c>
      <c r="E296" s="116">
        <v>662.97500000000002</v>
      </c>
      <c r="F296" s="116">
        <v>1326</v>
      </c>
      <c r="G296">
        <v>6919</v>
      </c>
      <c r="H296" s="116"/>
      <c r="I296" s="116"/>
      <c r="L296" s="170">
        <v>42433</v>
      </c>
      <c r="M296" s="116">
        <v>664.375</v>
      </c>
      <c r="N296" s="116">
        <v>674.05</v>
      </c>
      <c r="O296" s="116">
        <v>657.05</v>
      </c>
      <c r="P296" s="116">
        <v>662</v>
      </c>
      <c r="Q296" s="116">
        <v>1328.75</v>
      </c>
      <c r="R296">
        <v>244920</v>
      </c>
    </row>
    <row r="297" spans="1:18" x14ac:dyDescent="0.25">
      <c r="A297" s="170">
        <v>42437</v>
      </c>
      <c r="B297" s="116">
        <v>672.5</v>
      </c>
      <c r="C297" s="116">
        <v>656.15</v>
      </c>
      <c r="D297" s="116">
        <v>650.75</v>
      </c>
      <c r="E297" s="116">
        <v>664</v>
      </c>
      <c r="F297" s="116">
        <v>1312.3</v>
      </c>
      <c r="G297">
        <v>7728</v>
      </c>
      <c r="H297" s="116"/>
      <c r="I297" s="116"/>
      <c r="L297" s="170">
        <v>42437</v>
      </c>
      <c r="M297" s="116">
        <v>656.5</v>
      </c>
      <c r="N297" s="116">
        <v>672.35</v>
      </c>
      <c r="O297" s="116">
        <v>653</v>
      </c>
      <c r="P297" s="116">
        <v>667.5</v>
      </c>
      <c r="Q297" s="116">
        <v>1313</v>
      </c>
      <c r="R297">
        <v>61507</v>
      </c>
    </row>
    <row r="298" spans="1:18" x14ac:dyDescent="0.25">
      <c r="A298" s="170">
        <v>42438</v>
      </c>
      <c r="B298" s="116">
        <v>659</v>
      </c>
      <c r="C298" s="116">
        <v>654.57500000000005</v>
      </c>
      <c r="D298" s="116">
        <v>650.5</v>
      </c>
      <c r="E298" s="116">
        <v>653.17499999999995</v>
      </c>
      <c r="F298" s="116">
        <v>1309.1500000000001</v>
      </c>
      <c r="G298">
        <v>7825</v>
      </c>
      <c r="H298" s="116"/>
      <c r="I298" s="116"/>
      <c r="L298" s="170">
        <v>42438</v>
      </c>
      <c r="M298" s="116">
        <v>654.70000000000005</v>
      </c>
      <c r="N298" s="116">
        <v>658.9</v>
      </c>
      <c r="O298" s="116">
        <v>650.54999999999995</v>
      </c>
      <c r="P298" s="116">
        <v>656.5</v>
      </c>
      <c r="Q298" s="116">
        <v>1309.4000000000001</v>
      </c>
      <c r="R298">
        <v>131796</v>
      </c>
    </row>
    <row r="299" spans="1:18" x14ac:dyDescent="0.25">
      <c r="A299" s="170">
        <v>42439</v>
      </c>
      <c r="B299" s="116">
        <v>660</v>
      </c>
      <c r="C299" s="116">
        <v>638.6</v>
      </c>
      <c r="D299" s="116">
        <v>635</v>
      </c>
      <c r="E299" s="116">
        <v>655</v>
      </c>
      <c r="F299" s="116">
        <v>1277.2</v>
      </c>
      <c r="G299">
        <v>22659</v>
      </c>
      <c r="H299" s="116"/>
      <c r="I299" s="116"/>
      <c r="L299" s="170">
        <v>42439</v>
      </c>
      <c r="M299" s="116">
        <v>638.625</v>
      </c>
      <c r="N299" s="116">
        <v>659.5</v>
      </c>
      <c r="O299" s="116">
        <v>635.1</v>
      </c>
      <c r="P299" s="116">
        <v>659.5</v>
      </c>
      <c r="Q299" s="116">
        <v>1277.25</v>
      </c>
      <c r="R299">
        <v>384421</v>
      </c>
    </row>
    <row r="300" spans="1:18" x14ac:dyDescent="0.25">
      <c r="A300" s="170">
        <v>42440</v>
      </c>
      <c r="B300" s="116">
        <v>648</v>
      </c>
      <c r="C300" s="116">
        <v>644.22500000000002</v>
      </c>
      <c r="D300" s="116">
        <v>637.20000000000005</v>
      </c>
      <c r="E300" s="116">
        <v>637.5</v>
      </c>
      <c r="F300" s="116">
        <v>1288.45</v>
      </c>
      <c r="G300">
        <v>10749</v>
      </c>
      <c r="H300" s="116"/>
      <c r="I300" s="116"/>
      <c r="L300" s="170">
        <v>42440</v>
      </c>
      <c r="M300" s="116">
        <v>643.95000000000005</v>
      </c>
      <c r="N300" s="116">
        <v>647.875</v>
      </c>
      <c r="O300" s="116">
        <v>637.5</v>
      </c>
      <c r="P300" s="116">
        <v>637.5</v>
      </c>
      <c r="Q300" s="116">
        <v>1287.9000000000001</v>
      </c>
      <c r="R300">
        <v>91755</v>
      </c>
    </row>
    <row r="301" spans="1:18" x14ac:dyDescent="0.25">
      <c r="A301" s="170">
        <v>42443</v>
      </c>
      <c r="B301" s="116">
        <v>648.52499999999998</v>
      </c>
      <c r="C301" s="116">
        <v>643.9</v>
      </c>
      <c r="D301" s="116">
        <v>638.5</v>
      </c>
      <c r="E301" s="116">
        <v>646.97500000000002</v>
      </c>
      <c r="F301" s="116">
        <v>1287.8</v>
      </c>
      <c r="G301">
        <v>14356</v>
      </c>
      <c r="H301" s="116"/>
      <c r="I301" s="116"/>
      <c r="L301" s="170">
        <v>42443</v>
      </c>
      <c r="M301" s="116">
        <v>644.45000000000005</v>
      </c>
      <c r="N301" s="116">
        <v>650.625</v>
      </c>
      <c r="O301" s="116">
        <v>637.5</v>
      </c>
      <c r="P301" s="116">
        <v>644</v>
      </c>
      <c r="Q301" s="116">
        <v>1288.9000000000001</v>
      </c>
      <c r="R301">
        <v>70365</v>
      </c>
    </row>
    <row r="302" spans="1:18" x14ac:dyDescent="0.25">
      <c r="A302" s="170">
        <v>42444</v>
      </c>
      <c r="B302" s="116">
        <v>644.4</v>
      </c>
      <c r="C302" s="116">
        <v>639.54999999999995</v>
      </c>
      <c r="D302" s="116">
        <v>637.5</v>
      </c>
      <c r="E302" s="116">
        <v>644.4</v>
      </c>
      <c r="F302" s="116">
        <v>1279.0999999999999</v>
      </c>
      <c r="G302">
        <v>3316</v>
      </c>
      <c r="H302" s="116"/>
      <c r="I302" s="116"/>
      <c r="L302" s="170">
        <v>42444</v>
      </c>
      <c r="M302" s="116">
        <v>639.27499999999998</v>
      </c>
      <c r="N302" s="116">
        <v>645.72500000000002</v>
      </c>
      <c r="O302" s="116">
        <v>637.5</v>
      </c>
      <c r="P302" s="116">
        <v>645</v>
      </c>
      <c r="Q302" s="116">
        <v>1278.55</v>
      </c>
      <c r="R302">
        <v>65437</v>
      </c>
    </row>
    <row r="303" spans="1:18" x14ac:dyDescent="0.25">
      <c r="A303" s="170">
        <v>42445</v>
      </c>
      <c r="B303" s="116">
        <v>635</v>
      </c>
      <c r="C303" s="116">
        <v>627.32500000000005</v>
      </c>
      <c r="D303" s="116">
        <v>625.42499999999995</v>
      </c>
      <c r="E303" s="116">
        <v>632.5</v>
      </c>
      <c r="F303" s="116">
        <v>1254.6500000000001</v>
      </c>
      <c r="G303">
        <v>10765</v>
      </c>
      <c r="H303" s="116"/>
      <c r="I303" s="116"/>
      <c r="L303" s="170">
        <v>42445</v>
      </c>
      <c r="M303" s="116">
        <v>627.125</v>
      </c>
      <c r="N303" s="116">
        <v>635</v>
      </c>
      <c r="O303" s="116">
        <v>625</v>
      </c>
      <c r="P303" s="116">
        <v>635</v>
      </c>
      <c r="Q303" s="116">
        <v>1254.25</v>
      </c>
      <c r="R303">
        <v>258536</v>
      </c>
    </row>
    <row r="304" spans="1:18" x14ac:dyDescent="0.25">
      <c r="A304" s="170">
        <v>42446</v>
      </c>
      <c r="B304" s="116">
        <v>636.32500000000005</v>
      </c>
      <c r="C304" s="116">
        <v>628.22500000000002</v>
      </c>
      <c r="D304" s="116">
        <v>627</v>
      </c>
      <c r="E304" s="116">
        <v>630.07500000000005</v>
      </c>
      <c r="F304" s="116">
        <v>1256.45</v>
      </c>
      <c r="G304">
        <v>557709</v>
      </c>
      <c r="H304" s="116"/>
      <c r="I304" s="116"/>
      <c r="L304" s="170">
        <v>42446</v>
      </c>
      <c r="M304" s="116">
        <v>628.04999999999995</v>
      </c>
      <c r="N304" s="116">
        <v>635.95000000000005</v>
      </c>
      <c r="O304" s="116">
        <v>625.5</v>
      </c>
      <c r="P304" s="116">
        <v>633.92499999999995</v>
      </c>
      <c r="Q304" s="116">
        <v>1256.0999999999999</v>
      </c>
      <c r="R304">
        <v>284504</v>
      </c>
    </row>
    <row r="305" spans="1:18" x14ac:dyDescent="0.25">
      <c r="A305" s="170">
        <v>42447</v>
      </c>
      <c r="B305" s="116">
        <v>659.5</v>
      </c>
      <c r="C305" s="116">
        <v>656.375</v>
      </c>
      <c r="D305" s="116">
        <v>631.85</v>
      </c>
      <c r="E305" s="116">
        <v>635.5</v>
      </c>
      <c r="F305" s="116">
        <v>1312.75</v>
      </c>
      <c r="G305">
        <v>91008</v>
      </c>
      <c r="H305" s="116"/>
      <c r="I305" s="116"/>
      <c r="L305" s="170">
        <v>42447</v>
      </c>
      <c r="M305" s="116">
        <v>656.375</v>
      </c>
      <c r="N305" s="116">
        <v>660</v>
      </c>
      <c r="O305" s="116">
        <v>631</v>
      </c>
      <c r="P305" s="116">
        <v>635</v>
      </c>
      <c r="Q305" s="116">
        <v>1312.75</v>
      </c>
      <c r="R305">
        <v>673058</v>
      </c>
    </row>
    <row r="306" spans="1:18" x14ac:dyDescent="0.25">
      <c r="A306" s="170">
        <v>42450</v>
      </c>
      <c r="B306" s="116">
        <v>678.5</v>
      </c>
      <c r="C306" s="116">
        <v>673.625</v>
      </c>
      <c r="D306" s="116">
        <v>654</v>
      </c>
      <c r="E306" s="116">
        <v>660</v>
      </c>
      <c r="F306" s="116">
        <v>1347.25</v>
      </c>
      <c r="G306">
        <v>23287</v>
      </c>
      <c r="H306" s="116"/>
      <c r="I306" s="116"/>
      <c r="L306" s="170">
        <v>42450</v>
      </c>
      <c r="M306" s="116">
        <v>673.875</v>
      </c>
      <c r="N306" s="116">
        <v>679</v>
      </c>
      <c r="O306" s="116">
        <v>654.07500000000005</v>
      </c>
      <c r="P306" s="116">
        <v>664</v>
      </c>
      <c r="Q306" s="116">
        <v>1347.75</v>
      </c>
      <c r="R306">
        <v>379092</v>
      </c>
    </row>
    <row r="307" spans="1:18" x14ac:dyDescent="0.25">
      <c r="A307" s="170">
        <v>42451</v>
      </c>
      <c r="B307" s="116">
        <v>722.4</v>
      </c>
      <c r="C307" s="116">
        <v>709.15</v>
      </c>
      <c r="D307" s="116">
        <v>675.97500000000002</v>
      </c>
      <c r="E307" s="116">
        <v>679</v>
      </c>
      <c r="F307" s="116">
        <v>1418.3</v>
      </c>
      <c r="G307">
        <v>49512</v>
      </c>
      <c r="H307" s="116"/>
      <c r="I307" s="116"/>
      <c r="L307" s="170">
        <v>42451</v>
      </c>
      <c r="M307" s="116">
        <v>709.05</v>
      </c>
      <c r="N307" s="116">
        <v>722.5</v>
      </c>
      <c r="O307" s="116">
        <v>675</v>
      </c>
      <c r="P307" s="116">
        <v>678.45</v>
      </c>
      <c r="Q307" s="116">
        <v>1418.1</v>
      </c>
      <c r="R307">
        <v>512079</v>
      </c>
    </row>
    <row r="308" spans="1:18" x14ac:dyDescent="0.25">
      <c r="A308" s="170">
        <v>42452</v>
      </c>
      <c r="B308" s="116">
        <v>734.5</v>
      </c>
      <c r="C308" s="116">
        <v>698.92499999999995</v>
      </c>
      <c r="D308" s="116">
        <v>695.125</v>
      </c>
      <c r="E308" s="116">
        <v>734.5</v>
      </c>
      <c r="F308" s="116">
        <v>1397.85</v>
      </c>
      <c r="G308">
        <v>36918</v>
      </c>
      <c r="H308" s="116"/>
      <c r="I308" s="116"/>
      <c r="L308" s="170">
        <v>42452</v>
      </c>
      <c r="M308" s="116">
        <v>699</v>
      </c>
      <c r="N308" s="116">
        <v>715.42499999999995</v>
      </c>
      <c r="O308" s="116">
        <v>695</v>
      </c>
      <c r="P308" s="116">
        <v>710.4</v>
      </c>
      <c r="Q308" s="116">
        <v>1398</v>
      </c>
      <c r="R308">
        <v>188653</v>
      </c>
    </row>
    <row r="309" spans="1:18" x14ac:dyDescent="0.25">
      <c r="A309" s="170">
        <v>42457</v>
      </c>
      <c r="B309" s="116">
        <v>705.15</v>
      </c>
      <c r="C309" s="116">
        <v>682.65</v>
      </c>
      <c r="D309" s="116">
        <v>680.35</v>
      </c>
      <c r="E309" s="116">
        <v>702</v>
      </c>
      <c r="F309" s="116">
        <v>1365.3</v>
      </c>
      <c r="G309">
        <v>10976</v>
      </c>
      <c r="H309" s="116"/>
      <c r="I309" s="116"/>
      <c r="L309" s="170">
        <v>42457</v>
      </c>
      <c r="M309" s="116">
        <v>683.15</v>
      </c>
      <c r="N309" s="116">
        <v>704.45</v>
      </c>
      <c r="O309" s="116">
        <v>679.625</v>
      </c>
      <c r="P309" s="116">
        <v>699.5</v>
      </c>
      <c r="Q309" s="116">
        <v>1366.3</v>
      </c>
      <c r="R309">
        <v>80474</v>
      </c>
    </row>
    <row r="310" spans="1:18" x14ac:dyDescent="0.25">
      <c r="A310" s="170">
        <v>42458</v>
      </c>
      <c r="B310" s="116">
        <v>685</v>
      </c>
      <c r="C310" s="116">
        <v>672.875</v>
      </c>
      <c r="D310" s="116">
        <v>652.47500000000002</v>
      </c>
      <c r="E310" s="116">
        <v>685</v>
      </c>
      <c r="F310" s="116">
        <v>1345.75</v>
      </c>
      <c r="G310">
        <v>29682</v>
      </c>
      <c r="H310" s="116"/>
      <c r="I310" s="116"/>
      <c r="L310" s="170">
        <v>42458</v>
      </c>
      <c r="M310" s="116">
        <v>670.4</v>
      </c>
      <c r="N310" s="116">
        <v>684.17499999999995</v>
      </c>
      <c r="O310" s="116">
        <v>652.04999999999995</v>
      </c>
      <c r="P310" s="116">
        <v>684</v>
      </c>
      <c r="Q310" s="116">
        <v>1340.8</v>
      </c>
      <c r="R310">
        <v>215089</v>
      </c>
    </row>
    <row r="311" spans="1:18" x14ac:dyDescent="0.25">
      <c r="A311" s="170">
        <v>42459</v>
      </c>
      <c r="B311" s="116">
        <v>685.97500000000002</v>
      </c>
      <c r="C311" s="116">
        <v>679.72500000000002</v>
      </c>
      <c r="D311" s="116">
        <v>663.55</v>
      </c>
      <c r="E311" s="116">
        <v>673.02499999999998</v>
      </c>
      <c r="F311" s="116">
        <v>1359.45</v>
      </c>
      <c r="G311">
        <v>14122</v>
      </c>
      <c r="H311" s="116"/>
      <c r="I311" s="116"/>
      <c r="L311" s="170">
        <v>42459</v>
      </c>
      <c r="M311" s="116">
        <v>675.5</v>
      </c>
      <c r="N311" s="116">
        <v>686</v>
      </c>
      <c r="O311" s="116">
        <v>662.77499999999998</v>
      </c>
      <c r="P311" s="116">
        <v>670.05</v>
      </c>
      <c r="Q311" s="116">
        <v>1351</v>
      </c>
      <c r="R311">
        <v>237762</v>
      </c>
    </row>
    <row r="312" spans="1:18" x14ac:dyDescent="0.25">
      <c r="A312" s="170">
        <v>42460</v>
      </c>
      <c r="B312" s="116">
        <v>687.5</v>
      </c>
      <c r="C312" s="116">
        <v>669.85</v>
      </c>
      <c r="D312" s="116">
        <v>662.375</v>
      </c>
      <c r="E312" s="116">
        <v>682.47500000000002</v>
      </c>
      <c r="F312" s="116">
        <v>1339.7</v>
      </c>
      <c r="G312">
        <v>10093</v>
      </c>
      <c r="H312" s="116"/>
      <c r="I312" s="116"/>
      <c r="L312" s="170">
        <v>42460</v>
      </c>
      <c r="M312" s="116">
        <v>670.125</v>
      </c>
      <c r="N312" s="116">
        <v>686.65</v>
      </c>
      <c r="O312" s="116">
        <v>661.35</v>
      </c>
      <c r="P312" s="116">
        <v>682</v>
      </c>
      <c r="Q312" s="116">
        <v>1340.25</v>
      </c>
      <c r="R312">
        <v>290835</v>
      </c>
    </row>
    <row r="313" spans="1:18" x14ac:dyDescent="0.25">
      <c r="A313" s="170">
        <v>42461</v>
      </c>
      <c r="B313" s="116">
        <v>684.75</v>
      </c>
      <c r="C313" s="116">
        <v>681.22500000000002</v>
      </c>
      <c r="D313" s="116">
        <v>673.3</v>
      </c>
      <c r="E313" s="116">
        <v>675.35</v>
      </c>
      <c r="F313" s="116">
        <v>1362.45</v>
      </c>
      <c r="G313">
        <v>9490</v>
      </c>
      <c r="H313" s="116"/>
      <c r="I313" s="116"/>
      <c r="L313" s="170">
        <v>42461</v>
      </c>
      <c r="M313" s="116">
        <v>681.05</v>
      </c>
      <c r="N313" s="116">
        <v>684</v>
      </c>
      <c r="O313" s="116">
        <v>671.625</v>
      </c>
      <c r="P313" s="116">
        <v>674</v>
      </c>
      <c r="Q313" s="116">
        <v>1362.1</v>
      </c>
      <c r="R313">
        <v>114817</v>
      </c>
    </row>
    <row r="314" spans="1:18" x14ac:dyDescent="0.25">
      <c r="A314" s="170">
        <v>42464</v>
      </c>
      <c r="B314" s="116">
        <v>704</v>
      </c>
      <c r="C314" s="116">
        <v>698.27499999999998</v>
      </c>
      <c r="D314" s="116">
        <v>679.72500000000002</v>
      </c>
      <c r="E314" s="116">
        <v>685</v>
      </c>
      <c r="F314" s="116">
        <v>1396.55</v>
      </c>
      <c r="G314">
        <v>8847</v>
      </c>
      <c r="H314" s="116"/>
      <c r="I314" s="116"/>
      <c r="L314" s="170">
        <v>42464</v>
      </c>
      <c r="M314" s="116">
        <v>699.05</v>
      </c>
      <c r="N314" s="116">
        <v>704.9</v>
      </c>
      <c r="O314" s="116">
        <v>679.25</v>
      </c>
      <c r="P314" s="116">
        <v>684.95</v>
      </c>
      <c r="Q314" s="116">
        <v>1398.1</v>
      </c>
      <c r="R314">
        <v>138935</v>
      </c>
    </row>
    <row r="315" spans="1:18" x14ac:dyDescent="0.25">
      <c r="A315" s="170">
        <v>42465</v>
      </c>
      <c r="B315" s="116">
        <v>709.67499999999995</v>
      </c>
      <c r="C315" s="116">
        <v>697.65</v>
      </c>
      <c r="D315" s="116">
        <v>691.5</v>
      </c>
      <c r="E315" s="116">
        <v>700</v>
      </c>
      <c r="F315" s="116">
        <v>1395.3</v>
      </c>
      <c r="G315">
        <v>9506</v>
      </c>
      <c r="H315" s="116"/>
      <c r="I315" s="116"/>
      <c r="L315" s="170">
        <v>42465</v>
      </c>
      <c r="M315" s="116">
        <v>699.3</v>
      </c>
      <c r="N315" s="116">
        <v>709.32500000000005</v>
      </c>
      <c r="O315" s="116">
        <v>692</v>
      </c>
      <c r="P315" s="116">
        <v>699.05</v>
      </c>
      <c r="Q315" s="116">
        <v>1398.6</v>
      </c>
      <c r="R315">
        <v>228814</v>
      </c>
    </row>
    <row r="316" spans="1:18" x14ac:dyDescent="0.25">
      <c r="A316" s="170">
        <v>42466</v>
      </c>
      <c r="B316" s="116">
        <v>705</v>
      </c>
      <c r="C316" s="116">
        <v>691.47500000000002</v>
      </c>
      <c r="D316" s="116">
        <v>688.35</v>
      </c>
      <c r="E316" s="116">
        <v>702.1</v>
      </c>
      <c r="F316" s="116">
        <v>1382.95</v>
      </c>
      <c r="G316">
        <v>4500</v>
      </c>
      <c r="H316" s="116"/>
      <c r="I316" s="116"/>
      <c r="L316" s="170">
        <v>42466</v>
      </c>
      <c r="M316" s="116">
        <v>690.32500000000005</v>
      </c>
      <c r="N316" s="116">
        <v>707.5</v>
      </c>
      <c r="O316" s="116">
        <v>687.55</v>
      </c>
      <c r="P316" s="116">
        <v>707.5</v>
      </c>
      <c r="Q316" s="116">
        <v>1380.65</v>
      </c>
      <c r="R316">
        <v>93173</v>
      </c>
    </row>
    <row r="317" spans="1:18" x14ac:dyDescent="0.25">
      <c r="A317" s="170">
        <v>42467</v>
      </c>
      <c r="B317" s="116">
        <v>703.57500000000005</v>
      </c>
      <c r="C317" s="116">
        <v>690.97500000000002</v>
      </c>
      <c r="D317" s="116">
        <v>688.5</v>
      </c>
      <c r="E317" s="116">
        <v>695.07500000000005</v>
      </c>
      <c r="F317" s="116">
        <v>1381.95</v>
      </c>
      <c r="G317">
        <v>9133</v>
      </c>
      <c r="H317" s="116"/>
      <c r="I317" s="116"/>
      <c r="L317" s="170">
        <v>42467</v>
      </c>
      <c r="M317" s="116">
        <v>692.05</v>
      </c>
      <c r="N317" s="116">
        <v>703.65</v>
      </c>
      <c r="O317" s="116">
        <v>688.1</v>
      </c>
      <c r="P317" s="116">
        <v>689.75</v>
      </c>
      <c r="Q317" s="116">
        <v>1384.1</v>
      </c>
      <c r="R317">
        <v>95664</v>
      </c>
    </row>
    <row r="318" spans="1:18" x14ac:dyDescent="0.25">
      <c r="A318" s="170">
        <v>42468</v>
      </c>
      <c r="B318" s="116">
        <v>724</v>
      </c>
      <c r="C318" s="116">
        <v>719.125</v>
      </c>
      <c r="D318" s="116">
        <v>692.07500000000005</v>
      </c>
      <c r="E318" s="116">
        <v>697.75</v>
      </c>
      <c r="F318" s="116">
        <v>1438.25</v>
      </c>
      <c r="G318">
        <v>17093</v>
      </c>
      <c r="H318" s="116"/>
      <c r="I318" s="116"/>
      <c r="L318" s="170">
        <v>42468</v>
      </c>
      <c r="M318" s="116">
        <v>718.375</v>
      </c>
      <c r="N318" s="116">
        <v>724.5</v>
      </c>
      <c r="O318" s="116">
        <v>692.52499999999998</v>
      </c>
      <c r="P318" s="116">
        <v>697</v>
      </c>
      <c r="Q318" s="116">
        <v>1436.75</v>
      </c>
      <c r="R318">
        <v>207337</v>
      </c>
    </row>
    <row r="319" spans="1:18" x14ac:dyDescent="0.25">
      <c r="A319" s="170">
        <v>42471</v>
      </c>
      <c r="B319" s="116">
        <v>726.5</v>
      </c>
      <c r="C319" s="116">
        <v>717.9</v>
      </c>
      <c r="D319" s="116">
        <v>710.375</v>
      </c>
      <c r="E319" s="116">
        <v>722.5</v>
      </c>
      <c r="F319" s="116">
        <v>1435.8</v>
      </c>
      <c r="G319">
        <v>8655</v>
      </c>
      <c r="H319" s="116"/>
      <c r="I319" s="116"/>
      <c r="L319" s="170">
        <v>42471</v>
      </c>
      <c r="M319" s="116">
        <v>718.125</v>
      </c>
      <c r="N319" s="116">
        <v>727.42499999999995</v>
      </c>
      <c r="O319" s="116">
        <v>710.05</v>
      </c>
      <c r="P319" s="116">
        <v>725</v>
      </c>
      <c r="Q319" s="116">
        <v>1436.25</v>
      </c>
      <c r="R319">
        <v>75245</v>
      </c>
    </row>
    <row r="320" spans="1:18" x14ac:dyDescent="0.25">
      <c r="A320" s="170">
        <v>42472</v>
      </c>
      <c r="B320" s="116">
        <v>734.6</v>
      </c>
      <c r="C320" s="116">
        <v>728.47500000000002</v>
      </c>
      <c r="D320" s="116">
        <v>720</v>
      </c>
      <c r="E320" s="116">
        <v>720</v>
      </c>
      <c r="F320" s="116">
        <v>1456.95</v>
      </c>
      <c r="G320">
        <v>8837</v>
      </c>
      <c r="H320" s="116"/>
      <c r="I320" s="116"/>
      <c r="L320" s="170">
        <v>42472</v>
      </c>
      <c r="M320" s="116">
        <v>729.125</v>
      </c>
      <c r="N320" s="116">
        <v>735.5</v>
      </c>
      <c r="O320" s="116">
        <v>717</v>
      </c>
      <c r="P320" s="116">
        <v>718.125</v>
      </c>
      <c r="Q320" s="116">
        <v>1458.25</v>
      </c>
      <c r="R320">
        <v>114279</v>
      </c>
    </row>
    <row r="321" spans="1:18" x14ac:dyDescent="0.25">
      <c r="A321" s="170">
        <v>42473</v>
      </c>
      <c r="B321" s="116">
        <v>739.5</v>
      </c>
      <c r="C321" s="116">
        <v>735.65</v>
      </c>
      <c r="D321" s="116">
        <v>728.125</v>
      </c>
      <c r="E321" s="116">
        <v>732.5</v>
      </c>
      <c r="F321" s="116">
        <v>1471.3</v>
      </c>
      <c r="G321">
        <v>9354</v>
      </c>
      <c r="H321" s="116"/>
      <c r="I321" s="116"/>
      <c r="L321" s="170">
        <v>42473</v>
      </c>
      <c r="M321" s="116">
        <v>735.625</v>
      </c>
      <c r="N321" s="116">
        <v>739</v>
      </c>
      <c r="O321" s="116">
        <v>728</v>
      </c>
      <c r="P321" s="116">
        <v>735</v>
      </c>
      <c r="Q321" s="116">
        <v>1471.25</v>
      </c>
      <c r="R321">
        <v>249406</v>
      </c>
    </row>
    <row r="322" spans="1:18" x14ac:dyDescent="0.25">
      <c r="A322" s="170">
        <v>42478</v>
      </c>
      <c r="B322" s="116">
        <v>742.5</v>
      </c>
      <c r="C322" s="116">
        <v>735.77499999999998</v>
      </c>
      <c r="D322" s="116">
        <v>725</v>
      </c>
      <c r="E322" s="116">
        <v>735.65</v>
      </c>
      <c r="F322" s="116">
        <v>1471.55</v>
      </c>
      <c r="G322">
        <v>9732</v>
      </c>
      <c r="H322" s="116"/>
      <c r="I322" s="116"/>
      <c r="L322" s="170">
        <v>42478</v>
      </c>
      <c r="M322" s="116">
        <v>737.1</v>
      </c>
      <c r="N322" s="116">
        <v>743.5</v>
      </c>
      <c r="O322" s="116">
        <v>724.7</v>
      </c>
      <c r="P322" s="116">
        <v>737</v>
      </c>
      <c r="Q322" s="116">
        <v>1474.2</v>
      </c>
      <c r="R322">
        <v>180315</v>
      </c>
    </row>
    <row r="323" spans="1:18" x14ac:dyDescent="0.25">
      <c r="A323" s="170">
        <v>42480</v>
      </c>
      <c r="B323" s="116">
        <v>741.42499999999995</v>
      </c>
      <c r="C323" s="116">
        <v>712.95</v>
      </c>
      <c r="D323" s="116">
        <v>710.5</v>
      </c>
      <c r="E323" s="116">
        <v>732.55</v>
      </c>
      <c r="F323" s="116">
        <v>1425.9</v>
      </c>
      <c r="G323">
        <v>10493</v>
      </c>
      <c r="H323" s="116"/>
      <c r="I323" s="116"/>
      <c r="L323" s="170">
        <v>42480</v>
      </c>
      <c r="M323" s="116">
        <v>712.55</v>
      </c>
      <c r="N323" s="116">
        <v>742.1</v>
      </c>
      <c r="O323" s="116">
        <v>710.25</v>
      </c>
      <c r="P323" s="116">
        <v>733</v>
      </c>
      <c r="Q323" s="116">
        <v>1425.1</v>
      </c>
      <c r="R323">
        <v>191155</v>
      </c>
    </row>
    <row r="324" spans="1:18" x14ac:dyDescent="0.25">
      <c r="A324" s="170">
        <v>42481</v>
      </c>
      <c r="B324" s="116">
        <v>732.92499999999995</v>
      </c>
      <c r="C324" s="116">
        <v>728.32500000000005</v>
      </c>
      <c r="D324" s="116">
        <v>716.1</v>
      </c>
      <c r="E324" s="116">
        <v>720.27499999999998</v>
      </c>
      <c r="F324" s="116">
        <v>1456.65</v>
      </c>
      <c r="G324">
        <v>10168</v>
      </c>
      <c r="H324" s="116"/>
      <c r="I324" s="116"/>
      <c r="L324" s="170">
        <v>42481</v>
      </c>
      <c r="M324" s="116">
        <v>730.4</v>
      </c>
      <c r="N324" s="116">
        <v>733.85</v>
      </c>
      <c r="O324" s="116">
        <v>715</v>
      </c>
      <c r="P324" s="116">
        <v>720</v>
      </c>
      <c r="Q324" s="116">
        <v>1460.8</v>
      </c>
      <c r="R324">
        <v>111079</v>
      </c>
    </row>
    <row r="325" spans="1:18" x14ac:dyDescent="0.25">
      <c r="A325" s="170">
        <v>42482</v>
      </c>
      <c r="B325" s="116">
        <v>738.9</v>
      </c>
      <c r="C325" s="116">
        <v>729.65</v>
      </c>
      <c r="D325" s="116">
        <v>728.02499999999998</v>
      </c>
      <c r="E325" s="116">
        <v>735</v>
      </c>
      <c r="F325" s="116">
        <v>1459.3</v>
      </c>
      <c r="G325">
        <v>11512</v>
      </c>
      <c r="H325" s="116"/>
      <c r="I325" s="116"/>
      <c r="L325" s="170">
        <v>42482</v>
      </c>
      <c r="M325" s="116">
        <v>730.22500000000002</v>
      </c>
      <c r="N325" s="116">
        <v>739.5</v>
      </c>
      <c r="O325" s="116">
        <v>729.05</v>
      </c>
      <c r="P325" s="116">
        <v>734.4</v>
      </c>
      <c r="Q325" s="116">
        <v>1460.45</v>
      </c>
      <c r="R325">
        <v>85222</v>
      </c>
    </row>
    <row r="326" spans="1:18" x14ac:dyDescent="0.25">
      <c r="A326" s="170">
        <v>42485</v>
      </c>
      <c r="B326" s="116">
        <v>729.45</v>
      </c>
      <c r="C326" s="116">
        <v>713</v>
      </c>
      <c r="D326" s="116">
        <v>710.42499999999995</v>
      </c>
      <c r="E326" s="116">
        <v>728.1</v>
      </c>
      <c r="F326" s="116">
        <v>1426</v>
      </c>
      <c r="G326">
        <v>5592</v>
      </c>
      <c r="H326" s="116"/>
      <c r="I326" s="116"/>
      <c r="L326" s="170">
        <v>42485</v>
      </c>
      <c r="M326" s="116">
        <v>711.35</v>
      </c>
      <c r="N326" s="116">
        <v>737.125</v>
      </c>
      <c r="O326" s="116">
        <v>709.4</v>
      </c>
      <c r="P326" s="116">
        <v>737.125</v>
      </c>
      <c r="Q326" s="116">
        <v>1422.7</v>
      </c>
      <c r="R326">
        <v>108526</v>
      </c>
    </row>
    <row r="327" spans="1:18" x14ac:dyDescent="0.25">
      <c r="A327" s="170">
        <v>42486</v>
      </c>
      <c r="B327" s="116">
        <v>720.45</v>
      </c>
      <c r="C327" s="116">
        <v>714.15</v>
      </c>
      <c r="D327" s="116">
        <v>705</v>
      </c>
      <c r="E327" s="116">
        <v>715</v>
      </c>
      <c r="F327" s="116">
        <v>1428.3</v>
      </c>
      <c r="G327">
        <v>8049</v>
      </c>
      <c r="H327" s="116"/>
      <c r="I327" s="116"/>
      <c r="L327" s="170">
        <v>42486</v>
      </c>
      <c r="M327" s="116">
        <v>715.1</v>
      </c>
      <c r="N327" s="116">
        <v>721</v>
      </c>
      <c r="O327" s="116">
        <v>705.05</v>
      </c>
      <c r="P327" s="116">
        <v>712</v>
      </c>
      <c r="Q327" s="116">
        <v>1430.2</v>
      </c>
      <c r="R327">
        <v>87468</v>
      </c>
    </row>
    <row r="328" spans="1:18" x14ac:dyDescent="0.25">
      <c r="A328" s="170">
        <v>42487</v>
      </c>
      <c r="B328" s="116">
        <v>726.95</v>
      </c>
      <c r="C328" s="116">
        <v>722.15</v>
      </c>
      <c r="D328" s="116">
        <v>713.52499999999998</v>
      </c>
      <c r="E328" s="116">
        <v>714.25</v>
      </c>
      <c r="F328" s="116">
        <v>1444.3</v>
      </c>
      <c r="G328">
        <v>5235</v>
      </c>
      <c r="H328" s="116"/>
      <c r="I328" s="116"/>
      <c r="L328" s="170">
        <v>42487</v>
      </c>
      <c r="M328" s="116">
        <v>721.42499999999995</v>
      </c>
      <c r="N328" s="116">
        <v>726</v>
      </c>
      <c r="O328" s="116">
        <v>713.375</v>
      </c>
      <c r="P328" s="116">
        <v>714.15</v>
      </c>
      <c r="Q328" s="116">
        <v>1442.85</v>
      </c>
      <c r="R328">
        <v>93022</v>
      </c>
    </row>
    <row r="329" spans="1:18" x14ac:dyDescent="0.25">
      <c r="A329" s="170">
        <v>42488</v>
      </c>
      <c r="B329" s="116">
        <v>725.1</v>
      </c>
      <c r="C329" s="116">
        <v>707.72500000000002</v>
      </c>
      <c r="D329" s="116">
        <v>705.05</v>
      </c>
      <c r="E329" s="116">
        <v>715.15</v>
      </c>
      <c r="F329" s="116">
        <v>1415.45</v>
      </c>
      <c r="G329">
        <v>4335</v>
      </c>
      <c r="H329" s="116"/>
      <c r="I329" s="116"/>
      <c r="L329" s="170">
        <v>42488</v>
      </c>
      <c r="M329" s="116">
        <v>709.5</v>
      </c>
      <c r="N329" s="116">
        <v>724.95</v>
      </c>
      <c r="O329" s="116">
        <v>706.2</v>
      </c>
      <c r="P329" s="116">
        <v>718</v>
      </c>
      <c r="Q329" s="116">
        <v>1419</v>
      </c>
      <c r="R329">
        <v>113277</v>
      </c>
    </row>
    <row r="330" spans="1:18" x14ac:dyDescent="0.25">
      <c r="A330" s="170">
        <v>42489</v>
      </c>
      <c r="B330" s="116">
        <v>721</v>
      </c>
      <c r="C330" s="116">
        <v>712.4</v>
      </c>
      <c r="D330" s="116">
        <v>709.1</v>
      </c>
      <c r="E330" s="116">
        <v>711.47500000000002</v>
      </c>
      <c r="F330" s="116">
        <v>1424.8</v>
      </c>
      <c r="G330">
        <v>5195</v>
      </c>
      <c r="H330" s="116"/>
      <c r="I330" s="116"/>
      <c r="L330" s="170">
        <v>42489</v>
      </c>
      <c r="M330" s="116">
        <v>715.125</v>
      </c>
      <c r="N330" s="116">
        <v>721.35</v>
      </c>
      <c r="O330" s="116">
        <v>709.55</v>
      </c>
      <c r="P330" s="116">
        <v>711.97500000000002</v>
      </c>
      <c r="Q330" s="116">
        <v>1430.25</v>
      </c>
      <c r="R330">
        <v>63462</v>
      </c>
    </row>
    <row r="331" spans="1:18" x14ac:dyDescent="0.25">
      <c r="A331" s="170">
        <v>42492</v>
      </c>
      <c r="B331" s="116">
        <v>730</v>
      </c>
      <c r="C331" s="116">
        <v>714.42499999999995</v>
      </c>
      <c r="D331" s="116">
        <v>709.05</v>
      </c>
      <c r="E331" s="116">
        <v>710</v>
      </c>
      <c r="F331" s="116">
        <v>1428.85</v>
      </c>
      <c r="G331">
        <v>8401</v>
      </c>
      <c r="H331" s="116"/>
      <c r="I331" s="116"/>
      <c r="L331" s="170">
        <v>42492</v>
      </c>
      <c r="M331" s="116">
        <v>713.6</v>
      </c>
      <c r="N331" s="116">
        <v>729.97500000000002</v>
      </c>
      <c r="O331" s="116">
        <v>707.95</v>
      </c>
      <c r="P331" s="116">
        <v>713</v>
      </c>
      <c r="Q331" s="116">
        <v>1427.2</v>
      </c>
      <c r="R331">
        <v>116707</v>
      </c>
    </row>
    <row r="332" spans="1:18" x14ac:dyDescent="0.25">
      <c r="A332" s="170">
        <v>42493</v>
      </c>
      <c r="B332" s="116">
        <v>723.625</v>
      </c>
      <c r="C332" s="116">
        <v>717.27499999999998</v>
      </c>
      <c r="D332" s="116">
        <v>711</v>
      </c>
      <c r="E332" s="116">
        <v>719.5</v>
      </c>
      <c r="F332" s="116">
        <v>1434.55</v>
      </c>
      <c r="G332">
        <v>5384</v>
      </c>
      <c r="H332" s="116"/>
      <c r="I332" s="116"/>
      <c r="L332" s="170">
        <v>42493</v>
      </c>
      <c r="M332" s="116">
        <v>717.67499999999995</v>
      </c>
      <c r="N332" s="116">
        <v>723.47500000000002</v>
      </c>
      <c r="O332" s="116">
        <v>710.05</v>
      </c>
      <c r="P332" s="116">
        <v>717.5</v>
      </c>
      <c r="Q332" s="116">
        <v>1435.35</v>
      </c>
      <c r="R332">
        <v>74673</v>
      </c>
    </row>
    <row r="333" spans="1:18" x14ac:dyDescent="0.25">
      <c r="A333" s="170">
        <v>42494</v>
      </c>
      <c r="B333" s="116">
        <v>722</v>
      </c>
      <c r="C333" s="116">
        <v>702</v>
      </c>
      <c r="D333" s="116">
        <v>697.5</v>
      </c>
      <c r="E333" s="116">
        <v>720</v>
      </c>
      <c r="F333" s="116">
        <v>1404</v>
      </c>
      <c r="G333">
        <v>3495</v>
      </c>
      <c r="H333" s="116"/>
      <c r="I333" s="116"/>
      <c r="L333" s="170">
        <v>42494</v>
      </c>
      <c r="M333" s="116">
        <v>701.3</v>
      </c>
      <c r="N333" s="116">
        <v>722.45</v>
      </c>
      <c r="O333" s="116">
        <v>697.77499999999998</v>
      </c>
      <c r="P333" s="116">
        <v>719.97500000000002</v>
      </c>
      <c r="Q333" s="116">
        <v>1402.6</v>
      </c>
      <c r="R333">
        <v>47949</v>
      </c>
    </row>
    <row r="334" spans="1:18" x14ac:dyDescent="0.25">
      <c r="A334" s="170">
        <v>42495</v>
      </c>
      <c r="B334" s="116">
        <v>703.5</v>
      </c>
      <c r="C334" s="116">
        <v>699.875</v>
      </c>
      <c r="D334" s="116">
        <v>682.3</v>
      </c>
      <c r="E334" s="116">
        <v>702</v>
      </c>
      <c r="F334" s="116">
        <v>1399.75</v>
      </c>
      <c r="G334">
        <v>11056</v>
      </c>
      <c r="H334" s="116"/>
      <c r="I334" s="116"/>
      <c r="L334" s="170">
        <v>42495</v>
      </c>
      <c r="M334" s="116">
        <v>700.32500000000005</v>
      </c>
      <c r="N334" s="116">
        <v>704.4</v>
      </c>
      <c r="O334" s="116">
        <v>682</v>
      </c>
      <c r="P334" s="116">
        <v>700.5</v>
      </c>
      <c r="Q334" s="116">
        <v>1400.65</v>
      </c>
      <c r="R334">
        <v>105246</v>
      </c>
    </row>
    <row r="335" spans="1:18" x14ac:dyDescent="0.25">
      <c r="A335" s="170">
        <v>42496</v>
      </c>
      <c r="B335" s="116">
        <v>706.25</v>
      </c>
      <c r="C335" s="116">
        <v>697.65</v>
      </c>
      <c r="D335" s="116">
        <v>692.5</v>
      </c>
      <c r="E335" s="116">
        <v>699.25</v>
      </c>
      <c r="F335" s="116">
        <v>1395.3</v>
      </c>
      <c r="G335">
        <v>6409</v>
      </c>
      <c r="H335" s="116"/>
      <c r="I335" s="116"/>
      <c r="L335" s="170">
        <v>42496</v>
      </c>
      <c r="M335" s="116">
        <v>696.57500000000005</v>
      </c>
      <c r="N335" s="116">
        <v>709.17499999999995</v>
      </c>
      <c r="O335" s="116">
        <v>691.25</v>
      </c>
      <c r="P335" s="116">
        <v>700</v>
      </c>
      <c r="Q335" s="116">
        <v>1393.15</v>
      </c>
      <c r="R335">
        <v>34760</v>
      </c>
    </row>
    <row r="336" spans="1:18" x14ac:dyDescent="0.25">
      <c r="A336" s="170">
        <v>42499</v>
      </c>
      <c r="B336" s="116">
        <v>710.17499999999995</v>
      </c>
      <c r="C336" s="116">
        <v>693.92499999999995</v>
      </c>
      <c r="D336" s="116">
        <v>690.02499999999998</v>
      </c>
      <c r="E336" s="116">
        <v>698.3</v>
      </c>
      <c r="F336" s="116">
        <v>1387.85</v>
      </c>
      <c r="G336">
        <v>8067</v>
      </c>
      <c r="H336" s="116"/>
      <c r="I336" s="116"/>
      <c r="L336" s="170">
        <v>42499</v>
      </c>
      <c r="M336" s="116">
        <v>694.42499999999995</v>
      </c>
      <c r="N336" s="116">
        <v>709.07500000000005</v>
      </c>
      <c r="O336" s="116">
        <v>689.5</v>
      </c>
      <c r="P336" s="116">
        <v>697.5</v>
      </c>
      <c r="Q336" s="116">
        <v>1388.85</v>
      </c>
      <c r="R336">
        <v>126428</v>
      </c>
    </row>
    <row r="337" spans="1:18" x14ac:dyDescent="0.25">
      <c r="A337" s="170">
        <v>42500</v>
      </c>
      <c r="B337" s="116">
        <v>702.1</v>
      </c>
      <c r="C337" s="116">
        <v>693.75</v>
      </c>
      <c r="D337" s="116">
        <v>688.85</v>
      </c>
      <c r="E337" s="116">
        <v>696</v>
      </c>
      <c r="F337" s="116">
        <v>1387.5</v>
      </c>
      <c r="G337">
        <v>3720</v>
      </c>
      <c r="H337" s="116"/>
      <c r="I337" s="116"/>
      <c r="L337" s="170">
        <v>42500</v>
      </c>
      <c r="M337" s="116">
        <v>695.1</v>
      </c>
      <c r="N337" s="116">
        <v>703.32500000000005</v>
      </c>
      <c r="O337" s="116">
        <v>688.8</v>
      </c>
      <c r="P337" s="116">
        <v>695</v>
      </c>
      <c r="Q337" s="116">
        <v>1390.2</v>
      </c>
      <c r="R337">
        <v>49716</v>
      </c>
    </row>
    <row r="338" spans="1:18" x14ac:dyDescent="0.25">
      <c r="A338" s="170">
        <v>42501</v>
      </c>
      <c r="B338" s="116">
        <v>699.47500000000002</v>
      </c>
      <c r="C338" s="116">
        <v>691.17499999999995</v>
      </c>
      <c r="D338" s="116">
        <v>684.95</v>
      </c>
      <c r="E338" s="116">
        <v>690</v>
      </c>
      <c r="F338" s="116">
        <v>1382.35</v>
      </c>
      <c r="G338">
        <v>2206</v>
      </c>
      <c r="H338" s="116"/>
      <c r="I338" s="116"/>
      <c r="L338" s="170">
        <v>42501</v>
      </c>
      <c r="M338" s="116">
        <v>692.02499999999998</v>
      </c>
      <c r="N338" s="116">
        <v>699.5</v>
      </c>
      <c r="O338" s="116">
        <v>684.97500000000002</v>
      </c>
      <c r="P338" s="116">
        <v>690.52499999999998</v>
      </c>
      <c r="Q338" s="116">
        <v>1384.05</v>
      </c>
      <c r="R338">
        <v>42453</v>
      </c>
    </row>
    <row r="339" spans="1:18" x14ac:dyDescent="0.25">
      <c r="A339" s="170">
        <v>42502</v>
      </c>
      <c r="B339" s="116">
        <v>702</v>
      </c>
      <c r="C339" s="116">
        <v>700.5</v>
      </c>
      <c r="D339" s="116">
        <v>691.22500000000002</v>
      </c>
      <c r="E339" s="116">
        <v>695</v>
      </c>
      <c r="F339" s="116">
        <v>1401</v>
      </c>
      <c r="G339">
        <v>3789</v>
      </c>
      <c r="H339" s="116"/>
      <c r="I339" s="116"/>
      <c r="L339" s="170">
        <v>42502</v>
      </c>
      <c r="M339" s="116">
        <v>698.6</v>
      </c>
      <c r="N339" s="116">
        <v>702</v>
      </c>
      <c r="O339" s="116">
        <v>691</v>
      </c>
      <c r="P339" s="116">
        <v>694.47500000000002</v>
      </c>
      <c r="Q339" s="116">
        <v>1397.2</v>
      </c>
      <c r="R339">
        <v>41994</v>
      </c>
    </row>
    <row r="340" spans="1:18" x14ac:dyDescent="0.25">
      <c r="A340" s="170">
        <v>42503</v>
      </c>
      <c r="B340" s="116">
        <v>702.9</v>
      </c>
      <c r="C340" s="116">
        <v>695.45</v>
      </c>
      <c r="D340" s="116">
        <v>692.75</v>
      </c>
      <c r="E340" s="116">
        <v>692.75</v>
      </c>
      <c r="F340" s="116">
        <v>1390.9</v>
      </c>
      <c r="G340">
        <v>6098</v>
      </c>
      <c r="H340" s="116"/>
      <c r="I340" s="116"/>
      <c r="L340" s="170">
        <v>42503</v>
      </c>
      <c r="M340" s="116">
        <v>695.85</v>
      </c>
      <c r="N340" s="116">
        <v>703.95</v>
      </c>
      <c r="O340" s="116">
        <v>694</v>
      </c>
      <c r="P340" s="116">
        <v>699.95</v>
      </c>
      <c r="Q340" s="116">
        <v>1391.7</v>
      </c>
      <c r="R340">
        <v>47583</v>
      </c>
    </row>
    <row r="341" spans="1:18" x14ac:dyDescent="0.25">
      <c r="A341" s="170">
        <v>42506</v>
      </c>
      <c r="B341" s="116">
        <v>703.5</v>
      </c>
      <c r="C341" s="116">
        <v>698.67499999999995</v>
      </c>
      <c r="D341" s="116">
        <v>692.05</v>
      </c>
      <c r="E341" s="116">
        <v>697.75</v>
      </c>
      <c r="F341" s="116">
        <v>1397.35</v>
      </c>
      <c r="G341">
        <v>4467</v>
      </c>
      <c r="H341" s="116"/>
      <c r="I341" s="116"/>
      <c r="L341" s="170">
        <v>42506</v>
      </c>
      <c r="M341" s="116">
        <v>699.47500000000002</v>
      </c>
      <c r="N341" s="116">
        <v>703.95</v>
      </c>
      <c r="O341" s="116">
        <v>690.92499999999995</v>
      </c>
      <c r="P341" s="116">
        <v>699.5</v>
      </c>
      <c r="Q341" s="116">
        <v>1398.95</v>
      </c>
      <c r="R341">
        <v>39962</v>
      </c>
    </row>
    <row r="342" spans="1:18" x14ac:dyDescent="0.25">
      <c r="A342" s="170">
        <v>42507</v>
      </c>
      <c r="B342" s="116">
        <v>697.02499999999998</v>
      </c>
      <c r="C342" s="116">
        <v>693.22500000000002</v>
      </c>
      <c r="D342" s="116">
        <v>690.72500000000002</v>
      </c>
      <c r="E342" s="116">
        <v>695.45</v>
      </c>
      <c r="F342" s="116">
        <v>1386.45</v>
      </c>
      <c r="G342">
        <v>3034</v>
      </c>
      <c r="H342" s="116"/>
      <c r="I342" s="116"/>
      <c r="L342" s="170">
        <v>42507</v>
      </c>
      <c r="M342" s="116">
        <v>692.6</v>
      </c>
      <c r="N342" s="116">
        <v>698.02499999999998</v>
      </c>
      <c r="O342" s="116">
        <v>689.85</v>
      </c>
      <c r="P342" s="116">
        <v>695.05</v>
      </c>
      <c r="Q342" s="116">
        <v>1385.2</v>
      </c>
      <c r="R342">
        <v>49310</v>
      </c>
    </row>
    <row r="343" spans="1:18" x14ac:dyDescent="0.25">
      <c r="A343" s="170">
        <v>42508</v>
      </c>
      <c r="B343" s="116">
        <v>695.92499999999995</v>
      </c>
      <c r="C343" s="116">
        <v>691.9</v>
      </c>
      <c r="D343" s="116">
        <v>690</v>
      </c>
      <c r="E343" s="116">
        <v>694.5</v>
      </c>
      <c r="F343" s="116">
        <v>1383.8</v>
      </c>
      <c r="G343">
        <v>1573</v>
      </c>
      <c r="H343" s="116"/>
      <c r="I343" s="116"/>
      <c r="L343" s="170">
        <v>42508</v>
      </c>
      <c r="M343" s="116">
        <v>690.92499999999995</v>
      </c>
      <c r="N343" s="116">
        <v>696.57500000000005</v>
      </c>
      <c r="O343" s="116">
        <v>690</v>
      </c>
      <c r="P343" s="116">
        <v>692.3</v>
      </c>
      <c r="Q343" s="116">
        <v>1381.85</v>
      </c>
      <c r="R343">
        <v>25708</v>
      </c>
    </row>
    <row r="344" spans="1:18" x14ac:dyDescent="0.25">
      <c r="A344" s="170">
        <v>42509</v>
      </c>
      <c r="B344" s="116">
        <v>692.375</v>
      </c>
      <c r="C344" s="116">
        <v>687.2</v>
      </c>
      <c r="D344" s="116">
        <v>683.05</v>
      </c>
      <c r="E344" s="116">
        <v>692</v>
      </c>
      <c r="F344" s="116">
        <v>1374.4</v>
      </c>
      <c r="G344">
        <v>6072</v>
      </c>
      <c r="H344" s="116"/>
      <c r="I344" s="116"/>
      <c r="L344" s="170">
        <v>42509</v>
      </c>
      <c r="M344" s="116">
        <v>687.35</v>
      </c>
      <c r="N344" s="116">
        <v>694.85</v>
      </c>
      <c r="O344" s="116">
        <v>683</v>
      </c>
      <c r="P344" s="116">
        <v>686</v>
      </c>
      <c r="Q344" s="116">
        <v>1374.7</v>
      </c>
      <c r="R344">
        <v>31948</v>
      </c>
    </row>
    <row r="345" spans="1:18" x14ac:dyDescent="0.25">
      <c r="A345" s="170">
        <v>42510</v>
      </c>
      <c r="B345" s="116">
        <v>690.45</v>
      </c>
      <c r="C345" s="116">
        <v>661.7</v>
      </c>
      <c r="D345" s="116">
        <v>658.05</v>
      </c>
      <c r="E345" s="116">
        <v>686.25</v>
      </c>
      <c r="F345" s="116">
        <v>1323.4</v>
      </c>
      <c r="G345">
        <v>13930</v>
      </c>
      <c r="H345" s="116"/>
      <c r="I345" s="116"/>
      <c r="L345" s="170">
        <v>42510</v>
      </c>
      <c r="M345" s="116">
        <v>662.52499999999998</v>
      </c>
      <c r="N345" s="116">
        <v>692.85</v>
      </c>
      <c r="O345" s="116">
        <v>657.5</v>
      </c>
      <c r="P345" s="116">
        <v>690.35</v>
      </c>
      <c r="Q345" s="116">
        <v>1325.05</v>
      </c>
      <c r="R345">
        <v>94081</v>
      </c>
    </row>
    <row r="346" spans="1:18" x14ac:dyDescent="0.25">
      <c r="A346" s="170">
        <v>42513</v>
      </c>
      <c r="B346" s="116">
        <v>686.5</v>
      </c>
      <c r="C346" s="116">
        <v>666.77499999999998</v>
      </c>
      <c r="D346" s="116">
        <v>658</v>
      </c>
      <c r="E346" s="116">
        <v>686.5</v>
      </c>
      <c r="F346" s="116">
        <v>1333.55</v>
      </c>
      <c r="G346">
        <v>9491</v>
      </c>
      <c r="H346" s="116"/>
      <c r="I346" s="116"/>
      <c r="L346" s="170">
        <v>42513</v>
      </c>
      <c r="M346" s="116">
        <v>664.77499999999998</v>
      </c>
      <c r="N346" s="116">
        <v>677.5</v>
      </c>
      <c r="O346" s="116">
        <v>657.5</v>
      </c>
      <c r="P346" s="116">
        <v>670</v>
      </c>
      <c r="Q346" s="116">
        <v>1329.55</v>
      </c>
      <c r="R346">
        <v>71973</v>
      </c>
    </row>
    <row r="347" spans="1:18" x14ac:dyDescent="0.25">
      <c r="A347" s="170">
        <v>42514</v>
      </c>
      <c r="B347" s="116">
        <v>708.97500000000002</v>
      </c>
      <c r="C347" s="116">
        <v>677.95</v>
      </c>
      <c r="D347" s="116">
        <v>625.42499999999995</v>
      </c>
      <c r="E347" s="116">
        <v>647.35</v>
      </c>
      <c r="F347" s="116">
        <v>1355.9</v>
      </c>
      <c r="G347">
        <v>70130</v>
      </c>
      <c r="H347" s="116"/>
      <c r="I347" s="116"/>
      <c r="L347" s="170">
        <v>42514</v>
      </c>
      <c r="M347" s="116">
        <v>677.25</v>
      </c>
      <c r="N347" s="116">
        <v>710</v>
      </c>
      <c r="O347" s="116">
        <v>625</v>
      </c>
      <c r="P347" s="116">
        <v>645</v>
      </c>
      <c r="Q347" s="116">
        <v>1354.5</v>
      </c>
      <c r="R347">
        <v>715729</v>
      </c>
    </row>
    <row r="348" spans="1:18" x14ac:dyDescent="0.25">
      <c r="A348" s="170">
        <v>42515</v>
      </c>
      <c r="B348" s="116">
        <v>702</v>
      </c>
      <c r="C348" s="116">
        <v>695.2</v>
      </c>
      <c r="D348" s="116">
        <v>682.57500000000005</v>
      </c>
      <c r="E348" s="116">
        <v>684</v>
      </c>
      <c r="F348" s="116">
        <v>1390.4</v>
      </c>
      <c r="G348">
        <v>18915</v>
      </c>
      <c r="H348" s="116"/>
      <c r="I348" s="116"/>
      <c r="L348" s="170">
        <v>42515</v>
      </c>
      <c r="M348" s="116">
        <v>695.72500000000002</v>
      </c>
      <c r="N348" s="116">
        <v>702.5</v>
      </c>
      <c r="O348" s="116">
        <v>678.57500000000005</v>
      </c>
      <c r="P348" s="116">
        <v>678.57500000000005</v>
      </c>
      <c r="Q348" s="116">
        <v>1391.45</v>
      </c>
      <c r="R348">
        <v>181511</v>
      </c>
    </row>
    <row r="349" spans="1:18" x14ac:dyDescent="0.25">
      <c r="A349" s="170">
        <v>42516</v>
      </c>
      <c r="B349" s="116">
        <v>700</v>
      </c>
      <c r="C349" s="116">
        <v>690.625</v>
      </c>
      <c r="D349" s="116">
        <v>682.55</v>
      </c>
      <c r="E349" s="116">
        <v>691.5</v>
      </c>
      <c r="F349" s="116">
        <v>1381.25</v>
      </c>
      <c r="G349">
        <v>89017</v>
      </c>
      <c r="H349" s="116"/>
      <c r="I349" s="116"/>
      <c r="L349" s="170">
        <v>42516</v>
      </c>
      <c r="M349" s="116">
        <v>691.2</v>
      </c>
      <c r="N349" s="116">
        <v>701</v>
      </c>
      <c r="O349" s="116">
        <v>685</v>
      </c>
      <c r="P349" s="116">
        <v>695.5</v>
      </c>
      <c r="Q349" s="116">
        <v>1382.4</v>
      </c>
      <c r="R349">
        <v>140030</v>
      </c>
    </row>
    <row r="350" spans="1:18" x14ac:dyDescent="0.25">
      <c r="A350" s="170">
        <v>42517</v>
      </c>
      <c r="B350" s="116">
        <v>702.7</v>
      </c>
      <c r="C350" s="116">
        <v>690.32500000000005</v>
      </c>
      <c r="D350" s="116">
        <v>682.1</v>
      </c>
      <c r="E350" s="116">
        <v>697.5</v>
      </c>
      <c r="F350" s="116">
        <v>1380.65</v>
      </c>
      <c r="G350">
        <v>14231</v>
      </c>
      <c r="H350" s="116"/>
      <c r="I350" s="116"/>
      <c r="L350" s="170">
        <v>42517</v>
      </c>
      <c r="M350" s="116">
        <v>689.25</v>
      </c>
      <c r="N350" s="116">
        <v>703</v>
      </c>
      <c r="O350" s="116">
        <v>680</v>
      </c>
      <c r="P350" s="116">
        <v>691.95</v>
      </c>
      <c r="Q350" s="116">
        <v>1378.5</v>
      </c>
      <c r="R350">
        <v>139877</v>
      </c>
    </row>
    <row r="351" spans="1:18" x14ac:dyDescent="0.25">
      <c r="A351" s="170">
        <v>42520</v>
      </c>
      <c r="B351" s="116">
        <v>690.82500000000005</v>
      </c>
      <c r="C351" s="116">
        <v>683.7</v>
      </c>
      <c r="D351" s="116">
        <v>677.22500000000002</v>
      </c>
      <c r="E351" s="116">
        <v>690</v>
      </c>
      <c r="F351" s="116">
        <v>1367.4</v>
      </c>
      <c r="G351">
        <v>6187</v>
      </c>
      <c r="H351" s="116"/>
      <c r="I351" s="116"/>
      <c r="L351" s="170">
        <v>42520</v>
      </c>
      <c r="M351" s="116">
        <v>685.2</v>
      </c>
      <c r="N351" s="116">
        <v>692.4</v>
      </c>
      <c r="O351" s="116">
        <v>676.625</v>
      </c>
      <c r="P351" s="116">
        <v>689.5</v>
      </c>
      <c r="Q351" s="116">
        <v>1370.4</v>
      </c>
      <c r="R351">
        <v>50413</v>
      </c>
    </row>
    <row r="352" spans="1:18" x14ac:dyDescent="0.25">
      <c r="A352" s="170">
        <v>42521</v>
      </c>
      <c r="B352" s="116">
        <v>682</v>
      </c>
      <c r="C352" s="116">
        <v>671.4</v>
      </c>
      <c r="D352" s="116">
        <v>666.75</v>
      </c>
      <c r="E352" s="116">
        <v>681.375</v>
      </c>
      <c r="F352" s="116">
        <v>1342.8</v>
      </c>
      <c r="G352">
        <v>10801</v>
      </c>
      <c r="H352" s="116"/>
      <c r="I352" s="116"/>
      <c r="L352" s="170">
        <v>42521</v>
      </c>
      <c r="M352" s="116">
        <v>670.875</v>
      </c>
      <c r="N352" s="116">
        <v>684.97500000000002</v>
      </c>
      <c r="O352" s="116">
        <v>666.05</v>
      </c>
      <c r="P352" s="116">
        <v>682.5</v>
      </c>
      <c r="Q352" s="116">
        <v>1341.75</v>
      </c>
      <c r="R352">
        <v>91596</v>
      </c>
    </row>
    <row r="353" spans="1:18" x14ac:dyDescent="0.25">
      <c r="A353" s="170">
        <v>42522</v>
      </c>
      <c r="B353" s="116">
        <v>684</v>
      </c>
      <c r="C353" s="116">
        <v>680.02499999999998</v>
      </c>
      <c r="D353" s="116">
        <v>667.5</v>
      </c>
      <c r="E353" s="116">
        <v>667.5</v>
      </c>
      <c r="F353" s="116">
        <v>1360.05</v>
      </c>
      <c r="G353">
        <v>6977</v>
      </c>
      <c r="H353" s="116"/>
      <c r="I353" s="116"/>
      <c r="L353" s="170">
        <v>42522</v>
      </c>
      <c r="M353" s="116">
        <v>681.35</v>
      </c>
      <c r="N353" s="116">
        <v>684.7</v>
      </c>
      <c r="O353" s="116">
        <v>665.5</v>
      </c>
      <c r="P353" s="116">
        <v>677.72500000000002</v>
      </c>
      <c r="Q353" s="116">
        <v>1362.7</v>
      </c>
      <c r="R353">
        <v>104152</v>
      </c>
    </row>
    <row r="354" spans="1:18" x14ac:dyDescent="0.25">
      <c r="A354" s="170">
        <v>42523</v>
      </c>
      <c r="B354" s="116">
        <v>677.52499999999998</v>
      </c>
      <c r="C354" s="116">
        <v>669.1</v>
      </c>
      <c r="D354" s="116">
        <v>663.67499999999995</v>
      </c>
      <c r="E354" s="116">
        <v>677.52499999999998</v>
      </c>
      <c r="F354" s="116">
        <v>1338.2</v>
      </c>
      <c r="G354">
        <v>11366</v>
      </c>
      <c r="H354" s="116"/>
      <c r="I354" s="116"/>
      <c r="L354" s="170">
        <v>42523</v>
      </c>
      <c r="M354" s="116">
        <v>667.97500000000002</v>
      </c>
      <c r="N354" s="116">
        <v>679.92499999999995</v>
      </c>
      <c r="O354" s="116">
        <v>663</v>
      </c>
      <c r="P354" s="116">
        <v>679.92499999999995</v>
      </c>
      <c r="Q354" s="116">
        <v>1335.95</v>
      </c>
      <c r="R354">
        <v>112224</v>
      </c>
    </row>
    <row r="355" spans="1:18" x14ac:dyDescent="0.25">
      <c r="A355" s="170">
        <v>42524</v>
      </c>
      <c r="B355" s="116">
        <v>694</v>
      </c>
      <c r="C355" s="116">
        <v>689.45</v>
      </c>
      <c r="D355" s="116">
        <v>670.5</v>
      </c>
      <c r="E355" s="116">
        <v>674.65</v>
      </c>
      <c r="F355" s="116">
        <v>1378.9</v>
      </c>
      <c r="G355">
        <v>26766</v>
      </c>
      <c r="H355" s="116"/>
      <c r="I355" s="116"/>
      <c r="L355" s="170">
        <v>42524</v>
      </c>
      <c r="M355" s="116">
        <v>690.9</v>
      </c>
      <c r="N355" s="116">
        <v>694.35</v>
      </c>
      <c r="O355" s="116">
        <v>670</v>
      </c>
      <c r="P355" s="116">
        <v>670</v>
      </c>
      <c r="Q355" s="116">
        <v>1381.8</v>
      </c>
      <c r="R355">
        <v>304025</v>
      </c>
    </row>
    <row r="356" spans="1:18" x14ac:dyDescent="0.25">
      <c r="A356" s="170">
        <v>42527</v>
      </c>
      <c r="B356" s="116">
        <v>700</v>
      </c>
      <c r="C356" s="116">
        <v>685.05</v>
      </c>
      <c r="D356" s="116">
        <v>675.7</v>
      </c>
      <c r="E356" s="116">
        <v>684.5</v>
      </c>
      <c r="F356" s="116">
        <v>1370.1</v>
      </c>
      <c r="G356">
        <v>9384</v>
      </c>
      <c r="H356" s="116"/>
      <c r="I356" s="116"/>
      <c r="L356" s="170">
        <v>42527</v>
      </c>
      <c r="M356" s="116">
        <v>685.8</v>
      </c>
      <c r="N356" s="116">
        <v>699.95</v>
      </c>
      <c r="O356" s="116">
        <v>675.5</v>
      </c>
      <c r="P356" s="116">
        <v>696</v>
      </c>
      <c r="Q356" s="116">
        <v>1371.6</v>
      </c>
      <c r="R356">
        <v>105068</v>
      </c>
    </row>
    <row r="357" spans="1:18" x14ac:dyDescent="0.25">
      <c r="A357" s="170">
        <v>42528</v>
      </c>
      <c r="B357" s="116">
        <v>688.8</v>
      </c>
      <c r="C357" s="116">
        <v>686.875</v>
      </c>
      <c r="D357" s="116">
        <v>678.8</v>
      </c>
      <c r="E357" s="116">
        <v>680</v>
      </c>
      <c r="F357" s="116">
        <v>1373.75</v>
      </c>
      <c r="G357">
        <v>20610</v>
      </c>
      <c r="H357" s="116"/>
      <c r="I357" s="116"/>
      <c r="L357" s="170">
        <v>42528</v>
      </c>
      <c r="M357" s="116">
        <v>687.7</v>
      </c>
      <c r="N357" s="116">
        <v>689.5</v>
      </c>
      <c r="O357" s="116">
        <v>677.5</v>
      </c>
      <c r="P357" s="116">
        <v>687.2</v>
      </c>
      <c r="Q357" s="116">
        <v>1375.4</v>
      </c>
      <c r="R357">
        <v>35554</v>
      </c>
    </row>
    <row r="358" spans="1:18" x14ac:dyDescent="0.25">
      <c r="A358" s="170">
        <v>42529</v>
      </c>
      <c r="B358" s="116">
        <v>700.47500000000002</v>
      </c>
      <c r="C358" s="116">
        <v>697.4</v>
      </c>
      <c r="D358" s="116">
        <v>684.32500000000005</v>
      </c>
      <c r="E358" s="116">
        <v>690</v>
      </c>
      <c r="F358" s="116">
        <v>1394.8</v>
      </c>
      <c r="G358">
        <v>8857</v>
      </c>
      <c r="H358" s="116"/>
      <c r="I358" s="116"/>
      <c r="L358" s="170">
        <v>42529</v>
      </c>
      <c r="M358" s="116">
        <v>698.77499999999998</v>
      </c>
      <c r="N358" s="116">
        <v>701.25</v>
      </c>
      <c r="O358" s="116">
        <v>682.6</v>
      </c>
      <c r="P358" s="116">
        <v>690.05</v>
      </c>
      <c r="Q358" s="116">
        <v>1397.55</v>
      </c>
      <c r="R358">
        <v>93281</v>
      </c>
    </row>
    <row r="359" spans="1:18" x14ac:dyDescent="0.25">
      <c r="A359" s="170">
        <v>42530</v>
      </c>
      <c r="B359" s="116">
        <v>710.1</v>
      </c>
      <c r="C359" s="116">
        <v>684.07500000000005</v>
      </c>
      <c r="D359" s="116">
        <v>681.625</v>
      </c>
      <c r="E359" s="116">
        <v>700</v>
      </c>
      <c r="F359" s="116">
        <v>1368.15</v>
      </c>
      <c r="G359">
        <v>14765</v>
      </c>
      <c r="H359" s="116"/>
      <c r="I359" s="116"/>
      <c r="L359" s="170">
        <v>42530</v>
      </c>
      <c r="M359" s="116">
        <v>684.15</v>
      </c>
      <c r="N359" s="116">
        <v>710</v>
      </c>
      <c r="O359" s="116">
        <v>682.375</v>
      </c>
      <c r="P359" s="116">
        <v>699.5</v>
      </c>
      <c r="Q359" s="116">
        <v>1368.3</v>
      </c>
      <c r="R359">
        <v>101529</v>
      </c>
    </row>
    <row r="360" spans="1:18" x14ac:dyDescent="0.25">
      <c r="A360" s="170">
        <v>42531</v>
      </c>
      <c r="B360" s="116">
        <v>687</v>
      </c>
      <c r="C360" s="116">
        <v>676.42499999999995</v>
      </c>
      <c r="D360" s="116">
        <v>672.5</v>
      </c>
      <c r="E360" s="116">
        <v>683.97500000000002</v>
      </c>
      <c r="F360" s="116">
        <v>1352.85</v>
      </c>
      <c r="G360">
        <v>7760</v>
      </c>
      <c r="H360" s="116"/>
      <c r="I360" s="116"/>
      <c r="L360" s="170">
        <v>42531</v>
      </c>
      <c r="M360" s="116">
        <v>675.25</v>
      </c>
      <c r="N360" s="116">
        <v>688</v>
      </c>
      <c r="O360" s="116">
        <v>671.25</v>
      </c>
      <c r="P360" s="116">
        <v>683.95</v>
      </c>
      <c r="Q360" s="116">
        <v>1350.5</v>
      </c>
      <c r="R360">
        <v>92775</v>
      </c>
    </row>
    <row r="361" spans="1:18" x14ac:dyDescent="0.25">
      <c r="A361" s="170">
        <v>42534</v>
      </c>
      <c r="B361" s="116">
        <v>675.5</v>
      </c>
      <c r="C361" s="116">
        <v>668.42499999999995</v>
      </c>
      <c r="D361" s="116">
        <v>664.5</v>
      </c>
      <c r="E361" s="116">
        <v>675.5</v>
      </c>
      <c r="F361" s="116">
        <v>1336.85</v>
      </c>
      <c r="G361">
        <v>7093</v>
      </c>
      <c r="H361" s="116"/>
      <c r="I361" s="116"/>
      <c r="L361" s="170">
        <v>42534</v>
      </c>
      <c r="M361" s="116">
        <v>668.15</v>
      </c>
      <c r="N361" s="116">
        <v>675</v>
      </c>
      <c r="O361" s="116">
        <v>664.5</v>
      </c>
      <c r="P361" s="116">
        <v>669.17499999999995</v>
      </c>
      <c r="Q361" s="116">
        <v>1336.3</v>
      </c>
      <c r="R361">
        <v>66655</v>
      </c>
    </row>
    <row r="362" spans="1:18" x14ac:dyDescent="0.25">
      <c r="A362" s="170">
        <v>42535</v>
      </c>
      <c r="B362" s="116">
        <v>682.5</v>
      </c>
      <c r="C362" s="116">
        <v>670.82500000000005</v>
      </c>
      <c r="D362" s="116">
        <v>668.97500000000002</v>
      </c>
      <c r="E362" s="116">
        <v>670.72500000000002</v>
      </c>
      <c r="F362" s="116">
        <v>1341.65</v>
      </c>
      <c r="G362">
        <v>7975</v>
      </c>
      <c r="H362" s="116"/>
      <c r="I362" s="116"/>
      <c r="L362" s="170">
        <v>42535</v>
      </c>
      <c r="M362" s="116">
        <v>669.95</v>
      </c>
      <c r="N362" s="116">
        <v>682.5</v>
      </c>
      <c r="O362" s="116">
        <v>668.05</v>
      </c>
      <c r="P362" s="116">
        <v>669.25</v>
      </c>
      <c r="Q362" s="116">
        <v>1339.9</v>
      </c>
      <c r="R362">
        <v>149434</v>
      </c>
    </row>
    <row r="363" spans="1:18" x14ac:dyDescent="0.25">
      <c r="A363" s="170">
        <v>42536</v>
      </c>
      <c r="B363" s="116">
        <v>676.75</v>
      </c>
      <c r="C363" s="116">
        <v>670.2</v>
      </c>
      <c r="D363" s="116">
        <v>664.25</v>
      </c>
      <c r="E363" s="116">
        <v>670</v>
      </c>
      <c r="F363" s="116">
        <v>1340.4</v>
      </c>
      <c r="G363">
        <v>10639</v>
      </c>
      <c r="H363" s="116"/>
      <c r="I363" s="116"/>
      <c r="L363" s="170">
        <v>42536</v>
      </c>
      <c r="M363" s="116">
        <v>670.3</v>
      </c>
      <c r="N363" s="116">
        <v>677</v>
      </c>
      <c r="O363" s="116">
        <v>664.45</v>
      </c>
      <c r="P363" s="116">
        <v>670.02499999999998</v>
      </c>
      <c r="Q363" s="116">
        <v>1340.6</v>
      </c>
      <c r="R363">
        <v>341505</v>
      </c>
    </row>
    <row r="364" spans="1:18" x14ac:dyDescent="0.25">
      <c r="A364" s="170">
        <v>42537</v>
      </c>
      <c r="B364" s="116">
        <v>679.2</v>
      </c>
      <c r="C364" s="116">
        <v>668.67499999999995</v>
      </c>
      <c r="D364" s="116">
        <v>665.55</v>
      </c>
      <c r="E364" s="116">
        <v>668.22500000000002</v>
      </c>
      <c r="F364" s="116">
        <v>1337.35</v>
      </c>
      <c r="G364">
        <v>5509</v>
      </c>
      <c r="H364" s="116"/>
      <c r="I364" s="116"/>
      <c r="L364" s="170">
        <v>42537</v>
      </c>
      <c r="M364" s="116">
        <v>669.875</v>
      </c>
      <c r="N364" s="116">
        <v>678.97500000000002</v>
      </c>
      <c r="O364" s="116">
        <v>665.05</v>
      </c>
      <c r="P364" s="116">
        <v>667.47500000000002</v>
      </c>
      <c r="Q364" s="116">
        <v>1339.75</v>
      </c>
      <c r="R364">
        <v>92887</v>
      </c>
    </row>
    <row r="365" spans="1:18" x14ac:dyDescent="0.25">
      <c r="A365" s="170">
        <v>42538</v>
      </c>
      <c r="B365" s="116">
        <v>677</v>
      </c>
      <c r="C365" s="116">
        <v>672.1</v>
      </c>
      <c r="D365" s="116">
        <v>669.45</v>
      </c>
      <c r="E365" s="116">
        <v>672.5</v>
      </c>
      <c r="F365" s="116">
        <v>1344.2</v>
      </c>
      <c r="G365">
        <v>5594</v>
      </c>
      <c r="H365" s="116"/>
      <c r="I365" s="116"/>
      <c r="L365" s="170">
        <v>42538</v>
      </c>
      <c r="M365" s="116">
        <v>673.8</v>
      </c>
      <c r="N365" s="116">
        <v>677.5</v>
      </c>
      <c r="O365" s="116">
        <v>667.875</v>
      </c>
      <c r="P365" s="116">
        <v>669.92499999999995</v>
      </c>
      <c r="Q365" s="116">
        <v>1347.6</v>
      </c>
      <c r="R365">
        <v>105319</v>
      </c>
    </row>
    <row r="366" spans="1:18" x14ac:dyDescent="0.25">
      <c r="A366" s="170">
        <v>42541</v>
      </c>
      <c r="B366" s="116">
        <v>686.75</v>
      </c>
      <c r="C366" s="116">
        <v>671.92499999999995</v>
      </c>
      <c r="D366" s="116">
        <v>667.5</v>
      </c>
      <c r="E366" s="116">
        <v>670</v>
      </c>
      <c r="F366" s="116">
        <v>1343.85</v>
      </c>
      <c r="G366">
        <v>14149</v>
      </c>
      <c r="H366" s="116"/>
      <c r="I366" s="116"/>
      <c r="L366" s="170">
        <v>42541</v>
      </c>
      <c r="M366" s="116">
        <v>670.17499999999995</v>
      </c>
      <c r="N366" s="116">
        <v>675</v>
      </c>
      <c r="O366" s="116">
        <v>666.1</v>
      </c>
      <c r="P366" s="116">
        <v>669.97500000000002</v>
      </c>
      <c r="Q366" s="116">
        <v>1340.35</v>
      </c>
      <c r="R366">
        <v>60472</v>
      </c>
    </row>
    <row r="367" spans="1:18" x14ac:dyDescent="0.25">
      <c r="A367" s="170">
        <v>42542</v>
      </c>
      <c r="B367" s="116">
        <v>673.75</v>
      </c>
      <c r="C367" s="116">
        <v>665.32500000000005</v>
      </c>
      <c r="D367" s="116">
        <v>659.97500000000002</v>
      </c>
      <c r="E367" s="116">
        <v>670.9</v>
      </c>
      <c r="F367" s="116">
        <v>1330.65</v>
      </c>
      <c r="G367">
        <v>10594</v>
      </c>
      <c r="H367" s="116"/>
      <c r="I367" s="116"/>
      <c r="L367" s="170">
        <v>42542</v>
      </c>
      <c r="M367" s="116">
        <v>664.7</v>
      </c>
      <c r="N367" s="116">
        <v>674.6</v>
      </c>
      <c r="O367" s="116">
        <v>659.02499999999998</v>
      </c>
      <c r="P367" s="116">
        <v>670.17499999999995</v>
      </c>
      <c r="Q367" s="116">
        <v>1329.4</v>
      </c>
      <c r="R367">
        <v>139459</v>
      </c>
    </row>
    <row r="368" spans="1:18" x14ac:dyDescent="0.25">
      <c r="A368" s="170">
        <v>42543</v>
      </c>
      <c r="B368" s="116">
        <v>670.5</v>
      </c>
      <c r="C368" s="116">
        <v>662.65</v>
      </c>
      <c r="D368" s="116">
        <v>654.29999999999995</v>
      </c>
      <c r="E368" s="116">
        <v>666.17499999999995</v>
      </c>
      <c r="F368" s="116">
        <v>1325.3</v>
      </c>
      <c r="G368">
        <v>13733</v>
      </c>
      <c r="H368" s="116"/>
      <c r="I368" s="116"/>
      <c r="L368" s="170">
        <v>42543</v>
      </c>
      <c r="M368" s="116">
        <v>664.17499999999995</v>
      </c>
      <c r="N368" s="116">
        <v>672.95</v>
      </c>
      <c r="O368" s="116">
        <v>653.5</v>
      </c>
      <c r="P368" s="116">
        <v>662.5</v>
      </c>
      <c r="Q368" s="116">
        <v>1328.35</v>
      </c>
      <c r="R368">
        <v>107924</v>
      </c>
    </row>
    <row r="369" spans="1:18" x14ac:dyDescent="0.25">
      <c r="A369" s="170">
        <v>42544</v>
      </c>
      <c r="B369" s="116">
        <v>676.5</v>
      </c>
      <c r="C369" s="116">
        <v>672.2</v>
      </c>
      <c r="D369" s="116">
        <v>664</v>
      </c>
      <c r="E369" s="116">
        <v>665.25</v>
      </c>
      <c r="F369" s="116">
        <v>1344.4</v>
      </c>
      <c r="G369">
        <v>8339</v>
      </c>
      <c r="H369" s="116"/>
      <c r="I369" s="116"/>
      <c r="L369" s="170">
        <v>42544</v>
      </c>
      <c r="M369" s="116">
        <v>672.3</v>
      </c>
      <c r="N369" s="116">
        <v>676.5</v>
      </c>
      <c r="O369" s="116">
        <v>665.875</v>
      </c>
      <c r="P369" s="116">
        <v>670.02499999999998</v>
      </c>
      <c r="Q369" s="116">
        <v>1344.6</v>
      </c>
      <c r="R369">
        <v>78266</v>
      </c>
    </row>
    <row r="370" spans="1:18" x14ac:dyDescent="0.25">
      <c r="A370" s="170">
        <v>42545</v>
      </c>
      <c r="B370" s="116">
        <v>665</v>
      </c>
      <c r="C370" s="116">
        <v>662.27499999999998</v>
      </c>
      <c r="D370" s="116">
        <v>647.25</v>
      </c>
      <c r="E370" s="116">
        <v>650</v>
      </c>
      <c r="F370" s="116">
        <v>1324.55</v>
      </c>
      <c r="G370">
        <v>21560</v>
      </c>
      <c r="H370" s="116"/>
      <c r="I370" s="116"/>
      <c r="L370" s="170">
        <v>42545</v>
      </c>
      <c r="M370" s="116">
        <v>661</v>
      </c>
      <c r="N370" s="116">
        <v>664.5</v>
      </c>
      <c r="O370" s="116">
        <v>643.77499999999998</v>
      </c>
      <c r="P370" s="116">
        <v>643.79999999999995</v>
      </c>
      <c r="Q370" s="116">
        <v>1322</v>
      </c>
      <c r="R370">
        <v>163368</v>
      </c>
    </row>
    <row r="371" spans="1:18" x14ac:dyDescent="0.25">
      <c r="A371" s="170">
        <v>42548</v>
      </c>
      <c r="B371" s="116">
        <v>669.375</v>
      </c>
      <c r="C371" s="116">
        <v>665.67499999999995</v>
      </c>
      <c r="D371" s="116">
        <v>660.3</v>
      </c>
      <c r="E371" s="116">
        <v>663.5</v>
      </c>
      <c r="F371" s="116">
        <v>1331.35</v>
      </c>
      <c r="G371">
        <v>11732</v>
      </c>
      <c r="H371" s="116"/>
      <c r="I371" s="116"/>
      <c r="L371" s="170">
        <v>42548</v>
      </c>
      <c r="M371" s="116">
        <v>662.875</v>
      </c>
      <c r="N371" s="116">
        <v>667.05</v>
      </c>
      <c r="O371" s="116">
        <v>659.07500000000005</v>
      </c>
      <c r="P371" s="116">
        <v>661</v>
      </c>
      <c r="Q371" s="116">
        <v>1325.75</v>
      </c>
      <c r="R371">
        <v>60715</v>
      </c>
    </row>
    <row r="372" spans="1:18" x14ac:dyDescent="0.25">
      <c r="A372" s="170">
        <v>42549</v>
      </c>
      <c r="B372" s="116">
        <v>674.35</v>
      </c>
      <c r="C372" s="116">
        <v>671.35</v>
      </c>
      <c r="D372" s="116">
        <v>660</v>
      </c>
      <c r="E372" s="116">
        <v>662.5</v>
      </c>
      <c r="F372" s="116">
        <v>1342.7</v>
      </c>
      <c r="G372">
        <v>17343</v>
      </c>
      <c r="H372" s="116"/>
      <c r="I372" s="116"/>
      <c r="L372" s="170">
        <v>42549</v>
      </c>
      <c r="M372" s="116">
        <v>671.7</v>
      </c>
      <c r="N372" s="116">
        <v>673.97500000000002</v>
      </c>
      <c r="O372" s="116">
        <v>658.9</v>
      </c>
      <c r="P372" s="116">
        <v>661.5</v>
      </c>
      <c r="Q372" s="116">
        <v>1343.4</v>
      </c>
      <c r="R372">
        <v>75920</v>
      </c>
    </row>
    <row r="373" spans="1:18" x14ac:dyDescent="0.25">
      <c r="A373" s="170">
        <v>42550</v>
      </c>
      <c r="B373" s="116">
        <v>678</v>
      </c>
      <c r="C373" s="116">
        <v>675.57500000000005</v>
      </c>
      <c r="D373" s="116">
        <v>672.5</v>
      </c>
      <c r="E373" s="116">
        <v>675</v>
      </c>
      <c r="F373" s="116">
        <v>1351.15</v>
      </c>
      <c r="G373">
        <v>6040</v>
      </c>
      <c r="H373" s="116"/>
      <c r="I373" s="116"/>
      <c r="L373" s="170">
        <v>42550</v>
      </c>
      <c r="M373" s="116">
        <v>675.35</v>
      </c>
      <c r="N373" s="116">
        <v>678.2</v>
      </c>
      <c r="O373" s="116">
        <v>672.02499999999998</v>
      </c>
      <c r="P373" s="116">
        <v>674</v>
      </c>
      <c r="Q373" s="116">
        <v>1350.7</v>
      </c>
      <c r="R373">
        <v>201617</v>
      </c>
    </row>
    <row r="374" spans="1:18" x14ac:dyDescent="0.25">
      <c r="A374" s="170">
        <v>42551</v>
      </c>
      <c r="B374" s="116">
        <v>689.5</v>
      </c>
      <c r="C374" s="116">
        <v>685.375</v>
      </c>
      <c r="D374" s="116">
        <v>675.7</v>
      </c>
      <c r="E374" s="116">
        <v>677.5</v>
      </c>
      <c r="F374" s="116">
        <v>1370.75</v>
      </c>
      <c r="G374">
        <v>9052</v>
      </c>
      <c r="H374" s="116"/>
      <c r="I374" s="116"/>
      <c r="L374" s="170">
        <v>42551</v>
      </c>
      <c r="M374" s="116">
        <v>686.42499999999995</v>
      </c>
      <c r="N374" s="116">
        <v>689.57500000000005</v>
      </c>
      <c r="O374" s="116">
        <v>675</v>
      </c>
      <c r="P374" s="116">
        <v>677.5</v>
      </c>
      <c r="Q374" s="116">
        <v>1372.85</v>
      </c>
      <c r="R374">
        <v>119320</v>
      </c>
    </row>
    <row r="375" spans="1:18" x14ac:dyDescent="0.25">
      <c r="A375" s="170">
        <v>42552</v>
      </c>
      <c r="B375" s="116">
        <v>702.5</v>
      </c>
      <c r="C375" s="116">
        <v>695.27499999999998</v>
      </c>
      <c r="D375" s="116">
        <v>690</v>
      </c>
      <c r="E375" s="116">
        <v>690</v>
      </c>
      <c r="F375" s="116">
        <v>1390.55</v>
      </c>
      <c r="G375">
        <v>11625</v>
      </c>
      <c r="H375" s="116"/>
      <c r="I375" s="116"/>
      <c r="L375" s="170">
        <v>42552</v>
      </c>
      <c r="M375" s="116">
        <v>696.85</v>
      </c>
      <c r="N375" s="116">
        <v>703.3</v>
      </c>
      <c r="O375" s="116">
        <v>688</v>
      </c>
      <c r="P375" s="116">
        <v>688</v>
      </c>
      <c r="Q375" s="116">
        <v>1393.7</v>
      </c>
      <c r="R375">
        <v>119165</v>
      </c>
    </row>
    <row r="376" spans="1:18" x14ac:dyDescent="0.25">
      <c r="A376" s="170">
        <v>42555</v>
      </c>
      <c r="B376" s="116">
        <v>707</v>
      </c>
      <c r="C376" s="116">
        <v>696.57500000000005</v>
      </c>
      <c r="D376" s="116">
        <v>688.85</v>
      </c>
      <c r="E376" s="116">
        <v>697</v>
      </c>
      <c r="F376" s="116">
        <v>1393.15</v>
      </c>
      <c r="G376">
        <v>8944</v>
      </c>
      <c r="H376" s="116"/>
      <c r="I376" s="116"/>
      <c r="L376" s="170">
        <v>42555</v>
      </c>
      <c r="M376" s="116">
        <v>696.82500000000005</v>
      </c>
      <c r="N376" s="116">
        <v>705</v>
      </c>
      <c r="O376" s="116">
        <v>691.5</v>
      </c>
      <c r="P376" s="116">
        <v>698.95</v>
      </c>
      <c r="Q376" s="116">
        <v>1393.65</v>
      </c>
      <c r="R376">
        <v>84254</v>
      </c>
    </row>
    <row r="377" spans="1:18" x14ac:dyDescent="0.25">
      <c r="A377" s="170">
        <v>42556</v>
      </c>
      <c r="B377" s="116">
        <v>702.3</v>
      </c>
      <c r="C377" s="116">
        <v>697.9</v>
      </c>
      <c r="D377" s="116">
        <v>694.45</v>
      </c>
      <c r="E377" s="116">
        <v>695</v>
      </c>
      <c r="F377" s="116">
        <v>1395.8</v>
      </c>
      <c r="G377">
        <v>8958</v>
      </c>
      <c r="H377" s="116"/>
      <c r="I377" s="116"/>
      <c r="L377" s="170">
        <v>42556</v>
      </c>
      <c r="M377" s="116">
        <v>699.32500000000005</v>
      </c>
      <c r="N377" s="116">
        <v>702.5</v>
      </c>
      <c r="O377" s="116">
        <v>694.35</v>
      </c>
      <c r="P377" s="116">
        <v>697.57500000000005</v>
      </c>
      <c r="Q377" s="116">
        <v>1398.65</v>
      </c>
      <c r="R377">
        <v>58879</v>
      </c>
    </row>
    <row r="378" spans="1:18" x14ac:dyDescent="0.25">
      <c r="A378" s="170">
        <v>42558</v>
      </c>
      <c r="B378" s="116">
        <v>704</v>
      </c>
      <c r="C378" s="116">
        <v>699.05</v>
      </c>
      <c r="D378" s="116">
        <v>694.5</v>
      </c>
      <c r="E378" s="116">
        <v>697.5</v>
      </c>
      <c r="F378" s="116">
        <v>1398.1</v>
      </c>
      <c r="G378">
        <v>5807</v>
      </c>
      <c r="H378" s="116"/>
      <c r="I378" s="116"/>
      <c r="L378" s="170">
        <v>42558</v>
      </c>
      <c r="M378" s="116">
        <v>699.17499999999995</v>
      </c>
      <c r="N378" s="116">
        <v>702.5</v>
      </c>
      <c r="O378" s="116">
        <v>693.7</v>
      </c>
      <c r="P378" s="116">
        <v>698.875</v>
      </c>
      <c r="Q378" s="116">
        <v>1398.35</v>
      </c>
      <c r="R378">
        <v>55444</v>
      </c>
    </row>
    <row r="379" spans="1:18" x14ac:dyDescent="0.25">
      <c r="A379" s="170">
        <v>42559</v>
      </c>
      <c r="B379" s="116">
        <v>724.25</v>
      </c>
      <c r="C379" s="116">
        <v>712</v>
      </c>
      <c r="D379" s="116">
        <v>702.25</v>
      </c>
      <c r="E379" s="116">
        <v>703.75</v>
      </c>
      <c r="F379" s="116">
        <v>1424</v>
      </c>
      <c r="G379">
        <v>27640</v>
      </c>
      <c r="H379" s="116"/>
      <c r="I379" s="116"/>
      <c r="L379" s="170">
        <v>42559</v>
      </c>
      <c r="M379" s="116">
        <v>710.17499999999995</v>
      </c>
      <c r="N379" s="116">
        <v>724</v>
      </c>
      <c r="O379" s="116">
        <v>701.5</v>
      </c>
      <c r="P379" s="116">
        <v>701.5</v>
      </c>
      <c r="Q379" s="116">
        <v>1420.35</v>
      </c>
      <c r="R379">
        <v>271618</v>
      </c>
    </row>
    <row r="380" spans="1:18" x14ac:dyDescent="0.25">
      <c r="A380" s="170">
        <v>42562</v>
      </c>
      <c r="B380" s="116">
        <v>726.375</v>
      </c>
      <c r="C380" s="116">
        <v>722.82500000000005</v>
      </c>
      <c r="D380" s="116">
        <v>703.97500000000002</v>
      </c>
      <c r="E380" s="116">
        <v>719.5</v>
      </c>
      <c r="F380" s="116">
        <v>1445.65</v>
      </c>
      <c r="G380">
        <v>14079</v>
      </c>
      <c r="H380" s="116"/>
      <c r="I380" s="116"/>
      <c r="L380" s="170">
        <v>42562</v>
      </c>
      <c r="M380" s="116">
        <v>723.47500000000002</v>
      </c>
      <c r="N380" s="116">
        <v>726.5</v>
      </c>
      <c r="O380" s="116">
        <v>701.5</v>
      </c>
      <c r="P380" s="116">
        <v>718</v>
      </c>
      <c r="Q380" s="116">
        <v>1446.95</v>
      </c>
      <c r="R380">
        <v>129526</v>
      </c>
    </row>
    <row r="381" spans="1:18" x14ac:dyDescent="0.25">
      <c r="A381" s="170">
        <v>42563</v>
      </c>
      <c r="B381" s="116">
        <v>729.57500000000005</v>
      </c>
      <c r="C381" s="116">
        <v>721.15</v>
      </c>
      <c r="D381" s="116">
        <v>717.55</v>
      </c>
      <c r="E381" s="116">
        <v>725</v>
      </c>
      <c r="F381" s="116">
        <v>1442.3</v>
      </c>
      <c r="G381">
        <v>14271</v>
      </c>
      <c r="H381" s="116"/>
      <c r="I381" s="116"/>
      <c r="L381" s="170">
        <v>42563</v>
      </c>
      <c r="M381" s="116">
        <v>717.875</v>
      </c>
      <c r="N381" s="116">
        <v>729.85</v>
      </c>
      <c r="O381" s="116">
        <v>714.25</v>
      </c>
      <c r="P381" s="116">
        <v>725.95</v>
      </c>
      <c r="Q381" s="116">
        <v>1435.75</v>
      </c>
      <c r="R381">
        <v>76379</v>
      </c>
    </row>
    <row r="382" spans="1:18" x14ac:dyDescent="0.25">
      <c r="A382" s="170">
        <v>42564</v>
      </c>
      <c r="B382" s="116">
        <v>719.32500000000005</v>
      </c>
      <c r="C382" s="116">
        <v>709.25</v>
      </c>
      <c r="D382" s="116">
        <v>707.55</v>
      </c>
      <c r="E382" s="116">
        <v>719.17499999999995</v>
      </c>
      <c r="F382" s="116">
        <v>1418.5</v>
      </c>
      <c r="G382">
        <v>7552</v>
      </c>
      <c r="H382" s="116"/>
      <c r="I382" s="116"/>
      <c r="L382" s="170">
        <v>42564</v>
      </c>
      <c r="M382" s="116">
        <v>709.15</v>
      </c>
      <c r="N382" s="116">
        <v>718.9</v>
      </c>
      <c r="O382" s="116">
        <v>707</v>
      </c>
      <c r="P382" s="116">
        <v>717</v>
      </c>
      <c r="Q382" s="116">
        <v>1418.3</v>
      </c>
      <c r="R382">
        <v>71562</v>
      </c>
    </row>
    <row r="383" spans="1:18" x14ac:dyDescent="0.25">
      <c r="A383" s="170">
        <v>42565</v>
      </c>
      <c r="B383" s="116">
        <v>725</v>
      </c>
      <c r="C383" s="116">
        <v>720.07500000000005</v>
      </c>
      <c r="D383" s="116">
        <v>709.65</v>
      </c>
      <c r="E383" s="116">
        <v>709.92499999999995</v>
      </c>
      <c r="F383" s="116">
        <v>1440.15</v>
      </c>
      <c r="G383">
        <v>8713</v>
      </c>
      <c r="H383" s="116"/>
      <c r="I383" s="116"/>
      <c r="L383" s="170">
        <v>42565</v>
      </c>
      <c r="M383" s="116">
        <v>719.875</v>
      </c>
      <c r="N383" s="116">
        <v>722.5</v>
      </c>
      <c r="O383" s="116">
        <v>707</v>
      </c>
      <c r="P383" s="116">
        <v>712.5</v>
      </c>
      <c r="Q383" s="116">
        <v>1439.75</v>
      </c>
      <c r="R383">
        <v>108064</v>
      </c>
    </row>
    <row r="384" spans="1:18" x14ac:dyDescent="0.25">
      <c r="A384" s="170">
        <v>42566</v>
      </c>
      <c r="B384" s="116">
        <v>735</v>
      </c>
      <c r="C384" s="116">
        <v>707.625</v>
      </c>
      <c r="D384" s="116">
        <v>693.52499999999998</v>
      </c>
      <c r="E384" s="116">
        <v>724.5</v>
      </c>
      <c r="F384" s="116">
        <v>1415.25</v>
      </c>
      <c r="G384">
        <v>33439</v>
      </c>
      <c r="H384" s="116"/>
      <c r="I384" s="116"/>
      <c r="L384" s="170">
        <v>42566</v>
      </c>
      <c r="M384" s="116">
        <v>706.57500000000005</v>
      </c>
      <c r="N384" s="116">
        <v>728.6</v>
      </c>
      <c r="O384" s="116">
        <v>696.15</v>
      </c>
      <c r="P384" s="116">
        <v>724.375</v>
      </c>
      <c r="Q384" s="116">
        <v>1413.15</v>
      </c>
      <c r="R384">
        <v>122162</v>
      </c>
    </row>
    <row r="385" spans="1:18" x14ac:dyDescent="0.25">
      <c r="A385" s="170">
        <v>42569</v>
      </c>
      <c r="B385" s="116">
        <v>711</v>
      </c>
      <c r="C385" s="116">
        <v>698.1</v>
      </c>
      <c r="D385" s="116">
        <v>693.27499999999998</v>
      </c>
      <c r="E385" s="116">
        <v>705</v>
      </c>
      <c r="F385" s="116">
        <v>1396.2</v>
      </c>
      <c r="G385">
        <v>10818</v>
      </c>
      <c r="H385" s="116"/>
      <c r="I385" s="116"/>
      <c r="L385" s="170">
        <v>42569</v>
      </c>
      <c r="M385" s="116">
        <v>698.32500000000005</v>
      </c>
      <c r="N385" s="116">
        <v>712</v>
      </c>
      <c r="O385" s="116">
        <v>696</v>
      </c>
      <c r="P385" s="116">
        <v>705.47500000000002</v>
      </c>
      <c r="Q385" s="116">
        <v>1396.65</v>
      </c>
      <c r="R385">
        <v>77189</v>
      </c>
    </row>
    <row r="386" spans="1:18" x14ac:dyDescent="0.25">
      <c r="A386" s="170">
        <v>42570</v>
      </c>
      <c r="B386" s="116">
        <v>704.1</v>
      </c>
      <c r="C386" s="116">
        <v>696.45</v>
      </c>
      <c r="D386" s="116">
        <v>687.625</v>
      </c>
      <c r="E386" s="116">
        <v>700</v>
      </c>
      <c r="F386" s="116">
        <v>1392.9</v>
      </c>
      <c r="G386">
        <v>11582</v>
      </c>
      <c r="H386" s="116"/>
      <c r="I386" s="116"/>
      <c r="L386" s="170">
        <v>42570</v>
      </c>
      <c r="M386" s="116">
        <v>696.55</v>
      </c>
      <c r="N386" s="116">
        <v>705.27499999999998</v>
      </c>
      <c r="O386" s="116">
        <v>686</v>
      </c>
      <c r="P386" s="116">
        <v>698.32500000000005</v>
      </c>
      <c r="Q386" s="116">
        <v>1393.1</v>
      </c>
      <c r="R386">
        <v>83216</v>
      </c>
    </row>
    <row r="387" spans="1:18" x14ac:dyDescent="0.25">
      <c r="A387" s="170">
        <v>42571</v>
      </c>
      <c r="B387" s="116">
        <v>722.1</v>
      </c>
      <c r="C387" s="116">
        <v>715.375</v>
      </c>
      <c r="D387" s="116">
        <v>698</v>
      </c>
      <c r="E387" s="116">
        <v>704.25</v>
      </c>
      <c r="F387" s="116">
        <v>1430.75</v>
      </c>
      <c r="G387">
        <v>13613</v>
      </c>
      <c r="H387" s="116"/>
      <c r="I387" s="116"/>
      <c r="L387" s="170">
        <v>42571</v>
      </c>
      <c r="M387" s="116">
        <v>717.77499999999998</v>
      </c>
      <c r="N387" s="116">
        <v>720.95</v>
      </c>
      <c r="O387" s="116">
        <v>697.55</v>
      </c>
      <c r="P387" s="116">
        <v>704</v>
      </c>
      <c r="Q387" s="116">
        <v>1435.55</v>
      </c>
      <c r="R387">
        <v>96130</v>
      </c>
    </row>
    <row r="388" spans="1:18" x14ac:dyDescent="0.25">
      <c r="A388" s="170">
        <v>42572</v>
      </c>
      <c r="B388" s="116">
        <v>753.2</v>
      </c>
      <c r="C388" s="116">
        <v>727.9</v>
      </c>
      <c r="D388" s="116">
        <v>714</v>
      </c>
      <c r="E388" s="116">
        <v>720</v>
      </c>
      <c r="F388" s="116">
        <v>1455.8</v>
      </c>
      <c r="G388">
        <v>56454</v>
      </c>
      <c r="H388" s="116"/>
      <c r="I388" s="116"/>
      <c r="L388" s="170">
        <v>42572</v>
      </c>
      <c r="M388" s="116">
        <v>727.65</v>
      </c>
      <c r="N388" s="116">
        <v>752.5</v>
      </c>
      <c r="O388" s="116">
        <v>712.02499999999998</v>
      </c>
      <c r="P388" s="116">
        <v>720</v>
      </c>
      <c r="Q388" s="116">
        <v>1455.3</v>
      </c>
      <c r="R388">
        <v>405429</v>
      </c>
    </row>
    <row r="389" spans="1:18" x14ac:dyDescent="0.25">
      <c r="A389" s="170">
        <v>42573</v>
      </c>
      <c r="B389" s="116">
        <v>745.47500000000002</v>
      </c>
      <c r="C389" s="116">
        <v>729.07500000000005</v>
      </c>
      <c r="D389" s="116">
        <v>705.55</v>
      </c>
      <c r="E389" s="116">
        <v>724.5</v>
      </c>
      <c r="F389" s="116">
        <v>1458.15</v>
      </c>
      <c r="G389">
        <v>33864</v>
      </c>
      <c r="H389" s="116"/>
      <c r="I389" s="116"/>
      <c r="L389" s="170">
        <v>42573</v>
      </c>
      <c r="M389" s="116">
        <v>729.82500000000005</v>
      </c>
      <c r="N389" s="116">
        <v>737.77499999999998</v>
      </c>
      <c r="O389" s="116">
        <v>707.65</v>
      </c>
      <c r="P389" s="116">
        <v>720.75</v>
      </c>
      <c r="Q389" s="116">
        <v>1459.65</v>
      </c>
      <c r="R389">
        <v>184782</v>
      </c>
    </row>
    <row r="390" spans="1:18" x14ac:dyDescent="0.25">
      <c r="A390" s="170">
        <v>42576</v>
      </c>
      <c r="B390" s="116">
        <v>738</v>
      </c>
      <c r="C390" s="116">
        <v>728.82500000000005</v>
      </c>
      <c r="D390" s="116">
        <v>726.07500000000005</v>
      </c>
      <c r="E390" s="116">
        <v>731.5</v>
      </c>
      <c r="F390" s="116">
        <v>1457.65</v>
      </c>
      <c r="G390">
        <v>7108</v>
      </c>
      <c r="H390" s="116"/>
      <c r="I390" s="116"/>
      <c r="L390" s="170">
        <v>42576</v>
      </c>
      <c r="M390" s="116">
        <v>730.22500000000002</v>
      </c>
      <c r="N390" s="116">
        <v>739.32500000000005</v>
      </c>
      <c r="O390" s="116">
        <v>727.02499999999998</v>
      </c>
      <c r="P390" s="116">
        <v>733</v>
      </c>
      <c r="Q390" s="116">
        <v>1460.45</v>
      </c>
      <c r="R390">
        <v>73004</v>
      </c>
    </row>
    <row r="391" spans="1:18" x14ac:dyDescent="0.25">
      <c r="A391" s="170">
        <v>42577</v>
      </c>
      <c r="B391" s="116">
        <v>738.5</v>
      </c>
      <c r="C391" s="116">
        <v>730.875</v>
      </c>
      <c r="D391" s="116">
        <v>725.27499999999998</v>
      </c>
      <c r="E391" s="116">
        <v>738.5</v>
      </c>
      <c r="F391" s="116">
        <v>1461.75</v>
      </c>
      <c r="G391">
        <v>9084</v>
      </c>
      <c r="H391" s="116"/>
      <c r="I391" s="116"/>
      <c r="L391" s="170">
        <v>42577</v>
      </c>
      <c r="M391" s="116">
        <v>731.22500000000002</v>
      </c>
      <c r="N391" s="116">
        <v>737.5</v>
      </c>
      <c r="O391" s="116">
        <v>728.375</v>
      </c>
      <c r="P391" s="116">
        <v>732.5</v>
      </c>
      <c r="Q391" s="116">
        <v>1462.45</v>
      </c>
      <c r="R391">
        <v>117672</v>
      </c>
    </row>
    <row r="392" spans="1:18" x14ac:dyDescent="0.25">
      <c r="A392" s="170">
        <v>42578</v>
      </c>
      <c r="B392" s="116">
        <v>738.92499999999995</v>
      </c>
      <c r="C392" s="116">
        <v>704.6</v>
      </c>
      <c r="D392" s="116">
        <v>697.5</v>
      </c>
      <c r="E392" s="116">
        <v>738.92499999999995</v>
      </c>
      <c r="F392" s="116">
        <v>1409.2</v>
      </c>
      <c r="G392">
        <v>47093</v>
      </c>
      <c r="H392" s="116"/>
      <c r="I392" s="116"/>
      <c r="L392" s="170">
        <v>42578</v>
      </c>
      <c r="M392" s="116">
        <v>703.22500000000002</v>
      </c>
      <c r="N392" s="116">
        <v>734.5</v>
      </c>
      <c r="O392" s="116">
        <v>696.5</v>
      </c>
      <c r="P392" s="116">
        <v>734.5</v>
      </c>
      <c r="Q392" s="116">
        <v>1406.45</v>
      </c>
      <c r="R392">
        <v>350232</v>
      </c>
    </row>
    <row r="393" spans="1:18" x14ac:dyDescent="0.25">
      <c r="A393" s="170">
        <v>42579</v>
      </c>
      <c r="B393" s="116">
        <v>724.5</v>
      </c>
      <c r="C393" s="116">
        <v>717.82500000000005</v>
      </c>
      <c r="D393" s="116">
        <v>681.05</v>
      </c>
      <c r="E393" s="116">
        <v>685</v>
      </c>
      <c r="F393" s="116">
        <v>1435.65</v>
      </c>
      <c r="G393">
        <v>78918</v>
      </c>
      <c r="H393" s="116"/>
      <c r="I393" s="116"/>
      <c r="L393" s="170">
        <v>42579</v>
      </c>
      <c r="M393" s="116">
        <v>718.5</v>
      </c>
      <c r="N393" s="116">
        <v>723.42499999999995</v>
      </c>
      <c r="O393" s="116">
        <v>681.57500000000005</v>
      </c>
      <c r="P393" s="116">
        <v>687.5</v>
      </c>
      <c r="Q393" s="116">
        <v>1437</v>
      </c>
      <c r="R393">
        <v>571865</v>
      </c>
    </row>
    <row r="394" spans="1:18" x14ac:dyDescent="0.25">
      <c r="A394" s="170">
        <v>42580</v>
      </c>
      <c r="B394" s="116">
        <v>728.22500000000002</v>
      </c>
      <c r="C394" s="116">
        <v>720.82500000000005</v>
      </c>
      <c r="D394" s="116">
        <v>710.1</v>
      </c>
      <c r="E394" s="116">
        <v>717.5</v>
      </c>
      <c r="F394" s="116">
        <v>1441.65</v>
      </c>
      <c r="G394">
        <v>14487</v>
      </c>
      <c r="H394" s="116"/>
      <c r="I394" s="116"/>
      <c r="L394" s="170">
        <v>42580</v>
      </c>
      <c r="M394" s="116">
        <v>720.22500000000002</v>
      </c>
      <c r="N394" s="116">
        <v>728.4</v>
      </c>
      <c r="O394" s="116">
        <v>710.5</v>
      </c>
      <c r="P394" s="116">
        <v>719.5</v>
      </c>
      <c r="Q394" s="116">
        <v>1440.45</v>
      </c>
      <c r="R394">
        <v>289424</v>
      </c>
    </row>
    <row r="395" spans="1:18" x14ac:dyDescent="0.25">
      <c r="A395" s="170">
        <v>42583</v>
      </c>
      <c r="B395" s="116">
        <v>731.92499999999995</v>
      </c>
      <c r="C395" s="116">
        <v>727.75</v>
      </c>
      <c r="D395" s="116">
        <v>708.7</v>
      </c>
      <c r="E395" s="116">
        <v>720.52499999999998</v>
      </c>
      <c r="F395" s="116">
        <v>1455.5</v>
      </c>
      <c r="G395">
        <v>16025</v>
      </c>
      <c r="H395" s="116"/>
      <c r="I395" s="116"/>
      <c r="L395" s="170">
        <v>42583</v>
      </c>
      <c r="M395" s="116">
        <v>729.05</v>
      </c>
      <c r="N395" s="116">
        <v>734</v>
      </c>
      <c r="O395" s="116">
        <v>708</v>
      </c>
      <c r="P395" s="116">
        <v>722.5</v>
      </c>
      <c r="Q395" s="116">
        <v>1458.1</v>
      </c>
      <c r="R395">
        <v>142101</v>
      </c>
    </row>
    <row r="396" spans="1:18" x14ac:dyDescent="0.25">
      <c r="A396" s="170">
        <v>42584</v>
      </c>
      <c r="B396" s="116">
        <v>747.375</v>
      </c>
      <c r="C396" s="116">
        <v>739.9</v>
      </c>
      <c r="D396" s="116">
        <v>730.7</v>
      </c>
      <c r="E396" s="116">
        <v>732.5</v>
      </c>
      <c r="F396" s="116">
        <v>1479.8</v>
      </c>
      <c r="G396">
        <v>24884</v>
      </c>
      <c r="H396" s="116"/>
      <c r="I396" s="116"/>
      <c r="L396" s="170">
        <v>42584</v>
      </c>
      <c r="M396" s="116">
        <v>741.82500000000005</v>
      </c>
      <c r="N396" s="116">
        <v>747.22500000000002</v>
      </c>
      <c r="O396" s="116">
        <v>729</v>
      </c>
      <c r="P396" s="116">
        <v>729</v>
      </c>
      <c r="Q396" s="116">
        <v>1483.65</v>
      </c>
      <c r="R396">
        <v>259567</v>
      </c>
    </row>
    <row r="397" spans="1:18" x14ac:dyDescent="0.25">
      <c r="A397" s="170">
        <v>42585</v>
      </c>
      <c r="B397" s="116">
        <v>744.17499999999995</v>
      </c>
      <c r="C397" s="116">
        <v>733.82500000000005</v>
      </c>
      <c r="D397" s="116">
        <v>726.47500000000002</v>
      </c>
      <c r="E397" s="116">
        <v>739.9</v>
      </c>
      <c r="F397" s="116">
        <v>1467.65</v>
      </c>
      <c r="G397">
        <v>6090</v>
      </c>
      <c r="H397" s="116"/>
      <c r="I397" s="116"/>
      <c r="L397" s="170">
        <v>42585</v>
      </c>
      <c r="M397" s="116">
        <v>731.77499999999998</v>
      </c>
      <c r="N397" s="116">
        <v>745</v>
      </c>
      <c r="O397" s="116">
        <v>727.2</v>
      </c>
      <c r="P397" s="116">
        <v>740</v>
      </c>
      <c r="Q397" s="116">
        <v>1463.55</v>
      </c>
      <c r="R397">
        <v>64233</v>
      </c>
    </row>
    <row r="398" spans="1:18" x14ac:dyDescent="0.25">
      <c r="A398" s="170">
        <v>42586</v>
      </c>
      <c r="B398" s="116">
        <v>739.97500000000002</v>
      </c>
      <c r="C398" s="116">
        <v>731.6</v>
      </c>
      <c r="D398" s="116">
        <v>727.5</v>
      </c>
      <c r="E398" s="116">
        <v>739.97500000000002</v>
      </c>
      <c r="F398" s="116">
        <v>1463.2</v>
      </c>
      <c r="G398">
        <v>6757</v>
      </c>
      <c r="H398" s="116"/>
      <c r="I398" s="116"/>
      <c r="L398" s="170">
        <v>42586</v>
      </c>
      <c r="M398" s="116">
        <v>732.45</v>
      </c>
      <c r="N398" s="116">
        <v>743.47500000000002</v>
      </c>
      <c r="O398" s="116">
        <v>726.27499999999998</v>
      </c>
      <c r="P398" s="116">
        <v>733.15</v>
      </c>
      <c r="Q398" s="116">
        <v>1464.9</v>
      </c>
      <c r="R398">
        <v>49044</v>
      </c>
    </row>
    <row r="399" spans="1:18" x14ac:dyDescent="0.25">
      <c r="A399" s="170">
        <v>42587</v>
      </c>
      <c r="B399" s="116">
        <v>763.95</v>
      </c>
      <c r="C399" s="116">
        <v>760.1</v>
      </c>
      <c r="D399" s="116">
        <v>734.17499999999995</v>
      </c>
      <c r="E399" s="116">
        <v>735</v>
      </c>
      <c r="F399" s="116">
        <v>1520.2</v>
      </c>
      <c r="G399">
        <v>23465</v>
      </c>
      <c r="H399" s="116"/>
      <c r="I399" s="116"/>
      <c r="L399" s="170">
        <v>42587</v>
      </c>
      <c r="M399" s="116">
        <v>759.8</v>
      </c>
      <c r="N399" s="116">
        <v>764.45</v>
      </c>
      <c r="O399" s="116">
        <v>732.5</v>
      </c>
      <c r="P399" s="116">
        <v>732.5</v>
      </c>
      <c r="Q399" s="116">
        <v>1519.6</v>
      </c>
      <c r="R399">
        <v>292037</v>
      </c>
    </row>
    <row r="400" spans="1:18" x14ac:dyDescent="0.25">
      <c r="A400" s="170">
        <v>42590</v>
      </c>
      <c r="B400" s="116">
        <v>768</v>
      </c>
      <c r="C400" s="116">
        <v>760.85</v>
      </c>
      <c r="D400" s="116">
        <v>753.8</v>
      </c>
      <c r="E400" s="116">
        <v>765</v>
      </c>
      <c r="F400" s="116">
        <v>1521.7</v>
      </c>
      <c r="G400">
        <v>11238</v>
      </c>
      <c r="H400" s="116"/>
      <c r="I400" s="116"/>
      <c r="L400" s="170">
        <v>42590</v>
      </c>
      <c r="M400" s="116">
        <v>763.22500000000002</v>
      </c>
      <c r="N400" s="116">
        <v>767.625</v>
      </c>
      <c r="O400" s="116">
        <v>752.77499999999998</v>
      </c>
      <c r="P400" s="116">
        <v>760.5</v>
      </c>
      <c r="Q400" s="116">
        <v>1526.45</v>
      </c>
      <c r="R400">
        <v>87344</v>
      </c>
    </row>
    <row r="401" spans="1:18" x14ac:dyDescent="0.25">
      <c r="A401" s="170">
        <v>42591</v>
      </c>
      <c r="B401" s="116">
        <v>765</v>
      </c>
      <c r="C401" s="116">
        <v>752.9</v>
      </c>
      <c r="D401" s="116">
        <v>745</v>
      </c>
      <c r="E401" s="116">
        <v>764.75</v>
      </c>
      <c r="F401" s="116">
        <v>1505.8</v>
      </c>
      <c r="G401">
        <v>12765</v>
      </c>
      <c r="H401" s="116"/>
      <c r="I401" s="116"/>
      <c r="L401" s="170">
        <v>42591</v>
      </c>
      <c r="M401" s="116">
        <v>750.75</v>
      </c>
      <c r="N401" s="116">
        <v>767.45</v>
      </c>
      <c r="O401" s="116">
        <v>743.8</v>
      </c>
      <c r="P401" s="116">
        <v>767</v>
      </c>
      <c r="Q401" s="116">
        <v>1501.5</v>
      </c>
      <c r="R401">
        <v>127352</v>
      </c>
    </row>
    <row r="402" spans="1:18" x14ac:dyDescent="0.25">
      <c r="A402" s="170">
        <v>42592</v>
      </c>
      <c r="B402" s="116">
        <v>755.72500000000002</v>
      </c>
      <c r="C402" s="116">
        <v>737.95</v>
      </c>
      <c r="D402" s="116">
        <v>735.55</v>
      </c>
      <c r="E402" s="116">
        <v>753</v>
      </c>
      <c r="F402" s="116">
        <v>1475.9</v>
      </c>
      <c r="G402">
        <v>9880</v>
      </c>
      <c r="H402" s="116"/>
      <c r="I402" s="116"/>
      <c r="L402" s="170">
        <v>42592</v>
      </c>
      <c r="M402" s="116">
        <v>739.625</v>
      </c>
      <c r="N402" s="116">
        <v>761.97500000000002</v>
      </c>
      <c r="O402" s="116">
        <v>735.1</v>
      </c>
      <c r="P402" s="116">
        <v>747.5</v>
      </c>
      <c r="Q402" s="116">
        <v>1479.25</v>
      </c>
      <c r="R402">
        <v>76932</v>
      </c>
    </row>
    <row r="403" spans="1:18" x14ac:dyDescent="0.25">
      <c r="A403" s="170">
        <v>42593</v>
      </c>
      <c r="B403" s="116">
        <v>744.27499999999998</v>
      </c>
      <c r="C403" s="116">
        <v>737.97500000000002</v>
      </c>
      <c r="D403" s="116">
        <v>731.625</v>
      </c>
      <c r="E403" s="116">
        <v>742.5</v>
      </c>
      <c r="F403" s="116">
        <v>1475.95</v>
      </c>
      <c r="G403">
        <v>5663</v>
      </c>
      <c r="H403" s="116"/>
      <c r="I403" s="116"/>
      <c r="L403" s="170">
        <v>42593</v>
      </c>
      <c r="M403" s="116">
        <v>739.3</v>
      </c>
      <c r="N403" s="116">
        <v>744.97500000000002</v>
      </c>
      <c r="O403" s="116">
        <v>730.7</v>
      </c>
      <c r="P403" s="116">
        <v>739.625</v>
      </c>
      <c r="Q403" s="116">
        <v>1478.6</v>
      </c>
      <c r="R403">
        <v>48271</v>
      </c>
    </row>
    <row r="404" spans="1:18" x14ac:dyDescent="0.25">
      <c r="A404" s="170">
        <v>42594</v>
      </c>
      <c r="B404" s="116">
        <v>750</v>
      </c>
      <c r="C404" s="116">
        <v>740.85</v>
      </c>
      <c r="D404" s="116">
        <v>731.8</v>
      </c>
      <c r="E404" s="116">
        <v>742.47500000000002</v>
      </c>
      <c r="F404" s="116">
        <v>1481.7</v>
      </c>
      <c r="G404">
        <v>10439</v>
      </c>
      <c r="H404" s="116"/>
      <c r="I404" s="116"/>
      <c r="L404" s="170">
        <v>42594</v>
      </c>
      <c r="M404" s="116">
        <v>743.45</v>
      </c>
      <c r="N404" s="116">
        <v>747.5</v>
      </c>
      <c r="O404" s="116">
        <v>733.27499999999998</v>
      </c>
      <c r="P404" s="116">
        <v>739.3</v>
      </c>
      <c r="Q404" s="116">
        <v>1486.9</v>
      </c>
      <c r="R404">
        <v>70680</v>
      </c>
    </row>
    <row r="405" spans="1:18" x14ac:dyDescent="0.25">
      <c r="A405" s="170">
        <v>42598</v>
      </c>
      <c r="B405" s="116">
        <v>762.375</v>
      </c>
      <c r="C405" s="116">
        <v>747.07500000000005</v>
      </c>
      <c r="D405" s="116">
        <v>738.82500000000005</v>
      </c>
      <c r="E405" s="116">
        <v>759.5</v>
      </c>
      <c r="F405" s="116">
        <v>1494.15</v>
      </c>
      <c r="G405">
        <v>7795</v>
      </c>
      <c r="H405" s="116"/>
      <c r="I405" s="116"/>
      <c r="L405" s="170">
        <v>42598</v>
      </c>
      <c r="M405" s="116">
        <v>745.22500000000002</v>
      </c>
      <c r="N405" s="116">
        <v>762.42499999999995</v>
      </c>
      <c r="O405" s="116">
        <v>743</v>
      </c>
      <c r="P405" s="116">
        <v>750</v>
      </c>
      <c r="Q405" s="116">
        <v>1490.45</v>
      </c>
      <c r="R405">
        <v>134700</v>
      </c>
    </row>
    <row r="406" spans="1:18" x14ac:dyDescent="0.25">
      <c r="A406" s="170">
        <v>42599</v>
      </c>
      <c r="B406" s="116">
        <v>755</v>
      </c>
      <c r="C406" s="116">
        <v>752.75</v>
      </c>
      <c r="D406" s="116">
        <v>745</v>
      </c>
      <c r="E406" s="116">
        <v>745</v>
      </c>
      <c r="F406" s="116">
        <v>1505.5</v>
      </c>
      <c r="G406">
        <v>3644</v>
      </c>
      <c r="H406" s="116"/>
      <c r="I406" s="116"/>
      <c r="L406" s="170">
        <v>42599</v>
      </c>
      <c r="M406" s="116">
        <v>752.77499999999998</v>
      </c>
      <c r="N406" s="116">
        <v>755</v>
      </c>
      <c r="O406" s="116">
        <v>745.05</v>
      </c>
      <c r="P406" s="116">
        <v>748.5</v>
      </c>
      <c r="Q406" s="116">
        <v>1505.55</v>
      </c>
      <c r="R406">
        <v>106238</v>
      </c>
    </row>
    <row r="407" spans="1:18" x14ac:dyDescent="0.25">
      <c r="A407" s="170">
        <v>42600</v>
      </c>
      <c r="B407" s="116">
        <v>798.75</v>
      </c>
      <c r="C407" s="116">
        <v>783.375</v>
      </c>
      <c r="D407" s="116">
        <v>752.97500000000002</v>
      </c>
      <c r="E407" s="116">
        <v>755</v>
      </c>
      <c r="F407" s="116">
        <v>1566.75</v>
      </c>
      <c r="G407">
        <v>31192</v>
      </c>
      <c r="H407" s="116"/>
      <c r="I407" s="116"/>
      <c r="L407" s="170">
        <v>42600</v>
      </c>
      <c r="M407" s="116">
        <v>784.8</v>
      </c>
      <c r="N407" s="116">
        <v>797.27499999999998</v>
      </c>
      <c r="O407" s="116">
        <v>752.97500000000002</v>
      </c>
      <c r="P407" s="116">
        <v>753.625</v>
      </c>
      <c r="Q407" s="116">
        <v>1569.6</v>
      </c>
      <c r="R407">
        <v>298009</v>
      </c>
    </row>
    <row r="408" spans="1:18" x14ac:dyDescent="0.25">
      <c r="A408" s="170">
        <v>42601</v>
      </c>
      <c r="B408" s="116">
        <v>789.9</v>
      </c>
      <c r="C408" s="116">
        <v>775.47500000000002</v>
      </c>
      <c r="D408" s="116">
        <v>769.95</v>
      </c>
      <c r="E408" s="116">
        <v>788.25</v>
      </c>
      <c r="F408" s="116">
        <v>1550.95</v>
      </c>
      <c r="G408">
        <v>14710</v>
      </c>
      <c r="H408" s="116"/>
      <c r="I408" s="116"/>
      <c r="L408" s="170">
        <v>42601</v>
      </c>
      <c r="M408" s="116">
        <v>775.6</v>
      </c>
      <c r="N408" s="116">
        <v>790</v>
      </c>
      <c r="O408" s="116">
        <v>769.57500000000005</v>
      </c>
      <c r="P408" s="116">
        <v>790</v>
      </c>
      <c r="Q408" s="116">
        <v>1551.2</v>
      </c>
      <c r="R408">
        <v>157972</v>
      </c>
    </row>
    <row r="409" spans="1:18" x14ac:dyDescent="0.25">
      <c r="A409" s="170">
        <v>42604</v>
      </c>
      <c r="B409" s="116">
        <v>780</v>
      </c>
      <c r="C409" s="116">
        <v>771.8</v>
      </c>
      <c r="D409" s="116">
        <v>759.9</v>
      </c>
      <c r="E409" s="116">
        <v>780</v>
      </c>
      <c r="F409" s="116">
        <v>1543.6</v>
      </c>
      <c r="G409">
        <v>7067</v>
      </c>
      <c r="H409" s="116"/>
      <c r="I409" s="116"/>
      <c r="L409" s="170">
        <v>42604</v>
      </c>
      <c r="M409" s="116">
        <v>771.1</v>
      </c>
      <c r="N409" s="116">
        <v>780.02499999999998</v>
      </c>
      <c r="O409" s="116">
        <v>758</v>
      </c>
      <c r="P409" s="116">
        <v>775.6</v>
      </c>
      <c r="Q409" s="116">
        <v>1542.2</v>
      </c>
      <c r="R409">
        <v>64428</v>
      </c>
    </row>
    <row r="410" spans="1:18" x14ac:dyDescent="0.25">
      <c r="A410" s="170">
        <v>42605</v>
      </c>
      <c r="B410" s="116">
        <v>793.32500000000005</v>
      </c>
      <c r="C410" s="116">
        <v>789.15</v>
      </c>
      <c r="D410" s="116">
        <v>767.5</v>
      </c>
      <c r="E410" s="116">
        <v>771</v>
      </c>
      <c r="F410" s="116">
        <v>1578.3</v>
      </c>
      <c r="G410">
        <v>18301</v>
      </c>
      <c r="H410" s="116"/>
      <c r="I410" s="116"/>
      <c r="L410" s="170">
        <v>42605</v>
      </c>
      <c r="M410" s="116">
        <v>792.35</v>
      </c>
      <c r="N410" s="116">
        <v>796</v>
      </c>
      <c r="O410" s="116">
        <v>760.5</v>
      </c>
      <c r="P410" s="116">
        <v>770</v>
      </c>
      <c r="Q410" s="116">
        <v>1584.7</v>
      </c>
      <c r="R410">
        <v>153221</v>
      </c>
    </row>
    <row r="411" spans="1:18" x14ac:dyDescent="0.25">
      <c r="A411" s="170">
        <v>42606</v>
      </c>
      <c r="B411" s="116">
        <v>860</v>
      </c>
      <c r="C411" s="116">
        <v>850.7</v>
      </c>
      <c r="D411" s="116">
        <v>792.5</v>
      </c>
      <c r="E411" s="116">
        <v>792.5</v>
      </c>
      <c r="F411" s="116">
        <v>1701.4</v>
      </c>
      <c r="G411">
        <v>94030</v>
      </c>
      <c r="H411" s="116"/>
      <c r="I411" s="116"/>
      <c r="L411" s="170">
        <v>42606</v>
      </c>
      <c r="M411" s="116">
        <v>850.5</v>
      </c>
      <c r="N411" s="116">
        <v>860.8</v>
      </c>
      <c r="O411" s="116">
        <v>792.47500000000002</v>
      </c>
      <c r="P411" s="116">
        <v>792.47500000000002</v>
      </c>
      <c r="Q411" s="116">
        <v>1701</v>
      </c>
      <c r="R411">
        <v>1064056</v>
      </c>
    </row>
    <row r="412" spans="1:18" x14ac:dyDescent="0.25">
      <c r="A412" s="170">
        <v>42607</v>
      </c>
      <c r="B412" s="116">
        <v>883.9</v>
      </c>
      <c r="C412" s="116">
        <v>806</v>
      </c>
      <c r="D412" s="116">
        <v>798</v>
      </c>
      <c r="E412" s="116">
        <v>848.5</v>
      </c>
      <c r="F412" s="116">
        <v>1612</v>
      </c>
      <c r="G412">
        <v>108214</v>
      </c>
      <c r="H412" s="116"/>
      <c r="I412" s="116"/>
      <c r="L412" s="170">
        <v>42607</v>
      </c>
      <c r="M412" s="116">
        <v>806.1</v>
      </c>
      <c r="N412" s="116">
        <v>884.75</v>
      </c>
      <c r="O412" s="116">
        <v>796.82500000000005</v>
      </c>
      <c r="P412" s="116">
        <v>845.17499999999995</v>
      </c>
      <c r="Q412" s="116">
        <v>1612.2</v>
      </c>
      <c r="R412">
        <v>1125739</v>
      </c>
    </row>
    <row r="413" spans="1:18" x14ac:dyDescent="0.25">
      <c r="A413" s="170">
        <v>42608</v>
      </c>
      <c r="B413" s="116">
        <v>833.85</v>
      </c>
      <c r="C413" s="116">
        <v>808.3</v>
      </c>
      <c r="D413" s="116">
        <v>790</v>
      </c>
      <c r="E413" s="116">
        <v>809.5</v>
      </c>
      <c r="F413" s="116">
        <v>1616.6</v>
      </c>
      <c r="G413">
        <v>90064</v>
      </c>
      <c r="H413" s="116"/>
      <c r="I413" s="116"/>
      <c r="L413" s="170">
        <v>42608</v>
      </c>
      <c r="M413" s="116">
        <v>807.75</v>
      </c>
      <c r="N413" s="116">
        <v>834.45</v>
      </c>
      <c r="O413" s="116">
        <v>790</v>
      </c>
      <c r="P413" s="116">
        <v>811</v>
      </c>
      <c r="Q413" s="116">
        <v>1615.5</v>
      </c>
      <c r="R413">
        <v>607250</v>
      </c>
    </row>
    <row r="414" spans="1:18" x14ac:dyDescent="0.25">
      <c r="A414" s="170">
        <v>42611</v>
      </c>
      <c r="B414" s="116">
        <v>822.25</v>
      </c>
      <c r="C414" s="116">
        <v>806.57500000000005</v>
      </c>
      <c r="D414" s="116">
        <v>795.9</v>
      </c>
      <c r="E414" s="116">
        <v>807.5</v>
      </c>
      <c r="F414" s="116">
        <v>1613.15</v>
      </c>
      <c r="G414">
        <v>21685</v>
      </c>
      <c r="H414" s="116"/>
      <c r="I414" s="116"/>
      <c r="L414" s="170">
        <v>42611</v>
      </c>
      <c r="M414" s="116">
        <v>808.05</v>
      </c>
      <c r="N414" s="116">
        <v>820</v>
      </c>
      <c r="O414" s="116">
        <v>795.52499999999998</v>
      </c>
      <c r="P414" s="116">
        <v>809</v>
      </c>
      <c r="Q414" s="116">
        <v>1616.1</v>
      </c>
      <c r="R414">
        <v>171386</v>
      </c>
    </row>
    <row r="415" spans="1:18" x14ac:dyDescent="0.25">
      <c r="A415" s="170">
        <v>42612</v>
      </c>
      <c r="B415" s="116">
        <v>815</v>
      </c>
      <c r="C415" s="116">
        <v>806.35</v>
      </c>
      <c r="D415" s="116">
        <v>798.05</v>
      </c>
      <c r="E415" s="116">
        <v>810</v>
      </c>
      <c r="F415" s="116">
        <v>1612.7</v>
      </c>
      <c r="G415">
        <v>10566</v>
      </c>
      <c r="H415" s="116"/>
      <c r="I415" s="116"/>
      <c r="L415" s="170">
        <v>42612</v>
      </c>
      <c r="M415" s="116">
        <v>806.375</v>
      </c>
      <c r="N415" s="116">
        <v>816</v>
      </c>
      <c r="O415" s="116">
        <v>795.05</v>
      </c>
      <c r="P415" s="116">
        <v>814.4</v>
      </c>
      <c r="Q415" s="116">
        <v>1612.75</v>
      </c>
      <c r="R415">
        <v>158549</v>
      </c>
    </row>
    <row r="416" spans="1:18" x14ac:dyDescent="0.25">
      <c r="A416" s="170">
        <v>42613</v>
      </c>
      <c r="B416" s="116">
        <v>825</v>
      </c>
      <c r="C416" s="116">
        <v>814.42499999999995</v>
      </c>
      <c r="D416" s="116">
        <v>802.22500000000002</v>
      </c>
      <c r="E416" s="116">
        <v>810.25</v>
      </c>
      <c r="F416" s="116">
        <v>1628.85</v>
      </c>
      <c r="G416">
        <v>13289</v>
      </c>
      <c r="H416" s="116"/>
      <c r="I416" s="116"/>
      <c r="L416" s="170">
        <v>42613</v>
      </c>
      <c r="M416" s="116">
        <v>815.97500000000002</v>
      </c>
      <c r="N416" s="116">
        <v>826</v>
      </c>
      <c r="O416" s="116">
        <v>802.77499999999998</v>
      </c>
      <c r="P416" s="116">
        <v>807.25</v>
      </c>
      <c r="Q416" s="116">
        <v>1631.95</v>
      </c>
      <c r="R416">
        <v>173474</v>
      </c>
    </row>
    <row r="417" spans="1:18" x14ac:dyDescent="0.25">
      <c r="A417" s="170">
        <v>42614</v>
      </c>
      <c r="B417" s="116">
        <v>818.72500000000002</v>
      </c>
      <c r="C417" s="116">
        <v>799.875</v>
      </c>
      <c r="D417" s="116">
        <v>795.8</v>
      </c>
      <c r="E417" s="116">
        <v>816.9</v>
      </c>
      <c r="F417" s="116">
        <v>1599.75</v>
      </c>
      <c r="G417">
        <v>31500</v>
      </c>
      <c r="H417" s="116"/>
      <c r="I417" s="116"/>
      <c r="L417" s="170">
        <v>42614</v>
      </c>
      <c r="M417" s="116">
        <v>799.65</v>
      </c>
      <c r="N417" s="116">
        <v>819.82500000000005</v>
      </c>
      <c r="O417" s="116">
        <v>796.5</v>
      </c>
      <c r="P417" s="116">
        <v>819</v>
      </c>
      <c r="Q417" s="116">
        <v>1599.3</v>
      </c>
      <c r="R417">
        <v>164797</v>
      </c>
    </row>
    <row r="418" spans="1:18" x14ac:dyDescent="0.25">
      <c r="A418" s="170">
        <v>42615</v>
      </c>
      <c r="B418" s="116">
        <v>811.6</v>
      </c>
      <c r="C418" s="116">
        <v>803.27499999999998</v>
      </c>
      <c r="D418" s="116">
        <v>796.5</v>
      </c>
      <c r="E418" s="116">
        <v>804.97500000000002</v>
      </c>
      <c r="F418" s="116">
        <v>1606.55</v>
      </c>
      <c r="G418">
        <v>9151</v>
      </c>
      <c r="H418" s="116"/>
      <c r="I418" s="116"/>
      <c r="L418" s="170">
        <v>42615</v>
      </c>
      <c r="M418" s="116">
        <v>805.22500000000002</v>
      </c>
      <c r="N418" s="116">
        <v>812</v>
      </c>
      <c r="O418" s="116">
        <v>795.625</v>
      </c>
      <c r="P418" s="116">
        <v>799.65</v>
      </c>
      <c r="Q418" s="116">
        <v>1610.45</v>
      </c>
      <c r="R418">
        <v>101137</v>
      </c>
    </row>
    <row r="419" spans="1:18" x14ac:dyDescent="0.25">
      <c r="A419" s="170">
        <v>42619</v>
      </c>
      <c r="B419" s="116">
        <v>820</v>
      </c>
      <c r="C419" s="116">
        <v>814.125</v>
      </c>
      <c r="D419" s="116">
        <v>807.57500000000005</v>
      </c>
      <c r="E419" s="116">
        <v>820</v>
      </c>
      <c r="F419" s="116">
        <v>1628.25</v>
      </c>
      <c r="G419">
        <v>9186</v>
      </c>
      <c r="H419" s="116"/>
      <c r="I419" s="116"/>
      <c r="L419" s="170">
        <v>42619</v>
      </c>
      <c r="M419" s="116">
        <v>815.65</v>
      </c>
      <c r="N419" s="116">
        <v>817.5</v>
      </c>
      <c r="O419" s="116">
        <v>803.5</v>
      </c>
      <c r="P419" s="116">
        <v>809.97500000000002</v>
      </c>
      <c r="Q419" s="116">
        <v>1631.3</v>
      </c>
      <c r="R419">
        <v>102685</v>
      </c>
    </row>
    <row r="420" spans="1:18" x14ac:dyDescent="0.25">
      <c r="A420" s="170">
        <v>42620</v>
      </c>
      <c r="B420" s="116">
        <v>823.5</v>
      </c>
      <c r="C420" s="116">
        <v>809.4</v>
      </c>
      <c r="D420" s="116">
        <v>803.875</v>
      </c>
      <c r="E420" s="116">
        <v>818</v>
      </c>
      <c r="F420" s="116">
        <v>1618.8</v>
      </c>
      <c r="G420">
        <v>7804</v>
      </c>
      <c r="H420" s="116"/>
      <c r="I420" s="116"/>
      <c r="L420" s="170">
        <v>42620</v>
      </c>
      <c r="M420" s="116">
        <v>809.1</v>
      </c>
      <c r="N420" s="116">
        <v>823.5</v>
      </c>
      <c r="O420" s="116">
        <v>804.02499999999998</v>
      </c>
      <c r="P420" s="116">
        <v>817.125</v>
      </c>
      <c r="Q420" s="116">
        <v>1618.2</v>
      </c>
      <c r="R420">
        <v>149019</v>
      </c>
    </row>
    <row r="421" spans="1:18" x14ac:dyDescent="0.25">
      <c r="A421" s="170">
        <v>42621</v>
      </c>
      <c r="B421" s="116">
        <v>846.25</v>
      </c>
      <c r="C421" s="116">
        <v>841.17499999999995</v>
      </c>
      <c r="D421" s="116">
        <v>808.625</v>
      </c>
      <c r="E421" s="116">
        <v>808.625</v>
      </c>
      <c r="F421" s="116">
        <v>1682.35</v>
      </c>
      <c r="G421">
        <v>21239</v>
      </c>
      <c r="H421" s="116"/>
      <c r="I421" s="116"/>
      <c r="L421" s="170">
        <v>42621</v>
      </c>
      <c r="M421" s="116">
        <v>841.02499999999998</v>
      </c>
      <c r="N421" s="116">
        <v>847.4</v>
      </c>
      <c r="O421" s="116">
        <v>807.77499999999998</v>
      </c>
      <c r="P421" s="116">
        <v>809.07500000000005</v>
      </c>
      <c r="Q421" s="116">
        <v>1682.05</v>
      </c>
      <c r="R421">
        <v>239414</v>
      </c>
    </row>
    <row r="422" spans="1:18" x14ac:dyDescent="0.25">
      <c r="A422" s="170">
        <v>42622</v>
      </c>
      <c r="B422" s="116">
        <v>856</v>
      </c>
      <c r="C422" s="116">
        <v>831.25</v>
      </c>
      <c r="D422" s="116">
        <v>822.7</v>
      </c>
      <c r="E422" s="116">
        <v>843</v>
      </c>
      <c r="F422" s="116">
        <v>1662.5</v>
      </c>
      <c r="G422">
        <v>25414</v>
      </c>
      <c r="H422" s="116"/>
      <c r="I422" s="116"/>
      <c r="L422" s="170">
        <v>42622</v>
      </c>
      <c r="M422" s="116">
        <v>831.55</v>
      </c>
      <c r="N422" s="116">
        <v>855.1</v>
      </c>
      <c r="O422" s="116">
        <v>821</v>
      </c>
      <c r="P422" s="116">
        <v>844.57500000000005</v>
      </c>
      <c r="Q422" s="116">
        <v>1663.1</v>
      </c>
      <c r="R422">
        <v>360946</v>
      </c>
    </row>
    <row r="423" spans="1:18" x14ac:dyDescent="0.25">
      <c r="A423" s="170">
        <v>42625</v>
      </c>
      <c r="B423" s="116">
        <v>844.55</v>
      </c>
      <c r="C423" s="116">
        <v>827.22500000000002</v>
      </c>
      <c r="D423" s="116">
        <v>808.375</v>
      </c>
      <c r="E423" s="116">
        <v>829</v>
      </c>
      <c r="F423" s="116">
        <v>1654.45</v>
      </c>
      <c r="G423">
        <v>17479</v>
      </c>
      <c r="H423" s="116"/>
      <c r="I423" s="116"/>
      <c r="L423" s="170">
        <v>42625</v>
      </c>
      <c r="M423" s="116">
        <v>827.77499999999998</v>
      </c>
      <c r="N423" s="116">
        <v>843.45</v>
      </c>
      <c r="O423" s="116">
        <v>806.55</v>
      </c>
      <c r="P423" s="116">
        <v>822.5</v>
      </c>
      <c r="Q423" s="116">
        <v>1655.55</v>
      </c>
      <c r="R423">
        <v>214294</v>
      </c>
    </row>
    <row r="424" spans="1:18" x14ac:dyDescent="0.25">
      <c r="A424" s="170">
        <v>42627</v>
      </c>
      <c r="B424" s="116">
        <v>840.65</v>
      </c>
      <c r="C424" s="116">
        <v>814</v>
      </c>
      <c r="D424" s="116">
        <v>809.25</v>
      </c>
      <c r="E424" s="116">
        <v>827</v>
      </c>
      <c r="F424" s="116">
        <v>1628</v>
      </c>
      <c r="G424">
        <v>19215</v>
      </c>
      <c r="H424" s="116"/>
      <c r="I424" s="116"/>
      <c r="L424" s="170">
        <v>42627</v>
      </c>
      <c r="M424" s="116">
        <v>814.2</v>
      </c>
      <c r="N424" s="116">
        <v>841.02499999999998</v>
      </c>
      <c r="O424" s="116">
        <v>808.97500000000002</v>
      </c>
      <c r="P424" s="116">
        <v>827.77499999999998</v>
      </c>
      <c r="Q424" s="116">
        <v>1628.4</v>
      </c>
      <c r="R424">
        <v>199441</v>
      </c>
    </row>
    <row r="425" spans="1:18" x14ac:dyDescent="0.25">
      <c r="A425" s="170">
        <v>42628</v>
      </c>
      <c r="B425" s="116">
        <v>826</v>
      </c>
      <c r="C425" s="116">
        <v>814.5</v>
      </c>
      <c r="D425" s="116">
        <v>808.67499999999995</v>
      </c>
      <c r="E425" s="116">
        <v>820</v>
      </c>
      <c r="F425" s="116">
        <v>1629</v>
      </c>
      <c r="G425">
        <v>4585</v>
      </c>
      <c r="H425" s="116"/>
      <c r="I425" s="116"/>
      <c r="L425" s="170">
        <v>42628</v>
      </c>
      <c r="M425" s="116">
        <v>813.7</v>
      </c>
      <c r="N425" s="116">
        <v>826.82500000000005</v>
      </c>
      <c r="O425" s="116">
        <v>810.75</v>
      </c>
      <c r="P425" s="116">
        <v>818</v>
      </c>
      <c r="Q425" s="116">
        <v>1627.4</v>
      </c>
      <c r="R425">
        <v>80843</v>
      </c>
    </row>
    <row r="426" spans="1:18" x14ac:dyDescent="0.25">
      <c r="A426" s="170">
        <v>42629</v>
      </c>
      <c r="B426" s="116">
        <v>822.6</v>
      </c>
      <c r="C426" s="116">
        <v>797.47500000000002</v>
      </c>
      <c r="D426" s="116">
        <v>792.5</v>
      </c>
      <c r="E426" s="116">
        <v>820</v>
      </c>
      <c r="F426" s="116">
        <v>1594.95</v>
      </c>
      <c r="G426">
        <v>15532</v>
      </c>
      <c r="H426" s="116"/>
      <c r="I426" s="116"/>
      <c r="L426" s="170">
        <v>42629</v>
      </c>
      <c r="M426" s="116">
        <v>797.97500000000002</v>
      </c>
      <c r="N426" s="116">
        <v>824.47500000000002</v>
      </c>
      <c r="O426" s="116">
        <v>791.125</v>
      </c>
      <c r="P426" s="116">
        <v>824.47500000000002</v>
      </c>
      <c r="Q426" s="116">
        <v>1595.95</v>
      </c>
      <c r="R426">
        <v>298743</v>
      </c>
    </row>
    <row r="427" spans="1:18" x14ac:dyDescent="0.25">
      <c r="A427" s="170">
        <v>42632</v>
      </c>
      <c r="B427" s="116">
        <v>813.17499999999995</v>
      </c>
      <c r="C427" s="116">
        <v>803.77499999999998</v>
      </c>
      <c r="D427" s="116">
        <v>798.375</v>
      </c>
      <c r="E427" s="116">
        <v>809.95</v>
      </c>
      <c r="F427" s="116">
        <v>1607.55</v>
      </c>
      <c r="G427">
        <v>10538</v>
      </c>
      <c r="H427" s="116"/>
      <c r="I427" s="116"/>
      <c r="L427" s="170">
        <v>42632</v>
      </c>
      <c r="M427" s="116">
        <v>802.4</v>
      </c>
      <c r="N427" s="116">
        <v>814.77499999999998</v>
      </c>
      <c r="O427" s="116">
        <v>796.875</v>
      </c>
      <c r="P427" s="116">
        <v>807.45</v>
      </c>
      <c r="Q427" s="116">
        <v>1604.8</v>
      </c>
      <c r="R427">
        <v>125437</v>
      </c>
    </row>
    <row r="428" spans="1:18" x14ac:dyDescent="0.25">
      <c r="A428" s="170">
        <v>42633</v>
      </c>
      <c r="B428" s="116">
        <v>814.5</v>
      </c>
      <c r="C428" s="116">
        <v>802.5</v>
      </c>
      <c r="D428" s="116">
        <v>800</v>
      </c>
      <c r="E428" s="116">
        <v>805</v>
      </c>
      <c r="F428" s="116">
        <v>1605</v>
      </c>
      <c r="G428">
        <v>8878</v>
      </c>
      <c r="H428" s="116"/>
      <c r="I428" s="116"/>
      <c r="L428" s="170">
        <v>42633</v>
      </c>
      <c r="M428" s="116">
        <v>802.8</v>
      </c>
      <c r="N428" s="116">
        <v>814.5</v>
      </c>
      <c r="O428" s="116">
        <v>799.02499999999998</v>
      </c>
      <c r="P428" s="116">
        <v>803.35</v>
      </c>
      <c r="Q428" s="116">
        <v>1605.6</v>
      </c>
      <c r="R428">
        <v>112776</v>
      </c>
    </row>
    <row r="429" spans="1:18" x14ac:dyDescent="0.25">
      <c r="A429" s="170">
        <v>42634</v>
      </c>
      <c r="B429" s="116">
        <v>812.5</v>
      </c>
      <c r="C429" s="116">
        <v>808.67499999999995</v>
      </c>
      <c r="D429" s="116">
        <v>802.17499999999995</v>
      </c>
      <c r="E429" s="116">
        <v>805</v>
      </c>
      <c r="F429" s="116">
        <v>1617.35</v>
      </c>
      <c r="G429">
        <v>8816</v>
      </c>
      <c r="H429" s="116"/>
      <c r="I429" s="116"/>
      <c r="L429" s="170">
        <v>42634</v>
      </c>
      <c r="M429" s="116">
        <v>808.45</v>
      </c>
      <c r="N429" s="116">
        <v>814.125</v>
      </c>
      <c r="O429" s="116">
        <v>800.57500000000005</v>
      </c>
      <c r="P429" s="116">
        <v>803.67499999999995</v>
      </c>
      <c r="Q429" s="116">
        <v>1616.9</v>
      </c>
      <c r="R429">
        <v>97494</v>
      </c>
    </row>
    <row r="430" spans="1:18" x14ac:dyDescent="0.25">
      <c r="A430" s="170">
        <v>42635</v>
      </c>
      <c r="B430" s="116">
        <v>825</v>
      </c>
      <c r="C430" s="116">
        <v>822.57500000000005</v>
      </c>
      <c r="D430" s="116">
        <v>809</v>
      </c>
      <c r="E430" s="116">
        <v>815</v>
      </c>
      <c r="F430" s="116">
        <v>1645.15</v>
      </c>
      <c r="G430">
        <v>13429</v>
      </c>
      <c r="H430" s="116"/>
      <c r="I430" s="116"/>
      <c r="L430" s="170">
        <v>42635</v>
      </c>
      <c r="M430" s="116">
        <v>824.52499999999998</v>
      </c>
      <c r="N430" s="116">
        <v>827.45</v>
      </c>
      <c r="O430" s="116">
        <v>808.45</v>
      </c>
      <c r="P430" s="116">
        <v>814.47500000000002</v>
      </c>
      <c r="Q430" s="116">
        <v>1649.05</v>
      </c>
      <c r="R430">
        <v>393591</v>
      </c>
    </row>
    <row r="431" spans="1:18" x14ac:dyDescent="0.25">
      <c r="A431" s="170">
        <v>42636</v>
      </c>
      <c r="B431" s="116">
        <v>828.52499999999998</v>
      </c>
      <c r="C431" s="116">
        <v>820</v>
      </c>
      <c r="D431" s="116">
        <v>817.125</v>
      </c>
      <c r="E431" s="116">
        <v>824</v>
      </c>
      <c r="F431" s="116">
        <v>1640</v>
      </c>
      <c r="G431">
        <v>6206</v>
      </c>
      <c r="H431" s="116"/>
      <c r="I431" s="116"/>
      <c r="L431" s="170">
        <v>42636</v>
      </c>
      <c r="M431" s="116">
        <v>820.42499999999995</v>
      </c>
      <c r="N431" s="116">
        <v>830</v>
      </c>
      <c r="O431" s="116">
        <v>819.07500000000005</v>
      </c>
      <c r="P431" s="116">
        <v>825</v>
      </c>
      <c r="Q431" s="116">
        <v>1640.85</v>
      </c>
      <c r="R431">
        <v>94312</v>
      </c>
    </row>
    <row r="432" spans="1:18" x14ac:dyDescent="0.25">
      <c r="A432" s="170">
        <v>42639</v>
      </c>
      <c r="B432" s="116">
        <v>835.22500000000002</v>
      </c>
      <c r="C432" s="116">
        <v>823.8</v>
      </c>
      <c r="D432" s="116">
        <v>819.07500000000005</v>
      </c>
      <c r="E432" s="116">
        <v>825.5</v>
      </c>
      <c r="F432" s="116">
        <v>1647.6</v>
      </c>
      <c r="G432">
        <v>17045</v>
      </c>
      <c r="H432" s="116"/>
      <c r="I432" s="116"/>
      <c r="L432" s="170">
        <v>42639</v>
      </c>
      <c r="M432" s="116">
        <v>826.7</v>
      </c>
      <c r="N432" s="116">
        <v>837.5</v>
      </c>
      <c r="O432" s="116">
        <v>819.02499999999998</v>
      </c>
      <c r="P432" s="116">
        <v>820.45</v>
      </c>
      <c r="Q432" s="116">
        <v>1653.4</v>
      </c>
      <c r="R432">
        <v>359915</v>
      </c>
    </row>
    <row r="433" spans="1:18" x14ac:dyDescent="0.25">
      <c r="A433" s="170">
        <v>42640</v>
      </c>
      <c r="B433" s="116">
        <v>842.8</v>
      </c>
      <c r="C433" s="116">
        <v>827.6</v>
      </c>
      <c r="D433" s="116">
        <v>823.8</v>
      </c>
      <c r="E433" s="116">
        <v>825</v>
      </c>
      <c r="F433" s="116">
        <v>1655.2</v>
      </c>
      <c r="G433">
        <v>35188</v>
      </c>
      <c r="H433" s="116"/>
      <c r="I433" s="116"/>
      <c r="L433" s="170">
        <v>42640</v>
      </c>
      <c r="M433" s="116">
        <v>828.42499999999995</v>
      </c>
      <c r="N433" s="116">
        <v>842</v>
      </c>
      <c r="O433" s="116">
        <v>824</v>
      </c>
      <c r="P433" s="116">
        <v>827.6</v>
      </c>
      <c r="Q433" s="116">
        <v>1656.85</v>
      </c>
      <c r="R433">
        <v>134693</v>
      </c>
    </row>
    <row r="434" spans="1:18" x14ac:dyDescent="0.25">
      <c r="A434" s="170">
        <v>42641</v>
      </c>
      <c r="B434" s="116">
        <v>838.9</v>
      </c>
      <c r="C434" s="116">
        <v>824.35</v>
      </c>
      <c r="D434" s="116">
        <v>821.45</v>
      </c>
      <c r="E434" s="116">
        <v>828.4</v>
      </c>
      <c r="F434" s="116">
        <v>1648.7</v>
      </c>
      <c r="G434">
        <v>11409</v>
      </c>
      <c r="H434" s="116"/>
      <c r="I434" s="116"/>
      <c r="L434" s="170">
        <v>42641</v>
      </c>
      <c r="M434" s="116">
        <v>823.3</v>
      </c>
      <c r="N434" s="116">
        <v>838.5</v>
      </c>
      <c r="O434" s="116">
        <v>820.1</v>
      </c>
      <c r="P434" s="116">
        <v>827.5</v>
      </c>
      <c r="Q434" s="116">
        <v>1646.6</v>
      </c>
      <c r="R434">
        <v>335725</v>
      </c>
    </row>
    <row r="435" spans="1:18" x14ac:dyDescent="0.25">
      <c r="A435" s="170">
        <v>42642</v>
      </c>
      <c r="B435" s="116">
        <v>833.5</v>
      </c>
      <c r="C435" s="116">
        <v>810.65</v>
      </c>
      <c r="D435" s="116">
        <v>792.1</v>
      </c>
      <c r="E435" s="116">
        <v>828.875</v>
      </c>
      <c r="F435" s="116">
        <v>1621.3</v>
      </c>
      <c r="G435">
        <v>13097</v>
      </c>
      <c r="H435" s="116"/>
      <c r="I435" s="116"/>
      <c r="L435" s="170">
        <v>42642</v>
      </c>
      <c r="M435" s="116">
        <v>811.4</v>
      </c>
      <c r="N435" s="116">
        <v>834.875</v>
      </c>
      <c r="O435" s="116">
        <v>792.52499999999998</v>
      </c>
      <c r="P435" s="116">
        <v>828.125</v>
      </c>
      <c r="Q435" s="116">
        <v>1622.8</v>
      </c>
      <c r="R435">
        <v>263466</v>
      </c>
    </row>
    <row r="436" spans="1:18" x14ac:dyDescent="0.25">
      <c r="A436" s="170">
        <v>42643</v>
      </c>
      <c r="B436" s="116">
        <v>822.5</v>
      </c>
      <c r="C436" s="116">
        <v>812.07500000000005</v>
      </c>
      <c r="D436" s="116">
        <v>805</v>
      </c>
      <c r="E436" s="116">
        <v>805</v>
      </c>
      <c r="F436" s="116">
        <v>1624.15</v>
      </c>
      <c r="G436">
        <v>4701</v>
      </c>
      <c r="H436" s="116"/>
      <c r="I436" s="116"/>
      <c r="L436" s="170">
        <v>42643</v>
      </c>
      <c r="M436" s="116">
        <v>811.77499999999998</v>
      </c>
      <c r="N436" s="116">
        <v>823.3</v>
      </c>
      <c r="O436" s="116">
        <v>805.95</v>
      </c>
      <c r="P436" s="116">
        <v>808</v>
      </c>
      <c r="Q436" s="116">
        <v>1623.55</v>
      </c>
      <c r="R436">
        <v>103456</v>
      </c>
    </row>
    <row r="437" spans="1:18" x14ac:dyDescent="0.25">
      <c r="A437" s="170">
        <v>42646</v>
      </c>
      <c r="B437" s="116">
        <v>843.67499999999995</v>
      </c>
      <c r="C437" s="116">
        <v>831.2</v>
      </c>
      <c r="D437" s="116">
        <v>812.5</v>
      </c>
      <c r="E437" s="116">
        <v>812.5</v>
      </c>
      <c r="F437" s="116">
        <v>1662.4</v>
      </c>
      <c r="G437">
        <v>13011</v>
      </c>
      <c r="H437" s="116"/>
      <c r="I437" s="116"/>
      <c r="L437" s="170">
        <v>42646</v>
      </c>
      <c r="M437" s="116">
        <v>830.05</v>
      </c>
      <c r="N437" s="116">
        <v>832.5</v>
      </c>
      <c r="O437" s="116">
        <v>815.52499999999998</v>
      </c>
      <c r="P437" s="116">
        <v>818.5</v>
      </c>
      <c r="Q437" s="116">
        <v>1660.1</v>
      </c>
      <c r="R437">
        <v>114011</v>
      </c>
    </row>
    <row r="438" spans="1:18" x14ac:dyDescent="0.25">
      <c r="A438" s="170">
        <v>42647</v>
      </c>
      <c r="B438" s="116">
        <v>839.25</v>
      </c>
      <c r="C438" s="116">
        <v>820.625</v>
      </c>
      <c r="D438" s="116">
        <v>817.5</v>
      </c>
      <c r="E438" s="116">
        <v>835</v>
      </c>
      <c r="F438" s="116">
        <v>1641.25</v>
      </c>
      <c r="G438">
        <v>8812</v>
      </c>
      <c r="H438" s="116"/>
      <c r="I438" s="116"/>
      <c r="L438" s="170">
        <v>42647</v>
      </c>
      <c r="M438" s="116">
        <v>821.02499999999998</v>
      </c>
      <c r="N438" s="116">
        <v>838.45</v>
      </c>
      <c r="O438" s="116">
        <v>817.4</v>
      </c>
      <c r="P438" s="116">
        <v>834.75</v>
      </c>
      <c r="Q438" s="116">
        <v>1642.05</v>
      </c>
      <c r="R438">
        <v>214709</v>
      </c>
    </row>
    <row r="439" spans="1:18" x14ac:dyDescent="0.25">
      <c r="A439" s="170">
        <v>42648</v>
      </c>
      <c r="B439" s="116">
        <v>834.4</v>
      </c>
      <c r="C439" s="116">
        <v>831.1</v>
      </c>
      <c r="D439" s="116">
        <v>819</v>
      </c>
      <c r="E439" s="116">
        <v>826</v>
      </c>
      <c r="F439" s="116">
        <v>1662.2</v>
      </c>
      <c r="G439">
        <v>7891</v>
      </c>
      <c r="H439" s="116"/>
      <c r="I439" s="116"/>
      <c r="L439" s="170">
        <v>42648</v>
      </c>
      <c r="M439" s="116">
        <v>833.35</v>
      </c>
      <c r="N439" s="116">
        <v>836</v>
      </c>
      <c r="O439" s="116">
        <v>819</v>
      </c>
      <c r="P439" s="116">
        <v>828.5</v>
      </c>
      <c r="Q439" s="116">
        <v>1666.7</v>
      </c>
      <c r="R439">
        <v>177737</v>
      </c>
    </row>
    <row r="440" spans="1:18" x14ac:dyDescent="0.25">
      <c r="A440" s="170">
        <v>42649</v>
      </c>
      <c r="B440" s="116">
        <v>849.75</v>
      </c>
      <c r="C440" s="116">
        <v>819.67499999999995</v>
      </c>
      <c r="D440" s="116">
        <v>812.65</v>
      </c>
      <c r="E440" s="116">
        <v>835</v>
      </c>
      <c r="F440" s="116">
        <v>1639.35</v>
      </c>
      <c r="G440">
        <v>21351</v>
      </c>
      <c r="H440" s="116"/>
      <c r="I440" s="116"/>
      <c r="L440" s="170">
        <v>42649</v>
      </c>
      <c r="M440" s="116">
        <v>818.8</v>
      </c>
      <c r="N440" s="116">
        <v>849.5</v>
      </c>
      <c r="O440" s="116">
        <v>812.72500000000002</v>
      </c>
      <c r="P440" s="116">
        <v>838.35</v>
      </c>
      <c r="Q440" s="116">
        <v>1637.6</v>
      </c>
      <c r="R440">
        <v>446267</v>
      </c>
    </row>
    <row r="441" spans="1:18" x14ac:dyDescent="0.25">
      <c r="A441" s="170">
        <v>42650</v>
      </c>
      <c r="B441" s="116">
        <v>820.95</v>
      </c>
      <c r="C441" s="116">
        <v>816.4</v>
      </c>
      <c r="D441" s="116">
        <v>807.97500000000002</v>
      </c>
      <c r="E441" s="116">
        <v>820</v>
      </c>
      <c r="F441" s="116">
        <v>1632.8</v>
      </c>
      <c r="G441">
        <v>7384</v>
      </c>
      <c r="H441" s="116"/>
      <c r="I441" s="116"/>
      <c r="L441" s="170">
        <v>42650</v>
      </c>
      <c r="M441" s="116">
        <v>815.32500000000005</v>
      </c>
      <c r="N441" s="116">
        <v>824</v>
      </c>
      <c r="O441" s="116">
        <v>808.52499999999998</v>
      </c>
      <c r="P441" s="116">
        <v>819.92499999999995</v>
      </c>
      <c r="Q441" s="116">
        <v>1630.65</v>
      </c>
      <c r="R441">
        <v>163443</v>
      </c>
    </row>
    <row r="442" spans="1:18" x14ac:dyDescent="0.25">
      <c r="A442" s="170">
        <v>42653</v>
      </c>
      <c r="B442" s="116">
        <v>818.27499999999998</v>
      </c>
      <c r="C442" s="116">
        <v>813.95</v>
      </c>
      <c r="D442" s="116">
        <v>810</v>
      </c>
      <c r="E442" s="116">
        <v>816.5</v>
      </c>
      <c r="F442" s="116">
        <v>1627.9</v>
      </c>
      <c r="G442">
        <v>3537</v>
      </c>
      <c r="H442" s="116"/>
      <c r="I442" s="116"/>
      <c r="L442" s="170">
        <v>42653</v>
      </c>
      <c r="M442" s="116">
        <v>814.45</v>
      </c>
      <c r="N442" s="116">
        <v>819.07500000000005</v>
      </c>
      <c r="O442" s="116">
        <v>809.1</v>
      </c>
      <c r="P442" s="116">
        <v>815.52499999999998</v>
      </c>
      <c r="Q442" s="116">
        <v>1628.9</v>
      </c>
      <c r="R442">
        <v>62865</v>
      </c>
    </row>
    <row r="443" spans="1:18" x14ac:dyDescent="0.25">
      <c r="A443" s="170">
        <v>42656</v>
      </c>
      <c r="B443" s="116">
        <v>821.22500000000002</v>
      </c>
      <c r="C443" s="116">
        <v>814.55</v>
      </c>
      <c r="D443" s="116">
        <v>805</v>
      </c>
      <c r="E443" s="116">
        <v>816</v>
      </c>
      <c r="F443" s="116">
        <v>1629.1</v>
      </c>
      <c r="G443">
        <v>8004</v>
      </c>
      <c r="H443" s="116"/>
      <c r="I443" s="116"/>
      <c r="L443" s="170">
        <v>42656</v>
      </c>
      <c r="M443" s="116">
        <v>816.02499999999998</v>
      </c>
      <c r="N443" s="116">
        <v>819</v>
      </c>
      <c r="O443" s="116">
        <v>803.95</v>
      </c>
      <c r="P443" s="116">
        <v>812.875</v>
      </c>
      <c r="Q443" s="116">
        <v>1632.05</v>
      </c>
      <c r="R443">
        <v>113078</v>
      </c>
    </row>
    <row r="444" spans="1:18" x14ac:dyDescent="0.25">
      <c r="A444" s="170">
        <v>42657</v>
      </c>
      <c r="B444" s="116">
        <v>824.92499999999995</v>
      </c>
      <c r="C444" s="116">
        <v>817.82500000000005</v>
      </c>
      <c r="D444" s="116">
        <v>810.9</v>
      </c>
      <c r="E444" s="116">
        <v>812</v>
      </c>
      <c r="F444" s="116">
        <v>1635.65</v>
      </c>
      <c r="G444">
        <v>3593</v>
      </c>
      <c r="H444" s="116"/>
      <c r="I444" s="116"/>
      <c r="L444" s="170">
        <v>42657</v>
      </c>
      <c r="M444" s="116">
        <v>818.75</v>
      </c>
      <c r="N444" s="116">
        <v>824</v>
      </c>
      <c r="O444" s="116">
        <v>810.1</v>
      </c>
      <c r="P444" s="116">
        <v>810.1</v>
      </c>
      <c r="Q444" s="116">
        <v>1637.5</v>
      </c>
      <c r="R444">
        <v>103580</v>
      </c>
    </row>
    <row r="445" spans="1:18" x14ac:dyDescent="0.25">
      <c r="A445" s="170">
        <v>42660</v>
      </c>
      <c r="B445" s="116">
        <v>829</v>
      </c>
      <c r="C445" s="116">
        <v>815.85</v>
      </c>
      <c r="D445" s="116">
        <v>812.55</v>
      </c>
      <c r="E445" s="116">
        <v>817.5</v>
      </c>
      <c r="F445" s="116">
        <v>1631.7</v>
      </c>
      <c r="G445">
        <v>7500</v>
      </c>
      <c r="H445" s="116"/>
      <c r="I445" s="116"/>
      <c r="L445" s="170">
        <v>42660</v>
      </c>
      <c r="M445" s="116">
        <v>814.97500000000002</v>
      </c>
      <c r="N445" s="116">
        <v>829.92499999999995</v>
      </c>
      <c r="O445" s="116">
        <v>813</v>
      </c>
      <c r="P445" s="116">
        <v>816.52499999999998</v>
      </c>
      <c r="Q445" s="116">
        <v>1629.95</v>
      </c>
      <c r="R445">
        <v>109481</v>
      </c>
    </row>
    <row r="446" spans="1:18" x14ac:dyDescent="0.25">
      <c r="A446" s="170">
        <v>42661</v>
      </c>
      <c r="B446" s="116">
        <v>826.02499999999998</v>
      </c>
      <c r="C446" s="116">
        <v>821.85</v>
      </c>
      <c r="D446" s="116">
        <v>814.22500000000002</v>
      </c>
      <c r="E446" s="116">
        <v>815.85</v>
      </c>
      <c r="F446" s="116">
        <v>1643.7</v>
      </c>
      <c r="G446">
        <v>5952</v>
      </c>
      <c r="H446" s="116"/>
      <c r="I446" s="116"/>
      <c r="L446" s="170">
        <v>42661</v>
      </c>
      <c r="M446" s="116">
        <v>824.05</v>
      </c>
      <c r="N446" s="116">
        <v>826</v>
      </c>
      <c r="O446" s="116">
        <v>813.45</v>
      </c>
      <c r="P446" s="116">
        <v>817.17499999999995</v>
      </c>
      <c r="Q446" s="116">
        <v>1648.1</v>
      </c>
      <c r="R446">
        <v>106968</v>
      </c>
    </row>
    <row r="447" spans="1:18" x14ac:dyDescent="0.25">
      <c r="A447" s="170">
        <v>42662</v>
      </c>
      <c r="B447" s="116">
        <v>825</v>
      </c>
      <c r="C447" s="116">
        <v>810.375</v>
      </c>
      <c r="D447" s="116">
        <v>805.5</v>
      </c>
      <c r="E447" s="116">
        <v>825</v>
      </c>
      <c r="F447" s="116">
        <v>1620.75</v>
      </c>
      <c r="G447">
        <v>14466</v>
      </c>
      <c r="H447" s="116"/>
      <c r="I447" s="116"/>
      <c r="L447" s="170">
        <v>42662</v>
      </c>
      <c r="M447" s="116">
        <v>811.77499999999998</v>
      </c>
      <c r="N447" s="116">
        <v>827.5</v>
      </c>
      <c r="O447" s="116">
        <v>808.05</v>
      </c>
      <c r="P447" s="116">
        <v>825.95</v>
      </c>
      <c r="Q447" s="116">
        <v>1623.55</v>
      </c>
      <c r="R447">
        <v>174257</v>
      </c>
    </row>
    <row r="448" spans="1:18" x14ac:dyDescent="0.25">
      <c r="A448" s="170">
        <v>42663</v>
      </c>
      <c r="B448" s="116">
        <v>817.5</v>
      </c>
      <c r="C448" s="116">
        <v>804.65</v>
      </c>
      <c r="D448" s="116">
        <v>801.5</v>
      </c>
      <c r="E448" s="116">
        <v>815</v>
      </c>
      <c r="F448" s="116">
        <v>1609.3</v>
      </c>
      <c r="G448">
        <v>7240</v>
      </c>
      <c r="H448" s="116"/>
      <c r="I448" s="116"/>
      <c r="L448" s="170">
        <v>42663</v>
      </c>
      <c r="M448" s="116">
        <v>802</v>
      </c>
      <c r="N448" s="116">
        <v>819.97500000000002</v>
      </c>
      <c r="O448" s="116">
        <v>800.1</v>
      </c>
      <c r="P448" s="116">
        <v>819.97500000000002</v>
      </c>
      <c r="Q448" s="116">
        <v>1604</v>
      </c>
      <c r="R448">
        <v>130047</v>
      </c>
    </row>
    <row r="449" spans="1:18" x14ac:dyDescent="0.25">
      <c r="A449" s="170">
        <v>42664</v>
      </c>
      <c r="B449" s="116">
        <v>806.25</v>
      </c>
      <c r="C449" s="116">
        <v>792.9</v>
      </c>
      <c r="D449" s="116">
        <v>781.82500000000005</v>
      </c>
      <c r="E449" s="116">
        <v>802.4</v>
      </c>
      <c r="F449" s="116">
        <v>1585.8</v>
      </c>
      <c r="G449">
        <v>16212</v>
      </c>
      <c r="H449" s="116"/>
      <c r="I449" s="116"/>
      <c r="L449" s="170">
        <v>42664</v>
      </c>
      <c r="M449" s="116">
        <v>791.375</v>
      </c>
      <c r="N449" s="116">
        <v>809</v>
      </c>
      <c r="O449" s="116">
        <v>780.77499999999998</v>
      </c>
      <c r="P449" s="116">
        <v>802.82500000000005</v>
      </c>
      <c r="Q449" s="116">
        <v>1582.75</v>
      </c>
      <c r="R449">
        <v>208135</v>
      </c>
    </row>
    <row r="450" spans="1:18" x14ac:dyDescent="0.25">
      <c r="A450" s="170">
        <v>42667</v>
      </c>
      <c r="B450" s="116">
        <v>820.47500000000002</v>
      </c>
      <c r="C450" s="116">
        <v>809.65</v>
      </c>
      <c r="D450" s="116">
        <v>780</v>
      </c>
      <c r="E450" s="116">
        <v>780.4</v>
      </c>
      <c r="F450" s="116">
        <v>1619.3</v>
      </c>
      <c r="G450">
        <v>12684</v>
      </c>
      <c r="H450" s="116"/>
      <c r="I450" s="116"/>
      <c r="L450" s="170">
        <v>42667</v>
      </c>
      <c r="M450" s="116">
        <v>806.15</v>
      </c>
      <c r="N450" s="116">
        <v>809.1</v>
      </c>
      <c r="O450" s="116">
        <v>783.22500000000002</v>
      </c>
      <c r="P450" s="116">
        <v>795.5</v>
      </c>
      <c r="Q450" s="116">
        <v>1612.3</v>
      </c>
      <c r="R450">
        <v>105559</v>
      </c>
    </row>
    <row r="451" spans="1:18" x14ac:dyDescent="0.25">
      <c r="A451" s="170">
        <v>42668</v>
      </c>
      <c r="B451" s="116">
        <v>813.32500000000005</v>
      </c>
      <c r="C451" s="116">
        <v>801.05</v>
      </c>
      <c r="D451" s="116">
        <v>797.5</v>
      </c>
      <c r="E451" s="116">
        <v>808.5</v>
      </c>
      <c r="F451" s="116">
        <v>1602.1</v>
      </c>
      <c r="G451">
        <v>5946</v>
      </c>
      <c r="H451" s="116"/>
      <c r="I451" s="116"/>
      <c r="L451" s="170">
        <v>42668</v>
      </c>
      <c r="M451" s="116">
        <v>800.45</v>
      </c>
      <c r="N451" s="116">
        <v>815</v>
      </c>
      <c r="O451" s="116">
        <v>797.52499999999998</v>
      </c>
      <c r="P451" s="116">
        <v>811.5</v>
      </c>
      <c r="Q451" s="116">
        <v>1600.9</v>
      </c>
      <c r="R451">
        <v>72928</v>
      </c>
    </row>
    <row r="452" spans="1:18" x14ac:dyDescent="0.25">
      <c r="A452" s="170">
        <v>42669</v>
      </c>
      <c r="B452" s="116">
        <v>799.9</v>
      </c>
      <c r="C452" s="116">
        <v>782.92499999999995</v>
      </c>
      <c r="D452" s="116">
        <v>780.05</v>
      </c>
      <c r="E452" s="116">
        <v>797.5</v>
      </c>
      <c r="F452" s="116">
        <v>1565.85</v>
      </c>
      <c r="G452">
        <v>8278</v>
      </c>
      <c r="H452" s="116"/>
      <c r="I452" s="116"/>
      <c r="L452" s="170">
        <v>42669</v>
      </c>
      <c r="M452" s="116">
        <v>783.4</v>
      </c>
      <c r="N452" s="116">
        <v>800.47500000000002</v>
      </c>
      <c r="O452" s="116">
        <v>780.2</v>
      </c>
      <c r="P452" s="116">
        <v>791</v>
      </c>
      <c r="Q452" s="116">
        <v>1566.8</v>
      </c>
      <c r="R452">
        <v>103771</v>
      </c>
    </row>
    <row r="453" spans="1:18" x14ac:dyDescent="0.25">
      <c r="A453" s="170">
        <v>42670</v>
      </c>
      <c r="B453" s="116">
        <v>747</v>
      </c>
      <c r="C453" s="116">
        <v>713.97500000000002</v>
      </c>
      <c r="D453" s="116">
        <v>700.1</v>
      </c>
      <c r="E453" s="116">
        <v>745</v>
      </c>
      <c r="F453" s="116">
        <v>1427.95</v>
      </c>
      <c r="G453">
        <v>70472</v>
      </c>
      <c r="H453" s="116"/>
      <c r="I453" s="116"/>
      <c r="L453" s="170">
        <v>42670</v>
      </c>
      <c r="M453" s="116">
        <v>712.875</v>
      </c>
      <c r="N453" s="116">
        <v>747.5</v>
      </c>
      <c r="O453" s="116">
        <v>696.65</v>
      </c>
      <c r="P453" s="116">
        <v>740</v>
      </c>
      <c r="Q453" s="116">
        <v>1425.75</v>
      </c>
      <c r="R453">
        <v>976664</v>
      </c>
    </row>
    <row r="454" spans="1:18" x14ac:dyDescent="0.25">
      <c r="A454" s="170">
        <v>42671</v>
      </c>
      <c r="B454" s="116">
        <v>717.5</v>
      </c>
      <c r="C454" s="116">
        <v>706.72500000000002</v>
      </c>
      <c r="D454" s="116">
        <v>701.5</v>
      </c>
      <c r="E454" s="116">
        <v>713.5</v>
      </c>
      <c r="F454" s="116">
        <v>1413.45</v>
      </c>
      <c r="G454">
        <v>15933</v>
      </c>
      <c r="H454" s="116"/>
      <c r="I454" s="116"/>
      <c r="L454" s="170">
        <v>42671</v>
      </c>
      <c r="M454" s="116">
        <v>707.625</v>
      </c>
      <c r="N454" s="116">
        <v>720</v>
      </c>
      <c r="O454" s="116">
        <v>700.5</v>
      </c>
      <c r="P454" s="116">
        <v>713.55</v>
      </c>
      <c r="Q454" s="116">
        <v>1415.25</v>
      </c>
      <c r="R454">
        <v>264056</v>
      </c>
    </row>
    <row r="455" spans="1:18" x14ac:dyDescent="0.25">
      <c r="A455" s="170">
        <v>42673</v>
      </c>
      <c r="B455" s="116">
        <v>714.97500000000002</v>
      </c>
      <c r="C455" s="116">
        <v>709.25</v>
      </c>
      <c r="D455" s="116">
        <v>705.5</v>
      </c>
      <c r="E455" s="116">
        <v>712.5</v>
      </c>
      <c r="F455" s="116">
        <v>1418.5</v>
      </c>
      <c r="G455">
        <v>4473</v>
      </c>
      <c r="H455" s="116"/>
      <c r="I455" s="116"/>
      <c r="L455" s="170">
        <v>42673</v>
      </c>
      <c r="M455" s="116">
        <v>708.3</v>
      </c>
      <c r="N455" s="116">
        <v>715.52499999999998</v>
      </c>
      <c r="O455" s="116">
        <v>707</v>
      </c>
      <c r="P455" s="116">
        <v>712.5</v>
      </c>
      <c r="Q455" s="116">
        <v>1416.6</v>
      </c>
      <c r="R455">
        <v>19036</v>
      </c>
    </row>
    <row r="456" spans="1:18" x14ac:dyDescent="0.25">
      <c r="A456" s="170">
        <v>42675</v>
      </c>
      <c r="B456" s="116">
        <v>708</v>
      </c>
      <c r="C456" s="116">
        <v>689.25</v>
      </c>
      <c r="D456" s="116">
        <v>685.85</v>
      </c>
      <c r="E456" s="116">
        <v>708</v>
      </c>
      <c r="F456" s="116">
        <v>1378.5</v>
      </c>
      <c r="G456">
        <v>20028</v>
      </c>
      <c r="H456" s="116"/>
      <c r="I456" s="116"/>
      <c r="L456" s="170">
        <v>42675</v>
      </c>
      <c r="M456" s="116">
        <v>689.82500000000005</v>
      </c>
      <c r="N456" s="116">
        <v>708.9</v>
      </c>
      <c r="O456" s="116">
        <v>685.5</v>
      </c>
      <c r="P456" s="116">
        <v>708.3</v>
      </c>
      <c r="Q456" s="116">
        <v>1379.65</v>
      </c>
      <c r="R456">
        <v>325731</v>
      </c>
    </row>
    <row r="457" spans="1:18" x14ac:dyDescent="0.25">
      <c r="A457" s="170">
        <v>42676</v>
      </c>
      <c r="B457" s="116">
        <v>688.9</v>
      </c>
      <c r="C457" s="116">
        <v>671.9</v>
      </c>
      <c r="D457" s="116">
        <v>663.2</v>
      </c>
      <c r="E457" s="116">
        <v>688.9</v>
      </c>
      <c r="F457" s="116">
        <v>1343.8</v>
      </c>
      <c r="G457">
        <v>15823</v>
      </c>
      <c r="H457" s="116"/>
      <c r="I457" s="116"/>
      <c r="L457" s="170">
        <v>42676</v>
      </c>
      <c r="M457" s="116">
        <v>671.82500000000005</v>
      </c>
      <c r="N457" s="116">
        <v>684.75</v>
      </c>
      <c r="O457" s="116">
        <v>667.5</v>
      </c>
      <c r="P457" s="116">
        <v>683</v>
      </c>
      <c r="Q457" s="116">
        <v>1343.65</v>
      </c>
      <c r="R457">
        <v>212078</v>
      </c>
    </row>
    <row r="458" spans="1:18" x14ac:dyDescent="0.25">
      <c r="A458" s="170">
        <v>42677</v>
      </c>
      <c r="B458" s="116">
        <v>679</v>
      </c>
      <c r="C458" s="116">
        <v>659.22500000000002</v>
      </c>
      <c r="D458" s="116">
        <v>655.5</v>
      </c>
      <c r="E458" s="116">
        <v>669.9</v>
      </c>
      <c r="F458" s="116">
        <v>1318.45</v>
      </c>
      <c r="G458">
        <v>14550</v>
      </c>
      <c r="H458" s="116"/>
      <c r="I458" s="116"/>
      <c r="L458" s="170">
        <v>42677</v>
      </c>
      <c r="M458" s="116">
        <v>658.625</v>
      </c>
      <c r="N458" s="116">
        <v>678.375</v>
      </c>
      <c r="O458" s="116">
        <v>653.22500000000002</v>
      </c>
      <c r="P458" s="116">
        <v>669</v>
      </c>
      <c r="Q458" s="116">
        <v>1317.25</v>
      </c>
      <c r="R458">
        <v>204060</v>
      </c>
    </row>
    <row r="459" spans="1:18" x14ac:dyDescent="0.25">
      <c r="A459" s="170">
        <v>42678</v>
      </c>
      <c r="B459" s="116">
        <v>669.05</v>
      </c>
      <c r="C459" s="116">
        <v>647.77499999999998</v>
      </c>
      <c r="D459" s="116">
        <v>635.25</v>
      </c>
      <c r="E459" s="116">
        <v>659.5</v>
      </c>
      <c r="F459" s="116">
        <v>1295.55</v>
      </c>
      <c r="G459">
        <v>30947</v>
      </c>
      <c r="H459" s="116"/>
      <c r="I459" s="116"/>
      <c r="L459" s="170">
        <v>42678</v>
      </c>
      <c r="M459" s="116">
        <v>647.42499999999995</v>
      </c>
      <c r="N459" s="116">
        <v>669.9</v>
      </c>
      <c r="O459" s="116">
        <v>634.52499999999998</v>
      </c>
      <c r="P459" s="116">
        <v>658.5</v>
      </c>
      <c r="Q459" s="116">
        <v>1294.8499999999999</v>
      </c>
      <c r="R459">
        <v>433378</v>
      </c>
    </row>
    <row r="460" spans="1:18" x14ac:dyDescent="0.25">
      <c r="A460" s="170">
        <v>42681</v>
      </c>
      <c r="B460" s="116">
        <v>679.42499999999995</v>
      </c>
      <c r="C460" s="116">
        <v>668.375</v>
      </c>
      <c r="D460" s="116">
        <v>647.5</v>
      </c>
      <c r="E460" s="116">
        <v>652.5</v>
      </c>
      <c r="F460" s="116">
        <v>1336.75</v>
      </c>
      <c r="G460">
        <v>19645</v>
      </c>
      <c r="H460" s="116"/>
      <c r="I460" s="116"/>
      <c r="L460" s="170">
        <v>42681</v>
      </c>
      <c r="M460" s="116">
        <v>666.65</v>
      </c>
      <c r="N460" s="116">
        <v>672.8</v>
      </c>
      <c r="O460" s="116">
        <v>647.42499999999995</v>
      </c>
      <c r="P460" s="116">
        <v>655</v>
      </c>
      <c r="Q460" s="116">
        <v>1333.3</v>
      </c>
      <c r="R460">
        <v>211451</v>
      </c>
    </row>
    <row r="461" spans="1:18" x14ac:dyDescent="0.25">
      <c r="A461" s="170">
        <v>42682</v>
      </c>
      <c r="B461" s="116">
        <v>676.82500000000005</v>
      </c>
      <c r="C461" s="116">
        <v>657.15</v>
      </c>
      <c r="D461" s="116">
        <v>655</v>
      </c>
      <c r="E461" s="116">
        <v>670</v>
      </c>
      <c r="F461" s="116">
        <v>1314.3</v>
      </c>
      <c r="G461">
        <v>7700</v>
      </c>
      <c r="H461" s="116"/>
      <c r="I461" s="116"/>
      <c r="L461" s="170">
        <v>42682</v>
      </c>
      <c r="M461" s="116">
        <v>657.3</v>
      </c>
      <c r="N461" s="116">
        <v>676.97500000000002</v>
      </c>
      <c r="O461" s="116">
        <v>654.77499999999998</v>
      </c>
      <c r="P461" s="116">
        <v>672.5</v>
      </c>
      <c r="Q461" s="116">
        <v>1314.6</v>
      </c>
      <c r="R461">
        <v>184376</v>
      </c>
    </row>
    <row r="462" spans="1:18" x14ac:dyDescent="0.25">
      <c r="A462" s="170">
        <v>42683</v>
      </c>
      <c r="B462" s="116">
        <v>682.47500000000002</v>
      </c>
      <c r="C462" s="116">
        <v>675.35</v>
      </c>
      <c r="D462" s="116">
        <v>592.79999999999995</v>
      </c>
      <c r="E462" s="116">
        <v>632.5</v>
      </c>
      <c r="F462" s="116">
        <v>1350.7</v>
      </c>
      <c r="G462">
        <v>31996</v>
      </c>
      <c r="H462" s="116"/>
      <c r="I462" s="116"/>
      <c r="L462" s="170">
        <v>42683</v>
      </c>
      <c r="M462" s="116">
        <v>677</v>
      </c>
      <c r="N462" s="116">
        <v>682</v>
      </c>
      <c r="O462" s="116">
        <v>597.04999999999995</v>
      </c>
      <c r="P462" s="116">
        <v>632.5</v>
      </c>
      <c r="Q462" s="116">
        <v>1354</v>
      </c>
      <c r="R462">
        <v>375100</v>
      </c>
    </row>
    <row r="463" spans="1:18" x14ac:dyDescent="0.25">
      <c r="A463" s="170">
        <v>42684</v>
      </c>
      <c r="B463" s="116">
        <v>692.22500000000002</v>
      </c>
      <c r="C463" s="116">
        <v>676.77499999999998</v>
      </c>
      <c r="D463" s="116">
        <v>671.05</v>
      </c>
      <c r="E463" s="116">
        <v>682.5</v>
      </c>
      <c r="F463" s="116">
        <v>1353.55</v>
      </c>
      <c r="G463">
        <v>10841</v>
      </c>
      <c r="H463" s="116"/>
      <c r="I463" s="116"/>
      <c r="L463" s="170">
        <v>42684</v>
      </c>
      <c r="M463" s="116">
        <v>677.35</v>
      </c>
      <c r="N463" s="116">
        <v>692.15</v>
      </c>
      <c r="O463" s="116">
        <v>672.5</v>
      </c>
      <c r="P463" s="116">
        <v>686</v>
      </c>
      <c r="Q463" s="116">
        <v>1354.7</v>
      </c>
      <c r="R463">
        <v>220612</v>
      </c>
    </row>
    <row r="464" spans="1:18" x14ac:dyDescent="0.25">
      <c r="A464" s="170">
        <v>42685</v>
      </c>
      <c r="B464" s="116">
        <v>677.25</v>
      </c>
      <c r="C464" s="116">
        <v>652.9</v>
      </c>
      <c r="D464" s="116">
        <v>645</v>
      </c>
      <c r="E464" s="116">
        <v>677.25</v>
      </c>
      <c r="F464" s="116">
        <v>1305.8</v>
      </c>
      <c r="G464">
        <v>21301</v>
      </c>
      <c r="H464" s="116"/>
      <c r="I464" s="116"/>
      <c r="L464" s="170">
        <v>42685</v>
      </c>
      <c r="M464" s="116">
        <v>652.29999999999995</v>
      </c>
      <c r="N464" s="116">
        <v>668.95</v>
      </c>
      <c r="O464" s="116">
        <v>644.82500000000005</v>
      </c>
      <c r="P464" s="116">
        <v>665.1</v>
      </c>
      <c r="Q464" s="116">
        <v>1304.5999999999999</v>
      </c>
      <c r="R464">
        <v>315822</v>
      </c>
    </row>
    <row r="465" spans="1:18" x14ac:dyDescent="0.25">
      <c r="A465" s="170">
        <v>42689</v>
      </c>
      <c r="B465" s="116">
        <v>660</v>
      </c>
      <c r="C465" s="116">
        <v>626.29999999999995</v>
      </c>
      <c r="D465" s="116">
        <v>618.82500000000005</v>
      </c>
      <c r="E465" s="116">
        <v>653.5</v>
      </c>
      <c r="F465" s="116">
        <v>1252.5999999999999</v>
      </c>
      <c r="G465">
        <v>25190</v>
      </c>
      <c r="H465" s="116"/>
      <c r="I465" s="116"/>
      <c r="L465" s="170">
        <v>42689</v>
      </c>
      <c r="M465" s="116">
        <v>627.75</v>
      </c>
      <c r="N465" s="116">
        <v>660.85</v>
      </c>
      <c r="O465" s="116">
        <v>620.65</v>
      </c>
      <c r="P465" s="116">
        <v>652.5</v>
      </c>
      <c r="Q465" s="116">
        <v>1255.5</v>
      </c>
      <c r="R465">
        <v>219623</v>
      </c>
    </row>
    <row r="466" spans="1:18" x14ac:dyDescent="0.25">
      <c r="A466" s="170">
        <v>42690</v>
      </c>
      <c r="B466" s="116">
        <v>649.5</v>
      </c>
      <c r="C466" s="116">
        <v>613.57500000000005</v>
      </c>
      <c r="D466" s="116">
        <v>605.79999999999995</v>
      </c>
      <c r="E466" s="116">
        <v>649.5</v>
      </c>
      <c r="F466" s="116">
        <v>1227.1500000000001</v>
      </c>
      <c r="G466">
        <v>17382</v>
      </c>
      <c r="H466" s="116"/>
      <c r="I466" s="116"/>
      <c r="L466" s="170">
        <v>42690</v>
      </c>
      <c r="M466" s="116">
        <v>613.5</v>
      </c>
      <c r="N466" s="116">
        <v>639.97500000000002</v>
      </c>
      <c r="O466" s="116">
        <v>605.52499999999998</v>
      </c>
      <c r="P466" s="116">
        <v>632.1</v>
      </c>
      <c r="Q466" s="116">
        <v>1227</v>
      </c>
      <c r="R466">
        <v>240178</v>
      </c>
    </row>
    <row r="467" spans="1:18" x14ac:dyDescent="0.25">
      <c r="A467" s="170">
        <v>42691</v>
      </c>
      <c r="B467" s="116">
        <v>634.5</v>
      </c>
      <c r="C467" s="116">
        <v>630.625</v>
      </c>
      <c r="D467" s="116">
        <v>613.42499999999995</v>
      </c>
      <c r="E467" s="116">
        <v>615</v>
      </c>
      <c r="F467" s="116">
        <v>1261.25</v>
      </c>
      <c r="G467">
        <v>10306</v>
      </c>
      <c r="H467" s="116"/>
      <c r="I467" s="116"/>
      <c r="L467" s="170">
        <v>42691</v>
      </c>
      <c r="M467" s="116">
        <v>632</v>
      </c>
      <c r="N467" s="116">
        <v>634.79999999999995</v>
      </c>
      <c r="O467" s="116">
        <v>607.5</v>
      </c>
      <c r="P467" s="116">
        <v>612.5</v>
      </c>
      <c r="Q467" s="116">
        <v>1264</v>
      </c>
      <c r="R467">
        <v>121568</v>
      </c>
    </row>
    <row r="468" spans="1:18" x14ac:dyDescent="0.25">
      <c r="A468" s="170">
        <v>42692</v>
      </c>
      <c r="B468" s="116">
        <v>665</v>
      </c>
      <c r="C468" s="116">
        <v>656.8</v>
      </c>
      <c r="D468" s="116">
        <v>620.52499999999998</v>
      </c>
      <c r="E468" s="116">
        <v>634.79999999999995</v>
      </c>
      <c r="F468" s="116">
        <v>1313.6</v>
      </c>
      <c r="G468">
        <v>15522</v>
      </c>
      <c r="H468" s="116"/>
      <c r="I468" s="116"/>
      <c r="L468" s="170">
        <v>42692</v>
      </c>
      <c r="M468" s="116">
        <v>655.02499999999998</v>
      </c>
      <c r="N468" s="116">
        <v>659.17499999999995</v>
      </c>
      <c r="O468" s="116">
        <v>620.75</v>
      </c>
      <c r="P468" s="116">
        <v>635</v>
      </c>
      <c r="Q468" s="116">
        <v>1310.05</v>
      </c>
      <c r="R468">
        <v>171176</v>
      </c>
    </row>
    <row r="469" spans="1:18" x14ac:dyDescent="0.25">
      <c r="A469" s="170">
        <v>42695</v>
      </c>
      <c r="B469" s="116">
        <v>662.4</v>
      </c>
      <c r="C469" s="116">
        <v>652.85</v>
      </c>
      <c r="D469" s="116">
        <v>647.5</v>
      </c>
      <c r="E469" s="116">
        <v>657</v>
      </c>
      <c r="F469" s="116">
        <v>1305.7</v>
      </c>
      <c r="G469">
        <v>14314</v>
      </c>
      <c r="H469" s="116"/>
      <c r="I469" s="116"/>
      <c r="L469" s="170">
        <v>42695</v>
      </c>
      <c r="M469" s="116">
        <v>652.625</v>
      </c>
      <c r="N469" s="116">
        <v>661.85</v>
      </c>
      <c r="O469" s="116">
        <v>647</v>
      </c>
      <c r="P469" s="116">
        <v>655.47500000000002</v>
      </c>
      <c r="Q469" s="116">
        <v>1305.25</v>
      </c>
      <c r="R469">
        <v>134896</v>
      </c>
    </row>
    <row r="470" spans="1:18" x14ac:dyDescent="0.25">
      <c r="A470" s="170">
        <v>42696</v>
      </c>
      <c r="B470" s="116">
        <v>670.35</v>
      </c>
      <c r="C470" s="116">
        <v>667.15</v>
      </c>
      <c r="D470" s="116">
        <v>648.85</v>
      </c>
      <c r="E470" s="116">
        <v>657.5</v>
      </c>
      <c r="F470" s="116">
        <v>1334.3</v>
      </c>
      <c r="G470">
        <v>10325</v>
      </c>
      <c r="H470" s="116"/>
      <c r="I470" s="116"/>
      <c r="L470" s="170">
        <v>42696</v>
      </c>
      <c r="M470" s="116">
        <v>667.5</v>
      </c>
      <c r="N470" s="116">
        <v>670.5</v>
      </c>
      <c r="O470" s="116">
        <v>648.15</v>
      </c>
      <c r="P470" s="116">
        <v>657.5</v>
      </c>
      <c r="Q470" s="116">
        <v>1335</v>
      </c>
      <c r="R470">
        <v>157029</v>
      </c>
    </row>
    <row r="471" spans="1:18" x14ac:dyDescent="0.25">
      <c r="A471" s="170">
        <v>42697</v>
      </c>
      <c r="B471" s="116">
        <v>673.85</v>
      </c>
      <c r="C471" s="116">
        <v>669.375</v>
      </c>
      <c r="D471" s="116">
        <v>659.75</v>
      </c>
      <c r="E471" s="116">
        <v>665.8</v>
      </c>
      <c r="F471" s="116">
        <v>1338.75</v>
      </c>
      <c r="G471">
        <v>10468</v>
      </c>
      <c r="H471" s="116"/>
      <c r="I471" s="116"/>
      <c r="L471" s="170">
        <v>42697</v>
      </c>
      <c r="M471" s="116">
        <v>669.2</v>
      </c>
      <c r="N471" s="116">
        <v>674</v>
      </c>
      <c r="O471" s="116">
        <v>659.07500000000005</v>
      </c>
      <c r="P471" s="116">
        <v>664</v>
      </c>
      <c r="Q471" s="116">
        <v>1338.4</v>
      </c>
      <c r="R471">
        <v>194137</v>
      </c>
    </row>
    <row r="472" spans="1:18" x14ac:dyDescent="0.25">
      <c r="A472" s="170">
        <v>42698</v>
      </c>
      <c r="B472" s="116">
        <v>680.22500000000002</v>
      </c>
      <c r="C472" s="116">
        <v>673.25</v>
      </c>
      <c r="D472" s="116">
        <v>660.5</v>
      </c>
      <c r="E472" s="116">
        <v>665</v>
      </c>
      <c r="F472" s="116">
        <v>1346.5</v>
      </c>
      <c r="G472">
        <v>8886</v>
      </c>
      <c r="H472" s="116"/>
      <c r="I472" s="116"/>
      <c r="L472" s="170">
        <v>42698</v>
      </c>
      <c r="M472" s="116">
        <v>673.47500000000002</v>
      </c>
      <c r="N472" s="116">
        <v>682.25</v>
      </c>
      <c r="O472" s="116">
        <v>659.5</v>
      </c>
      <c r="P472" s="116">
        <v>664.125</v>
      </c>
      <c r="Q472" s="116">
        <v>1346.95</v>
      </c>
      <c r="R472">
        <v>161894</v>
      </c>
    </row>
    <row r="473" spans="1:18" x14ac:dyDescent="0.25">
      <c r="A473" s="170">
        <v>42699</v>
      </c>
      <c r="B473" s="116">
        <v>683.92499999999995</v>
      </c>
      <c r="C473" s="116">
        <v>681.9</v>
      </c>
      <c r="D473" s="116">
        <v>672.2</v>
      </c>
      <c r="E473" s="116">
        <v>675.55</v>
      </c>
      <c r="F473" s="116">
        <v>1363.8</v>
      </c>
      <c r="G473">
        <v>7190</v>
      </c>
      <c r="H473" s="116"/>
      <c r="I473" s="116"/>
      <c r="L473" s="170">
        <v>42699</v>
      </c>
      <c r="M473" s="116">
        <v>683.1</v>
      </c>
      <c r="N473" s="116">
        <v>685.77499999999998</v>
      </c>
      <c r="O473" s="116">
        <v>666.85</v>
      </c>
      <c r="P473" s="116">
        <v>674.45</v>
      </c>
      <c r="Q473" s="116">
        <v>1366.2</v>
      </c>
      <c r="R473">
        <v>96005</v>
      </c>
    </row>
    <row r="474" spans="1:18" x14ac:dyDescent="0.25">
      <c r="A474" s="170">
        <v>42702</v>
      </c>
      <c r="B474" s="116">
        <v>702.5</v>
      </c>
      <c r="C474" s="116">
        <v>700</v>
      </c>
      <c r="D474" s="116">
        <v>680.45</v>
      </c>
      <c r="E474" s="116">
        <v>684.9</v>
      </c>
      <c r="F474" s="116">
        <v>1400</v>
      </c>
      <c r="G474">
        <v>10140</v>
      </c>
      <c r="H474" s="116"/>
      <c r="I474" s="116"/>
      <c r="L474" s="170">
        <v>42702</v>
      </c>
      <c r="M474" s="116">
        <v>703.05</v>
      </c>
      <c r="N474" s="116">
        <v>706</v>
      </c>
      <c r="O474" s="116">
        <v>678.375</v>
      </c>
      <c r="P474" s="116">
        <v>682.25</v>
      </c>
      <c r="Q474" s="116">
        <v>1406.1</v>
      </c>
      <c r="R474">
        <v>200268</v>
      </c>
    </row>
    <row r="475" spans="1:18" x14ac:dyDescent="0.25">
      <c r="A475" s="170">
        <v>42703</v>
      </c>
      <c r="B475" s="116">
        <v>711.25</v>
      </c>
      <c r="C475" s="116">
        <v>701.67499999999995</v>
      </c>
      <c r="D475" s="116">
        <v>695.47500000000002</v>
      </c>
      <c r="E475" s="116">
        <v>702.875</v>
      </c>
      <c r="F475" s="116">
        <v>1403.35</v>
      </c>
      <c r="G475">
        <v>9932</v>
      </c>
      <c r="H475" s="116"/>
      <c r="I475" s="116"/>
      <c r="L475" s="170">
        <v>42703</v>
      </c>
      <c r="M475" s="116">
        <v>704.27499999999998</v>
      </c>
      <c r="N475" s="116">
        <v>711.5</v>
      </c>
      <c r="O475" s="116">
        <v>695.05</v>
      </c>
      <c r="P475" s="116">
        <v>702.52499999999998</v>
      </c>
      <c r="Q475" s="116">
        <v>1408.55</v>
      </c>
      <c r="R475">
        <v>108101</v>
      </c>
    </row>
    <row r="476" spans="1:18" x14ac:dyDescent="0.25">
      <c r="A476" s="170">
        <v>42704</v>
      </c>
      <c r="B476" s="116">
        <v>732.5</v>
      </c>
      <c r="C476" s="116">
        <v>688.72500000000002</v>
      </c>
      <c r="D476" s="116">
        <v>675</v>
      </c>
      <c r="E476" s="116">
        <v>725</v>
      </c>
      <c r="F476" s="116">
        <v>1377.45</v>
      </c>
      <c r="G476">
        <v>44705</v>
      </c>
      <c r="H476" s="116"/>
      <c r="I476" s="116"/>
      <c r="L476" s="170">
        <v>42704</v>
      </c>
      <c r="M476" s="116">
        <v>688.57500000000005</v>
      </c>
      <c r="N476" s="116">
        <v>732.97500000000002</v>
      </c>
      <c r="O476" s="116">
        <v>673.17499999999995</v>
      </c>
      <c r="P476" s="116">
        <v>719.47500000000002</v>
      </c>
      <c r="Q476" s="116">
        <v>1377.15</v>
      </c>
      <c r="R476">
        <v>496038</v>
      </c>
    </row>
    <row r="477" spans="1:18" x14ac:dyDescent="0.25">
      <c r="A477" s="170">
        <v>42705</v>
      </c>
      <c r="B477" s="116">
        <v>702</v>
      </c>
      <c r="C477" s="116">
        <v>694.55</v>
      </c>
      <c r="D477" s="116">
        <v>691.8</v>
      </c>
      <c r="E477" s="116">
        <v>692.5</v>
      </c>
      <c r="F477" s="116">
        <v>1389.1</v>
      </c>
      <c r="G477">
        <v>7257</v>
      </c>
      <c r="H477" s="116"/>
      <c r="I477" s="116"/>
      <c r="L477" s="170">
        <v>42705</v>
      </c>
      <c r="M477" s="116">
        <v>695.8</v>
      </c>
      <c r="N477" s="116">
        <v>703.125</v>
      </c>
      <c r="O477" s="116">
        <v>690.1</v>
      </c>
      <c r="P477" s="116">
        <v>696</v>
      </c>
      <c r="Q477" s="116">
        <v>1391.6</v>
      </c>
      <c r="R477">
        <v>77741</v>
      </c>
    </row>
    <row r="478" spans="1:18" x14ac:dyDescent="0.25">
      <c r="A478" s="170">
        <v>42706</v>
      </c>
      <c r="B478" s="116">
        <v>710</v>
      </c>
      <c r="C478" s="116">
        <v>673.92499999999995</v>
      </c>
      <c r="D478" s="116">
        <v>670.55</v>
      </c>
      <c r="E478" s="116">
        <v>710</v>
      </c>
      <c r="F478" s="116">
        <v>1347.85</v>
      </c>
      <c r="G478">
        <v>6720</v>
      </c>
      <c r="H478" s="116"/>
      <c r="I478" s="116"/>
      <c r="L478" s="170">
        <v>42706</v>
      </c>
      <c r="M478" s="116">
        <v>673.17499999999995</v>
      </c>
      <c r="N478" s="116">
        <v>696.4</v>
      </c>
      <c r="O478" s="116">
        <v>669.42499999999995</v>
      </c>
      <c r="P478" s="116">
        <v>696.4</v>
      </c>
      <c r="Q478" s="116">
        <v>1346.35</v>
      </c>
      <c r="R478">
        <v>82962</v>
      </c>
    </row>
    <row r="479" spans="1:18" x14ac:dyDescent="0.25">
      <c r="A479" s="170">
        <v>42709</v>
      </c>
      <c r="B479" s="116">
        <v>672.1</v>
      </c>
      <c r="C479" s="116">
        <v>667.35</v>
      </c>
      <c r="D479" s="116">
        <v>651.125</v>
      </c>
      <c r="E479" s="116">
        <v>670</v>
      </c>
      <c r="F479" s="116">
        <v>1334.7</v>
      </c>
      <c r="G479">
        <v>13847</v>
      </c>
      <c r="H479" s="116"/>
      <c r="I479" s="116"/>
      <c r="L479" s="170">
        <v>42709</v>
      </c>
      <c r="M479" s="116">
        <v>667.97500000000002</v>
      </c>
      <c r="N479" s="116">
        <v>672.35</v>
      </c>
      <c r="O479" s="116">
        <v>651.5</v>
      </c>
      <c r="P479" s="116">
        <v>665</v>
      </c>
      <c r="Q479" s="116">
        <v>1335.95</v>
      </c>
      <c r="R479">
        <v>168304</v>
      </c>
    </row>
    <row r="480" spans="1:18" x14ac:dyDescent="0.25">
      <c r="A480" s="170">
        <v>42710</v>
      </c>
      <c r="B480" s="116">
        <v>680.5</v>
      </c>
      <c r="C480" s="116">
        <v>672.3</v>
      </c>
      <c r="D480" s="116">
        <v>667.57500000000005</v>
      </c>
      <c r="E480" s="116">
        <v>670</v>
      </c>
      <c r="F480" s="116">
        <v>1344.6</v>
      </c>
      <c r="G480">
        <v>4180</v>
      </c>
      <c r="H480" s="116"/>
      <c r="I480" s="116"/>
      <c r="L480" s="170">
        <v>42710</v>
      </c>
      <c r="M480" s="116">
        <v>673.125</v>
      </c>
      <c r="N480" s="116">
        <v>681.17499999999995</v>
      </c>
      <c r="O480" s="116">
        <v>668</v>
      </c>
      <c r="P480" s="116">
        <v>668</v>
      </c>
      <c r="Q480" s="116">
        <v>1346.25</v>
      </c>
      <c r="R480">
        <v>50388</v>
      </c>
    </row>
    <row r="481" spans="1:18" x14ac:dyDescent="0.25">
      <c r="A481" s="170">
        <v>42711</v>
      </c>
      <c r="B481" s="116">
        <v>680.5</v>
      </c>
      <c r="C481" s="116">
        <v>671.35</v>
      </c>
      <c r="D481" s="116">
        <v>668</v>
      </c>
      <c r="E481" s="116">
        <v>670.22500000000002</v>
      </c>
      <c r="F481" s="116">
        <v>1342.7</v>
      </c>
      <c r="G481">
        <v>4219</v>
      </c>
      <c r="H481" s="116"/>
      <c r="I481" s="116"/>
      <c r="L481" s="170">
        <v>42711</v>
      </c>
      <c r="M481" s="116">
        <v>671.875</v>
      </c>
      <c r="N481" s="116">
        <v>681.2</v>
      </c>
      <c r="O481" s="116">
        <v>667.8</v>
      </c>
      <c r="P481" s="116">
        <v>680.97500000000002</v>
      </c>
      <c r="Q481" s="116">
        <v>1343.75</v>
      </c>
      <c r="R481">
        <v>85673</v>
      </c>
    </row>
    <row r="482" spans="1:18" x14ac:dyDescent="0.25">
      <c r="A482" s="170">
        <v>42712</v>
      </c>
      <c r="B482" s="116">
        <v>675</v>
      </c>
      <c r="C482" s="116">
        <v>670.625</v>
      </c>
      <c r="D482" s="116">
        <v>666.45</v>
      </c>
      <c r="E482" s="116">
        <v>675</v>
      </c>
      <c r="F482" s="116">
        <v>1341.25</v>
      </c>
      <c r="G482">
        <v>10918</v>
      </c>
      <c r="H482" s="116"/>
      <c r="I482" s="116"/>
      <c r="L482" s="170">
        <v>42712</v>
      </c>
      <c r="M482" s="116">
        <v>671.9</v>
      </c>
      <c r="N482" s="116">
        <v>679.5</v>
      </c>
      <c r="O482" s="116">
        <v>666.27499999999998</v>
      </c>
      <c r="P482" s="116">
        <v>679.5</v>
      </c>
      <c r="Q482" s="116">
        <v>1343.8</v>
      </c>
      <c r="R482">
        <v>71090</v>
      </c>
    </row>
    <row r="483" spans="1:18" x14ac:dyDescent="0.25">
      <c r="A483" s="170">
        <v>42713</v>
      </c>
      <c r="B483" s="116">
        <v>675</v>
      </c>
      <c r="C483" s="116">
        <v>670.95</v>
      </c>
      <c r="D483" s="116">
        <v>667.25</v>
      </c>
      <c r="E483" s="116">
        <v>671.02499999999998</v>
      </c>
      <c r="F483" s="116">
        <v>1341.9</v>
      </c>
      <c r="G483">
        <v>5817</v>
      </c>
      <c r="H483" s="116"/>
      <c r="I483" s="116"/>
      <c r="L483" s="170">
        <v>42713</v>
      </c>
      <c r="M483" s="116">
        <v>669.67499999999995</v>
      </c>
      <c r="N483" s="116">
        <v>676.5</v>
      </c>
      <c r="O483" s="116">
        <v>667</v>
      </c>
      <c r="P483" s="116">
        <v>676.5</v>
      </c>
      <c r="Q483" s="116">
        <v>1339.35</v>
      </c>
      <c r="R483">
        <v>104103</v>
      </c>
    </row>
    <row r="484" spans="1:18" x14ac:dyDescent="0.25">
      <c r="A484" s="170">
        <v>42716</v>
      </c>
      <c r="B484" s="116">
        <v>679.22500000000002</v>
      </c>
      <c r="C484" s="116">
        <v>674.32500000000005</v>
      </c>
      <c r="D484" s="116">
        <v>662.25</v>
      </c>
      <c r="E484" s="116">
        <v>671.5</v>
      </c>
      <c r="F484" s="116">
        <v>1348.65</v>
      </c>
      <c r="G484">
        <v>5763</v>
      </c>
      <c r="H484" s="116"/>
      <c r="I484" s="116"/>
      <c r="L484" s="170">
        <v>42716</v>
      </c>
      <c r="M484" s="116">
        <v>673.625</v>
      </c>
      <c r="N484" s="116">
        <v>678.72500000000002</v>
      </c>
      <c r="O484" s="116">
        <v>661.8</v>
      </c>
      <c r="P484" s="116">
        <v>670</v>
      </c>
      <c r="Q484" s="116">
        <v>1347.25</v>
      </c>
      <c r="R484">
        <v>46294</v>
      </c>
    </row>
    <row r="485" spans="1:18" x14ac:dyDescent="0.25">
      <c r="A485" s="170">
        <v>42717</v>
      </c>
      <c r="B485" s="116">
        <v>675.92499999999995</v>
      </c>
      <c r="C485" s="116">
        <v>655.625</v>
      </c>
      <c r="D485" s="116">
        <v>652</v>
      </c>
      <c r="E485" s="116">
        <v>675.92499999999995</v>
      </c>
      <c r="F485" s="116">
        <v>1311.25</v>
      </c>
      <c r="G485">
        <v>13247</v>
      </c>
      <c r="H485" s="116"/>
      <c r="I485" s="116"/>
      <c r="L485" s="170">
        <v>42717</v>
      </c>
      <c r="M485" s="116">
        <v>656.17499999999995</v>
      </c>
      <c r="N485" s="116">
        <v>675.35</v>
      </c>
      <c r="O485" s="116">
        <v>651.77499999999998</v>
      </c>
      <c r="P485" s="116">
        <v>674</v>
      </c>
      <c r="Q485" s="116">
        <v>1312.35</v>
      </c>
      <c r="R485">
        <v>314388</v>
      </c>
    </row>
    <row r="486" spans="1:18" x14ac:dyDescent="0.25">
      <c r="A486" s="170">
        <v>42718</v>
      </c>
      <c r="B486" s="116">
        <v>665.75</v>
      </c>
      <c r="C486" s="116">
        <v>660.3</v>
      </c>
      <c r="D486" s="116">
        <v>648</v>
      </c>
      <c r="E486" s="116">
        <v>656</v>
      </c>
      <c r="F486" s="116">
        <v>1320.6</v>
      </c>
      <c r="G486">
        <v>9303</v>
      </c>
      <c r="H486" s="116"/>
      <c r="I486" s="116"/>
      <c r="L486" s="170">
        <v>42718</v>
      </c>
      <c r="M486" s="116">
        <v>661.47500000000002</v>
      </c>
      <c r="N486" s="116">
        <v>666.57500000000005</v>
      </c>
      <c r="O486" s="116">
        <v>648</v>
      </c>
      <c r="P486" s="116">
        <v>656.17499999999995</v>
      </c>
      <c r="Q486" s="116">
        <v>1322.95</v>
      </c>
      <c r="R486">
        <v>200831</v>
      </c>
    </row>
    <row r="487" spans="1:18" x14ac:dyDescent="0.25">
      <c r="A487" s="170">
        <v>42719</v>
      </c>
      <c r="B487" s="116">
        <v>668</v>
      </c>
      <c r="C487" s="116">
        <v>653.07500000000005</v>
      </c>
      <c r="D487" s="116">
        <v>651.125</v>
      </c>
      <c r="E487" s="116">
        <v>657.67499999999995</v>
      </c>
      <c r="F487" s="116">
        <v>1306.1500000000001</v>
      </c>
      <c r="G487">
        <v>6679</v>
      </c>
      <c r="H487" s="116"/>
      <c r="I487" s="116"/>
      <c r="L487" s="170">
        <v>42719</v>
      </c>
      <c r="M487" s="116">
        <v>653.85</v>
      </c>
      <c r="N487" s="116">
        <v>668.5</v>
      </c>
      <c r="O487" s="116">
        <v>651.27499999999998</v>
      </c>
      <c r="P487" s="116">
        <v>656.77499999999998</v>
      </c>
      <c r="Q487" s="116">
        <v>1307.7</v>
      </c>
      <c r="R487">
        <v>84012</v>
      </c>
    </row>
    <row r="488" spans="1:18" x14ac:dyDescent="0.25">
      <c r="A488" s="170">
        <v>42720</v>
      </c>
      <c r="B488" s="116">
        <v>658.75</v>
      </c>
      <c r="C488" s="116">
        <v>652.97500000000002</v>
      </c>
      <c r="D488" s="116">
        <v>650.5</v>
      </c>
      <c r="E488" s="116">
        <v>654.54999999999995</v>
      </c>
      <c r="F488" s="116">
        <v>1305.95</v>
      </c>
      <c r="G488">
        <v>3541</v>
      </c>
      <c r="H488" s="116"/>
      <c r="I488" s="116"/>
      <c r="L488" s="170">
        <v>42720</v>
      </c>
      <c r="M488" s="116">
        <v>652.79999999999995</v>
      </c>
      <c r="N488" s="116">
        <v>658.75</v>
      </c>
      <c r="O488" s="116">
        <v>650.77499999999998</v>
      </c>
      <c r="P488" s="116">
        <v>650.77499999999998</v>
      </c>
      <c r="Q488" s="116">
        <v>1305.5999999999999</v>
      </c>
      <c r="R488">
        <v>35846</v>
      </c>
    </row>
    <row r="489" spans="1:18" x14ac:dyDescent="0.25">
      <c r="A489" s="170">
        <v>42723</v>
      </c>
      <c r="B489" s="116">
        <v>663.42499999999995</v>
      </c>
      <c r="C489" s="116">
        <v>649.92499999999995</v>
      </c>
      <c r="D489" s="116">
        <v>643</v>
      </c>
      <c r="E489" s="116">
        <v>655</v>
      </c>
      <c r="F489" s="116">
        <v>1299.8499999999999</v>
      </c>
      <c r="G489">
        <v>98774</v>
      </c>
      <c r="H489" s="116"/>
      <c r="I489" s="116"/>
      <c r="L489" s="170">
        <v>42723</v>
      </c>
      <c r="M489" s="116">
        <v>650.4</v>
      </c>
      <c r="N489" s="116">
        <v>657.72500000000002</v>
      </c>
      <c r="O489" s="116">
        <v>642.02499999999998</v>
      </c>
      <c r="P489" s="116">
        <v>652.79999999999995</v>
      </c>
      <c r="Q489" s="116">
        <v>1300.8</v>
      </c>
      <c r="R489">
        <v>90155</v>
      </c>
    </row>
    <row r="490" spans="1:18" x14ac:dyDescent="0.25">
      <c r="A490" s="170">
        <v>42724</v>
      </c>
      <c r="B490" s="116">
        <v>656.25</v>
      </c>
      <c r="C490" s="116">
        <v>645.1</v>
      </c>
      <c r="D490" s="116">
        <v>643</v>
      </c>
      <c r="E490" s="116">
        <v>652.5</v>
      </c>
      <c r="F490" s="116">
        <v>1290.2</v>
      </c>
      <c r="G490">
        <v>5452</v>
      </c>
      <c r="H490" s="116"/>
      <c r="I490" s="116"/>
      <c r="L490" s="170">
        <v>42724</v>
      </c>
      <c r="M490" s="116">
        <v>645.54999999999995</v>
      </c>
      <c r="N490" s="116">
        <v>655.97500000000002</v>
      </c>
      <c r="O490" s="116">
        <v>642.5</v>
      </c>
      <c r="P490" s="116">
        <v>653.25</v>
      </c>
      <c r="Q490" s="116">
        <v>1291.0999999999999</v>
      </c>
      <c r="R490">
        <v>76883</v>
      </c>
    </row>
    <row r="491" spans="1:18" x14ac:dyDescent="0.25">
      <c r="A491" s="170">
        <v>42725</v>
      </c>
      <c r="B491" s="116">
        <v>667.5</v>
      </c>
      <c r="C491" s="116">
        <v>662.42499999999995</v>
      </c>
      <c r="D491" s="116">
        <v>646.5</v>
      </c>
      <c r="E491" s="116">
        <v>647.5</v>
      </c>
      <c r="F491" s="116">
        <v>1324.85</v>
      </c>
      <c r="G491">
        <v>12686</v>
      </c>
      <c r="H491" s="116"/>
      <c r="I491" s="116"/>
      <c r="L491" s="170">
        <v>42725</v>
      </c>
      <c r="M491" s="116">
        <v>663.85</v>
      </c>
      <c r="N491" s="116">
        <v>669</v>
      </c>
      <c r="O491" s="116">
        <v>645.97500000000002</v>
      </c>
      <c r="P491" s="116">
        <v>651.875</v>
      </c>
      <c r="Q491" s="116">
        <v>1327.7</v>
      </c>
      <c r="R491">
        <v>143910</v>
      </c>
    </row>
    <row r="492" spans="1:18" x14ac:dyDescent="0.25">
      <c r="A492" s="170">
        <v>42726</v>
      </c>
      <c r="B492" s="116">
        <v>668.8</v>
      </c>
      <c r="C492" s="116">
        <v>649.17499999999995</v>
      </c>
      <c r="D492" s="116">
        <v>647.375</v>
      </c>
      <c r="E492" s="116">
        <v>665</v>
      </c>
      <c r="F492" s="116">
        <v>1298.3499999999999</v>
      </c>
      <c r="G492">
        <v>6049</v>
      </c>
      <c r="H492" s="116"/>
      <c r="I492" s="116"/>
      <c r="L492" s="170">
        <v>42726</v>
      </c>
      <c r="M492" s="116">
        <v>649</v>
      </c>
      <c r="N492" s="116">
        <v>669</v>
      </c>
      <c r="O492" s="116">
        <v>646.15</v>
      </c>
      <c r="P492" s="116">
        <v>666</v>
      </c>
      <c r="Q492" s="116">
        <v>1298</v>
      </c>
      <c r="R492">
        <v>164767</v>
      </c>
    </row>
    <row r="493" spans="1:18" x14ac:dyDescent="0.25">
      <c r="A493" s="170">
        <v>42727</v>
      </c>
      <c r="B493" s="116">
        <v>652.5</v>
      </c>
      <c r="C493" s="116">
        <v>641.29999999999995</v>
      </c>
      <c r="D493" s="116">
        <v>636</v>
      </c>
      <c r="E493" s="116">
        <v>649</v>
      </c>
      <c r="F493" s="116">
        <v>1282.5999999999999</v>
      </c>
      <c r="G493">
        <v>10619</v>
      </c>
      <c r="H493" s="116"/>
      <c r="I493" s="116"/>
      <c r="L493" s="170">
        <v>42727</v>
      </c>
      <c r="M493" s="116">
        <v>641.125</v>
      </c>
      <c r="N493" s="116">
        <v>653.20000000000005</v>
      </c>
      <c r="O493" s="116">
        <v>636.70000000000005</v>
      </c>
      <c r="P493" s="116">
        <v>649.02499999999998</v>
      </c>
      <c r="Q493" s="116">
        <v>1282.25</v>
      </c>
      <c r="R493">
        <v>202407</v>
      </c>
    </row>
    <row r="494" spans="1:18" x14ac:dyDescent="0.25">
      <c r="A494" s="170">
        <v>42730</v>
      </c>
      <c r="B494" s="116">
        <v>649.97500000000002</v>
      </c>
      <c r="C494" s="116">
        <v>631.67499999999995</v>
      </c>
      <c r="D494" s="116">
        <v>627.17499999999995</v>
      </c>
      <c r="E494" s="116">
        <v>642.4</v>
      </c>
      <c r="F494" s="116">
        <v>1263.3499999999999</v>
      </c>
      <c r="G494">
        <v>15783</v>
      </c>
      <c r="H494" s="116"/>
      <c r="I494" s="116"/>
      <c r="L494" s="170">
        <v>42730</v>
      </c>
      <c r="M494" s="116">
        <v>631.35</v>
      </c>
      <c r="N494" s="116">
        <v>643.5</v>
      </c>
      <c r="O494" s="116">
        <v>630</v>
      </c>
      <c r="P494" s="116">
        <v>642.5</v>
      </c>
      <c r="Q494" s="116">
        <v>1262.7</v>
      </c>
      <c r="R494">
        <v>102696</v>
      </c>
    </row>
    <row r="495" spans="1:18" x14ac:dyDescent="0.25">
      <c r="A495" s="170">
        <v>42731</v>
      </c>
      <c r="B495" s="116">
        <v>647.47500000000002</v>
      </c>
      <c r="C495" s="116">
        <v>645.1</v>
      </c>
      <c r="D495" s="116">
        <v>627.5</v>
      </c>
      <c r="E495" s="116">
        <v>632.1</v>
      </c>
      <c r="F495" s="116">
        <v>1290.2</v>
      </c>
      <c r="G495">
        <v>11257</v>
      </c>
      <c r="H495" s="116"/>
      <c r="I495" s="116"/>
      <c r="L495" s="170">
        <v>42731</v>
      </c>
      <c r="M495" s="116">
        <v>645.5</v>
      </c>
      <c r="N495" s="116">
        <v>647.5</v>
      </c>
      <c r="O495" s="116">
        <v>628.57500000000005</v>
      </c>
      <c r="P495" s="116">
        <v>636</v>
      </c>
      <c r="Q495" s="116">
        <v>1291</v>
      </c>
      <c r="R495">
        <v>116481</v>
      </c>
    </row>
    <row r="496" spans="1:18" x14ac:dyDescent="0.25">
      <c r="A496" s="170">
        <v>42732</v>
      </c>
      <c r="B496" s="116">
        <v>656</v>
      </c>
      <c r="C496" s="116">
        <v>645.75</v>
      </c>
      <c r="D496" s="116">
        <v>643.625</v>
      </c>
      <c r="E496" s="116">
        <v>647.5</v>
      </c>
      <c r="F496" s="116">
        <v>1291.5</v>
      </c>
      <c r="G496">
        <v>7078</v>
      </c>
      <c r="H496" s="116"/>
      <c r="I496" s="116"/>
      <c r="L496" s="170">
        <v>42732</v>
      </c>
      <c r="M496" s="116">
        <v>647.29999999999995</v>
      </c>
      <c r="N496" s="116">
        <v>656</v>
      </c>
      <c r="O496" s="116">
        <v>645.25</v>
      </c>
      <c r="P496" s="116">
        <v>650.42499999999995</v>
      </c>
      <c r="Q496" s="116">
        <v>1294.5999999999999</v>
      </c>
      <c r="R496">
        <v>80369</v>
      </c>
    </row>
    <row r="497" spans="1:18" x14ac:dyDescent="0.25">
      <c r="A497" s="170">
        <v>42733</v>
      </c>
      <c r="B497" s="116">
        <v>654.25</v>
      </c>
      <c r="C497" s="116">
        <v>642.15</v>
      </c>
      <c r="D497" s="116">
        <v>639.5</v>
      </c>
      <c r="E497" s="116">
        <v>646.54999999999995</v>
      </c>
      <c r="F497" s="116">
        <v>1284.3</v>
      </c>
      <c r="G497">
        <v>5388</v>
      </c>
      <c r="H497" s="116"/>
      <c r="I497" s="116"/>
      <c r="L497" s="170">
        <v>42733</v>
      </c>
      <c r="M497" s="116">
        <v>641.82500000000005</v>
      </c>
      <c r="N497" s="116">
        <v>654</v>
      </c>
      <c r="O497" s="116">
        <v>638.875</v>
      </c>
      <c r="P497" s="116">
        <v>649.9</v>
      </c>
      <c r="Q497" s="116">
        <v>1283.6500000000001</v>
      </c>
      <c r="R497">
        <v>127771</v>
      </c>
    </row>
    <row r="498" spans="1:18" x14ac:dyDescent="0.25">
      <c r="A498" s="170">
        <v>42734</v>
      </c>
      <c r="B498" s="116">
        <v>659.97500000000002</v>
      </c>
      <c r="C498" s="116">
        <v>657.75</v>
      </c>
      <c r="D498" s="116">
        <v>649.47500000000002</v>
      </c>
      <c r="E498" s="116">
        <v>649.5</v>
      </c>
      <c r="F498" s="116">
        <v>1315.5</v>
      </c>
      <c r="G498">
        <v>9043</v>
      </c>
      <c r="H498" s="116"/>
      <c r="I498" s="116"/>
      <c r="L498" s="170">
        <v>42734</v>
      </c>
      <c r="M498" s="116">
        <v>658.57500000000005</v>
      </c>
      <c r="N498" s="116">
        <v>661.5</v>
      </c>
      <c r="O498" s="116">
        <v>643.54999999999995</v>
      </c>
      <c r="P498" s="116">
        <v>643.54999999999995</v>
      </c>
      <c r="Q498" s="116">
        <v>1317.15</v>
      </c>
      <c r="R498">
        <v>102688</v>
      </c>
    </row>
    <row r="499" spans="1:18" x14ac:dyDescent="0.25">
      <c r="A499" s="170">
        <v>42737</v>
      </c>
      <c r="B499" s="116">
        <v>661.32500000000005</v>
      </c>
      <c r="C499" s="116">
        <v>655.92499999999995</v>
      </c>
      <c r="D499" s="116">
        <v>651.6</v>
      </c>
      <c r="E499" s="116">
        <v>659.22500000000002</v>
      </c>
      <c r="F499" s="116">
        <v>1311.85</v>
      </c>
      <c r="G499">
        <v>5112</v>
      </c>
      <c r="H499" s="116"/>
      <c r="I499" s="116"/>
      <c r="L499" s="170">
        <v>42737</v>
      </c>
      <c r="M499" s="116">
        <v>655.375</v>
      </c>
      <c r="N499" s="116">
        <v>662.4</v>
      </c>
      <c r="O499" s="116">
        <v>650.5</v>
      </c>
      <c r="P499" s="116">
        <v>658.57500000000005</v>
      </c>
      <c r="Q499" s="116">
        <v>1310.75</v>
      </c>
      <c r="R499">
        <v>98181</v>
      </c>
    </row>
    <row r="500" spans="1:18" x14ac:dyDescent="0.25">
      <c r="A500" s="170">
        <v>42738</v>
      </c>
      <c r="B500" s="116">
        <v>674.05</v>
      </c>
      <c r="C500" s="116">
        <v>668.77499999999998</v>
      </c>
      <c r="D500" s="116">
        <v>654.5</v>
      </c>
      <c r="E500" s="116">
        <v>657.5</v>
      </c>
      <c r="F500" s="116">
        <v>1337.55</v>
      </c>
      <c r="G500">
        <v>8961</v>
      </c>
      <c r="H500" s="116"/>
      <c r="I500" s="116"/>
      <c r="L500" s="170">
        <v>42738</v>
      </c>
      <c r="M500" s="116">
        <v>669.72500000000002</v>
      </c>
      <c r="N500" s="116">
        <v>675</v>
      </c>
      <c r="O500" s="116">
        <v>652.82500000000005</v>
      </c>
      <c r="P500" s="116">
        <v>659.97500000000002</v>
      </c>
      <c r="Q500" s="116">
        <v>1339.45</v>
      </c>
      <c r="R500">
        <v>162451</v>
      </c>
    </row>
    <row r="501" spans="1:18" x14ac:dyDescent="0.25">
      <c r="A501" s="170">
        <v>42739</v>
      </c>
      <c r="B501" s="116">
        <v>677.97500000000002</v>
      </c>
      <c r="C501" s="116">
        <v>675.55</v>
      </c>
      <c r="D501" s="116">
        <v>662.5</v>
      </c>
      <c r="E501" s="116">
        <v>674.5</v>
      </c>
      <c r="F501" s="116">
        <v>1351.1</v>
      </c>
      <c r="G501">
        <v>6668</v>
      </c>
      <c r="H501" s="116"/>
      <c r="I501" s="116"/>
      <c r="L501" s="170">
        <v>42739</v>
      </c>
      <c r="M501" s="116">
        <v>674.82500000000005</v>
      </c>
      <c r="N501" s="116">
        <v>677.5</v>
      </c>
      <c r="O501" s="116">
        <v>657.5</v>
      </c>
      <c r="P501" s="116">
        <v>657.5</v>
      </c>
      <c r="Q501" s="116">
        <v>1349.65</v>
      </c>
      <c r="R501">
        <v>56823</v>
      </c>
    </row>
    <row r="502" spans="1:18" x14ac:dyDescent="0.25">
      <c r="A502" s="170">
        <v>42740</v>
      </c>
      <c r="B502" s="116">
        <v>681.97500000000002</v>
      </c>
      <c r="C502" s="116">
        <v>680.27499999999998</v>
      </c>
      <c r="D502" s="116">
        <v>673.8</v>
      </c>
      <c r="E502" s="116">
        <v>678</v>
      </c>
      <c r="F502" s="116">
        <v>1360.55</v>
      </c>
      <c r="G502">
        <v>3917</v>
      </c>
      <c r="H502" s="116"/>
      <c r="I502" s="116"/>
      <c r="L502" s="170">
        <v>42740</v>
      </c>
      <c r="M502" s="116">
        <v>678.8</v>
      </c>
      <c r="N502" s="116">
        <v>680.77499999999998</v>
      </c>
      <c r="O502" s="116">
        <v>672.77499999999998</v>
      </c>
      <c r="P502" s="116">
        <v>677.42499999999995</v>
      </c>
      <c r="Q502" s="116">
        <v>1357.6</v>
      </c>
      <c r="R502">
        <v>36665</v>
      </c>
    </row>
    <row r="503" spans="1:18" x14ac:dyDescent="0.25">
      <c r="A503" s="170">
        <v>42741</v>
      </c>
      <c r="B503" s="116">
        <v>691.77499999999998</v>
      </c>
      <c r="C503" s="116">
        <v>687.9</v>
      </c>
      <c r="D503" s="116">
        <v>680.125</v>
      </c>
      <c r="E503" s="116">
        <v>682.5</v>
      </c>
      <c r="F503" s="116">
        <v>1375.8</v>
      </c>
      <c r="G503">
        <v>6409</v>
      </c>
      <c r="H503" s="116"/>
      <c r="I503" s="116"/>
      <c r="L503" s="170">
        <v>42741</v>
      </c>
      <c r="M503" s="116">
        <v>687.95</v>
      </c>
      <c r="N503" s="116">
        <v>692.47500000000002</v>
      </c>
      <c r="O503" s="116">
        <v>675</v>
      </c>
      <c r="P503" s="116">
        <v>677.6</v>
      </c>
      <c r="Q503" s="116">
        <v>1375.9</v>
      </c>
      <c r="R503">
        <v>321482</v>
      </c>
    </row>
    <row r="504" spans="1:18" x14ac:dyDescent="0.25">
      <c r="A504" s="170">
        <v>42744</v>
      </c>
      <c r="B504" s="116">
        <v>688</v>
      </c>
      <c r="C504" s="116">
        <v>670.22500000000002</v>
      </c>
      <c r="D504" s="116">
        <v>667.5</v>
      </c>
      <c r="E504" s="116">
        <v>688</v>
      </c>
      <c r="F504" s="116">
        <v>1340.45</v>
      </c>
      <c r="G504">
        <v>3557</v>
      </c>
      <c r="H504" s="116"/>
      <c r="I504" s="116"/>
      <c r="L504" s="170">
        <v>42744</v>
      </c>
      <c r="M504" s="116">
        <v>670.625</v>
      </c>
      <c r="N504" s="116">
        <v>689.5</v>
      </c>
      <c r="O504" s="116">
        <v>669.1</v>
      </c>
      <c r="P504" s="116">
        <v>683.02499999999998</v>
      </c>
      <c r="Q504" s="116">
        <v>1341.25</v>
      </c>
      <c r="R504">
        <v>118624</v>
      </c>
    </row>
    <row r="505" spans="1:18" x14ac:dyDescent="0.25">
      <c r="A505" s="170">
        <v>42745</v>
      </c>
      <c r="B505" s="116">
        <v>682.45</v>
      </c>
      <c r="C505" s="116">
        <v>678.45</v>
      </c>
      <c r="D505" s="116">
        <v>672.5</v>
      </c>
      <c r="E505" s="116">
        <v>672.5</v>
      </c>
      <c r="F505" s="116">
        <v>1356.9</v>
      </c>
      <c r="G505">
        <v>2927</v>
      </c>
      <c r="H505" s="116"/>
      <c r="I505" s="116"/>
      <c r="L505" s="170">
        <v>42745</v>
      </c>
      <c r="M505" s="116">
        <v>679.07500000000005</v>
      </c>
      <c r="N505" s="116">
        <v>681.5</v>
      </c>
      <c r="O505" s="116">
        <v>673.2</v>
      </c>
      <c r="P505" s="116">
        <v>676.47500000000002</v>
      </c>
      <c r="Q505" s="116">
        <v>1358.15</v>
      </c>
      <c r="R505">
        <v>47765</v>
      </c>
    </row>
    <row r="506" spans="1:18" x14ac:dyDescent="0.25">
      <c r="A506" s="170">
        <v>42746</v>
      </c>
      <c r="B506" s="116">
        <v>686.375</v>
      </c>
      <c r="C506" s="116">
        <v>680.92499999999995</v>
      </c>
      <c r="D506" s="116">
        <v>677.75</v>
      </c>
      <c r="E506" s="116">
        <v>678</v>
      </c>
      <c r="F506" s="116">
        <v>1361.85</v>
      </c>
      <c r="G506">
        <v>2366</v>
      </c>
      <c r="H506" s="116"/>
      <c r="I506" s="116"/>
      <c r="L506" s="170">
        <v>42746</v>
      </c>
      <c r="M506" s="116">
        <v>681.875</v>
      </c>
      <c r="N506" s="116">
        <v>686.5</v>
      </c>
      <c r="O506" s="116">
        <v>677.05</v>
      </c>
      <c r="P506" s="116">
        <v>679.07500000000005</v>
      </c>
      <c r="Q506" s="116">
        <v>1363.75</v>
      </c>
      <c r="R506">
        <v>50990</v>
      </c>
    </row>
    <row r="507" spans="1:18" x14ac:dyDescent="0.25">
      <c r="A507" s="170">
        <v>42747</v>
      </c>
      <c r="B507" s="116">
        <v>679.25</v>
      </c>
      <c r="C507" s="116">
        <v>663.77499999999998</v>
      </c>
      <c r="D507" s="116">
        <v>660.05</v>
      </c>
      <c r="E507" s="116">
        <v>675</v>
      </c>
      <c r="F507" s="116">
        <v>1327.55</v>
      </c>
      <c r="G507">
        <v>5829</v>
      </c>
      <c r="H507" s="116"/>
      <c r="I507" s="116"/>
      <c r="L507" s="170">
        <v>42747</v>
      </c>
      <c r="M507" s="116">
        <v>663.35</v>
      </c>
      <c r="N507" s="116">
        <v>679.5</v>
      </c>
      <c r="O507" s="116">
        <v>659.4</v>
      </c>
      <c r="P507" s="116">
        <v>677.875</v>
      </c>
      <c r="Q507" s="116">
        <v>1326.7</v>
      </c>
      <c r="R507">
        <v>110664</v>
      </c>
    </row>
    <row r="508" spans="1:18" x14ac:dyDescent="0.25">
      <c r="A508" s="170">
        <v>42748</v>
      </c>
      <c r="B508" s="116">
        <v>670</v>
      </c>
      <c r="C508" s="116">
        <v>668.35</v>
      </c>
      <c r="D508" s="116">
        <v>660.125</v>
      </c>
      <c r="E508" s="116">
        <v>664.5</v>
      </c>
      <c r="F508" s="116">
        <v>1336.7</v>
      </c>
      <c r="G508">
        <v>4336</v>
      </c>
      <c r="H508" s="116"/>
      <c r="I508" s="116"/>
      <c r="L508" s="170">
        <v>42748</v>
      </c>
      <c r="M508" s="116">
        <v>666.95</v>
      </c>
      <c r="N508" s="116">
        <v>669</v>
      </c>
      <c r="O508" s="116">
        <v>660.4</v>
      </c>
      <c r="P508" s="116">
        <v>663.35</v>
      </c>
      <c r="Q508" s="116">
        <v>1333.9</v>
      </c>
      <c r="R508">
        <v>68263</v>
      </c>
    </row>
    <row r="509" spans="1:18" x14ac:dyDescent="0.25">
      <c r="A509" s="170">
        <v>42751</v>
      </c>
      <c r="B509" s="116">
        <v>675</v>
      </c>
      <c r="C509" s="116">
        <v>664.27499999999998</v>
      </c>
      <c r="D509" s="116">
        <v>662.5</v>
      </c>
      <c r="E509" s="116">
        <v>674</v>
      </c>
      <c r="F509" s="116">
        <v>1328.55</v>
      </c>
      <c r="G509">
        <v>3054</v>
      </c>
      <c r="H509" s="116"/>
      <c r="I509" s="116"/>
      <c r="L509" s="170">
        <v>42751</v>
      </c>
      <c r="M509" s="116">
        <v>664.55</v>
      </c>
      <c r="N509" s="116">
        <v>676</v>
      </c>
      <c r="O509" s="116">
        <v>663.05</v>
      </c>
      <c r="P509" s="116">
        <v>667.67499999999995</v>
      </c>
      <c r="Q509" s="116">
        <v>1329.1</v>
      </c>
      <c r="R509">
        <v>83482</v>
      </c>
    </row>
    <row r="510" spans="1:18" x14ac:dyDescent="0.25">
      <c r="A510" s="170">
        <v>42752</v>
      </c>
      <c r="B510" s="116">
        <v>672.5</v>
      </c>
      <c r="C510" s="116">
        <v>664.52499999999998</v>
      </c>
      <c r="D510" s="116">
        <v>661.5</v>
      </c>
      <c r="E510" s="116">
        <v>667.5</v>
      </c>
      <c r="F510" s="116">
        <v>1329.05</v>
      </c>
      <c r="G510">
        <v>4931</v>
      </c>
      <c r="H510" s="116"/>
      <c r="I510" s="116"/>
      <c r="L510" s="170">
        <v>42752</v>
      </c>
      <c r="M510" s="116">
        <v>665.85</v>
      </c>
      <c r="N510" s="116">
        <v>674</v>
      </c>
      <c r="O510" s="116">
        <v>661.75</v>
      </c>
      <c r="P510" s="116">
        <v>665.27499999999998</v>
      </c>
      <c r="Q510" s="116">
        <v>1331.7</v>
      </c>
      <c r="R510">
        <v>49213</v>
      </c>
    </row>
    <row r="511" spans="1:18" x14ac:dyDescent="0.25">
      <c r="A511" s="170">
        <v>42753</v>
      </c>
      <c r="B511" s="116">
        <v>665.125</v>
      </c>
      <c r="C511" s="116">
        <v>656.57500000000005</v>
      </c>
      <c r="D511" s="116">
        <v>652.5</v>
      </c>
      <c r="E511" s="116">
        <v>665.125</v>
      </c>
      <c r="F511" s="116">
        <v>1313.15</v>
      </c>
      <c r="G511">
        <v>6360</v>
      </c>
      <c r="H511" s="116"/>
      <c r="I511" s="116"/>
      <c r="L511" s="170">
        <v>42753</v>
      </c>
      <c r="M511" s="116">
        <v>654.35</v>
      </c>
      <c r="N511" s="116">
        <v>670</v>
      </c>
      <c r="O511" s="116">
        <v>651.07500000000005</v>
      </c>
      <c r="P511" s="116">
        <v>670</v>
      </c>
      <c r="Q511" s="116">
        <v>1308.7</v>
      </c>
      <c r="R511">
        <v>67974</v>
      </c>
    </row>
    <row r="512" spans="1:18" x14ac:dyDescent="0.25">
      <c r="A512" s="170">
        <v>42754</v>
      </c>
      <c r="B512" s="116">
        <v>660.625</v>
      </c>
      <c r="C512" s="116">
        <v>654.4</v>
      </c>
      <c r="D512" s="116">
        <v>650</v>
      </c>
      <c r="E512" s="116">
        <v>656.3</v>
      </c>
      <c r="F512" s="116">
        <v>1308.8</v>
      </c>
      <c r="G512">
        <v>12417</v>
      </c>
      <c r="H512" s="116"/>
      <c r="I512" s="116"/>
      <c r="L512" s="170">
        <v>42754</v>
      </c>
      <c r="M512" s="116">
        <v>653.6</v>
      </c>
      <c r="N512" s="116">
        <v>659.5</v>
      </c>
      <c r="O512" s="116">
        <v>650</v>
      </c>
      <c r="P512" s="116">
        <v>654.35</v>
      </c>
      <c r="Q512" s="116">
        <v>1307.2</v>
      </c>
      <c r="R512">
        <v>131522</v>
      </c>
    </row>
    <row r="513" spans="1:18" x14ac:dyDescent="0.25">
      <c r="A513" s="170">
        <v>42755</v>
      </c>
      <c r="B513" s="116">
        <v>659</v>
      </c>
      <c r="C513" s="116">
        <v>646.20000000000005</v>
      </c>
      <c r="D513" s="116">
        <v>643.29999999999995</v>
      </c>
      <c r="E513" s="116">
        <v>650.04999999999995</v>
      </c>
      <c r="F513" s="116">
        <v>1292.4000000000001</v>
      </c>
      <c r="G513">
        <v>4052</v>
      </c>
      <c r="H513" s="116"/>
      <c r="I513" s="116"/>
      <c r="L513" s="170">
        <v>42755</v>
      </c>
      <c r="M513" s="116">
        <v>646.42499999999995</v>
      </c>
      <c r="N513" s="116">
        <v>659.4</v>
      </c>
      <c r="O513" s="116">
        <v>643</v>
      </c>
      <c r="P513" s="116">
        <v>653.32500000000005</v>
      </c>
      <c r="Q513" s="116">
        <v>1292.8499999999999</v>
      </c>
      <c r="R513">
        <v>112649</v>
      </c>
    </row>
    <row r="514" spans="1:18" x14ac:dyDescent="0.25">
      <c r="A514" s="170">
        <v>42758</v>
      </c>
      <c r="B514" s="116">
        <v>648.875</v>
      </c>
      <c r="C514" s="116">
        <v>642.95000000000005</v>
      </c>
      <c r="D514" s="116">
        <v>636.875</v>
      </c>
      <c r="E514" s="116">
        <v>646.22500000000002</v>
      </c>
      <c r="F514" s="116">
        <v>1285.9000000000001</v>
      </c>
      <c r="G514">
        <v>5068</v>
      </c>
      <c r="H514" s="116"/>
      <c r="I514" s="116"/>
      <c r="L514" s="170">
        <v>42758</v>
      </c>
      <c r="M514" s="116">
        <v>642.65</v>
      </c>
      <c r="N514" s="116">
        <v>649.04999999999995</v>
      </c>
      <c r="O514" s="116">
        <v>637</v>
      </c>
      <c r="P514" s="116">
        <v>646.5</v>
      </c>
      <c r="Q514" s="116">
        <v>1285.3</v>
      </c>
      <c r="R514">
        <v>93648</v>
      </c>
    </row>
    <row r="515" spans="1:18" x14ac:dyDescent="0.25">
      <c r="A515" s="170">
        <v>42759</v>
      </c>
      <c r="B515" s="116">
        <v>649.125</v>
      </c>
      <c r="C515" s="116">
        <v>647.52499999999998</v>
      </c>
      <c r="D515" s="116">
        <v>638.4</v>
      </c>
      <c r="E515" s="116">
        <v>638.42499999999995</v>
      </c>
      <c r="F515" s="116">
        <v>1295.05</v>
      </c>
      <c r="G515">
        <v>7012</v>
      </c>
      <c r="H515" s="116"/>
      <c r="I515" s="116"/>
      <c r="L515" s="170">
        <v>42759</v>
      </c>
      <c r="M515" s="116">
        <v>646.67499999999995</v>
      </c>
      <c r="N515" s="116">
        <v>649</v>
      </c>
      <c r="O515" s="116">
        <v>638</v>
      </c>
      <c r="P515" s="116">
        <v>642.45000000000005</v>
      </c>
      <c r="Q515" s="116">
        <v>1293.3499999999999</v>
      </c>
      <c r="R515">
        <v>144488</v>
      </c>
    </row>
    <row r="516" spans="1:18" x14ac:dyDescent="0.25">
      <c r="A516" s="170">
        <v>42760</v>
      </c>
      <c r="B516" s="116">
        <v>652.5</v>
      </c>
      <c r="C516" s="116">
        <v>651.85</v>
      </c>
      <c r="D516" s="116">
        <v>642</v>
      </c>
      <c r="E516" s="116">
        <v>647.72500000000002</v>
      </c>
      <c r="F516" s="116">
        <v>1303.7</v>
      </c>
      <c r="G516">
        <v>7062</v>
      </c>
      <c r="H516" s="116"/>
      <c r="I516" s="116"/>
      <c r="L516" s="170">
        <v>42760</v>
      </c>
      <c r="M516" s="116">
        <v>650.57500000000005</v>
      </c>
      <c r="N516" s="116">
        <v>652.79999999999995</v>
      </c>
      <c r="O516" s="116">
        <v>641.97500000000002</v>
      </c>
      <c r="P516" s="116">
        <v>647.375</v>
      </c>
      <c r="Q516" s="116">
        <v>1301.1500000000001</v>
      </c>
      <c r="R516">
        <v>139121</v>
      </c>
    </row>
    <row r="517" spans="1:18" x14ac:dyDescent="0.25">
      <c r="A517" s="170">
        <v>42762</v>
      </c>
      <c r="B517" s="116">
        <v>653.97500000000002</v>
      </c>
      <c r="C517" s="116">
        <v>648.5</v>
      </c>
      <c r="D517" s="116">
        <v>645.5</v>
      </c>
      <c r="E517" s="116">
        <v>649.45000000000005</v>
      </c>
      <c r="F517" s="116">
        <v>1297</v>
      </c>
      <c r="G517">
        <v>6844</v>
      </c>
      <c r="H517" s="116"/>
      <c r="I517" s="116"/>
      <c r="L517" s="170">
        <v>42762</v>
      </c>
      <c r="M517" s="116">
        <v>648.92499999999995</v>
      </c>
      <c r="N517" s="116">
        <v>657.47500000000002</v>
      </c>
      <c r="O517" s="116">
        <v>645.6</v>
      </c>
      <c r="P517" s="116">
        <v>657.47500000000002</v>
      </c>
      <c r="Q517" s="116">
        <v>1297.8499999999999</v>
      </c>
      <c r="R517">
        <v>84578</v>
      </c>
    </row>
    <row r="518" spans="1:18" x14ac:dyDescent="0.25">
      <c r="A518" s="170">
        <v>42765</v>
      </c>
      <c r="B518" s="116">
        <v>657.15</v>
      </c>
      <c r="C518" s="116">
        <v>652.25</v>
      </c>
      <c r="D518" s="116">
        <v>644.125</v>
      </c>
      <c r="E518" s="116">
        <v>650</v>
      </c>
      <c r="F518" s="116">
        <v>1304.5</v>
      </c>
      <c r="G518">
        <v>4789</v>
      </c>
      <c r="H518" s="116"/>
      <c r="I518" s="116"/>
      <c r="L518" s="170">
        <v>42765</v>
      </c>
      <c r="M518" s="116">
        <v>652.85</v>
      </c>
      <c r="N518" s="116">
        <v>658</v>
      </c>
      <c r="O518" s="116">
        <v>645</v>
      </c>
      <c r="P518" s="116">
        <v>649.47500000000002</v>
      </c>
      <c r="Q518" s="116">
        <v>1305.7</v>
      </c>
      <c r="R518">
        <v>49795</v>
      </c>
    </row>
    <row r="519" spans="1:18" x14ac:dyDescent="0.25">
      <c r="A519" s="170">
        <v>42766</v>
      </c>
      <c r="B519" s="116">
        <v>663.125</v>
      </c>
      <c r="C519" s="116">
        <v>649.5</v>
      </c>
      <c r="D519" s="116">
        <v>641.02499999999998</v>
      </c>
      <c r="E519" s="116">
        <v>652.5</v>
      </c>
      <c r="F519" s="116">
        <v>1299</v>
      </c>
      <c r="G519">
        <v>9565</v>
      </c>
      <c r="H519" s="116"/>
      <c r="I519" s="116"/>
      <c r="L519" s="170">
        <v>42766</v>
      </c>
      <c r="M519" s="116">
        <v>649.97500000000002</v>
      </c>
      <c r="N519" s="116">
        <v>663</v>
      </c>
      <c r="O519" s="116">
        <v>641.1</v>
      </c>
      <c r="P519" s="116">
        <v>653.57500000000005</v>
      </c>
      <c r="Q519" s="116">
        <v>1299.95</v>
      </c>
      <c r="R519">
        <v>168875</v>
      </c>
    </row>
    <row r="520" spans="1:18" x14ac:dyDescent="0.25">
      <c r="A520" s="170">
        <v>42767</v>
      </c>
      <c r="B520" s="116">
        <v>658.45</v>
      </c>
      <c r="C520" s="116">
        <v>649.875</v>
      </c>
      <c r="D520" s="116">
        <v>643</v>
      </c>
      <c r="E520" s="116">
        <v>650</v>
      </c>
      <c r="F520" s="116">
        <v>1299.75</v>
      </c>
      <c r="G520">
        <v>6802</v>
      </c>
      <c r="H520" s="116"/>
      <c r="I520" s="116"/>
      <c r="L520" s="170">
        <v>42767</v>
      </c>
      <c r="M520" s="116">
        <v>649.15</v>
      </c>
      <c r="N520" s="116">
        <v>660.35</v>
      </c>
      <c r="O520" s="116">
        <v>643.5</v>
      </c>
      <c r="P520" s="116">
        <v>650.70000000000005</v>
      </c>
      <c r="Q520" s="116">
        <v>1298.3</v>
      </c>
      <c r="R520">
        <v>83218</v>
      </c>
    </row>
    <row r="521" spans="1:18" x14ac:dyDescent="0.25">
      <c r="A521" s="170">
        <v>42768</v>
      </c>
      <c r="B521" s="116">
        <v>645.52499999999998</v>
      </c>
      <c r="C521" s="116">
        <v>644.45000000000005</v>
      </c>
      <c r="D521" s="116">
        <v>633.02499999999998</v>
      </c>
      <c r="E521" s="116">
        <v>645.5</v>
      </c>
      <c r="F521" s="116">
        <v>1288.9000000000001</v>
      </c>
      <c r="G521">
        <v>12197</v>
      </c>
      <c r="H521" s="116"/>
      <c r="I521" s="116"/>
      <c r="L521" s="170">
        <v>42768</v>
      </c>
      <c r="M521" s="116">
        <v>643.57500000000005</v>
      </c>
      <c r="N521" s="116">
        <v>649</v>
      </c>
      <c r="O521" s="116">
        <v>632.625</v>
      </c>
      <c r="P521" s="116">
        <v>649</v>
      </c>
      <c r="Q521" s="116">
        <v>1287.1500000000001</v>
      </c>
      <c r="R521">
        <v>151123</v>
      </c>
    </row>
    <row r="522" spans="1:18" x14ac:dyDescent="0.25">
      <c r="A522" s="170">
        <v>42769</v>
      </c>
      <c r="B522" s="116">
        <v>679.47500000000002</v>
      </c>
      <c r="C522" s="116">
        <v>657.6</v>
      </c>
      <c r="D522" s="116">
        <v>643.22500000000002</v>
      </c>
      <c r="E522" s="116">
        <v>644.52499999999998</v>
      </c>
      <c r="F522" s="116">
        <v>1315.2</v>
      </c>
      <c r="G522">
        <v>52494</v>
      </c>
      <c r="H522" s="116"/>
      <c r="I522" s="116"/>
      <c r="L522" s="170">
        <v>42769</v>
      </c>
      <c r="M522" s="116">
        <v>657.15</v>
      </c>
      <c r="N522" s="116">
        <v>680</v>
      </c>
      <c r="O522" s="116">
        <v>642.85</v>
      </c>
      <c r="P522" s="116">
        <v>644</v>
      </c>
      <c r="Q522" s="116">
        <v>1314.3</v>
      </c>
      <c r="R522">
        <v>551911</v>
      </c>
    </row>
    <row r="523" spans="1:18" x14ac:dyDescent="0.25">
      <c r="A523" s="170">
        <v>42772</v>
      </c>
      <c r="B523" s="116">
        <v>662</v>
      </c>
      <c r="C523" s="116">
        <v>641.6</v>
      </c>
      <c r="D523" s="116">
        <v>638</v>
      </c>
      <c r="E523" s="116">
        <v>660.27499999999998</v>
      </c>
      <c r="F523" s="116">
        <v>1283.2</v>
      </c>
      <c r="G523">
        <v>23169</v>
      </c>
      <c r="H523" s="116"/>
      <c r="I523" s="116"/>
      <c r="L523" s="170">
        <v>42772</v>
      </c>
      <c r="M523" s="116">
        <v>641.9</v>
      </c>
      <c r="N523" s="116">
        <v>664.9</v>
      </c>
      <c r="O523" s="116">
        <v>637.5</v>
      </c>
      <c r="P523" s="116">
        <v>664.9</v>
      </c>
      <c r="Q523" s="116">
        <v>1283.8</v>
      </c>
      <c r="R523">
        <v>489825</v>
      </c>
    </row>
    <row r="524" spans="1:18" x14ac:dyDescent="0.25">
      <c r="A524" s="170">
        <v>42773</v>
      </c>
      <c r="B524" s="116">
        <v>647</v>
      </c>
      <c r="C524" s="116">
        <v>642.79999999999995</v>
      </c>
      <c r="D524" s="116">
        <v>637.5</v>
      </c>
      <c r="E524" s="116">
        <v>643.125</v>
      </c>
      <c r="F524" s="116">
        <v>1285.5999999999999</v>
      </c>
      <c r="G524">
        <v>12988</v>
      </c>
      <c r="H524" s="116"/>
      <c r="I524" s="116"/>
      <c r="L524" s="170">
        <v>42773</v>
      </c>
      <c r="M524" s="116">
        <v>643.15</v>
      </c>
      <c r="N524" s="116">
        <v>648</v>
      </c>
      <c r="O524" s="116">
        <v>637.5</v>
      </c>
      <c r="P524" s="116">
        <v>642</v>
      </c>
      <c r="Q524" s="116">
        <v>1286.3</v>
      </c>
      <c r="R524">
        <v>371369</v>
      </c>
    </row>
    <row r="525" spans="1:18" x14ac:dyDescent="0.25">
      <c r="A525" s="170">
        <v>42774</v>
      </c>
      <c r="B525" s="116">
        <v>646.20000000000005</v>
      </c>
      <c r="C525" s="116">
        <v>634.15</v>
      </c>
      <c r="D525" s="116">
        <v>630.5</v>
      </c>
      <c r="E525" s="116">
        <v>643.25</v>
      </c>
      <c r="F525" s="116">
        <v>1268.3</v>
      </c>
      <c r="G525">
        <v>17097</v>
      </c>
      <c r="H525" s="116"/>
      <c r="I525" s="116"/>
      <c r="L525" s="170">
        <v>42774</v>
      </c>
      <c r="M525" s="116">
        <v>633.5</v>
      </c>
      <c r="N525" s="116">
        <v>647.1</v>
      </c>
      <c r="O525" s="116">
        <v>631.47500000000002</v>
      </c>
      <c r="P525" s="116">
        <v>645.5</v>
      </c>
      <c r="Q525" s="116">
        <v>1267</v>
      </c>
      <c r="R525">
        <v>304934</v>
      </c>
    </row>
    <row r="526" spans="1:18" x14ac:dyDescent="0.25">
      <c r="A526" s="170">
        <v>42775</v>
      </c>
      <c r="B526" s="116">
        <v>645</v>
      </c>
      <c r="C526" s="116">
        <v>628.4</v>
      </c>
      <c r="D526" s="116">
        <v>625.15</v>
      </c>
      <c r="E526" s="116">
        <v>645</v>
      </c>
      <c r="F526" s="116">
        <v>1256.8</v>
      </c>
      <c r="G526">
        <v>127747</v>
      </c>
      <c r="H526" s="116"/>
      <c r="I526" s="116"/>
      <c r="L526" s="170">
        <v>42775</v>
      </c>
      <c r="M526" s="116">
        <v>628.5</v>
      </c>
      <c r="N526" s="116">
        <v>638.97500000000002</v>
      </c>
      <c r="O526" s="116">
        <v>625.02499999999998</v>
      </c>
      <c r="P526" s="116">
        <v>636</v>
      </c>
      <c r="Q526" s="116">
        <v>1257</v>
      </c>
      <c r="R526">
        <v>396435</v>
      </c>
    </row>
    <row r="527" spans="1:18" x14ac:dyDescent="0.25">
      <c r="A527" s="170">
        <v>42776</v>
      </c>
      <c r="B527" s="116">
        <v>629.375</v>
      </c>
      <c r="C527" s="116">
        <v>626.22500000000002</v>
      </c>
      <c r="D527" s="116">
        <v>620.04999999999995</v>
      </c>
      <c r="E527" s="116">
        <v>628.5</v>
      </c>
      <c r="F527" s="116">
        <v>1252.45</v>
      </c>
      <c r="G527">
        <v>21434</v>
      </c>
      <c r="H527" s="116"/>
      <c r="I527" s="116"/>
      <c r="L527" s="170">
        <v>42776</v>
      </c>
      <c r="M527" s="116">
        <v>625.97500000000002</v>
      </c>
      <c r="N527" s="116">
        <v>629.20000000000005</v>
      </c>
      <c r="O527" s="116">
        <v>620.04999999999995</v>
      </c>
      <c r="P527" s="116">
        <v>627.95000000000005</v>
      </c>
      <c r="Q527" s="116">
        <v>1251.95</v>
      </c>
      <c r="R527">
        <v>128783</v>
      </c>
    </row>
    <row r="528" spans="1:18" x14ac:dyDescent="0.25">
      <c r="A528" s="170">
        <v>42779</v>
      </c>
      <c r="B528" s="116">
        <v>631</v>
      </c>
      <c r="C528" s="116">
        <v>624.70000000000005</v>
      </c>
      <c r="D528" s="116">
        <v>621</v>
      </c>
      <c r="E528" s="116">
        <v>631</v>
      </c>
      <c r="F528" s="116">
        <v>1249.4000000000001</v>
      </c>
      <c r="G528">
        <v>7127</v>
      </c>
      <c r="H528" s="116"/>
      <c r="I528" s="116"/>
      <c r="L528" s="170">
        <v>42779</v>
      </c>
      <c r="M528" s="116">
        <v>624.75</v>
      </c>
      <c r="N528" s="116">
        <v>629.92499999999995</v>
      </c>
      <c r="O528" s="116">
        <v>620.6</v>
      </c>
      <c r="P528" s="116">
        <v>628.45000000000005</v>
      </c>
      <c r="Q528" s="116">
        <v>1249.5</v>
      </c>
      <c r="R528">
        <v>85617</v>
      </c>
    </row>
    <row r="529" spans="1:18" x14ac:dyDescent="0.25">
      <c r="A529" s="170">
        <v>42780</v>
      </c>
      <c r="B529" s="116">
        <v>634.1</v>
      </c>
      <c r="C529" s="116">
        <v>629.70000000000005</v>
      </c>
      <c r="D529" s="116">
        <v>626.07500000000005</v>
      </c>
      <c r="E529" s="116">
        <v>626.07500000000005</v>
      </c>
      <c r="F529" s="116">
        <v>1259.4000000000001</v>
      </c>
      <c r="G529">
        <v>5105</v>
      </c>
      <c r="H529" s="116"/>
      <c r="I529" s="116"/>
      <c r="L529" s="170">
        <v>42780</v>
      </c>
      <c r="M529" s="116">
        <v>629.875</v>
      </c>
      <c r="N529" s="116">
        <v>632.6</v>
      </c>
      <c r="O529" s="116">
        <v>625.67499999999995</v>
      </c>
      <c r="P529" s="116">
        <v>627.97500000000002</v>
      </c>
      <c r="Q529" s="116">
        <v>1259.75</v>
      </c>
      <c r="R529">
        <v>144409</v>
      </c>
    </row>
    <row r="530" spans="1:18" x14ac:dyDescent="0.25">
      <c r="A530" s="170">
        <v>42781</v>
      </c>
      <c r="B530" s="116">
        <v>627.5</v>
      </c>
      <c r="C530" s="116">
        <v>616.6</v>
      </c>
      <c r="D530" s="116">
        <v>604</v>
      </c>
      <c r="E530" s="116">
        <v>627.5</v>
      </c>
      <c r="F530" s="116">
        <v>1233.2</v>
      </c>
      <c r="G530">
        <v>21990</v>
      </c>
      <c r="H530" s="116"/>
      <c r="I530" s="116"/>
      <c r="L530" s="170">
        <v>42781</v>
      </c>
      <c r="M530" s="116">
        <v>615.70000000000005</v>
      </c>
      <c r="N530" s="116">
        <v>627.85</v>
      </c>
      <c r="O530" s="116">
        <v>602.65</v>
      </c>
      <c r="P530" s="116">
        <v>627.45000000000005</v>
      </c>
      <c r="Q530" s="116">
        <v>1231.4000000000001</v>
      </c>
      <c r="R530">
        <v>212805</v>
      </c>
    </row>
    <row r="531" spans="1:18" x14ac:dyDescent="0.25">
      <c r="A531" s="170">
        <v>42782</v>
      </c>
      <c r="B531" s="116">
        <v>634.95000000000005</v>
      </c>
      <c r="C531" s="116">
        <v>628</v>
      </c>
      <c r="D531" s="116">
        <v>612.52499999999998</v>
      </c>
      <c r="E531" s="116">
        <v>615.02499999999998</v>
      </c>
      <c r="F531" s="116">
        <v>1256</v>
      </c>
      <c r="G531">
        <v>12423</v>
      </c>
      <c r="H531" s="116"/>
      <c r="I531" s="116"/>
      <c r="L531" s="170">
        <v>42782</v>
      </c>
      <c r="M531" s="116">
        <v>626.92499999999995</v>
      </c>
      <c r="N531" s="116">
        <v>634.125</v>
      </c>
      <c r="O531" s="116">
        <v>613.42499999999995</v>
      </c>
      <c r="P531" s="116">
        <v>615.04999999999995</v>
      </c>
      <c r="Q531" s="116">
        <v>1253.8499999999999</v>
      </c>
      <c r="R531">
        <v>141553</v>
      </c>
    </row>
    <row r="532" spans="1:18" x14ac:dyDescent="0.25">
      <c r="A532" s="170">
        <v>42783</v>
      </c>
      <c r="B532" s="116">
        <v>638.5</v>
      </c>
      <c r="C532" s="116">
        <v>630.85</v>
      </c>
      <c r="D532" s="116">
        <v>627.4</v>
      </c>
      <c r="E532" s="116">
        <v>636.9</v>
      </c>
      <c r="F532" s="116">
        <v>1261.7</v>
      </c>
      <c r="G532">
        <v>7309</v>
      </c>
      <c r="H532" s="116"/>
      <c r="I532" s="116"/>
      <c r="L532" s="170">
        <v>42783</v>
      </c>
      <c r="M532" s="116">
        <v>630.32500000000005</v>
      </c>
      <c r="N532" s="116">
        <v>638.65</v>
      </c>
      <c r="O532" s="116">
        <v>626.125</v>
      </c>
      <c r="P532" s="116">
        <v>631.5</v>
      </c>
      <c r="Q532" s="116">
        <v>1260.6500000000001</v>
      </c>
      <c r="R532">
        <v>125348</v>
      </c>
    </row>
    <row r="533" spans="1:18" x14ac:dyDescent="0.25">
      <c r="A533" s="170">
        <v>42786</v>
      </c>
      <c r="B533" s="116">
        <v>649.9</v>
      </c>
      <c r="C533" s="116">
        <v>644.67499999999995</v>
      </c>
      <c r="D533" s="116">
        <v>638</v>
      </c>
      <c r="E533" s="116">
        <v>639</v>
      </c>
      <c r="F533" s="116">
        <v>1289.3499999999999</v>
      </c>
      <c r="G533">
        <v>24016</v>
      </c>
      <c r="H533" s="116"/>
      <c r="I533" s="116"/>
      <c r="L533" s="170">
        <v>42786</v>
      </c>
      <c r="M533" s="116">
        <v>645.92499999999995</v>
      </c>
      <c r="N533" s="116">
        <v>651</v>
      </c>
      <c r="O533" s="116">
        <v>637.27499999999998</v>
      </c>
      <c r="P533" s="116">
        <v>637.5</v>
      </c>
      <c r="Q533" s="116">
        <v>1291.8499999999999</v>
      </c>
      <c r="R533">
        <v>244669</v>
      </c>
    </row>
    <row r="534" spans="1:18" x14ac:dyDescent="0.25">
      <c r="A534" s="170">
        <v>42787</v>
      </c>
      <c r="B534" s="116">
        <v>660.42499999999995</v>
      </c>
      <c r="C534" s="116">
        <v>656.57500000000005</v>
      </c>
      <c r="D534" s="116">
        <v>642.25</v>
      </c>
      <c r="E534" s="116">
        <v>646.9</v>
      </c>
      <c r="F534" s="116">
        <v>1313.15</v>
      </c>
      <c r="G534">
        <v>27440</v>
      </c>
      <c r="H534" s="116"/>
      <c r="I534" s="116"/>
      <c r="L534" s="170">
        <v>42787</v>
      </c>
      <c r="M534" s="116">
        <v>655.20000000000005</v>
      </c>
      <c r="N534" s="116">
        <v>660</v>
      </c>
      <c r="O534" s="116">
        <v>641.1</v>
      </c>
      <c r="P534" s="116">
        <v>649.97500000000002</v>
      </c>
      <c r="Q534" s="116">
        <v>1310.4000000000001</v>
      </c>
      <c r="R534">
        <v>336828</v>
      </c>
    </row>
    <row r="535" spans="1:18" x14ac:dyDescent="0.25">
      <c r="A535" s="170">
        <v>42788</v>
      </c>
      <c r="B535" s="116">
        <v>660.95</v>
      </c>
      <c r="C535" s="116">
        <v>653.42499999999995</v>
      </c>
      <c r="D535" s="116">
        <v>650.5</v>
      </c>
      <c r="E535" s="116">
        <v>659.17499999999995</v>
      </c>
      <c r="F535" s="116">
        <v>1306.8499999999999</v>
      </c>
      <c r="G535">
        <v>8449</v>
      </c>
      <c r="H535" s="116"/>
      <c r="I535" s="116"/>
      <c r="L535" s="170">
        <v>42788</v>
      </c>
      <c r="M535" s="116">
        <v>655.97500000000002</v>
      </c>
      <c r="N535" s="116">
        <v>661.97500000000002</v>
      </c>
      <c r="O535" s="116">
        <v>647.70000000000005</v>
      </c>
      <c r="P535" s="116">
        <v>659.85</v>
      </c>
      <c r="Q535" s="116">
        <v>1311.95</v>
      </c>
      <c r="R535">
        <v>192941</v>
      </c>
    </row>
    <row r="536" spans="1:18" x14ac:dyDescent="0.25">
      <c r="A536" s="170">
        <v>42789</v>
      </c>
      <c r="B536" s="116">
        <v>651.875</v>
      </c>
      <c r="C536" s="116">
        <v>647.77499999999998</v>
      </c>
      <c r="D536" s="116">
        <v>641.5</v>
      </c>
      <c r="E536" s="116">
        <v>650.07500000000005</v>
      </c>
      <c r="F536" s="116">
        <v>1295.55</v>
      </c>
      <c r="G536">
        <v>7602</v>
      </c>
      <c r="H536" s="116"/>
      <c r="I536" s="116"/>
      <c r="L536" s="170">
        <v>42789</v>
      </c>
      <c r="M536" s="116">
        <v>648.29999999999995</v>
      </c>
      <c r="N536" s="116">
        <v>653</v>
      </c>
      <c r="O536" s="116">
        <v>640.4</v>
      </c>
      <c r="P536" s="116">
        <v>653</v>
      </c>
      <c r="Q536" s="116">
        <v>1296.5999999999999</v>
      </c>
      <c r="R536">
        <v>319907</v>
      </c>
    </row>
    <row r="537" spans="1:18" x14ac:dyDescent="0.25">
      <c r="A537" s="170">
        <v>42793</v>
      </c>
      <c r="B537" s="116">
        <v>674.5</v>
      </c>
      <c r="C537" s="116">
        <v>672.02499999999998</v>
      </c>
      <c r="D537" s="116">
        <v>650</v>
      </c>
      <c r="E537" s="116">
        <v>654</v>
      </c>
      <c r="F537" s="116">
        <v>1344.05</v>
      </c>
      <c r="G537">
        <v>26842</v>
      </c>
      <c r="H537" s="116"/>
      <c r="I537" s="116"/>
      <c r="L537" s="170">
        <v>42793</v>
      </c>
      <c r="M537" s="116">
        <v>671.77499999999998</v>
      </c>
      <c r="N537" s="116">
        <v>674.75</v>
      </c>
      <c r="O537" s="116">
        <v>648.5</v>
      </c>
      <c r="P537" s="116">
        <v>654.875</v>
      </c>
      <c r="Q537" s="116">
        <v>1343.55</v>
      </c>
      <c r="R537">
        <v>381500</v>
      </c>
    </row>
    <row r="538" spans="1:18" x14ac:dyDescent="0.25">
      <c r="A538" s="170">
        <v>42794</v>
      </c>
      <c r="B538" s="116">
        <v>688.6</v>
      </c>
      <c r="C538" s="116">
        <v>680.25</v>
      </c>
      <c r="D538" s="116">
        <v>671</v>
      </c>
      <c r="E538" s="116">
        <v>674</v>
      </c>
      <c r="F538" s="116">
        <v>1360.5</v>
      </c>
      <c r="G538">
        <v>21300</v>
      </c>
      <c r="H538" s="116"/>
      <c r="I538" s="116"/>
      <c r="L538" s="170">
        <v>42794</v>
      </c>
      <c r="M538" s="116">
        <v>680.97500000000002</v>
      </c>
      <c r="N538" s="116">
        <v>688.22500000000002</v>
      </c>
      <c r="O538" s="116">
        <v>671.02499999999998</v>
      </c>
      <c r="P538" s="116">
        <v>673.375</v>
      </c>
      <c r="Q538" s="116">
        <v>1361.95</v>
      </c>
      <c r="R538">
        <v>308862</v>
      </c>
    </row>
    <row r="539" spans="1:18" x14ac:dyDescent="0.25">
      <c r="A539" s="170">
        <v>42795</v>
      </c>
      <c r="B539" s="116">
        <v>687.82500000000005</v>
      </c>
      <c r="C539" s="116">
        <v>683.25</v>
      </c>
      <c r="D539" s="116">
        <v>677.52499999999998</v>
      </c>
      <c r="E539" s="116">
        <v>684.5</v>
      </c>
      <c r="F539" s="116">
        <v>1366.5</v>
      </c>
      <c r="G539">
        <v>8682</v>
      </c>
      <c r="H539" s="116"/>
      <c r="I539" s="116"/>
      <c r="L539" s="170">
        <v>42795</v>
      </c>
      <c r="M539" s="116">
        <v>684.95</v>
      </c>
      <c r="N539" s="116">
        <v>687.5</v>
      </c>
      <c r="O539" s="116">
        <v>677.5</v>
      </c>
      <c r="P539" s="116">
        <v>683.5</v>
      </c>
      <c r="Q539" s="116">
        <v>1369.9</v>
      </c>
      <c r="R539">
        <v>122923</v>
      </c>
    </row>
    <row r="540" spans="1:18" x14ac:dyDescent="0.25">
      <c r="A540" s="170">
        <v>42796</v>
      </c>
      <c r="B540" s="116">
        <v>717.52499999999998</v>
      </c>
      <c r="C540" s="116">
        <v>684.27499999999998</v>
      </c>
      <c r="D540" s="116">
        <v>675.05</v>
      </c>
      <c r="E540" s="116">
        <v>687.5</v>
      </c>
      <c r="F540" s="116">
        <v>1368.55</v>
      </c>
      <c r="G540">
        <v>30960</v>
      </c>
      <c r="H540" s="116"/>
      <c r="I540" s="116"/>
      <c r="L540" s="170">
        <v>42796</v>
      </c>
      <c r="M540" s="116">
        <v>684.42499999999995</v>
      </c>
      <c r="N540" s="116">
        <v>699</v>
      </c>
      <c r="O540" s="116">
        <v>681</v>
      </c>
      <c r="P540" s="116">
        <v>687.5</v>
      </c>
      <c r="Q540" s="116">
        <v>1368.85</v>
      </c>
      <c r="R540">
        <v>246041</v>
      </c>
    </row>
    <row r="541" spans="1:18" x14ac:dyDescent="0.25">
      <c r="A541" s="170">
        <v>42797</v>
      </c>
      <c r="B541" s="116">
        <v>684</v>
      </c>
      <c r="C541" s="116">
        <v>671.32500000000005</v>
      </c>
      <c r="D541" s="116">
        <v>662.75</v>
      </c>
      <c r="E541" s="116">
        <v>684</v>
      </c>
      <c r="F541" s="116">
        <v>1342.65</v>
      </c>
      <c r="G541">
        <v>9835</v>
      </c>
      <c r="H541" s="116"/>
      <c r="I541" s="116"/>
      <c r="L541" s="170">
        <v>42797</v>
      </c>
      <c r="M541" s="116">
        <v>671.67499999999995</v>
      </c>
      <c r="N541" s="116">
        <v>686.1</v>
      </c>
      <c r="O541" s="116">
        <v>662.25</v>
      </c>
      <c r="P541" s="116">
        <v>685.1</v>
      </c>
      <c r="Q541" s="116">
        <v>1343.35</v>
      </c>
      <c r="R541">
        <v>162354</v>
      </c>
    </row>
    <row r="542" spans="1:18" x14ac:dyDescent="0.25">
      <c r="A542" s="170">
        <v>42800</v>
      </c>
      <c r="B542" s="116">
        <v>691.125</v>
      </c>
      <c r="C542" s="116">
        <v>686.35</v>
      </c>
      <c r="D542" s="116">
        <v>667.5</v>
      </c>
      <c r="E542" s="116">
        <v>670</v>
      </c>
      <c r="F542" s="116">
        <v>1372.7</v>
      </c>
      <c r="G542">
        <v>14131</v>
      </c>
      <c r="H542" s="116"/>
      <c r="I542" s="116"/>
      <c r="L542" s="170">
        <v>42800</v>
      </c>
      <c r="M542" s="116">
        <v>685.65</v>
      </c>
      <c r="N542" s="116">
        <v>691.65</v>
      </c>
      <c r="O542" s="116">
        <v>667.5</v>
      </c>
      <c r="P542" s="116">
        <v>669</v>
      </c>
      <c r="Q542" s="116">
        <v>1371.3</v>
      </c>
      <c r="R542">
        <v>312463</v>
      </c>
    </row>
    <row r="543" spans="1:18" x14ac:dyDescent="0.25">
      <c r="A543" s="170">
        <v>42801</v>
      </c>
      <c r="B543" s="116">
        <v>684</v>
      </c>
      <c r="C543" s="116">
        <v>674.92499999999995</v>
      </c>
      <c r="D543" s="116">
        <v>670</v>
      </c>
      <c r="E543" s="116">
        <v>684</v>
      </c>
      <c r="F543" s="116">
        <v>1349.85</v>
      </c>
      <c r="G543">
        <v>7680</v>
      </c>
      <c r="H543" s="116"/>
      <c r="I543" s="116"/>
      <c r="L543" s="170">
        <v>42801</v>
      </c>
      <c r="M543" s="116">
        <v>674.35</v>
      </c>
      <c r="N543" s="116">
        <v>684.5</v>
      </c>
      <c r="O543" s="116">
        <v>670</v>
      </c>
      <c r="P543" s="116">
        <v>684.5</v>
      </c>
      <c r="Q543" s="116">
        <v>1348.7</v>
      </c>
      <c r="R543">
        <v>136524</v>
      </c>
    </row>
    <row r="544" spans="1:18" x14ac:dyDescent="0.25">
      <c r="A544" s="170">
        <v>42802</v>
      </c>
      <c r="B544" s="116">
        <v>682.8</v>
      </c>
      <c r="C544" s="116">
        <v>674.72500000000002</v>
      </c>
      <c r="D544" s="116">
        <v>670.5</v>
      </c>
      <c r="E544" s="116">
        <v>676.5</v>
      </c>
      <c r="F544" s="116">
        <v>1349.45</v>
      </c>
      <c r="G544">
        <v>9427</v>
      </c>
      <c r="H544" s="116"/>
      <c r="I544" s="116"/>
      <c r="L544" s="170">
        <v>42802</v>
      </c>
      <c r="M544" s="116">
        <v>675.3</v>
      </c>
      <c r="N544" s="116">
        <v>682.97500000000002</v>
      </c>
      <c r="O544" s="116">
        <v>668.65</v>
      </c>
      <c r="P544" s="116">
        <v>675.02499999999998</v>
      </c>
      <c r="Q544" s="116">
        <v>1350.6</v>
      </c>
      <c r="R544">
        <v>103886</v>
      </c>
    </row>
    <row r="545" spans="1:18" x14ac:dyDescent="0.25">
      <c r="A545" s="170">
        <v>42803</v>
      </c>
      <c r="B545" s="116">
        <v>678.375</v>
      </c>
      <c r="C545" s="116">
        <v>664.17499999999995</v>
      </c>
      <c r="D545" s="116">
        <v>661.375</v>
      </c>
      <c r="E545" s="116">
        <v>675</v>
      </c>
      <c r="F545" s="116">
        <v>1328.35</v>
      </c>
      <c r="G545">
        <v>47694</v>
      </c>
      <c r="H545" s="116"/>
      <c r="I545" s="116"/>
      <c r="L545" s="170">
        <v>42803</v>
      </c>
      <c r="M545" s="116">
        <v>665.57500000000005</v>
      </c>
      <c r="N545" s="116">
        <v>679.875</v>
      </c>
      <c r="O545" s="116">
        <v>663</v>
      </c>
      <c r="P545" s="116">
        <v>674.625</v>
      </c>
      <c r="Q545" s="116">
        <v>1331.15</v>
      </c>
      <c r="R545">
        <v>49764</v>
      </c>
    </row>
    <row r="546" spans="1:18" x14ac:dyDescent="0.25">
      <c r="A546" s="170">
        <v>42804</v>
      </c>
      <c r="B546" s="116">
        <v>673.35</v>
      </c>
      <c r="C546" s="116">
        <v>664.97500000000002</v>
      </c>
      <c r="D546" s="116">
        <v>661.5</v>
      </c>
      <c r="E546" s="116">
        <v>667.5</v>
      </c>
      <c r="F546" s="116">
        <v>1329.95</v>
      </c>
      <c r="G546">
        <v>5654</v>
      </c>
      <c r="H546" s="116"/>
      <c r="I546" s="116"/>
      <c r="L546" s="170">
        <v>42804</v>
      </c>
      <c r="M546" s="116">
        <v>663.82500000000005</v>
      </c>
      <c r="N546" s="116">
        <v>677</v>
      </c>
      <c r="O546" s="116">
        <v>660</v>
      </c>
      <c r="P546" s="116">
        <v>674.42499999999995</v>
      </c>
      <c r="Q546" s="116">
        <v>1327.65</v>
      </c>
      <c r="R546">
        <v>63272</v>
      </c>
    </row>
    <row r="547" spans="1:18" x14ac:dyDescent="0.25">
      <c r="A547" s="170">
        <v>42808</v>
      </c>
      <c r="B547" s="116">
        <v>677.77499999999998</v>
      </c>
      <c r="C547" s="116">
        <v>668.92499999999995</v>
      </c>
      <c r="D547" s="116">
        <v>665.27499999999998</v>
      </c>
      <c r="E547" s="116">
        <v>675.375</v>
      </c>
      <c r="F547" s="116">
        <v>1337.85</v>
      </c>
      <c r="G547">
        <v>5413</v>
      </c>
      <c r="H547" s="116"/>
      <c r="I547" s="116"/>
      <c r="L547" s="170">
        <v>42808</v>
      </c>
      <c r="M547" s="116">
        <v>668.72500000000002</v>
      </c>
      <c r="N547" s="116">
        <v>679.95</v>
      </c>
      <c r="O547" s="116">
        <v>665.5</v>
      </c>
      <c r="P547" s="116">
        <v>679.85</v>
      </c>
      <c r="Q547" s="116">
        <v>1337.45</v>
      </c>
      <c r="R547">
        <v>122974</v>
      </c>
    </row>
    <row r="548" spans="1:18" x14ac:dyDescent="0.25">
      <c r="A548" s="170">
        <v>42809</v>
      </c>
      <c r="B548" s="116">
        <v>680</v>
      </c>
      <c r="C548" s="116">
        <v>676.15</v>
      </c>
      <c r="D548" s="116">
        <v>668.5</v>
      </c>
      <c r="E548" s="116">
        <v>668.92499999999995</v>
      </c>
      <c r="F548" s="116">
        <v>1352.3</v>
      </c>
      <c r="G548">
        <v>4257</v>
      </c>
      <c r="H548" s="116"/>
      <c r="I548" s="116"/>
      <c r="L548" s="170">
        <v>42809</v>
      </c>
      <c r="M548" s="116">
        <v>675.35</v>
      </c>
      <c r="N548" s="116">
        <v>678.6</v>
      </c>
      <c r="O548" s="116">
        <v>666.77499999999998</v>
      </c>
      <c r="P548" s="116">
        <v>669.97500000000002</v>
      </c>
      <c r="Q548" s="116">
        <v>1350.7</v>
      </c>
      <c r="R548">
        <v>160054</v>
      </c>
    </row>
    <row r="549" spans="1:18" x14ac:dyDescent="0.25">
      <c r="A549" s="170">
        <v>42810</v>
      </c>
      <c r="B549" s="116">
        <v>688.8</v>
      </c>
      <c r="C549" s="116">
        <v>686.2</v>
      </c>
      <c r="D549" s="116">
        <v>677.42499999999995</v>
      </c>
      <c r="E549" s="116">
        <v>677.42499999999995</v>
      </c>
      <c r="F549" s="116">
        <v>1372.4</v>
      </c>
      <c r="G549">
        <v>14258</v>
      </c>
      <c r="H549" s="116"/>
      <c r="I549" s="116"/>
      <c r="L549" s="170">
        <v>42810</v>
      </c>
      <c r="M549" s="116">
        <v>686.375</v>
      </c>
      <c r="N549" s="116">
        <v>689.95</v>
      </c>
      <c r="O549" s="116">
        <v>678.25</v>
      </c>
      <c r="P549" s="116">
        <v>679.97500000000002</v>
      </c>
      <c r="Q549" s="116">
        <v>1372.75</v>
      </c>
      <c r="R549">
        <v>100783</v>
      </c>
    </row>
    <row r="550" spans="1:18" x14ac:dyDescent="0.25">
      <c r="A550" s="170">
        <v>42811</v>
      </c>
      <c r="B550" s="116">
        <v>728.625</v>
      </c>
      <c r="C550" s="116">
        <v>723.77499999999998</v>
      </c>
      <c r="D550" s="116">
        <v>685</v>
      </c>
      <c r="E550" s="116">
        <v>687.5</v>
      </c>
      <c r="F550" s="116">
        <v>1447.55</v>
      </c>
      <c r="G550">
        <v>33892</v>
      </c>
      <c r="H550" s="116"/>
      <c r="I550" s="116"/>
      <c r="L550" s="170">
        <v>42811</v>
      </c>
      <c r="M550" s="116">
        <v>723.45</v>
      </c>
      <c r="N550" s="116">
        <v>727.9</v>
      </c>
      <c r="O550" s="116">
        <v>684.55</v>
      </c>
      <c r="P550" s="116">
        <v>686.375</v>
      </c>
      <c r="Q550" s="116">
        <v>1446.9</v>
      </c>
      <c r="R550">
        <v>473872</v>
      </c>
    </row>
    <row r="551" spans="1:18" x14ac:dyDescent="0.25">
      <c r="A551" s="170">
        <v>42814</v>
      </c>
      <c r="B551" s="116">
        <v>729.9</v>
      </c>
      <c r="C551" s="116">
        <v>720.72500000000002</v>
      </c>
      <c r="D551" s="116">
        <v>715.22500000000002</v>
      </c>
      <c r="E551" s="116">
        <v>726.15</v>
      </c>
      <c r="F551" s="116">
        <v>1441.45</v>
      </c>
      <c r="G551">
        <v>12910</v>
      </c>
      <c r="H551" s="116"/>
      <c r="I551" s="116"/>
      <c r="L551" s="170">
        <v>42814</v>
      </c>
      <c r="M551" s="116">
        <v>722.625</v>
      </c>
      <c r="N551" s="116">
        <v>729.95</v>
      </c>
      <c r="O551" s="116">
        <v>715.07500000000005</v>
      </c>
      <c r="P551" s="116">
        <v>726.9</v>
      </c>
      <c r="Q551" s="116">
        <v>1445.25</v>
      </c>
      <c r="R551">
        <v>145451</v>
      </c>
    </row>
    <row r="552" spans="1:18" x14ac:dyDescent="0.25">
      <c r="A552" s="170">
        <v>42815</v>
      </c>
      <c r="B552" s="116">
        <v>739.42499999999995</v>
      </c>
      <c r="C552" s="116">
        <v>720.7</v>
      </c>
      <c r="D552" s="116">
        <v>715.25</v>
      </c>
      <c r="E552" s="116">
        <v>722</v>
      </c>
      <c r="F552" s="116">
        <v>1441.4</v>
      </c>
      <c r="G552">
        <v>25069</v>
      </c>
      <c r="H552" s="116"/>
      <c r="I552" s="116"/>
      <c r="L552" s="170">
        <v>42815</v>
      </c>
      <c r="M552" s="116">
        <v>720.45</v>
      </c>
      <c r="N552" s="116">
        <v>740.92499999999995</v>
      </c>
      <c r="O552" s="116">
        <v>715.67499999999995</v>
      </c>
      <c r="P552" s="116">
        <v>724.5</v>
      </c>
      <c r="Q552" s="116">
        <v>1440.9</v>
      </c>
      <c r="R552">
        <v>226976</v>
      </c>
    </row>
    <row r="553" spans="1:18" x14ac:dyDescent="0.25">
      <c r="A553" s="170">
        <v>42816</v>
      </c>
      <c r="B553" s="116">
        <v>717.45</v>
      </c>
      <c r="C553" s="116">
        <v>711.15</v>
      </c>
      <c r="D553" s="116">
        <v>699.5</v>
      </c>
      <c r="E553" s="116">
        <v>715</v>
      </c>
      <c r="F553" s="116">
        <v>1422.3</v>
      </c>
      <c r="G553">
        <v>11377</v>
      </c>
      <c r="H553" s="116"/>
      <c r="I553" s="116"/>
      <c r="L553" s="170">
        <v>42816</v>
      </c>
      <c r="M553" s="116">
        <v>711</v>
      </c>
      <c r="N553" s="116">
        <v>717.5</v>
      </c>
      <c r="O553" s="116">
        <v>699.4</v>
      </c>
      <c r="P553" s="116">
        <v>717.47500000000002</v>
      </c>
      <c r="Q553" s="116">
        <v>1422</v>
      </c>
      <c r="R553">
        <v>228392</v>
      </c>
    </row>
    <row r="554" spans="1:18" x14ac:dyDescent="0.25">
      <c r="A554" s="170">
        <v>42817</v>
      </c>
      <c r="B554" s="116">
        <v>722.5</v>
      </c>
      <c r="C554" s="116">
        <v>716.875</v>
      </c>
      <c r="D554" s="116">
        <v>710.2</v>
      </c>
      <c r="E554" s="116">
        <v>711.15</v>
      </c>
      <c r="F554" s="116">
        <v>1433.75</v>
      </c>
      <c r="G554">
        <v>5992</v>
      </c>
      <c r="H554" s="116"/>
      <c r="I554" s="116"/>
      <c r="L554" s="170">
        <v>42817</v>
      </c>
      <c r="M554" s="116">
        <v>716.72500000000002</v>
      </c>
      <c r="N554" s="116">
        <v>722.5</v>
      </c>
      <c r="O554" s="116">
        <v>707.125</v>
      </c>
      <c r="P554" s="116">
        <v>711</v>
      </c>
      <c r="Q554" s="116">
        <v>1433.45</v>
      </c>
      <c r="R554">
        <v>82286</v>
      </c>
    </row>
    <row r="555" spans="1:18" x14ac:dyDescent="0.25">
      <c r="A555" s="170">
        <v>42818</v>
      </c>
      <c r="B555" s="116">
        <v>725</v>
      </c>
      <c r="C555" s="116">
        <v>705.82500000000005</v>
      </c>
      <c r="D555" s="116">
        <v>700.125</v>
      </c>
      <c r="E555" s="116">
        <v>717.5</v>
      </c>
      <c r="F555" s="116">
        <v>1411.65</v>
      </c>
      <c r="G555">
        <v>11380</v>
      </c>
      <c r="H555" s="116"/>
      <c r="I555" s="116"/>
      <c r="L555" s="170">
        <v>42818</v>
      </c>
      <c r="M555" s="116">
        <v>704.22500000000002</v>
      </c>
      <c r="N555" s="116">
        <v>724.45</v>
      </c>
      <c r="O555" s="116">
        <v>698.75</v>
      </c>
      <c r="P555" s="116">
        <v>715.1</v>
      </c>
      <c r="Q555" s="116">
        <v>1408.45</v>
      </c>
      <c r="R555">
        <v>139339</v>
      </c>
    </row>
    <row r="556" spans="1:18" x14ac:dyDescent="0.25">
      <c r="A556" s="170">
        <v>42821</v>
      </c>
      <c r="B556" s="116">
        <v>706.5</v>
      </c>
      <c r="C556" s="116">
        <v>702.375</v>
      </c>
      <c r="D556" s="116">
        <v>696.8</v>
      </c>
      <c r="E556" s="116">
        <v>706.5</v>
      </c>
      <c r="F556" s="116">
        <v>1404.75</v>
      </c>
      <c r="G556">
        <v>6272</v>
      </c>
      <c r="H556" s="116"/>
      <c r="I556" s="116"/>
      <c r="L556" s="170">
        <v>42821</v>
      </c>
      <c r="M556" s="116">
        <v>701.27499999999998</v>
      </c>
      <c r="N556" s="116">
        <v>707.5</v>
      </c>
      <c r="O556" s="116">
        <v>696.77499999999998</v>
      </c>
      <c r="P556" s="116">
        <v>707</v>
      </c>
      <c r="Q556" s="116">
        <v>1402.55</v>
      </c>
      <c r="R556">
        <v>85348</v>
      </c>
    </row>
    <row r="557" spans="1:18" x14ac:dyDescent="0.25">
      <c r="A557" s="170">
        <v>42822</v>
      </c>
      <c r="B557" s="116">
        <v>725</v>
      </c>
      <c r="C557" s="116">
        <v>722.375</v>
      </c>
      <c r="D557" s="116">
        <v>686.05</v>
      </c>
      <c r="E557" s="116">
        <v>702.5</v>
      </c>
      <c r="F557" s="116">
        <v>1444.75</v>
      </c>
      <c r="G557">
        <v>19727370</v>
      </c>
      <c r="H557" s="116"/>
      <c r="I557" s="116"/>
      <c r="L557" s="170">
        <v>42822</v>
      </c>
      <c r="M557" s="116">
        <v>722.8</v>
      </c>
      <c r="N557" s="116">
        <v>725</v>
      </c>
      <c r="O557" s="116">
        <v>680</v>
      </c>
      <c r="P557" s="116">
        <v>704.02499999999998</v>
      </c>
      <c r="Q557" s="116">
        <v>1445.6</v>
      </c>
      <c r="R557">
        <v>203311</v>
      </c>
    </row>
    <row r="558" spans="1:18" x14ac:dyDescent="0.25">
      <c r="A558" s="170">
        <v>42823</v>
      </c>
      <c r="B558" s="116">
        <v>732.5</v>
      </c>
      <c r="C558" s="116">
        <v>727.77499999999998</v>
      </c>
      <c r="D558" s="116">
        <v>718.55</v>
      </c>
      <c r="E558" s="116">
        <v>727.5</v>
      </c>
      <c r="F558" s="116">
        <v>1455.55</v>
      </c>
      <c r="G558">
        <v>17741</v>
      </c>
      <c r="H558" s="116"/>
      <c r="I558" s="116"/>
      <c r="L558" s="170">
        <v>42823</v>
      </c>
      <c r="M558" s="116">
        <v>729.97500000000002</v>
      </c>
      <c r="N558" s="116">
        <v>735</v>
      </c>
      <c r="O558" s="116">
        <v>719.27499999999998</v>
      </c>
      <c r="P558" s="116">
        <v>723.5</v>
      </c>
      <c r="Q558" s="116">
        <v>1459.95</v>
      </c>
      <c r="R558">
        <v>175937</v>
      </c>
    </row>
    <row r="559" spans="1:18" x14ac:dyDescent="0.25">
      <c r="A559" s="170">
        <v>42824</v>
      </c>
      <c r="B559" s="116">
        <v>759.42499999999995</v>
      </c>
      <c r="C559" s="116">
        <v>744.22500000000002</v>
      </c>
      <c r="D559" s="116">
        <v>730</v>
      </c>
      <c r="E559" s="116">
        <v>733.57500000000005</v>
      </c>
      <c r="F559" s="116">
        <v>1488.45</v>
      </c>
      <c r="G559">
        <v>22114</v>
      </c>
      <c r="H559" s="116"/>
      <c r="I559" s="116"/>
      <c r="L559" s="170">
        <v>42824</v>
      </c>
      <c r="M559" s="116">
        <v>748.57500000000005</v>
      </c>
      <c r="N559" s="116">
        <v>757.5</v>
      </c>
      <c r="O559" s="116">
        <v>728.5</v>
      </c>
      <c r="P559" s="116">
        <v>728.5</v>
      </c>
      <c r="Q559" s="116">
        <v>1497.15</v>
      </c>
      <c r="R559">
        <v>215975</v>
      </c>
    </row>
    <row r="560" spans="1:18" x14ac:dyDescent="0.25">
      <c r="A560" s="170">
        <v>42825</v>
      </c>
      <c r="B560" s="116">
        <v>786.05</v>
      </c>
      <c r="C560" s="116">
        <v>774.625</v>
      </c>
      <c r="D560" s="116">
        <v>745.5</v>
      </c>
      <c r="E560" s="116">
        <v>745.5</v>
      </c>
      <c r="F560" s="116">
        <v>1549.25</v>
      </c>
      <c r="G560">
        <v>32269</v>
      </c>
      <c r="H560" s="116"/>
      <c r="I560" s="116"/>
      <c r="L560" s="170">
        <v>42825</v>
      </c>
      <c r="M560" s="116">
        <v>776.3</v>
      </c>
      <c r="N560" s="116">
        <v>787.625</v>
      </c>
      <c r="O560" s="116">
        <v>743.27499999999998</v>
      </c>
      <c r="P560" s="116">
        <v>752.2</v>
      </c>
      <c r="Q560" s="116">
        <v>1552.6</v>
      </c>
      <c r="R560">
        <v>369693</v>
      </c>
    </row>
    <row r="561" spans="1:18" x14ac:dyDescent="0.25">
      <c r="A561" s="170">
        <v>42828</v>
      </c>
      <c r="B561" s="116">
        <v>775</v>
      </c>
      <c r="C561" s="116">
        <v>753.45</v>
      </c>
      <c r="D561" s="116">
        <v>739.32500000000005</v>
      </c>
      <c r="E561" s="116">
        <v>775</v>
      </c>
      <c r="F561" s="116">
        <v>1506.9</v>
      </c>
      <c r="G561">
        <v>339798</v>
      </c>
      <c r="H561" s="116"/>
      <c r="I561" s="116"/>
      <c r="L561" s="170">
        <v>42828</v>
      </c>
      <c r="M561" s="116">
        <v>752.52499999999998</v>
      </c>
      <c r="N561" s="116">
        <v>775</v>
      </c>
      <c r="O561" s="116">
        <v>737.5</v>
      </c>
      <c r="P561" s="116">
        <v>775</v>
      </c>
      <c r="Q561" s="116">
        <v>1505.05</v>
      </c>
      <c r="R561">
        <v>376945</v>
      </c>
    </row>
    <row r="562" spans="1:18" x14ac:dyDescent="0.25">
      <c r="A562" s="170">
        <v>42830</v>
      </c>
      <c r="B562" s="116">
        <v>755.42499999999995</v>
      </c>
      <c r="C562" s="116">
        <v>738.65</v>
      </c>
      <c r="D562" s="116">
        <v>736.125</v>
      </c>
      <c r="E562" s="116">
        <v>755</v>
      </c>
      <c r="F562" s="116">
        <v>1477.3</v>
      </c>
      <c r="G562">
        <v>13930</v>
      </c>
      <c r="H562" s="116"/>
      <c r="I562" s="116"/>
      <c r="L562" s="170">
        <v>42830</v>
      </c>
      <c r="M562" s="116">
        <v>739.625</v>
      </c>
      <c r="N562" s="116">
        <v>755</v>
      </c>
      <c r="O562" s="116">
        <v>737.5</v>
      </c>
      <c r="P562" s="116">
        <v>755</v>
      </c>
      <c r="Q562" s="116">
        <v>1479.25</v>
      </c>
      <c r="R562">
        <v>164900</v>
      </c>
    </row>
    <row r="563" spans="1:18" x14ac:dyDescent="0.25">
      <c r="A563" s="170">
        <v>42831</v>
      </c>
      <c r="B563" s="116">
        <v>749.2</v>
      </c>
      <c r="C563" s="116">
        <v>740.95</v>
      </c>
      <c r="D563" s="116">
        <v>732</v>
      </c>
      <c r="E563" s="116">
        <v>739</v>
      </c>
      <c r="F563" s="116">
        <v>1481.9</v>
      </c>
      <c r="G563">
        <v>6896</v>
      </c>
      <c r="H563" s="116"/>
      <c r="I563" s="116"/>
      <c r="L563" s="170">
        <v>42831</v>
      </c>
      <c r="M563" s="116">
        <v>739.67499999999995</v>
      </c>
      <c r="N563" s="116">
        <v>749.5</v>
      </c>
      <c r="O563" s="116">
        <v>730.27499999999998</v>
      </c>
      <c r="P563" s="116">
        <v>738.5</v>
      </c>
      <c r="Q563" s="116">
        <v>1479.35</v>
      </c>
      <c r="R563">
        <v>125697</v>
      </c>
    </row>
    <row r="564" spans="1:18" x14ac:dyDescent="0.25">
      <c r="A564" s="170">
        <v>42832</v>
      </c>
      <c r="B564" s="116">
        <v>743.75</v>
      </c>
      <c r="C564" s="116">
        <v>727.75</v>
      </c>
      <c r="D564" s="116">
        <v>725.02499999999998</v>
      </c>
      <c r="E564" s="116">
        <v>741</v>
      </c>
      <c r="F564" s="116">
        <v>1455.5</v>
      </c>
      <c r="G564">
        <v>9838</v>
      </c>
      <c r="H564" s="116"/>
      <c r="I564" s="116"/>
      <c r="L564" s="170">
        <v>42832</v>
      </c>
      <c r="M564" s="116">
        <v>727.6</v>
      </c>
      <c r="N564" s="116">
        <v>744.15</v>
      </c>
      <c r="O564" s="116">
        <v>725.4</v>
      </c>
      <c r="P564" s="116">
        <v>737.5</v>
      </c>
      <c r="Q564" s="116">
        <v>1455.2</v>
      </c>
      <c r="R564">
        <v>113734</v>
      </c>
    </row>
    <row r="565" spans="1:18" x14ac:dyDescent="0.25">
      <c r="A565" s="170">
        <v>42835</v>
      </c>
      <c r="B565" s="116">
        <v>740.47500000000002</v>
      </c>
      <c r="C565" s="116">
        <v>735.22500000000002</v>
      </c>
      <c r="D565" s="116">
        <v>727.5</v>
      </c>
      <c r="E565" s="116">
        <v>727.5</v>
      </c>
      <c r="F565" s="116">
        <v>1470.45</v>
      </c>
      <c r="G565">
        <v>10054</v>
      </c>
      <c r="H565" s="116"/>
      <c r="I565" s="116"/>
      <c r="L565" s="170">
        <v>42835</v>
      </c>
      <c r="M565" s="116">
        <v>735.1</v>
      </c>
      <c r="N565" s="116">
        <v>741</v>
      </c>
      <c r="O565" s="116">
        <v>725</v>
      </c>
      <c r="P565" s="116">
        <v>725</v>
      </c>
      <c r="Q565" s="116">
        <v>1470.2</v>
      </c>
      <c r="R565">
        <v>71008</v>
      </c>
    </row>
    <row r="566" spans="1:18" x14ac:dyDescent="0.25">
      <c r="A566" s="170">
        <v>42836</v>
      </c>
      <c r="B566" s="116">
        <v>745.25</v>
      </c>
      <c r="C566" s="116">
        <v>743.17499999999995</v>
      </c>
      <c r="D566" s="116">
        <v>728.45</v>
      </c>
      <c r="E566" s="116">
        <v>736.5</v>
      </c>
      <c r="F566" s="116">
        <v>1486.35</v>
      </c>
      <c r="G566">
        <v>5771</v>
      </c>
      <c r="H566" s="116"/>
      <c r="I566" s="116"/>
      <c r="L566" s="170">
        <v>42836</v>
      </c>
      <c r="M566" s="116">
        <v>743.1</v>
      </c>
      <c r="N566" s="116">
        <v>745.45</v>
      </c>
      <c r="O566" s="116">
        <v>725.3</v>
      </c>
      <c r="P566" s="116">
        <v>735</v>
      </c>
      <c r="Q566" s="116">
        <v>1486.2</v>
      </c>
      <c r="R566">
        <v>100549</v>
      </c>
    </row>
    <row r="567" spans="1:18" x14ac:dyDescent="0.25">
      <c r="A567" s="170">
        <v>42837</v>
      </c>
      <c r="B567" s="116">
        <v>748.22500000000002</v>
      </c>
      <c r="C567" s="116">
        <v>728.35</v>
      </c>
      <c r="D567" s="116">
        <v>726.65</v>
      </c>
      <c r="E567" s="116">
        <v>747.92499999999995</v>
      </c>
      <c r="F567" s="116">
        <v>1456.7</v>
      </c>
      <c r="G567">
        <v>8059</v>
      </c>
      <c r="H567" s="116"/>
      <c r="I567" s="116"/>
      <c r="L567" s="170">
        <v>42837</v>
      </c>
      <c r="M567" s="116">
        <v>728.85</v>
      </c>
      <c r="N567" s="116">
        <v>748.47500000000002</v>
      </c>
      <c r="O567" s="116">
        <v>726.75</v>
      </c>
      <c r="P567" s="116">
        <v>743.07500000000005</v>
      </c>
      <c r="Q567" s="116">
        <v>1457.7</v>
      </c>
      <c r="R567">
        <v>97258</v>
      </c>
    </row>
    <row r="568" spans="1:18" x14ac:dyDescent="0.25">
      <c r="A568" s="170">
        <v>42838</v>
      </c>
      <c r="B568" s="116">
        <v>738.97500000000002</v>
      </c>
      <c r="C568" s="116">
        <v>727.42499999999995</v>
      </c>
      <c r="D568" s="116">
        <v>725.1</v>
      </c>
      <c r="E568" s="116">
        <v>737.72500000000002</v>
      </c>
      <c r="F568" s="116">
        <v>1454.85</v>
      </c>
      <c r="G568">
        <v>32350</v>
      </c>
      <c r="H568" s="116"/>
      <c r="I568" s="116"/>
      <c r="L568" s="170">
        <v>42838</v>
      </c>
      <c r="M568" s="116">
        <v>726.3</v>
      </c>
      <c r="N568" s="116">
        <v>739</v>
      </c>
      <c r="O568" s="116">
        <v>724.1</v>
      </c>
      <c r="P568" s="116">
        <v>734</v>
      </c>
      <c r="Q568" s="116">
        <v>1452.6</v>
      </c>
      <c r="R568">
        <v>140603</v>
      </c>
    </row>
    <row r="569" spans="1:18" x14ac:dyDescent="0.25">
      <c r="A569" s="170">
        <v>42842</v>
      </c>
      <c r="B569" s="116">
        <v>734.97500000000002</v>
      </c>
      <c r="C569" s="116">
        <v>730.47500000000002</v>
      </c>
      <c r="D569" s="116">
        <v>710.22500000000002</v>
      </c>
      <c r="E569" s="116">
        <v>727.4</v>
      </c>
      <c r="F569" s="116">
        <v>1460.95</v>
      </c>
      <c r="G569">
        <v>9156</v>
      </c>
      <c r="H569" s="116"/>
      <c r="I569" s="116"/>
      <c r="L569" s="170">
        <v>42842</v>
      </c>
      <c r="M569" s="116">
        <v>731.95</v>
      </c>
      <c r="N569" s="116">
        <v>735</v>
      </c>
      <c r="O569" s="116">
        <v>709.97500000000002</v>
      </c>
      <c r="P569" s="116">
        <v>719.92499999999995</v>
      </c>
      <c r="Q569" s="116">
        <v>1463.9</v>
      </c>
      <c r="R569">
        <v>195583</v>
      </c>
    </row>
    <row r="570" spans="1:18" x14ac:dyDescent="0.25">
      <c r="A570" s="170">
        <v>42843</v>
      </c>
      <c r="B570" s="116">
        <v>740</v>
      </c>
      <c r="C570" s="116">
        <v>725.375</v>
      </c>
      <c r="D570" s="116">
        <v>724</v>
      </c>
      <c r="E570" s="116">
        <v>734</v>
      </c>
      <c r="F570" s="116">
        <v>1450.75</v>
      </c>
      <c r="G570">
        <v>5634</v>
      </c>
      <c r="H570" s="116"/>
      <c r="I570" s="116"/>
      <c r="L570" s="170">
        <v>42843</v>
      </c>
      <c r="M570" s="116">
        <v>725.15</v>
      </c>
      <c r="N570" s="116">
        <v>740</v>
      </c>
      <c r="O570" s="116">
        <v>723.55</v>
      </c>
      <c r="P570" s="116">
        <v>734.47500000000002</v>
      </c>
      <c r="Q570" s="116">
        <v>1450.3</v>
      </c>
      <c r="R570">
        <v>61752</v>
      </c>
    </row>
    <row r="571" spans="1:18" x14ac:dyDescent="0.25">
      <c r="A571" s="170">
        <v>42844</v>
      </c>
      <c r="B571" s="116">
        <v>730</v>
      </c>
      <c r="C571" s="116">
        <v>723.42499999999995</v>
      </c>
      <c r="D571" s="116">
        <v>721.875</v>
      </c>
      <c r="E571" s="116">
        <v>726.25</v>
      </c>
      <c r="F571" s="116">
        <v>1446.85</v>
      </c>
      <c r="G571">
        <v>4212</v>
      </c>
      <c r="H571" s="116"/>
      <c r="I571" s="116"/>
      <c r="L571" s="170">
        <v>42844</v>
      </c>
      <c r="M571" s="116">
        <v>725.6</v>
      </c>
      <c r="N571" s="116">
        <v>731.27499999999998</v>
      </c>
      <c r="O571" s="116">
        <v>721.52499999999998</v>
      </c>
      <c r="P571" s="116">
        <v>725</v>
      </c>
      <c r="Q571" s="116">
        <v>1451.2</v>
      </c>
      <c r="R571">
        <v>37330</v>
      </c>
    </row>
    <row r="572" spans="1:18" x14ac:dyDescent="0.25">
      <c r="A572" s="170">
        <v>42845</v>
      </c>
      <c r="B572" s="116">
        <v>739.25</v>
      </c>
      <c r="C572" s="116">
        <v>727.05</v>
      </c>
      <c r="D572" s="116">
        <v>720.67499999999995</v>
      </c>
      <c r="E572" s="116">
        <v>722.6</v>
      </c>
      <c r="F572" s="116">
        <v>1454.1</v>
      </c>
      <c r="G572">
        <v>2972</v>
      </c>
      <c r="H572" s="116"/>
      <c r="I572" s="116"/>
      <c r="L572" s="170">
        <v>42845</v>
      </c>
      <c r="M572" s="116">
        <v>727.77499999999998</v>
      </c>
      <c r="N572" s="116">
        <v>739.9</v>
      </c>
      <c r="O572" s="116">
        <v>720</v>
      </c>
      <c r="P572" s="116">
        <v>725.02499999999998</v>
      </c>
      <c r="Q572" s="116">
        <v>1455.55</v>
      </c>
      <c r="R572">
        <v>74221</v>
      </c>
    </row>
    <row r="573" spans="1:18" x14ac:dyDescent="0.25">
      <c r="A573" s="170">
        <v>42846</v>
      </c>
      <c r="B573" s="116">
        <v>734.8</v>
      </c>
      <c r="C573" s="116">
        <v>719.07500000000005</v>
      </c>
      <c r="D573" s="116">
        <v>716</v>
      </c>
      <c r="E573" s="116">
        <v>729.6</v>
      </c>
      <c r="F573" s="116">
        <v>1438.15</v>
      </c>
      <c r="G573">
        <v>3839</v>
      </c>
      <c r="H573" s="116"/>
      <c r="I573" s="116"/>
      <c r="L573" s="170">
        <v>42846</v>
      </c>
      <c r="M573" s="116">
        <v>717.72500000000002</v>
      </c>
      <c r="N573" s="116">
        <v>735.125</v>
      </c>
      <c r="O573" s="116">
        <v>714.15</v>
      </c>
      <c r="P573" s="116">
        <v>728.875</v>
      </c>
      <c r="Q573" s="116">
        <v>1435.45</v>
      </c>
      <c r="R573">
        <v>67177</v>
      </c>
    </row>
    <row r="574" spans="1:18" x14ac:dyDescent="0.25">
      <c r="A574" s="170">
        <v>42849</v>
      </c>
      <c r="B574" s="116">
        <v>737.75</v>
      </c>
      <c r="C574" s="116">
        <v>734.17499999999995</v>
      </c>
      <c r="D574" s="116">
        <v>710.05</v>
      </c>
      <c r="E574" s="116">
        <v>715.625</v>
      </c>
      <c r="F574" s="116">
        <v>1468.35</v>
      </c>
      <c r="G574">
        <v>10113</v>
      </c>
      <c r="H574" s="116"/>
      <c r="I574" s="116"/>
      <c r="L574" s="170">
        <v>42849</v>
      </c>
      <c r="M574" s="116">
        <v>732.45</v>
      </c>
      <c r="N574" s="116">
        <v>737.5</v>
      </c>
      <c r="O574" s="116">
        <v>709.55</v>
      </c>
      <c r="P574" s="116">
        <v>717.72500000000002</v>
      </c>
      <c r="Q574" s="116">
        <v>1464.9</v>
      </c>
      <c r="R574">
        <v>74283</v>
      </c>
    </row>
    <row r="575" spans="1:18" x14ac:dyDescent="0.25">
      <c r="A575" s="170">
        <v>42850</v>
      </c>
      <c r="B575" s="116">
        <v>735.85</v>
      </c>
      <c r="C575" s="116">
        <v>724.625</v>
      </c>
      <c r="D575" s="116">
        <v>720.2</v>
      </c>
      <c r="E575" s="116">
        <v>730.8</v>
      </c>
      <c r="F575" s="116">
        <v>1449.25</v>
      </c>
      <c r="G575">
        <v>5145</v>
      </c>
      <c r="H575" s="116"/>
      <c r="I575" s="116"/>
      <c r="L575" s="170">
        <v>42850</v>
      </c>
      <c r="M575" s="116">
        <v>724.8</v>
      </c>
      <c r="N575" s="116">
        <v>736.72500000000002</v>
      </c>
      <c r="O575" s="116">
        <v>718.75</v>
      </c>
      <c r="P575" s="116">
        <v>729</v>
      </c>
      <c r="Q575" s="116">
        <v>1449.6</v>
      </c>
      <c r="R575">
        <v>91558</v>
      </c>
    </row>
    <row r="576" spans="1:18" x14ac:dyDescent="0.25">
      <c r="A576" s="170">
        <v>42851</v>
      </c>
      <c r="B576" s="116">
        <v>729.82500000000005</v>
      </c>
      <c r="C576" s="116">
        <v>715.15</v>
      </c>
      <c r="D576" s="116">
        <v>710.72500000000002</v>
      </c>
      <c r="E576" s="116">
        <v>724.3</v>
      </c>
      <c r="F576" s="116">
        <v>1430.3</v>
      </c>
      <c r="G576">
        <v>2787</v>
      </c>
      <c r="H576" s="116"/>
      <c r="I576" s="116"/>
      <c r="L576" s="170">
        <v>42851</v>
      </c>
      <c r="M576" s="116">
        <v>714.4</v>
      </c>
      <c r="N576" s="116">
        <v>729.92499999999995</v>
      </c>
      <c r="O576" s="116">
        <v>710.5</v>
      </c>
      <c r="P576" s="116">
        <v>722.5</v>
      </c>
      <c r="Q576" s="116">
        <v>1428.8</v>
      </c>
      <c r="R576">
        <v>56467</v>
      </c>
    </row>
    <row r="577" spans="1:18" x14ac:dyDescent="0.25">
      <c r="A577" s="170">
        <v>42852</v>
      </c>
      <c r="B577" s="116">
        <v>714.32500000000005</v>
      </c>
      <c r="C577" s="116">
        <v>706.55</v>
      </c>
      <c r="D577" s="116">
        <v>704</v>
      </c>
      <c r="E577" s="116">
        <v>714.22500000000002</v>
      </c>
      <c r="F577" s="116">
        <v>1413.1</v>
      </c>
      <c r="G577">
        <v>2694</v>
      </c>
      <c r="H577" s="116"/>
      <c r="I577" s="116"/>
      <c r="L577" s="170">
        <v>42852</v>
      </c>
      <c r="M577" s="116">
        <v>704.875</v>
      </c>
      <c r="N577" s="116">
        <v>718.47500000000002</v>
      </c>
      <c r="O577" s="116">
        <v>702.5</v>
      </c>
      <c r="P577" s="116">
        <v>718.47500000000002</v>
      </c>
      <c r="Q577" s="116">
        <v>1409.75</v>
      </c>
      <c r="R577">
        <v>88276</v>
      </c>
    </row>
    <row r="578" spans="1:18" x14ac:dyDescent="0.25">
      <c r="A578" s="170">
        <v>42853</v>
      </c>
      <c r="B578" s="116">
        <v>715</v>
      </c>
      <c r="C578" s="116">
        <v>708.02499999999998</v>
      </c>
      <c r="D578" s="116">
        <v>697.7</v>
      </c>
      <c r="E578" s="116">
        <v>702.47500000000002</v>
      </c>
      <c r="F578" s="116">
        <v>1416.05</v>
      </c>
      <c r="G578">
        <v>6604</v>
      </c>
      <c r="H578" s="116"/>
      <c r="I578" s="116"/>
      <c r="L578" s="170">
        <v>42853</v>
      </c>
      <c r="M578" s="116">
        <v>709.375</v>
      </c>
      <c r="N578" s="116">
        <v>717.25</v>
      </c>
      <c r="O578" s="116">
        <v>697</v>
      </c>
      <c r="P578" s="116">
        <v>700.1</v>
      </c>
      <c r="Q578" s="116">
        <v>1418.75</v>
      </c>
      <c r="R578">
        <v>138008</v>
      </c>
    </row>
    <row r="579" spans="1:18" x14ac:dyDescent="0.25">
      <c r="A579" s="170">
        <v>42857</v>
      </c>
      <c r="B579" s="116">
        <v>716.9</v>
      </c>
      <c r="C579" s="116">
        <v>695.375</v>
      </c>
      <c r="D579" s="116">
        <v>686.8</v>
      </c>
      <c r="E579" s="116">
        <v>715</v>
      </c>
      <c r="F579" s="116">
        <v>1390.75</v>
      </c>
      <c r="G579">
        <v>43962</v>
      </c>
      <c r="H579" s="116"/>
      <c r="I579" s="116"/>
      <c r="L579" s="170">
        <v>42857</v>
      </c>
      <c r="M579" s="116">
        <v>694.4</v>
      </c>
      <c r="N579" s="116">
        <v>719.05</v>
      </c>
      <c r="O579" s="116">
        <v>688.5</v>
      </c>
      <c r="P579" s="116">
        <v>715.85</v>
      </c>
      <c r="Q579" s="116">
        <v>1388.8</v>
      </c>
      <c r="R579">
        <v>164636</v>
      </c>
    </row>
    <row r="580" spans="1:18" x14ac:dyDescent="0.25">
      <c r="A580" s="170">
        <v>42858</v>
      </c>
      <c r="B580" s="116">
        <v>694.9</v>
      </c>
      <c r="C580" s="116">
        <v>671.02499999999998</v>
      </c>
      <c r="D580" s="116">
        <v>666.5</v>
      </c>
      <c r="E580" s="116">
        <v>694.9</v>
      </c>
      <c r="F580" s="116">
        <v>1342.05</v>
      </c>
      <c r="G580">
        <v>18511</v>
      </c>
      <c r="H580" s="116"/>
      <c r="I580" s="116"/>
      <c r="L580" s="170">
        <v>42858</v>
      </c>
      <c r="M580" s="116">
        <v>671.8</v>
      </c>
      <c r="N580" s="116">
        <v>692.375</v>
      </c>
      <c r="O580" s="116">
        <v>666.5</v>
      </c>
      <c r="P580" s="116">
        <v>688.5</v>
      </c>
      <c r="Q580" s="116">
        <v>1343.6</v>
      </c>
      <c r="R580">
        <v>133630</v>
      </c>
    </row>
    <row r="581" spans="1:18" x14ac:dyDescent="0.25">
      <c r="A581" s="170">
        <v>42859</v>
      </c>
      <c r="B581" s="116">
        <v>672.5</v>
      </c>
      <c r="C581" s="116">
        <v>664.07500000000005</v>
      </c>
      <c r="D581" s="116">
        <v>655</v>
      </c>
      <c r="E581" s="116">
        <v>670</v>
      </c>
      <c r="F581" s="116">
        <v>1328.15</v>
      </c>
      <c r="G581">
        <v>14888</v>
      </c>
      <c r="H581" s="116"/>
      <c r="I581" s="116"/>
      <c r="L581" s="170">
        <v>42859</v>
      </c>
      <c r="M581" s="116">
        <v>664.57500000000005</v>
      </c>
      <c r="N581" s="116">
        <v>675.9</v>
      </c>
      <c r="O581" s="116">
        <v>653.92499999999995</v>
      </c>
      <c r="P581" s="116">
        <v>675.9</v>
      </c>
      <c r="Q581" s="116">
        <v>1329.15</v>
      </c>
      <c r="R581">
        <v>172265</v>
      </c>
    </row>
    <row r="582" spans="1:18" x14ac:dyDescent="0.25">
      <c r="A582" s="170">
        <v>42860</v>
      </c>
      <c r="B582" s="116">
        <v>667.75</v>
      </c>
      <c r="C582" s="116">
        <v>647.22500000000002</v>
      </c>
      <c r="D582" s="116">
        <v>643.42499999999995</v>
      </c>
      <c r="E582" s="116">
        <v>667.75</v>
      </c>
      <c r="F582" s="116">
        <v>1294.45</v>
      </c>
      <c r="G582">
        <v>7334</v>
      </c>
      <c r="H582" s="116"/>
      <c r="I582" s="116"/>
      <c r="L582" s="170">
        <v>42860</v>
      </c>
      <c r="M582" s="116">
        <v>647</v>
      </c>
      <c r="N582" s="116">
        <v>667</v>
      </c>
      <c r="O582" s="116">
        <v>643.52499999999998</v>
      </c>
      <c r="P582" s="116">
        <v>665</v>
      </c>
      <c r="Q582" s="116">
        <v>1294</v>
      </c>
      <c r="R582">
        <v>149676</v>
      </c>
    </row>
    <row r="583" spans="1:18" x14ac:dyDescent="0.25">
      <c r="A583" s="170">
        <v>42863</v>
      </c>
      <c r="B583" s="116">
        <v>666.45</v>
      </c>
      <c r="C583" s="116">
        <v>645.5</v>
      </c>
      <c r="D583" s="116">
        <v>641</v>
      </c>
      <c r="E583" s="116">
        <v>648</v>
      </c>
      <c r="F583" s="116">
        <v>1291</v>
      </c>
      <c r="G583">
        <v>8685</v>
      </c>
      <c r="H583" s="116"/>
      <c r="I583" s="116"/>
      <c r="L583" s="170">
        <v>42863</v>
      </c>
      <c r="M583" s="116">
        <v>642.9</v>
      </c>
      <c r="N583" s="116">
        <v>652.5</v>
      </c>
      <c r="O583" s="116">
        <v>638.67499999999995</v>
      </c>
      <c r="P583" s="116">
        <v>650</v>
      </c>
      <c r="Q583" s="116">
        <v>1285.8</v>
      </c>
      <c r="R583">
        <v>114552</v>
      </c>
    </row>
    <row r="584" spans="1:18" x14ac:dyDescent="0.25">
      <c r="A584" s="170">
        <v>42864</v>
      </c>
      <c r="B584" s="116">
        <v>659.27499999999998</v>
      </c>
      <c r="C584" s="116">
        <v>655.5</v>
      </c>
      <c r="D584" s="116">
        <v>642.375</v>
      </c>
      <c r="E584" s="116">
        <v>651.875</v>
      </c>
      <c r="F584" s="116">
        <v>1311</v>
      </c>
      <c r="G584">
        <v>12248</v>
      </c>
      <c r="H584" s="116"/>
      <c r="I584" s="116"/>
      <c r="L584" s="170">
        <v>42864</v>
      </c>
      <c r="M584" s="116">
        <v>655.25</v>
      </c>
      <c r="N584" s="116">
        <v>657.97500000000002</v>
      </c>
      <c r="O584" s="116">
        <v>642</v>
      </c>
      <c r="P584" s="116">
        <v>648</v>
      </c>
      <c r="Q584" s="116">
        <v>1310.5</v>
      </c>
      <c r="R584">
        <v>135639</v>
      </c>
    </row>
    <row r="585" spans="1:18" x14ac:dyDescent="0.25">
      <c r="A585" s="170">
        <v>42865</v>
      </c>
      <c r="B585" s="116">
        <v>672.375</v>
      </c>
      <c r="C585" s="116">
        <v>669.85</v>
      </c>
      <c r="D585" s="116">
        <v>653.67499999999995</v>
      </c>
      <c r="E585" s="116">
        <v>657.9</v>
      </c>
      <c r="F585" s="116">
        <v>1339.7</v>
      </c>
      <c r="G585">
        <v>8345</v>
      </c>
      <c r="H585" s="116"/>
      <c r="I585" s="116"/>
      <c r="L585" s="170">
        <v>42865</v>
      </c>
      <c r="M585" s="116">
        <v>669.3</v>
      </c>
      <c r="N585" s="116">
        <v>672</v>
      </c>
      <c r="O585" s="116">
        <v>653.22500000000002</v>
      </c>
      <c r="P585" s="116">
        <v>661.7</v>
      </c>
      <c r="Q585" s="116">
        <v>1338.6</v>
      </c>
      <c r="R585">
        <v>91178</v>
      </c>
    </row>
    <row r="586" spans="1:18" x14ac:dyDescent="0.25">
      <c r="A586" s="170">
        <v>42866</v>
      </c>
      <c r="B586" s="116">
        <v>675.35</v>
      </c>
      <c r="C586" s="116">
        <v>659.35</v>
      </c>
      <c r="D586" s="116">
        <v>636.5</v>
      </c>
      <c r="E586" s="116">
        <v>671</v>
      </c>
      <c r="F586" s="116">
        <v>1318.7</v>
      </c>
      <c r="G586">
        <v>11804</v>
      </c>
      <c r="H586" s="116"/>
      <c r="I586" s="116"/>
      <c r="L586" s="170">
        <v>42866</v>
      </c>
      <c r="M586" s="116">
        <v>659.625</v>
      </c>
      <c r="N586" s="116">
        <v>674</v>
      </c>
      <c r="O586" s="116">
        <v>657.5</v>
      </c>
      <c r="P586" s="116">
        <v>672.4</v>
      </c>
      <c r="Q586" s="116">
        <v>1319.25</v>
      </c>
      <c r="R586">
        <v>62356</v>
      </c>
    </row>
    <row r="587" spans="1:18" x14ac:dyDescent="0.25">
      <c r="A587" s="170">
        <v>42867</v>
      </c>
      <c r="B587" s="116">
        <v>659.375</v>
      </c>
      <c r="C587" s="116">
        <v>649.27499999999998</v>
      </c>
      <c r="D587" s="116">
        <v>645</v>
      </c>
      <c r="E587" s="116">
        <v>659.375</v>
      </c>
      <c r="F587" s="116">
        <v>1298.55</v>
      </c>
      <c r="G587">
        <v>60371</v>
      </c>
      <c r="H587" s="116"/>
      <c r="I587" s="116"/>
      <c r="L587" s="170">
        <v>42867</v>
      </c>
      <c r="M587" s="116">
        <v>649.72500000000002</v>
      </c>
      <c r="N587" s="116">
        <v>658</v>
      </c>
      <c r="O587" s="116">
        <v>645.42499999999995</v>
      </c>
      <c r="P587" s="116">
        <v>657.5</v>
      </c>
      <c r="Q587" s="116">
        <v>1299.45</v>
      </c>
      <c r="R587">
        <v>79202</v>
      </c>
    </row>
    <row r="588" spans="1:18" x14ac:dyDescent="0.25">
      <c r="A588" s="170">
        <v>42870</v>
      </c>
      <c r="B588" s="116">
        <v>653.67499999999995</v>
      </c>
      <c r="C588" s="116">
        <v>650.25</v>
      </c>
      <c r="D588" s="116">
        <v>647.75</v>
      </c>
      <c r="E588" s="116">
        <v>651</v>
      </c>
      <c r="F588" s="116">
        <v>1300.5</v>
      </c>
      <c r="G588">
        <v>4474</v>
      </c>
      <c r="H588" s="116"/>
      <c r="I588" s="116"/>
      <c r="L588" s="170">
        <v>42870</v>
      </c>
      <c r="M588" s="116">
        <v>650.20000000000005</v>
      </c>
      <c r="N588" s="116">
        <v>654.625</v>
      </c>
      <c r="O588" s="116">
        <v>647.5</v>
      </c>
      <c r="P588" s="116">
        <v>650.6</v>
      </c>
      <c r="Q588" s="116">
        <v>1300.4000000000001</v>
      </c>
      <c r="R588">
        <v>51190</v>
      </c>
    </row>
    <row r="589" spans="1:18" x14ac:dyDescent="0.25">
      <c r="A589" s="170">
        <v>42871</v>
      </c>
      <c r="B589" s="116">
        <v>667.45</v>
      </c>
      <c r="C589" s="116">
        <v>662.15</v>
      </c>
      <c r="D589" s="116">
        <v>651.5</v>
      </c>
      <c r="E589" s="116">
        <v>653.27499999999998</v>
      </c>
      <c r="F589" s="116">
        <v>1324.3</v>
      </c>
      <c r="G589">
        <v>4870</v>
      </c>
      <c r="H589" s="116"/>
      <c r="I589" s="116"/>
      <c r="L589" s="170">
        <v>42871</v>
      </c>
      <c r="M589" s="116">
        <v>663.45</v>
      </c>
      <c r="N589" s="116">
        <v>667.52499999999998</v>
      </c>
      <c r="O589" s="116">
        <v>650.52499999999998</v>
      </c>
      <c r="P589" s="116">
        <v>652.5</v>
      </c>
      <c r="Q589" s="116">
        <v>1326.9</v>
      </c>
      <c r="R589">
        <v>60129</v>
      </c>
    </row>
    <row r="590" spans="1:18" x14ac:dyDescent="0.25">
      <c r="A590" s="170">
        <v>42872</v>
      </c>
      <c r="B590" s="116">
        <v>671.5</v>
      </c>
      <c r="C590" s="116">
        <v>666.5</v>
      </c>
      <c r="D590" s="116">
        <v>663.52499999999998</v>
      </c>
      <c r="E590" s="116">
        <v>667.85</v>
      </c>
      <c r="F590" s="116">
        <v>1333</v>
      </c>
      <c r="G590">
        <v>3885</v>
      </c>
      <c r="H590" s="116"/>
      <c r="I590" s="116"/>
      <c r="L590" s="170">
        <v>42872</v>
      </c>
      <c r="M590" s="116">
        <v>667.65</v>
      </c>
      <c r="N590" s="116">
        <v>672.75</v>
      </c>
      <c r="O590" s="116">
        <v>664</v>
      </c>
      <c r="P590" s="116">
        <v>664</v>
      </c>
      <c r="Q590" s="116">
        <v>1335.3</v>
      </c>
      <c r="R590">
        <v>59932</v>
      </c>
    </row>
    <row r="591" spans="1:18" x14ac:dyDescent="0.25">
      <c r="A591" s="170">
        <v>42873</v>
      </c>
      <c r="B591" s="116">
        <v>666.6</v>
      </c>
      <c r="C591" s="116">
        <v>657.22500000000002</v>
      </c>
      <c r="D591" s="116">
        <v>654.65</v>
      </c>
      <c r="E591" s="116">
        <v>665</v>
      </c>
      <c r="F591" s="116">
        <v>1314.45</v>
      </c>
      <c r="G591">
        <v>2273</v>
      </c>
      <c r="H591" s="116"/>
      <c r="I591" s="116"/>
      <c r="L591" s="170">
        <v>42873</v>
      </c>
      <c r="M591" s="116">
        <v>657.2</v>
      </c>
      <c r="N591" s="116">
        <v>665.7</v>
      </c>
      <c r="O591" s="116">
        <v>651.04999999999995</v>
      </c>
      <c r="P591" s="116">
        <v>665.5</v>
      </c>
      <c r="Q591" s="116">
        <v>1314.4</v>
      </c>
      <c r="R591">
        <v>50285</v>
      </c>
    </row>
    <row r="592" spans="1:18" x14ac:dyDescent="0.25">
      <c r="A592" s="170">
        <v>42874</v>
      </c>
      <c r="B592" s="116">
        <v>665</v>
      </c>
      <c r="C592" s="116">
        <v>643.52499999999998</v>
      </c>
      <c r="D592" s="116">
        <v>639.5</v>
      </c>
      <c r="E592" s="116">
        <v>662.4</v>
      </c>
      <c r="F592" s="116">
        <v>1287.05</v>
      </c>
      <c r="G592">
        <v>10827</v>
      </c>
      <c r="H592" s="116"/>
      <c r="I592" s="116"/>
      <c r="L592" s="170">
        <v>42874</v>
      </c>
      <c r="M592" s="116">
        <v>644.97500000000002</v>
      </c>
      <c r="N592" s="116">
        <v>663.77499999999998</v>
      </c>
      <c r="O592" s="116">
        <v>638.02499999999998</v>
      </c>
      <c r="P592" s="116">
        <v>653</v>
      </c>
      <c r="Q592" s="116">
        <v>1289.95</v>
      </c>
      <c r="R592">
        <v>110724</v>
      </c>
    </row>
    <row r="593" spans="1:18" x14ac:dyDescent="0.25">
      <c r="A593" s="170">
        <v>42877</v>
      </c>
      <c r="B593" s="116">
        <v>656.67499999999995</v>
      </c>
      <c r="C593" s="116">
        <v>652.47500000000002</v>
      </c>
      <c r="D593" s="116">
        <v>645.6</v>
      </c>
      <c r="E593" s="116">
        <v>645.625</v>
      </c>
      <c r="F593" s="116">
        <v>1304.95</v>
      </c>
      <c r="G593">
        <v>3243</v>
      </c>
      <c r="H593" s="116"/>
      <c r="I593" s="116"/>
      <c r="L593" s="170">
        <v>42877</v>
      </c>
      <c r="M593" s="116">
        <v>653.625</v>
      </c>
      <c r="N593" s="116">
        <v>657.42499999999995</v>
      </c>
      <c r="O593" s="116">
        <v>643.02499999999998</v>
      </c>
      <c r="P593" s="116">
        <v>643.02499999999998</v>
      </c>
      <c r="Q593" s="116">
        <v>1307.25</v>
      </c>
      <c r="R593">
        <v>70637</v>
      </c>
    </row>
    <row r="594" spans="1:18" x14ac:dyDescent="0.25">
      <c r="A594" s="170">
        <v>42878</v>
      </c>
      <c r="B594" s="116">
        <v>659</v>
      </c>
      <c r="C594" s="116">
        <v>632.52499999999998</v>
      </c>
      <c r="D594" s="116">
        <v>628.5</v>
      </c>
      <c r="E594" s="116">
        <v>659</v>
      </c>
      <c r="F594" s="116">
        <v>1265.05</v>
      </c>
      <c r="G594">
        <v>35645</v>
      </c>
      <c r="H594" s="116"/>
      <c r="I594" s="116"/>
      <c r="L594" s="170">
        <v>42878</v>
      </c>
      <c r="M594" s="116">
        <v>631.79999999999995</v>
      </c>
      <c r="N594" s="116">
        <v>654.92499999999995</v>
      </c>
      <c r="O594" s="116">
        <v>628.57500000000005</v>
      </c>
      <c r="P594" s="116">
        <v>649</v>
      </c>
      <c r="Q594" s="116">
        <v>1263.5999999999999</v>
      </c>
      <c r="R594">
        <v>113671</v>
      </c>
    </row>
    <row r="595" spans="1:18" x14ac:dyDescent="0.25">
      <c r="A595" s="170">
        <v>42879</v>
      </c>
      <c r="B595" s="116">
        <v>632</v>
      </c>
      <c r="C595" s="116">
        <v>618.875</v>
      </c>
      <c r="D595" s="116">
        <v>612.52499999999998</v>
      </c>
      <c r="E595" s="116">
        <v>632</v>
      </c>
      <c r="F595" s="116">
        <v>1237.75</v>
      </c>
      <c r="G595">
        <v>13253</v>
      </c>
      <c r="H595" s="116"/>
      <c r="I595" s="116"/>
      <c r="L595" s="170">
        <v>42879</v>
      </c>
      <c r="M595" s="116">
        <v>619.97500000000002</v>
      </c>
      <c r="N595" s="116">
        <v>631.54999999999995</v>
      </c>
      <c r="O595" s="116">
        <v>617.54999999999995</v>
      </c>
      <c r="P595" s="116">
        <v>630</v>
      </c>
      <c r="Q595" s="116">
        <v>1239.95</v>
      </c>
      <c r="R595">
        <v>78684</v>
      </c>
    </row>
    <row r="596" spans="1:18" x14ac:dyDescent="0.25">
      <c r="A596" s="170">
        <v>42880</v>
      </c>
      <c r="B596" s="116">
        <v>634.82500000000005</v>
      </c>
      <c r="C596" s="116">
        <v>612.875</v>
      </c>
      <c r="D596" s="116">
        <v>604.45000000000005</v>
      </c>
      <c r="E596" s="116">
        <v>618.9</v>
      </c>
      <c r="F596" s="116">
        <v>1225.75</v>
      </c>
      <c r="G596">
        <v>14457</v>
      </c>
      <c r="H596" s="116"/>
      <c r="I596" s="116"/>
      <c r="L596" s="170">
        <v>42880</v>
      </c>
      <c r="M596" s="116">
        <v>610.02499999999998</v>
      </c>
      <c r="N596" s="116">
        <v>635.375</v>
      </c>
      <c r="O596" s="116">
        <v>604.72500000000002</v>
      </c>
      <c r="P596" s="116">
        <v>618.97500000000002</v>
      </c>
      <c r="Q596" s="116">
        <v>1220.05</v>
      </c>
      <c r="R596">
        <v>394177</v>
      </c>
    </row>
    <row r="597" spans="1:18" x14ac:dyDescent="0.25">
      <c r="A597" s="170">
        <v>42881</v>
      </c>
      <c r="B597" s="116">
        <v>618.75</v>
      </c>
      <c r="C597" s="116">
        <v>611.875</v>
      </c>
      <c r="D597" s="116">
        <v>606</v>
      </c>
      <c r="E597" s="116">
        <v>606</v>
      </c>
      <c r="F597" s="116">
        <v>1223.75</v>
      </c>
      <c r="G597">
        <v>13245</v>
      </c>
      <c r="H597" s="116"/>
      <c r="I597" s="116"/>
      <c r="L597" s="170">
        <v>42881</v>
      </c>
      <c r="M597" s="116">
        <v>612.15</v>
      </c>
      <c r="N597" s="116">
        <v>619.1</v>
      </c>
      <c r="O597" s="116">
        <v>600.5</v>
      </c>
      <c r="P597" s="116">
        <v>612.5</v>
      </c>
      <c r="Q597" s="116">
        <v>1224.3</v>
      </c>
      <c r="R597">
        <v>131941</v>
      </c>
    </row>
    <row r="598" spans="1:18" x14ac:dyDescent="0.25">
      <c r="A598" s="170">
        <v>42884</v>
      </c>
      <c r="B598" s="116">
        <v>632.04999999999995</v>
      </c>
      <c r="C598" s="116">
        <v>608.27499999999998</v>
      </c>
      <c r="D598" s="116">
        <v>571.75</v>
      </c>
      <c r="E598" s="116">
        <v>615</v>
      </c>
      <c r="F598" s="116">
        <v>1216.55</v>
      </c>
      <c r="G598">
        <v>79138</v>
      </c>
      <c r="H598" s="116"/>
      <c r="I598" s="116"/>
      <c r="L598" s="170">
        <v>42884</v>
      </c>
      <c r="M598" s="116">
        <v>609.92499999999995</v>
      </c>
      <c r="N598" s="116">
        <v>633</v>
      </c>
      <c r="O598" s="116">
        <v>570.97500000000002</v>
      </c>
      <c r="P598" s="116">
        <v>608.5</v>
      </c>
      <c r="Q598" s="116">
        <v>1219.8499999999999</v>
      </c>
      <c r="R598">
        <v>449635</v>
      </c>
    </row>
    <row r="599" spans="1:18" x14ac:dyDescent="0.25">
      <c r="A599" s="170">
        <v>42885</v>
      </c>
      <c r="B599" s="116">
        <v>631.97500000000002</v>
      </c>
      <c r="C599" s="116">
        <v>617.57500000000005</v>
      </c>
      <c r="D599" s="116">
        <v>600.52499999999998</v>
      </c>
      <c r="E599" s="116">
        <v>608.5</v>
      </c>
      <c r="F599" s="116">
        <v>1235.1500000000001</v>
      </c>
      <c r="G599">
        <v>29261</v>
      </c>
      <c r="H599" s="116"/>
      <c r="I599" s="116"/>
      <c r="L599" s="170">
        <v>42885</v>
      </c>
      <c r="M599" s="116">
        <v>621.625</v>
      </c>
      <c r="N599" s="116">
        <v>632.54999999999995</v>
      </c>
      <c r="O599" s="116">
        <v>600.54999999999995</v>
      </c>
      <c r="P599" s="116">
        <v>605.5</v>
      </c>
      <c r="Q599" s="116">
        <v>1243.25</v>
      </c>
      <c r="R599">
        <v>188145</v>
      </c>
    </row>
    <row r="600" spans="1:18" x14ac:dyDescent="0.25">
      <c r="A600" s="170">
        <v>42886</v>
      </c>
      <c r="B600" s="116">
        <v>624.875</v>
      </c>
      <c r="C600" s="116">
        <v>612.07500000000005</v>
      </c>
      <c r="D600" s="116">
        <v>607.5</v>
      </c>
      <c r="E600" s="116">
        <v>622.65</v>
      </c>
      <c r="F600" s="116">
        <v>1224.1500000000001</v>
      </c>
      <c r="G600">
        <v>19097</v>
      </c>
      <c r="H600" s="116"/>
      <c r="I600" s="116"/>
      <c r="L600" s="170">
        <v>42886</v>
      </c>
      <c r="M600" s="116">
        <v>616.6</v>
      </c>
      <c r="N600" s="116">
        <v>625.625</v>
      </c>
      <c r="O600" s="116">
        <v>612.5</v>
      </c>
      <c r="P600" s="116">
        <v>622.25</v>
      </c>
      <c r="Q600" s="116">
        <v>1233.2</v>
      </c>
      <c r="R600">
        <v>157720</v>
      </c>
    </row>
    <row r="601" spans="1:18" x14ac:dyDescent="0.25">
      <c r="A601" s="170">
        <v>42887</v>
      </c>
      <c r="B601" s="116">
        <v>625</v>
      </c>
      <c r="C601" s="116">
        <v>603.625</v>
      </c>
      <c r="D601" s="116">
        <v>585.54999999999995</v>
      </c>
      <c r="E601" s="116">
        <v>614</v>
      </c>
      <c r="F601" s="116">
        <v>1207.25</v>
      </c>
      <c r="G601">
        <v>24951</v>
      </c>
      <c r="H601" s="116"/>
      <c r="I601" s="116"/>
      <c r="L601" s="170">
        <v>42887</v>
      </c>
      <c r="M601" s="116">
        <v>604</v>
      </c>
      <c r="N601" s="116">
        <v>625</v>
      </c>
      <c r="O601" s="116">
        <v>584.35</v>
      </c>
      <c r="P601" s="116">
        <v>615</v>
      </c>
      <c r="Q601" s="116">
        <v>1208</v>
      </c>
      <c r="R601">
        <v>755017</v>
      </c>
    </row>
    <row r="602" spans="1:18" x14ac:dyDescent="0.25">
      <c r="A602" s="170">
        <v>42888</v>
      </c>
      <c r="B602" s="116">
        <v>612.42499999999995</v>
      </c>
      <c r="C602" s="116">
        <v>606.375</v>
      </c>
      <c r="D602" s="116">
        <v>603.04999999999995</v>
      </c>
      <c r="E602" s="116">
        <v>610.27499999999998</v>
      </c>
      <c r="F602" s="116">
        <v>1212.75</v>
      </c>
      <c r="G602">
        <v>5876</v>
      </c>
      <c r="H602" s="116"/>
      <c r="I602" s="116"/>
      <c r="L602" s="170">
        <v>42888</v>
      </c>
      <c r="M602" s="116">
        <v>605.875</v>
      </c>
      <c r="N602" s="116">
        <v>615.57500000000005</v>
      </c>
      <c r="O602" s="116">
        <v>604</v>
      </c>
      <c r="P602" s="116">
        <v>605</v>
      </c>
      <c r="Q602" s="116">
        <v>1211.75</v>
      </c>
      <c r="R602">
        <v>80529</v>
      </c>
    </row>
    <row r="603" spans="1:18" x14ac:dyDescent="0.25">
      <c r="A603" s="170">
        <v>42891</v>
      </c>
      <c r="B603" s="116">
        <v>617.54999999999995</v>
      </c>
      <c r="C603" s="116">
        <v>606.17499999999995</v>
      </c>
      <c r="D603" s="116">
        <v>603.75</v>
      </c>
      <c r="E603" s="116">
        <v>606.375</v>
      </c>
      <c r="F603" s="116">
        <v>1212.3499999999999</v>
      </c>
      <c r="G603">
        <v>6342</v>
      </c>
      <c r="H603" s="116"/>
      <c r="I603" s="116"/>
      <c r="L603" s="170">
        <v>42891</v>
      </c>
      <c r="M603" s="116">
        <v>607.02499999999998</v>
      </c>
      <c r="N603" s="116">
        <v>617.1</v>
      </c>
      <c r="O603" s="116">
        <v>605.54999999999995</v>
      </c>
      <c r="P603" s="116">
        <v>607.5</v>
      </c>
      <c r="Q603" s="116">
        <v>1214.05</v>
      </c>
      <c r="R603">
        <v>57681</v>
      </c>
    </row>
    <row r="604" spans="1:18" x14ac:dyDescent="0.25">
      <c r="A604" s="170">
        <v>42892</v>
      </c>
      <c r="B604" s="116">
        <v>611</v>
      </c>
      <c r="C604" s="116">
        <v>605.22500000000002</v>
      </c>
      <c r="D604" s="116">
        <v>600.625</v>
      </c>
      <c r="E604" s="116">
        <v>608.15</v>
      </c>
      <c r="F604" s="116">
        <v>1210.45</v>
      </c>
      <c r="G604">
        <v>8401</v>
      </c>
      <c r="H604" s="116"/>
      <c r="I604" s="116"/>
      <c r="L604" s="170">
        <v>42892</v>
      </c>
      <c r="M604" s="116">
        <v>606.85</v>
      </c>
      <c r="N604" s="116">
        <v>611.57500000000005</v>
      </c>
      <c r="O604" s="116">
        <v>600.45000000000005</v>
      </c>
      <c r="P604" s="116">
        <v>609</v>
      </c>
      <c r="Q604" s="116">
        <v>1213.7</v>
      </c>
      <c r="R604">
        <v>73497</v>
      </c>
    </row>
    <row r="605" spans="1:18" x14ac:dyDescent="0.25">
      <c r="A605" s="170">
        <v>42893</v>
      </c>
      <c r="B605" s="116">
        <v>611</v>
      </c>
      <c r="C605" s="116">
        <v>604.29999999999995</v>
      </c>
      <c r="D605" s="116">
        <v>601.35</v>
      </c>
      <c r="E605" s="116">
        <v>605</v>
      </c>
      <c r="F605" s="116">
        <v>1208.5999999999999</v>
      </c>
      <c r="G605">
        <v>4066</v>
      </c>
      <c r="H605" s="116"/>
      <c r="I605" s="116"/>
      <c r="L605" s="170">
        <v>42893</v>
      </c>
      <c r="M605" s="116">
        <v>603.875</v>
      </c>
      <c r="N605" s="116">
        <v>615.82500000000005</v>
      </c>
      <c r="O605" s="116">
        <v>602</v>
      </c>
      <c r="P605" s="116">
        <v>607.5</v>
      </c>
      <c r="Q605" s="116">
        <v>1207.75</v>
      </c>
      <c r="R605">
        <v>107096</v>
      </c>
    </row>
    <row r="606" spans="1:18" x14ac:dyDescent="0.25">
      <c r="A606" s="170">
        <v>42894</v>
      </c>
      <c r="B606" s="116">
        <v>614.67499999999995</v>
      </c>
      <c r="C606" s="116">
        <v>609.35</v>
      </c>
      <c r="D606" s="116">
        <v>601.35</v>
      </c>
      <c r="E606" s="116">
        <v>605</v>
      </c>
      <c r="F606" s="116">
        <v>1218.7</v>
      </c>
      <c r="G606">
        <v>9662</v>
      </c>
      <c r="H606" s="116"/>
      <c r="I606" s="116"/>
      <c r="L606" s="170">
        <v>42894</v>
      </c>
      <c r="M606" s="116">
        <v>608.77499999999998</v>
      </c>
      <c r="N606" s="116">
        <v>615.5</v>
      </c>
      <c r="O606" s="116">
        <v>601.07500000000005</v>
      </c>
      <c r="P606" s="116">
        <v>601.07500000000005</v>
      </c>
      <c r="Q606" s="116">
        <v>1217.55</v>
      </c>
      <c r="R606">
        <v>169888</v>
      </c>
    </row>
    <row r="607" spans="1:18" x14ac:dyDescent="0.25">
      <c r="A607" s="170">
        <v>42895</v>
      </c>
      <c r="B607" s="116">
        <v>612.4</v>
      </c>
      <c r="C607" s="116">
        <v>604.17499999999995</v>
      </c>
      <c r="D607" s="116">
        <v>597</v>
      </c>
      <c r="E607" s="116">
        <v>610</v>
      </c>
      <c r="F607" s="116">
        <v>1208.3499999999999</v>
      </c>
      <c r="G607">
        <v>9643</v>
      </c>
      <c r="H607" s="116"/>
      <c r="I607" s="116"/>
      <c r="L607" s="170">
        <v>42895</v>
      </c>
      <c r="M607" s="116">
        <v>604.42499999999995</v>
      </c>
      <c r="N607" s="116">
        <v>612.45000000000005</v>
      </c>
      <c r="O607" s="116">
        <v>595.85</v>
      </c>
      <c r="P607" s="116">
        <v>610.17499999999995</v>
      </c>
      <c r="Q607" s="116">
        <v>1208.8499999999999</v>
      </c>
      <c r="R607">
        <v>157071</v>
      </c>
    </row>
    <row r="608" spans="1:18" x14ac:dyDescent="0.25">
      <c r="A608" s="170">
        <v>42898</v>
      </c>
      <c r="B608" s="116">
        <v>608.95000000000005</v>
      </c>
      <c r="C608" s="116">
        <v>600.07500000000005</v>
      </c>
      <c r="D608" s="116">
        <v>597.97500000000002</v>
      </c>
      <c r="E608" s="116">
        <v>603</v>
      </c>
      <c r="F608" s="116">
        <v>1200.1500000000001</v>
      </c>
      <c r="G608">
        <v>9176</v>
      </c>
      <c r="H608" s="116"/>
      <c r="I608" s="116"/>
      <c r="L608" s="170">
        <v>42898</v>
      </c>
      <c r="M608" s="116">
        <v>599.85</v>
      </c>
      <c r="N608" s="116">
        <v>609.65</v>
      </c>
      <c r="O608" s="116">
        <v>598.75</v>
      </c>
      <c r="P608" s="116">
        <v>608</v>
      </c>
      <c r="Q608" s="116">
        <v>1199.7</v>
      </c>
      <c r="R608">
        <v>56688</v>
      </c>
    </row>
    <row r="609" spans="1:18" x14ac:dyDescent="0.25">
      <c r="A609" s="170">
        <v>42899</v>
      </c>
      <c r="B609" s="116">
        <v>614.5</v>
      </c>
      <c r="C609" s="116">
        <v>607.20000000000005</v>
      </c>
      <c r="D609" s="116">
        <v>600</v>
      </c>
      <c r="E609" s="116">
        <v>600</v>
      </c>
      <c r="F609" s="116">
        <v>1214.4000000000001</v>
      </c>
      <c r="G609">
        <v>4528</v>
      </c>
      <c r="H609" s="116"/>
      <c r="I609" s="116"/>
      <c r="L609" s="170">
        <v>42899</v>
      </c>
      <c r="M609" s="116">
        <v>607.82500000000005</v>
      </c>
      <c r="N609" s="116">
        <v>614</v>
      </c>
      <c r="O609" s="116">
        <v>600.375</v>
      </c>
      <c r="P609" s="116">
        <v>603.92499999999995</v>
      </c>
      <c r="Q609" s="116">
        <v>1215.6500000000001</v>
      </c>
      <c r="R609">
        <v>158572</v>
      </c>
    </row>
    <row r="610" spans="1:18" x14ac:dyDescent="0.25">
      <c r="A610" s="170">
        <v>42900</v>
      </c>
      <c r="B610" s="116">
        <v>624.5</v>
      </c>
      <c r="C610" s="116">
        <v>616.57500000000005</v>
      </c>
      <c r="D610" s="116">
        <v>606.25</v>
      </c>
      <c r="E610" s="116">
        <v>606.25</v>
      </c>
      <c r="F610" s="116">
        <v>1233.1500000000001</v>
      </c>
      <c r="G610">
        <v>20882</v>
      </c>
      <c r="H610" s="116"/>
      <c r="I610" s="116"/>
      <c r="L610" s="170">
        <v>42900</v>
      </c>
      <c r="M610" s="116">
        <v>617</v>
      </c>
      <c r="N610" s="116">
        <v>624.45000000000005</v>
      </c>
      <c r="O610" s="116">
        <v>607.82500000000005</v>
      </c>
      <c r="P610" s="116">
        <v>609.35</v>
      </c>
      <c r="Q610" s="116">
        <v>1234</v>
      </c>
      <c r="R610">
        <v>430563</v>
      </c>
    </row>
    <row r="611" spans="1:18" x14ac:dyDescent="0.25">
      <c r="A611" s="170">
        <v>42901</v>
      </c>
      <c r="B611" s="116">
        <v>623.375</v>
      </c>
      <c r="C611" s="116">
        <v>618.17499999999995</v>
      </c>
      <c r="D611" s="116">
        <v>611</v>
      </c>
      <c r="E611" s="116">
        <v>613.25</v>
      </c>
      <c r="F611" s="116">
        <v>1236.3499999999999</v>
      </c>
      <c r="G611">
        <v>7744</v>
      </c>
      <c r="H611" s="116"/>
      <c r="I611" s="116"/>
      <c r="L611" s="170">
        <v>42901</v>
      </c>
      <c r="M611" s="116">
        <v>617.22500000000002</v>
      </c>
      <c r="N611" s="116">
        <v>623.9</v>
      </c>
      <c r="O611" s="116">
        <v>608.79999999999995</v>
      </c>
      <c r="P611" s="116">
        <v>617</v>
      </c>
      <c r="Q611" s="116">
        <v>1234.45</v>
      </c>
      <c r="R611">
        <v>137197</v>
      </c>
    </row>
    <row r="612" spans="1:18" x14ac:dyDescent="0.25">
      <c r="A612" s="170">
        <v>42902</v>
      </c>
      <c r="B612" s="116">
        <v>618.1</v>
      </c>
      <c r="C612" s="116">
        <v>605.04999999999995</v>
      </c>
      <c r="D612" s="116">
        <v>599</v>
      </c>
      <c r="E612" s="116">
        <v>615</v>
      </c>
      <c r="F612" s="116">
        <v>1210.0999999999999</v>
      </c>
      <c r="G612">
        <v>110317</v>
      </c>
      <c r="H612" s="116"/>
      <c r="I612" s="116"/>
      <c r="L612" s="170">
        <v>42902</v>
      </c>
      <c r="M612" s="116">
        <v>605.92499999999995</v>
      </c>
      <c r="N612" s="116">
        <v>620</v>
      </c>
      <c r="O612" s="116">
        <v>599.35</v>
      </c>
      <c r="P612" s="116">
        <v>617.4</v>
      </c>
      <c r="Q612" s="116">
        <v>1211.8499999999999</v>
      </c>
      <c r="R612">
        <v>147304</v>
      </c>
    </row>
    <row r="613" spans="1:18" x14ac:dyDescent="0.25">
      <c r="A613" s="170">
        <v>42905</v>
      </c>
      <c r="B613" s="116">
        <v>606.5</v>
      </c>
      <c r="C613" s="116">
        <v>601.4</v>
      </c>
      <c r="D613" s="116">
        <v>597.52499999999998</v>
      </c>
      <c r="E613" s="116">
        <v>605.5</v>
      </c>
      <c r="F613" s="116">
        <v>1202.8</v>
      </c>
      <c r="G613">
        <v>6222</v>
      </c>
      <c r="H613" s="116"/>
      <c r="I613" s="116"/>
      <c r="L613" s="170">
        <v>42905</v>
      </c>
      <c r="M613" s="116">
        <v>600.72500000000002</v>
      </c>
      <c r="N613" s="116">
        <v>607.95000000000005</v>
      </c>
      <c r="O613" s="116">
        <v>596.75</v>
      </c>
      <c r="P613" s="116">
        <v>605.9</v>
      </c>
      <c r="Q613" s="116">
        <v>1201.45</v>
      </c>
      <c r="R613">
        <v>94240</v>
      </c>
    </row>
    <row r="614" spans="1:18" x14ac:dyDescent="0.25">
      <c r="A614" s="170">
        <v>42906</v>
      </c>
      <c r="B614" s="116">
        <v>608.45000000000005</v>
      </c>
      <c r="C614" s="116">
        <v>597.79999999999995</v>
      </c>
      <c r="D614" s="116">
        <v>590.95000000000005</v>
      </c>
      <c r="E614" s="116">
        <v>604</v>
      </c>
      <c r="F614" s="116">
        <v>1195.5999999999999</v>
      </c>
      <c r="G614">
        <v>10212</v>
      </c>
      <c r="H614" s="116"/>
      <c r="I614" s="116"/>
      <c r="L614" s="170">
        <v>42906</v>
      </c>
      <c r="M614" s="116">
        <v>597.20000000000005</v>
      </c>
      <c r="N614" s="116">
        <v>609</v>
      </c>
      <c r="O614" s="116">
        <v>590.15</v>
      </c>
      <c r="P614" s="116">
        <v>602.54999999999995</v>
      </c>
      <c r="Q614" s="116">
        <v>1194.4000000000001</v>
      </c>
      <c r="R614">
        <v>163646</v>
      </c>
    </row>
    <row r="615" spans="1:18" x14ac:dyDescent="0.25">
      <c r="A615" s="170">
        <v>42907</v>
      </c>
      <c r="B615" s="116">
        <v>604</v>
      </c>
      <c r="C615" s="116">
        <v>598.22500000000002</v>
      </c>
      <c r="D615" s="116">
        <v>596.625</v>
      </c>
      <c r="E615" s="116">
        <v>600</v>
      </c>
      <c r="F615" s="116">
        <v>1196.45</v>
      </c>
      <c r="G615">
        <v>6600</v>
      </c>
      <c r="H615" s="116"/>
      <c r="I615" s="116"/>
      <c r="L615" s="170">
        <v>42907</v>
      </c>
      <c r="M615" s="116">
        <v>599.4</v>
      </c>
      <c r="N615" s="116">
        <v>604.70000000000005</v>
      </c>
      <c r="O615" s="116">
        <v>597.5</v>
      </c>
      <c r="P615" s="116">
        <v>597.5</v>
      </c>
      <c r="Q615" s="116">
        <v>1198.8</v>
      </c>
      <c r="R615">
        <v>64702</v>
      </c>
    </row>
    <row r="616" spans="1:18" x14ac:dyDescent="0.25">
      <c r="A616" s="170">
        <v>42908</v>
      </c>
      <c r="B616" s="116">
        <v>600.97500000000002</v>
      </c>
      <c r="C616" s="116">
        <v>588.9</v>
      </c>
      <c r="D616" s="116">
        <v>585.65</v>
      </c>
      <c r="E616" s="116">
        <v>598.25</v>
      </c>
      <c r="F616" s="116">
        <v>1177.8</v>
      </c>
      <c r="G616">
        <v>17301</v>
      </c>
      <c r="H616" s="116"/>
      <c r="I616" s="116"/>
      <c r="L616" s="170">
        <v>42908</v>
      </c>
      <c r="M616" s="116">
        <v>587.77499999999998</v>
      </c>
      <c r="N616" s="116">
        <v>603.875</v>
      </c>
      <c r="O616" s="116">
        <v>585.04999999999995</v>
      </c>
      <c r="P616" s="116">
        <v>598.54999999999995</v>
      </c>
      <c r="Q616" s="116">
        <v>1175.55</v>
      </c>
      <c r="R616">
        <v>94754</v>
      </c>
    </row>
    <row r="617" spans="1:18" x14ac:dyDescent="0.25">
      <c r="A617" s="170">
        <v>42909</v>
      </c>
      <c r="B617" s="116">
        <v>595.57500000000005</v>
      </c>
      <c r="C617" s="116">
        <v>588.79999999999995</v>
      </c>
      <c r="D617" s="116">
        <v>585</v>
      </c>
      <c r="E617" s="116">
        <v>589.67499999999995</v>
      </c>
      <c r="F617" s="116">
        <v>1177.5999999999999</v>
      </c>
      <c r="G617">
        <v>5426</v>
      </c>
      <c r="H617" s="116"/>
      <c r="I617" s="116"/>
      <c r="L617" s="170">
        <v>42909</v>
      </c>
      <c r="M617" s="116">
        <v>589</v>
      </c>
      <c r="N617" s="116">
        <v>595</v>
      </c>
      <c r="O617" s="116">
        <v>584.35</v>
      </c>
      <c r="P617" s="116">
        <v>588.17499999999995</v>
      </c>
      <c r="Q617" s="116">
        <v>1178</v>
      </c>
      <c r="R617">
        <v>113479</v>
      </c>
    </row>
    <row r="618" spans="1:18" x14ac:dyDescent="0.25">
      <c r="A618" s="170">
        <v>42913</v>
      </c>
      <c r="B618" s="116">
        <v>594.97500000000002</v>
      </c>
      <c r="C618" s="116">
        <v>591.70000000000005</v>
      </c>
      <c r="D618" s="116">
        <v>586.625</v>
      </c>
      <c r="E618" s="116">
        <v>592.35</v>
      </c>
      <c r="F618" s="116">
        <v>1183.4000000000001</v>
      </c>
      <c r="G618">
        <v>5485</v>
      </c>
      <c r="H618" s="116"/>
      <c r="I618" s="116"/>
      <c r="L618" s="170">
        <v>42913</v>
      </c>
      <c r="M618" s="116">
        <v>592.375</v>
      </c>
      <c r="N618" s="116">
        <v>595.02499999999998</v>
      </c>
      <c r="O618" s="116">
        <v>586.52499999999998</v>
      </c>
      <c r="P618" s="116">
        <v>587.5</v>
      </c>
      <c r="Q618" s="116">
        <v>1184.75</v>
      </c>
      <c r="R618">
        <v>172738</v>
      </c>
    </row>
    <row r="619" spans="1:18" x14ac:dyDescent="0.25">
      <c r="A619" s="170">
        <v>42914</v>
      </c>
      <c r="B619" s="116">
        <v>595.42499999999995</v>
      </c>
      <c r="C619" s="116">
        <v>583.29999999999995</v>
      </c>
      <c r="D619" s="116">
        <v>575.79999999999995</v>
      </c>
      <c r="E619" s="116">
        <v>590.54999999999995</v>
      </c>
      <c r="F619" s="116">
        <v>1166.5999999999999</v>
      </c>
      <c r="G619">
        <v>7251</v>
      </c>
      <c r="H619" s="116"/>
      <c r="I619" s="116"/>
      <c r="L619" s="170">
        <v>42914</v>
      </c>
      <c r="M619" s="116">
        <v>582.77499999999998</v>
      </c>
      <c r="N619" s="116">
        <v>594.22500000000002</v>
      </c>
      <c r="O619" s="116">
        <v>575.52499999999998</v>
      </c>
      <c r="P619" s="116">
        <v>593.75</v>
      </c>
      <c r="Q619" s="116">
        <v>1165.55</v>
      </c>
      <c r="R619">
        <v>135381</v>
      </c>
    </row>
    <row r="620" spans="1:18" x14ac:dyDescent="0.25">
      <c r="A620" s="170">
        <v>42915</v>
      </c>
      <c r="B620" s="116">
        <v>601.77499999999998</v>
      </c>
      <c r="C620" s="116">
        <v>593.65</v>
      </c>
      <c r="D620" s="116">
        <v>585.5</v>
      </c>
      <c r="E620" s="116">
        <v>587.52499999999998</v>
      </c>
      <c r="F620" s="116">
        <v>1187.3</v>
      </c>
      <c r="G620">
        <v>7590</v>
      </c>
      <c r="H620" s="116"/>
      <c r="I620" s="116"/>
      <c r="L620" s="170">
        <v>42915</v>
      </c>
      <c r="M620" s="116">
        <v>595.57500000000005</v>
      </c>
      <c r="N620" s="116">
        <v>602</v>
      </c>
      <c r="O620" s="116">
        <v>584.52499999999998</v>
      </c>
      <c r="P620" s="116">
        <v>587.5</v>
      </c>
      <c r="Q620" s="116">
        <v>1191.1500000000001</v>
      </c>
      <c r="R620">
        <v>174463</v>
      </c>
    </row>
    <row r="621" spans="1:18" x14ac:dyDescent="0.25">
      <c r="A621" s="170">
        <v>42916</v>
      </c>
      <c r="B621" s="116">
        <v>611</v>
      </c>
      <c r="C621" s="116">
        <v>606.5</v>
      </c>
      <c r="D621" s="116">
        <v>594.625</v>
      </c>
      <c r="E621" s="116">
        <v>595.79999999999995</v>
      </c>
      <c r="F621" s="116">
        <v>1213</v>
      </c>
      <c r="G621">
        <v>9249</v>
      </c>
      <c r="H621" s="116"/>
      <c r="I621" s="116"/>
      <c r="L621" s="170">
        <v>42916</v>
      </c>
      <c r="M621" s="116">
        <v>610.27499999999998</v>
      </c>
      <c r="N621" s="116">
        <v>615</v>
      </c>
      <c r="O621" s="116">
        <v>592.875</v>
      </c>
      <c r="P621" s="116">
        <v>602.25</v>
      </c>
      <c r="Q621" s="116">
        <v>1220.55</v>
      </c>
      <c r="R621">
        <v>163062</v>
      </c>
    </row>
    <row r="622" spans="1:18" x14ac:dyDescent="0.25">
      <c r="A622" s="170">
        <v>42919</v>
      </c>
      <c r="B622" s="116">
        <v>616.5</v>
      </c>
      <c r="C622" s="116">
        <v>610.75</v>
      </c>
      <c r="D622" s="116">
        <v>606.4</v>
      </c>
      <c r="E622" s="116">
        <v>606.5</v>
      </c>
      <c r="F622" s="116">
        <v>1221.5</v>
      </c>
      <c r="G622">
        <v>9886</v>
      </c>
      <c r="H622" s="116"/>
      <c r="I622" s="116"/>
      <c r="L622" s="170">
        <v>42919</v>
      </c>
      <c r="M622" s="116">
        <v>614.29999999999995</v>
      </c>
      <c r="N622" s="116">
        <v>617.5</v>
      </c>
      <c r="O622" s="116">
        <v>605.5</v>
      </c>
      <c r="P622" s="116">
        <v>610.29999999999995</v>
      </c>
      <c r="Q622" s="116">
        <v>1228.5999999999999</v>
      </c>
      <c r="R622">
        <v>93209</v>
      </c>
    </row>
    <row r="623" spans="1:18" x14ac:dyDescent="0.25">
      <c r="A623" s="170">
        <v>42920</v>
      </c>
      <c r="B623" s="116">
        <v>634.82500000000005</v>
      </c>
      <c r="C623" s="116">
        <v>619.42499999999995</v>
      </c>
      <c r="D623" s="116">
        <v>610</v>
      </c>
      <c r="E623" s="116">
        <v>616.07500000000005</v>
      </c>
      <c r="F623" s="116">
        <v>1238.8499999999999</v>
      </c>
      <c r="G623">
        <v>14763</v>
      </c>
      <c r="H623" s="116"/>
      <c r="I623" s="116"/>
      <c r="L623" s="170">
        <v>42920</v>
      </c>
      <c r="M623" s="116">
        <v>620.32500000000005</v>
      </c>
      <c r="N623" s="116">
        <v>635.95000000000005</v>
      </c>
      <c r="O623" s="116">
        <v>610.42499999999995</v>
      </c>
      <c r="P623" s="116">
        <v>616.85</v>
      </c>
      <c r="Q623" s="116">
        <v>1240.6500000000001</v>
      </c>
      <c r="R623">
        <v>241400</v>
      </c>
    </row>
    <row r="624" spans="1:18" x14ac:dyDescent="0.25">
      <c r="A624" s="170">
        <v>42921</v>
      </c>
      <c r="B624" s="116">
        <v>645</v>
      </c>
      <c r="C624" s="116">
        <v>634.82500000000005</v>
      </c>
      <c r="D624" s="116">
        <v>627.17499999999995</v>
      </c>
      <c r="E624" s="116">
        <v>627.17499999999995</v>
      </c>
      <c r="F624" s="116">
        <v>1269.6500000000001</v>
      </c>
      <c r="G624">
        <v>18665</v>
      </c>
      <c r="H624" s="116"/>
      <c r="I624" s="116"/>
      <c r="L624" s="170">
        <v>42921</v>
      </c>
      <c r="M624" s="116">
        <v>636.72500000000002</v>
      </c>
      <c r="N624" s="116">
        <v>645</v>
      </c>
      <c r="O624" s="116">
        <v>623.92499999999995</v>
      </c>
      <c r="P624" s="116">
        <v>624.5</v>
      </c>
      <c r="Q624" s="116">
        <v>1273.45</v>
      </c>
      <c r="R624">
        <v>273110</v>
      </c>
    </row>
    <row r="625" spans="1:18" x14ac:dyDescent="0.25">
      <c r="A625" s="170">
        <v>42922</v>
      </c>
      <c r="B625" s="116">
        <v>643.1</v>
      </c>
      <c r="C625" s="116">
        <v>634.1</v>
      </c>
      <c r="D625" s="116">
        <v>630.875</v>
      </c>
      <c r="E625" s="116">
        <v>635.07500000000005</v>
      </c>
      <c r="F625" s="116">
        <v>1268.2</v>
      </c>
      <c r="G625">
        <v>10266</v>
      </c>
      <c r="H625" s="116"/>
      <c r="I625" s="116"/>
      <c r="L625" s="170">
        <v>42922</v>
      </c>
      <c r="M625" s="116">
        <v>635.92499999999995</v>
      </c>
      <c r="N625" s="116">
        <v>643</v>
      </c>
      <c r="O625" s="116">
        <v>633.5</v>
      </c>
      <c r="P625" s="116">
        <v>640</v>
      </c>
      <c r="Q625" s="116">
        <v>1271.8499999999999</v>
      </c>
      <c r="R625">
        <v>98740</v>
      </c>
    </row>
    <row r="626" spans="1:18" x14ac:dyDescent="0.25">
      <c r="A626" s="170">
        <v>42923</v>
      </c>
      <c r="B626" s="116">
        <v>654.15</v>
      </c>
      <c r="C626" s="116">
        <v>649.375</v>
      </c>
      <c r="D626" s="116">
        <v>632.52499999999998</v>
      </c>
      <c r="E626" s="116">
        <v>634.57500000000005</v>
      </c>
      <c r="F626" s="116">
        <v>1298.75</v>
      </c>
      <c r="G626">
        <v>20491</v>
      </c>
      <c r="H626" s="116"/>
      <c r="I626" s="116"/>
      <c r="L626" s="170">
        <v>42923</v>
      </c>
      <c r="M626" s="116">
        <v>649.20000000000005</v>
      </c>
      <c r="N626" s="116">
        <v>652.45000000000005</v>
      </c>
      <c r="O626" s="116">
        <v>632.29999999999995</v>
      </c>
      <c r="P626" s="116">
        <v>635.5</v>
      </c>
      <c r="Q626" s="116">
        <v>1298.4000000000001</v>
      </c>
      <c r="R626">
        <v>183580</v>
      </c>
    </row>
    <row r="627" spans="1:18" x14ac:dyDescent="0.25">
      <c r="A627" s="170">
        <v>42926</v>
      </c>
      <c r="B627" s="116">
        <v>651.22500000000002</v>
      </c>
      <c r="C627" s="116">
        <v>648.02499999999998</v>
      </c>
      <c r="D627" s="116">
        <v>642.25</v>
      </c>
      <c r="E627" s="116">
        <v>650.5</v>
      </c>
      <c r="F627" s="116">
        <v>1296.05</v>
      </c>
      <c r="G627">
        <v>16453</v>
      </c>
      <c r="H627" s="116"/>
      <c r="I627" s="116"/>
      <c r="L627" s="170">
        <v>42926</v>
      </c>
      <c r="M627" s="116">
        <v>650.45000000000005</v>
      </c>
      <c r="N627" s="116">
        <v>655.67499999999995</v>
      </c>
      <c r="O627" s="116">
        <v>585</v>
      </c>
      <c r="P627" s="116">
        <v>649.5</v>
      </c>
      <c r="Q627" s="116">
        <v>1300.9000000000001</v>
      </c>
      <c r="R627">
        <v>35325</v>
      </c>
    </row>
    <row r="628" spans="1:18" x14ac:dyDescent="0.25">
      <c r="A628" s="170">
        <v>42927</v>
      </c>
      <c r="B628" s="116">
        <v>683.45</v>
      </c>
      <c r="C628" s="116">
        <v>664.2</v>
      </c>
      <c r="D628" s="116">
        <v>625</v>
      </c>
      <c r="E628" s="116">
        <v>625</v>
      </c>
      <c r="F628" s="116">
        <v>1328.4</v>
      </c>
      <c r="G628">
        <v>84090</v>
      </c>
      <c r="H628" s="116"/>
      <c r="I628" s="116"/>
      <c r="L628" s="170">
        <v>42927</v>
      </c>
      <c r="M628" s="116">
        <v>667</v>
      </c>
      <c r="N628" s="116">
        <v>685</v>
      </c>
      <c r="O628" s="116">
        <v>625.82500000000005</v>
      </c>
      <c r="P628" s="116">
        <v>638</v>
      </c>
      <c r="Q628" s="116">
        <v>1334</v>
      </c>
      <c r="R628">
        <v>898679</v>
      </c>
    </row>
    <row r="629" spans="1:18" x14ac:dyDescent="0.25">
      <c r="A629" s="170">
        <v>42928</v>
      </c>
      <c r="B629" s="116">
        <v>666.5</v>
      </c>
      <c r="C629" s="116">
        <v>656.02499999999998</v>
      </c>
      <c r="D629" s="116">
        <v>647.27499999999998</v>
      </c>
      <c r="E629" s="116">
        <v>664</v>
      </c>
      <c r="F629" s="116">
        <v>1312.05</v>
      </c>
      <c r="G629">
        <v>20439</v>
      </c>
      <c r="H629" s="116"/>
      <c r="I629" s="116"/>
      <c r="L629" s="170">
        <v>42928</v>
      </c>
      <c r="M629" s="116">
        <v>655.17499999999995</v>
      </c>
      <c r="N629" s="116">
        <v>667.52499999999998</v>
      </c>
      <c r="O629" s="116">
        <v>647.02499999999998</v>
      </c>
      <c r="P629" s="116">
        <v>667.45</v>
      </c>
      <c r="Q629" s="116">
        <v>1310.3499999999999</v>
      </c>
      <c r="R629">
        <v>218027</v>
      </c>
    </row>
    <row r="630" spans="1:18" x14ac:dyDescent="0.25">
      <c r="A630" s="170">
        <v>42929</v>
      </c>
      <c r="B630" s="116">
        <v>658.22500000000002</v>
      </c>
      <c r="C630" s="116">
        <v>640.42499999999995</v>
      </c>
      <c r="D630" s="116">
        <v>638.04999999999995</v>
      </c>
      <c r="E630" s="116">
        <v>647.5</v>
      </c>
      <c r="F630" s="116">
        <v>1280.8499999999999</v>
      </c>
      <c r="G630">
        <v>19010</v>
      </c>
      <c r="H630" s="116"/>
      <c r="I630" s="116"/>
      <c r="L630" s="170">
        <v>42929</v>
      </c>
      <c r="M630" s="116">
        <v>640.07500000000005</v>
      </c>
      <c r="N630" s="116">
        <v>661</v>
      </c>
      <c r="O630" s="116">
        <v>637.75</v>
      </c>
      <c r="P630" s="116">
        <v>655.02499999999998</v>
      </c>
      <c r="Q630" s="116">
        <v>1280.1500000000001</v>
      </c>
      <c r="R630">
        <v>227747</v>
      </c>
    </row>
    <row r="631" spans="1:18" x14ac:dyDescent="0.25">
      <c r="A631" s="170">
        <v>42930</v>
      </c>
      <c r="B631" s="116">
        <v>662.27499999999998</v>
      </c>
      <c r="C631" s="116">
        <v>649.625</v>
      </c>
      <c r="D631" s="116">
        <v>638.72500000000002</v>
      </c>
      <c r="E631" s="116">
        <v>645</v>
      </c>
      <c r="F631" s="116">
        <v>1299.25</v>
      </c>
      <c r="G631">
        <v>17251</v>
      </c>
      <c r="H631" s="116"/>
      <c r="I631" s="116"/>
      <c r="L631" s="170">
        <v>42930</v>
      </c>
      <c r="M631" s="116">
        <v>649.85</v>
      </c>
      <c r="N631" s="116">
        <v>662.5</v>
      </c>
      <c r="O631" s="116">
        <v>639.1</v>
      </c>
      <c r="P631" s="116">
        <v>644.5</v>
      </c>
      <c r="Q631" s="116">
        <v>1299.7</v>
      </c>
      <c r="R631">
        <v>241913</v>
      </c>
    </row>
    <row r="632" spans="1:18" x14ac:dyDescent="0.25">
      <c r="A632" s="170">
        <v>42933</v>
      </c>
      <c r="B632" s="116">
        <v>658.05</v>
      </c>
      <c r="C632" s="116">
        <v>645.54999999999995</v>
      </c>
      <c r="D632" s="116">
        <v>640.875</v>
      </c>
      <c r="E632" s="116">
        <v>648.57500000000005</v>
      </c>
      <c r="F632" s="116">
        <v>1291.0999999999999</v>
      </c>
      <c r="G632">
        <v>9471</v>
      </c>
      <c r="H632" s="116"/>
      <c r="I632" s="116"/>
      <c r="L632" s="170">
        <v>42933</v>
      </c>
      <c r="M632" s="116">
        <v>647.42499999999995</v>
      </c>
      <c r="N632" s="116">
        <v>658.97500000000002</v>
      </c>
      <c r="O632" s="116">
        <v>640.97500000000002</v>
      </c>
      <c r="P632" s="116">
        <v>650</v>
      </c>
      <c r="Q632" s="116">
        <v>1294.8499999999999</v>
      </c>
      <c r="R632">
        <v>68611</v>
      </c>
    </row>
    <row r="633" spans="1:18" x14ac:dyDescent="0.25">
      <c r="A633" s="170">
        <v>42934</v>
      </c>
      <c r="B633" s="116">
        <v>653.35</v>
      </c>
      <c r="C633" s="116">
        <v>647.52499999999998</v>
      </c>
      <c r="D633" s="116">
        <v>639.72500000000002</v>
      </c>
      <c r="E633" s="116">
        <v>644.85</v>
      </c>
      <c r="F633" s="116">
        <v>1295.05</v>
      </c>
      <c r="G633">
        <v>4473</v>
      </c>
      <c r="H633" s="116"/>
      <c r="I633" s="116"/>
      <c r="L633" s="170">
        <v>42934</v>
      </c>
      <c r="M633" s="116">
        <v>647.67499999999995</v>
      </c>
      <c r="N633" s="116">
        <v>651.47500000000002</v>
      </c>
      <c r="O633" s="116">
        <v>639.17499999999995</v>
      </c>
      <c r="P633" s="116">
        <v>647.5</v>
      </c>
      <c r="Q633" s="116">
        <v>1295.3499999999999</v>
      </c>
      <c r="R633">
        <v>86139</v>
      </c>
    </row>
    <row r="634" spans="1:18" x14ac:dyDescent="0.25">
      <c r="A634" s="170">
        <v>42935</v>
      </c>
      <c r="B634" s="116">
        <v>654.6</v>
      </c>
      <c r="C634" s="116">
        <v>649.4</v>
      </c>
      <c r="D634" s="116">
        <v>647.875</v>
      </c>
      <c r="E634" s="116">
        <v>648</v>
      </c>
      <c r="F634" s="116">
        <v>1298.8</v>
      </c>
      <c r="G634">
        <v>3782</v>
      </c>
      <c r="H634" s="116"/>
      <c r="I634" s="116"/>
      <c r="L634" s="170">
        <v>42935</v>
      </c>
      <c r="M634" s="116">
        <v>650.02499999999998</v>
      </c>
      <c r="N634" s="116">
        <v>657.45</v>
      </c>
      <c r="O634" s="116">
        <v>647.07500000000005</v>
      </c>
      <c r="P634" s="116">
        <v>649.97500000000002</v>
      </c>
      <c r="Q634" s="116">
        <v>1300.05</v>
      </c>
      <c r="R634">
        <v>94708</v>
      </c>
    </row>
    <row r="635" spans="1:18" x14ac:dyDescent="0.25">
      <c r="A635" s="170">
        <v>42936</v>
      </c>
      <c r="B635" s="116">
        <v>657.7</v>
      </c>
      <c r="C635" s="116">
        <v>637.6</v>
      </c>
      <c r="D635" s="116">
        <v>632.72500000000002</v>
      </c>
      <c r="E635" s="116">
        <v>656.1</v>
      </c>
      <c r="F635" s="116">
        <v>1275.2</v>
      </c>
      <c r="G635">
        <v>12703</v>
      </c>
      <c r="H635" s="116"/>
      <c r="I635" s="116"/>
      <c r="L635" s="170">
        <v>42936</v>
      </c>
      <c r="M635" s="116">
        <v>637.52499999999998</v>
      </c>
      <c r="N635" s="116">
        <v>657.95</v>
      </c>
      <c r="O635" s="116">
        <v>632.20000000000005</v>
      </c>
      <c r="P635" s="116">
        <v>653.5</v>
      </c>
      <c r="Q635" s="116">
        <v>1275.05</v>
      </c>
      <c r="R635">
        <v>163388</v>
      </c>
    </row>
    <row r="636" spans="1:18" x14ac:dyDescent="0.25">
      <c r="A636" s="170">
        <v>42937</v>
      </c>
      <c r="B636" s="116">
        <v>644.27499999999998</v>
      </c>
      <c r="C636" s="116">
        <v>635.75</v>
      </c>
      <c r="D636" s="116">
        <v>633.52499999999998</v>
      </c>
      <c r="E636" s="116">
        <v>640.375</v>
      </c>
      <c r="F636" s="116">
        <v>1271.5</v>
      </c>
      <c r="G636">
        <v>7286</v>
      </c>
      <c r="H636" s="116"/>
      <c r="I636" s="116"/>
      <c r="L636" s="170">
        <v>42937</v>
      </c>
      <c r="M636" s="116">
        <v>634.92499999999995</v>
      </c>
      <c r="N636" s="116">
        <v>644.65</v>
      </c>
      <c r="O636" s="116">
        <v>633.52499999999998</v>
      </c>
      <c r="P636" s="116">
        <v>640.5</v>
      </c>
      <c r="Q636" s="116">
        <v>1269.8499999999999</v>
      </c>
      <c r="R636">
        <v>71672</v>
      </c>
    </row>
    <row r="637" spans="1:18" x14ac:dyDescent="0.25">
      <c r="A637" s="170">
        <v>42940</v>
      </c>
      <c r="B637" s="116">
        <v>641.67499999999995</v>
      </c>
      <c r="C637" s="116">
        <v>633.25</v>
      </c>
      <c r="D637" s="116">
        <v>632.5</v>
      </c>
      <c r="E637" s="116">
        <v>641.67499999999995</v>
      </c>
      <c r="F637" s="116">
        <v>1266.5</v>
      </c>
      <c r="G637">
        <v>7558</v>
      </c>
      <c r="H637" s="116"/>
      <c r="I637" s="116"/>
      <c r="L637" s="170">
        <v>42940</v>
      </c>
      <c r="M637" s="116">
        <v>633.67499999999995</v>
      </c>
      <c r="N637" s="116">
        <v>647</v>
      </c>
      <c r="O637" s="116">
        <v>631.5</v>
      </c>
      <c r="P637" s="116">
        <v>635.6</v>
      </c>
      <c r="Q637" s="116">
        <v>1267.3499999999999</v>
      </c>
      <c r="R637">
        <v>94974</v>
      </c>
    </row>
    <row r="638" spans="1:18" x14ac:dyDescent="0.25">
      <c r="A638" s="170">
        <v>42941</v>
      </c>
      <c r="B638" s="116">
        <v>640.20000000000005</v>
      </c>
      <c r="C638" s="116">
        <v>632.75</v>
      </c>
      <c r="D638" s="116">
        <v>625.9</v>
      </c>
      <c r="E638" s="116">
        <v>635.57500000000005</v>
      </c>
      <c r="F638" s="116">
        <v>1265.5</v>
      </c>
      <c r="G638">
        <v>9279</v>
      </c>
      <c r="H638" s="116"/>
      <c r="I638" s="116"/>
      <c r="L638" s="170">
        <v>42941</v>
      </c>
      <c r="M638" s="116">
        <v>632.75</v>
      </c>
      <c r="N638" s="116">
        <v>642.5</v>
      </c>
      <c r="O638" s="116">
        <v>625.5</v>
      </c>
      <c r="P638" s="116">
        <v>635</v>
      </c>
      <c r="Q638" s="116">
        <v>1265.5</v>
      </c>
      <c r="R638">
        <v>231938</v>
      </c>
    </row>
    <row r="639" spans="1:18" x14ac:dyDescent="0.25">
      <c r="A639" s="170">
        <v>42942</v>
      </c>
      <c r="B639" s="116">
        <v>642.52499999999998</v>
      </c>
      <c r="C639" s="116">
        <v>636.625</v>
      </c>
      <c r="D639" s="116">
        <v>628.92499999999995</v>
      </c>
      <c r="E639" s="116">
        <v>632.5</v>
      </c>
      <c r="F639" s="116">
        <v>1273.25</v>
      </c>
      <c r="G639">
        <v>4692</v>
      </c>
      <c r="H639" s="116"/>
      <c r="I639" s="116"/>
      <c r="L639" s="170">
        <v>42942</v>
      </c>
      <c r="M639" s="116">
        <v>639.15</v>
      </c>
      <c r="N639" s="116">
        <v>642.47500000000002</v>
      </c>
      <c r="O639" s="116">
        <v>628.52499999999998</v>
      </c>
      <c r="P639" s="116">
        <v>633.25</v>
      </c>
      <c r="Q639" s="116">
        <v>1278.3</v>
      </c>
      <c r="R639">
        <v>58769</v>
      </c>
    </row>
    <row r="640" spans="1:18" x14ac:dyDescent="0.25">
      <c r="A640" s="170">
        <v>42943</v>
      </c>
      <c r="B640" s="116">
        <v>643.20000000000005</v>
      </c>
      <c r="C640" s="116">
        <v>635.79999999999995</v>
      </c>
      <c r="D640" s="116">
        <v>625.5</v>
      </c>
      <c r="E640" s="116">
        <v>625.5</v>
      </c>
      <c r="F640" s="116">
        <v>1271.5999999999999</v>
      </c>
      <c r="G640">
        <v>5150</v>
      </c>
      <c r="H640" s="116"/>
      <c r="I640" s="116"/>
      <c r="L640" s="170">
        <v>42943</v>
      </c>
      <c r="M640" s="116">
        <v>634.625</v>
      </c>
      <c r="N640" s="116">
        <v>644.5</v>
      </c>
      <c r="O640" s="116">
        <v>632.29999999999995</v>
      </c>
      <c r="P640" s="116">
        <v>640.02499999999998</v>
      </c>
      <c r="Q640" s="116">
        <v>1269.25</v>
      </c>
      <c r="R640">
        <v>65095</v>
      </c>
    </row>
    <row r="641" spans="1:18" x14ac:dyDescent="0.25">
      <c r="A641" s="170">
        <v>42944</v>
      </c>
      <c r="B641" s="116">
        <v>637.04999999999995</v>
      </c>
      <c r="C641" s="116">
        <v>623.35</v>
      </c>
      <c r="D641" s="116">
        <v>619.32500000000005</v>
      </c>
      <c r="E641" s="116">
        <v>631.45000000000005</v>
      </c>
      <c r="F641" s="116">
        <v>1246.7</v>
      </c>
      <c r="G641">
        <v>14072</v>
      </c>
      <c r="H641" s="116"/>
      <c r="I641" s="116"/>
      <c r="L641" s="170">
        <v>42944</v>
      </c>
      <c r="M641" s="116">
        <v>622.875</v>
      </c>
      <c r="N641" s="116">
        <v>638.47500000000002</v>
      </c>
      <c r="O641" s="116">
        <v>620.5</v>
      </c>
      <c r="P641" s="116">
        <v>635.02499999999998</v>
      </c>
      <c r="Q641" s="116">
        <v>1245.75</v>
      </c>
      <c r="R641">
        <v>72900</v>
      </c>
    </row>
    <row r="642" spans="1:18" x14ac:dyDescent="0.25">
      <c r="A642" s="170">
        <v>42947</v>
      </c>
      <c r="B642" s="116">
        <v>670</v>
      </c>
      <c r="C642" s="116">
        <v>658.375</v>
      </c>
      <c r="D642" s="116">
        <v>602.54999999999995</v>
      </c>
      <c r="E642" s="116">
        <v>634</v>
      </c>
      <c r="F642" s="116">
        <v>1316.75</v>
      </c>
      <c r="G642">
        <v>79952</v>
      </c>
      <c r="H642" s="116"/>
      <c r="I642" s="116"/>
      <c r="L642" s="170">
        <v>42947</v>
      </c>
      <c r="M642" s="116">
        <v>659.02499999999998</v>
      </c>
      <c r="N642" s="116">
        <v>670</v>
      </c>
      <c r="O642" s="116">
        <v>601</v>
      </c>
      <c r="P642" s="116">
        <v>625.25</v>
      </c>
      <c r="Q642" s="116">
        <v>1318.05</v>
      </c>
      <c r="R642">
        <v>1000076</v>
      </c>
    </row>
    <row r="643" spans="1:18" x14ac:dyDescent="0.25">
      <c r="A643" s="170">
        <v>42948</v>
      </c>
      <c r="B643" s="116">
        <v>660.27499999999998</v>
      </c>
      <c r="C643" s="116">
        <v>645.65</v>
      </c>
      <c r="D643" s="116">
        <v>638.75</v>
      </c>
      <c r="E643" s="116">
        <v>660</v>
      </c>
      <c r="F643" s="116">
        <v>1291.3</v>
      </c>
      <c r="G643">
        <v>19361</v>
      </c>
      <c r="H643" s="116"/>
      <c r="I643" s="116"/>
      <c r="L643" s="170">
        <v>42948</v>
      </c>
      <c r="M643" s="116">
        <v>646.07500000000005</v>
      </c>
      <c r="N643" s="116">
        <v>661</v>
      </c>
      <c r="O643" s="116">
        <v>638.15</v>
      </c>
      <c r="P643" s="116">
        <v>655</v>
      </c>
      <c r="Q643" s="116">
        <v>1292.1500000000001</v>
      </c>
      <c r="R643">
        <v>310603</v>
      </c>
    </row>
    <row r="644" spans="1:18" x14ac:dyDescent="0.25">
      <c r="A644" s="170">
        <v>42949</v>
      </c>
      <c r="B644" s="116">
        <v>654.92499999999995</v>
      </c>
      <c r="C644" s="116">
        <v>637.95000000000005</v>
      </c>
      <c r="D644" s="116">
        <v>635</v>
      </c>
      <c r="E644" s="116">
        <v>646.54999999999995</v>
      </c>
      <c r="F644" s="116">
        <v>1275.9000000000001</v>
      </c>
      <c r="G644">
        <v>8673</v>
      </c>
      <c r="H644" s="116"/>
      <c r="I644" s="116"/>
      <c r="L644" s="170">
        <v>42949</v>
      </c>
      <c r="M644" s="116">
        <v>637.4</v>
      </c>
      <c r="N644" s="116">
        <v>655</v>
      </c>
      <c r="O644" s="116">
        <v>635</v>
      </c>
      <c r="P644" s="116">
        <v>644</v>
      </c>
      <c r="Q644" s="116">
        <v>1274.8</v>
      </c>
      <c r="R644">
        <v>105767</v>
      </c>
    </row>
    <row r="645" spans="1:18" x14ac:dyDescent="0.25">
      <c r="A645" s="170">
        <v>42950</v>
      </c>
      <c r="B645" s="116">
        <v>641</v>
      </c>
      <c r="C645" s="116">
        <v>626.02499999999998</v>
      </c>
      <c r="D645" s="116">
        <v>623.9</v>
      </c>
      <c r="E645" s="116">
        <v>638.77499999999998</v>
      </c>
      <c r="F645" s="116">
        <v>1252.05</v>
      </c>
      <c r="G645">
        <v>6979</v>
      </c>
      <c r="H645" s="116"/>
      <c r="I645" s="116"/>
      <c r="L645" s="170">
        <v>42950</v>
      </c>
      <c r="M645" s="116">
        <v>627.02499999999998</v>
      </c>
      <c r="N645" s="116">
        <v>640.5</v>
      </c>
      <c r="O645" s="116">
        <v>623.27499999999998</v>
      </c>
      <c r="P645" s="116">
        <v>638.5</v>
      </c>
      <c r="Q645" s="116">
        <v>1254.05</v>
      </c>
      <c r="R645">
        <v>89554</v>
      </c>
    </row>
    <row r="646" spans="1:18" x14ac:dyDescent="0.25">
      <c r="A646" s="170">
        <v>42951</v>
      </c>
      <c r="B646" s="116">
        <v>641</v>
      </c>
      <c r="C646" s="116">
        <v>636.375</v>
      </c>
      <c r="D646" s="116">
        <v>613</v>
      </c>
      <c r="E646" s="116">
        <v>617.5</v>
      </c>
      <c r="F646" s="116">
        <v>1272.75</v>
      </c>
      <c r="G646">
        <v>7880</v>
      </c>
      <c r="H646" s="116"/>
      <c r="I646" s="116"/>
      <c r="L646" s="170">
        <v>42951</v>
      </c>
      <c r="M646" s="116">
        <v>638.125</v>
      </c>
      <c r="N646" s="116">
        <v>642.5</v>
      </c>
      <c r="O646" s="116">
        <v>612.5</v>
      </c>
      <c r="P646" s="116">
        <v>624.65</v>
      </c>
      <c r="Q646" s="116">
        <v>1276.25</v>
      </c>
      <c r="R646">
        <v>181104</v>
      </c>
    </row>
    <row r="647" spans="1:18" x14ac:dyDescent="0.25">
      <c r="A647" s="170">
        <v>42954</v>
      </c>
      <c r="B647" s="116">
        <v>651.5</v>
      </c>
      <c r="C647" s="116">
        <v>644.65</v>
      </c>
      <c r="D647" s="116">
        <v>636.5</v>
      </c>
      <c r="E647" s="116">
        <v>637.5</v>
      </c>
      <c r="F647" s="116">
        <v>1289.3</v>
      </c>
      <c r="G647">
        <v>4874</v>
      </c>
      <c r="H647" s="116"/>
      <c r="I647" s="116"/>
      <c r="L647" s="170">
        <v>42954</v>
      </c>
      <c r="M647" s="116">
        <v>645</v>
      </c>
      <c r="N647" s="116">
        <v>652.4</v>
      </c>
      <c r="O647" s="116">
        <v>631.625</v>
      </c>
      <c r="P647" s="116">
        <v>635</v>
      </c>
      <c r="Q647" s="116">
        <v>1290</v>
      </c>
      <c r="R647">
        <v>66371</v>
      </c>
    </row>
    <row r="648" spans="1:18" x14ac:dyDescent="0.25">
      <c r="A648" s="170">
        <v>42955</v>
      </c>
      <c r="B648" s="116">
        <v>651.75</v>
      </c>
      <c r="C648" s="116">
        <v>633.52499999999998</v>
      </c>
      <c r="D648" s="116">
        <v>613.92499999999995</v>
      </c>
      <c r="E648" s="116">
        <v>651.70000000000005</v>
      </c>
      <c r="F648" s="116">
        <v>1267.05</v>
      </c>
      <c r="G648">
        <v>6806</v>
      </c>
      <c r="H648" s="116"/>
      <c r="I648" s="116"/>
      <c r="L648" s="170">
        <v>42955</v>
      </c>
      <c r="M648" s="116">
        <v>635.1</v>
      </c>
      <c r="N648" s="116">
        <v>653</v>
      </c>
      <c r="O648" s="116">
        <v>632.5</v>
      </c>
      <c r="P648" s="116">
        <v>644.75</v>
      </c>
      <c r="Q648" s="116">
        <v>1270.2</v>
      </c>
      <c r="R648">
        <v>59025</v>
      </c>
    </row>
    <row r="649" spans="1:18" x14ac:dyDescent="0.25">
      <c r="A649" s="170">
        <v>42956</v>
      </c>
      <c r="B649" s="116">
        <v>640.22500000000002</v>
      </c>
      <c r="C649" s="116">
        <v>615.29999999999995</v>
      </c>
      <c r="D649" s="116">
        <v>607.29999999999995</v>
      </c>
      <c r="E649" s="116">
        <v>632.4</v>
      </c>
      <c r="F649" s="116">
        <v>1230.5999999999999</v>
      </c>
      <c r="G649">
        <v>6424</v>
      </c>
      <c r="H649" s="116"/>
      <c r="I649" s="116"/>
      <c r="L649" s="170">
        <v>42956</v>
      </c>
      <c r="M649" s="116">
        <v>617.35</v>
      </c>
      <c r="N649" s="116">
        <v>640.22500000000002</v>
      </c>
      <c r="O649" s="116">
        <v>607.6</v>
      </c>
      <c r="P649" s="116">
        <v>637.5</v>
      </c>
      <c r="Q649" s="116">
        <v>1234.7</v>
      </c>
      <c r="R649">
        <v>124045</v>
      </c>
    </row>
    <row r="650" spans="1:18" x14ac:dyDescent="0.25">
      <c r="A650" s="170">
        <v>42957</v>
      </c>
      <c r="B650" s="116">
        <v>625.5</v>
      </c>
      <c r="C650" s="116">
        <v>612.92499999999995</v>
      </c>
      <c r="D650" s="116">
        <v>601.22500000000002</v>
      </c>
      <c r="E650" s="116">
        <v>613.92499999999995</v>
      </c>
      <c r="F650" s="116">
        <v>1225.8499999999999</v>
      </c>
      <c r="G650">
        <v>6378</v>
      </c>
      <c r="H650" s="116"/>
      <c r="I650" s="116"/>
      <c r="L650" s="170">
        <v>42957</v>
      </c>
      <c r="M650" s="116">
        <v>614.45000000000005</v>
      </c>
      <c r="N650" s="116">
        <v>626.6</v>
      </c>
      <c r="O650" s="116">
        <v>602.75</v>
      </c>
      <c r="P650" s="116">
        <v>613.5</v>
      </c>
      <c r="Q650" s="116">
        <v>1228.9000000000001</v>
      </c>
      <c r="R650">
        <v>144495</v>
      </c>
    </row>
    <row r="651" spans="1:18" x14ac:dyDescent="0.25">
      <c r="A651" s="170">
        <v>42958</v>
      </c>
      <c r="B651" s="116">
        <v>620.52499999999998</v>
      </c>
      <c r="C651" s="116">
        <v>606.85</v>
      </c>
      <c r="D651" s="116">
        <v>601</v>
      </c>
      <c r="E651" s="116">
        <v>606.97500000000002</v>
      </c>
      <c r="F651" s="116">
        <v>1213.7</v>
      </c>
      <c r="G651">
        <v>8174</v>
      </c>
      <c r="H651" s="116"/>
      <c r="I651" s="116"/>
      <c r="L651" s="170">
        <v>42958</v>
      </c>
      <c r="M651" s="116">
        <v>608.02499999999998</v>
      </c>
      <c r="N651" s="116">
        <v>621.4</v>
      </c>
      <c r="O651" s="116">
        <v>600.02499999999998</v>
      </c>
      <c r="P651" s="116">
        <v>607.47500000000002</v>
      </c>
      <c r="Q651" s="116">
        <v>1216.05</v>
      </c>
      <c r="R651">
        <v>75305</v>
      </c>
    </row>
    <row r="652" spans="1:18" x14ac:dyDescent="0.25">
      <c r="A652" s="170">
        <v>42961</v>
      </c>
      <c r="B652" s="116">
        <v>624.875</v>
      </c>
      <c r="C652" s="116">
        <v>608.95000000000005</v>
      </c>
      <c r="D652" s="116">
        <v>608.02499999999998</v>
      </c>
      <c r="E652" s="116">
        <v>617.22500000000002</v>
      </c>
      <c r="F652" s="116">
        <v>1217.9000000000001</v>
      </c>
      <c r="G652">
        <v>4093</v>
      </c>
      <c r="H652" s="116"/>
      <c r="I652" s="116"/>
      <c r="L652" s="170">
        <v>42961</v>
      </c>
      <c r="M652" s="116">
        <v>610.1</v>
      </c>
      <c r="N652" s="116">
        <v>625</v>
      </c>
      <c r="O652" s="116">
        <v>608.5</v>
      </c>
      <c r="P652" s="116">
        <v>611</v>
      </c>
      <c r="Q652" s="116">
        <v>1220.2</v>
      </c>
      <c r="R652">
        <v>86830</v>
      </c>
    </row>
    <row r="653" spans="1:18" x14ac:dyDescent="0.25">
      <c r="A653" s="170">
        <v>42963</v>
      </c>
      <c r="B653" s="116">
        <v>663.47500000000002</v>
      </c>
      <c r="C653" s="116">
        <v>658.32500000000005</v>
      </c>
      <c r="D653" s="116">
        <v>611.4</v>
      </c>
      <c r="E653" s="116">
        <v>619.07500000000005</v>
      </c>
      <c r="F653" s="116">
        <v>1316.65</v>
      </c>
      <c r="G653">
        <v>50258</v>
      </c>
      <c r="H653" s="116"/>
      <c r="I653" s="116"/>
      <c r="L653" s="170">
        <v>42963</v>
      </c>
      <c r="M653" s="116">
        <v>661.97500000000002</v>
      </c>
      <c r="N653" s="116">
        <v>667.3</v>
      </c>
      <c r="O653" s="116">
        <v>610.02499999999998</v>
      </c>
      <c r="P653" s="116">
        <v>610.02499999999998</v>
      </c>
      <c r="Q653" s="116">
        <v>1323.95</v>
      </c>
      <c r="R653">
        <v>504711</v>
      </c>
    </row>
    <row r="654" spans="1:18" x14ac:dyDescent="0.25">
      <c r="A654" s="170">
        <v>42964</v>
      </c>
      <c r="B654" s="116">
        <v>664</v>
      </c>
      <c r="C654" s="116">
        <v>651.95000000000005</v>
      </c>
      <c r="D654" s="116">
        <v>646</v>
      </c>
      <c r="E654" s="116">
        <v>659.3</v>
      </c>
      <c r="F654" s="116">
        <v>1303.9000000000001</v>
      </c>
      <c r="G654">
        <v>15354</v>
      </c>
      <c r="H654" s="116"/>
      <c r="I654" s="116"/>
      <c r="L654" s="170">
        <v>42964</v>
      </c>
      <c r="M654" s="116">
        <v>655.85</v>
      </c>
      <c r="N654" s="116">
        <v>665</v>
      </c>
      <c r="O654" s="116">
        <v>647.5</v>
      </c>
      <c r="P654" s="116">
        <v>661.5</v>
      </c>
      <c r="Q654" s="116">
        <v>1311.7</v>
      </c>
      <c r="R654">
        <v>216066</v>
      </c>
    </row>
    <row r="655" spans="1:18" x14ac:dyDescent="0.25">
      <c r="A655" s="170">
        <v>42965</v>
      </c>
      <c r="B655" s="116">
        <v>648.79999999999995</v>
      </c>
      <c r="C655" s="116">
        <v>633.9</v>
      </c>
      <c r="D655" s="116">
        <v>627.5</v>
      </c>
      <c r="E655" s="116">
        <v>647.04999999999995</v>
      </c>
      <c r="F655" s="116">
        <v>1267.8</v>
      </c>
      <c r="G655">
        <v>7917</v>
      </c>
      <c r="H655" s="116"/>
      <c r="I655" s="116"/>
      <c r="L655" s="170">
        <v>42965</v>
      </c>
      <c r="M655" s="116">
        <v>635.32500000000005</v>
      </c>
      <c r="N655" s="116">
        <v>652.5</v>
      </c>
      <c r="O655" s="116">
        <v>627.5</v>
      </c>
      <c r="P655" s="116">
        <v>652.5</v>
      </c>
      <c r="Q655" s="116">
        <v>1270.6500000000001</v>
      </c>
      <c r="R655">
        <v>143343</v>
      </c>
    </row>
    <row r="656" spans="1:18" x14ac:dyDescent="0.25">
      <c r="A656" s="170">
        <v>42968</v>
      </c>
      <c r="B656" s="116">
        <v>640.70000000000005</v>
      </c>
      <c r="C656" s="116">
        <v>624.77499999999998</v>
      </c>
      <c r="D656" s="116">
        <v>604</v>
      </c>
      <c r="E656" s="116">
        <v>640.70000000000005</v>
      </c>
      <c r="F656" s="116">
        <v>1249.55</v>
      </c>
      <c r="G656">
        <v>8352</v>
      </c>
      <c r="H656" s="116"/>
      <c r="I656" s="116"/>
      <c r="L656" s="170">
        <v>42968</v>
      </c>
      <c r="M656" s="116">
        <v>624.54999999999995</v>
      </c>
      <c r="N656" s="116">
        <v>644.5</v>
      </c>
      <c r="O656" s="116">
        <v>620.32500000000005</v>
      </c>
      <c r="P656" s="116">
        <v>644.5</v>
      </c>
      <c r="Q656" s="116">
        <v>1249.0999999999999</v>
      </c>
      <c r="R656">
        <v>156779</v>
      </c>
    </row>
    <row r="657" spans="1:18" x14ac:dyDescent="0.25">
      <c r="A657" s="170">
        <v>42969</v>
      </c>
      <c r="B657" s="116">
        <v>629.97500000000002</v>
      </c>
      <c r="C657" s="116">
        <v>611.32500000000005</v>
      </c>
      <c r="D657" s="116">
        <v>608.5</v>
      </c>
      <c r="E657" s="116">
        <v>625.25</v>
      </c>
      <c r="F657" s="116">
        <v>1222.6500000000001</v>
      </c>
      <c r="G657">
        <v>9363</v>
      </c>
      <c r="H657" s="116"/>
      <c r="I657" s="116"/>
      <c r="L657" s="170">
        <v>42969</v>
      </c>
      <c r="M657" s="116">
        <v>611.07500000000005</v>
      </c>
      <c r="N657" s="116">
        <v>632.4</v>
      </c>
      <c r="O657" s="116">
        <v>607.02499999999998</v>
      </c>
      <c r="P657" s="116">
        <v>624.52499999999998</v>
      </c>
      <c r="Q657" s="116">
        <v>1222.1500000000001</v>
      </c>
      <c r="R657">
        <v>136527</v>
      </c>
    </row>
    <row r="658" spans="1:18" x14ac:dyDescent="0.25">
      <c r="A658" s="170">
        <v>42970</v>
      </c>
      <c r="B658" s="116">
        <v>617.1</v>
      </c>
      <c r="C658" s="116">
        <v>604</v>
      </c>
      <c r="D658" s="116">
        <v>602.92499999999995</v>
      </c>
      <c r="E658" s="116">
        <v>616.5</v>
      </c>
      <c r="F658" s="116">
        <v>1208</v>
      </c>
      <c r="G658">
        <v>6336</v>
      </c>
      <c r="H658" s="116"/>
      <c r="I658" s="116"/>
      <c r="L658" s="170">
        <v>42970</v>
      </c>
      <c r="M658" s="116">
        <v>603.75</v>
      </c>
      <c r="N658" s="116">
        <v>617.6</v>
      </c>
      <c r="O658" s="116">
        <v>602.6</v>
      </c>
      <c r="P658" s="116">
        <v>611.75</v>
      </c>
      <c r="Q658" s="116">
        <v>1207.5</v>
      </c>
      <c r="R658">
        <v>83377</v>
      </c>
    </row>
    <row r="659" spans="1:18" x14ac:dyDescent="0.25">
      <c r="A659" s="170">
        <v>42971</v>
      </c>
      <c r="B659" s="116">
        <v>626</v>
      </c>
      <c r="C659" s="116">
        <v>613.625</v>
      </c>
      <c r="D659" s="116">
        <v>602.65</v>
      </c>
      <c r="E659" s="116">
        <v>604.29999999999995</v>
      </c>
      <c r="F659" s="116">
        <v>1227.25</v>
      </c>
      <c r="G659">
        <v>10262</v>
      </c>
      <c r="H659" s="116"/>
      <c r="I659" s="116"/>
      <c r="L659" s="170">
        <v>42971</v>
      </c>
      <c r="M659" s="116">
        <v>613.17499999999995</v>
      </c>
      <c r="N659" s="116">
        <v>627.35</v>
      </c>
      <c r="O659" s="116">
        <v>602.02499999999998</v>
      </c>
      <c r="P659" s="116">
        <v>604.5</v>
      </c>
      <c r="Q659" s="116">
        <v>1226.3499999999999</v>
      </c>
      <c r="R659">
        <v>226000</v>
      </c>
    </row>
    <row r="660" spans="1:18" x14ac:dyDescent="0.25">
      <c r="A660" s="170">
        <v>42975</v>
      </c>
      <c r="B660" s="116">
        <v>623.47500000000002</v>
      </c>
      <c r="C660" s="116">
        <v>618.4</v>
      </c>
      <c r="D660" s="116">
        <v>613.625</v>
      </c>
      <c r="E660" s="116">
        <v>613.625</v>
      </c>
      <c r="F660" s="116">
        <v>1236.8</v>
      </c>
      <c r="G660">
        <v>3991</v>
      </c>
      <c r="H660" s="116"/>
      <c r="I660" s="116"/>
      <c r="L660" s="170">
        <v>42975</v>
      </c>
      <c r="M660" s="116">
        <v>619.125</v>
      </c>
      <c r="N660" s="116">
        <v>624.25</v>
      </c>
      <c r="O660" s="116">
        <v>612.17499999999995</v>
      </c>
      <c r="P660" s="116">
        <v>618</v>
      </c>
      <c r="Q660" s="116">
        <v>1238.25</v>
      </c>
      <c r="R660">
        <v>79924</v>
      </c>
    </row>
    <row r="661" spans="1:18" x14ac:dyDescent="0.25">
      <c r="A661" s="170">
        <v>42976</v>
      </c>
      <c r="B661" s="116">
        <v>618.07500000000005</v>
      </c>
      <c r="C661" s="116">
        <v>607.35</v>
      </c>
      <c r="D661" s="116">
        <v>604.77499999999998</v>
      </c>
      <c r="E661" s="116">
        <v>615.32500000000005</v>
      </c>
      <c r="F661" s="116">
        <v>1214.7</v>
      </c>
      <c r="G661">
        <v>4491</v>
      </c>
      <c r="H661" s="116"/>
      <c r="I661" s="116"/>
      <c r="L661" s="170">
        <v>42976</v>
      </c>
      <c r="M661" s="116">
        <v>608.54999999999995</v>
      </c>
      <c r="N661" s="116">
        <v>621</v>
      </c>
      <c r="O661" s="116">
        <v>606</v>
      </c>
      <c r="P661" s="116">
        <v>621</v>
      </c>
      <c r="Q661" s="116">
        <v>1217.0999999999999</v>
      </c>
      <c r="R661">
        <v>64099</v>
      </c>
    </row>
    <row r="662" spans="1:18" x14ac:dyDescent="0.25">
      <c r="A662" s="170">
        <v>42977</v>
      </c>
      <c r="B662" s="116">
        <v>617.375</v>
      </c>
      <c r="C662" s="116">
        <v>605.57500000000005</v>
      </c>
      <c r="D662" s="116">
        <v>601.67499999999995</v>
      </c>
      <c r="E662" s="116">
        <v>609.79999999999995</v>
      </c>
      <c r="F662" s="116">
        <v>1211.1500000000001</v>
      </c>
      <c r="G662">
        <v>6159</v>
      </c>
      <c r="H662" s="116"/>
      <c r="I662" s="116"/>
      <c r="L662" s="170">
        <v>42977</v>
      </c>
      <c r="M662" s="116">
        <v>604.82500000000005</v>
      </c>
      <c r="N662" s="116">
        <v>617.5</v>
      </c>
      <c r="O662" s="116">
        <v>602.65</v>
      </c>
      <c r="P662" s="116">
        <v>609</v>
      </c>
      <c r="Q662" s="116">
        <v>1209.6500000000001</v>
      </c>
      <c r="R662">
        <v>125346</v>
      </c>
    </row>
    <row r="663" spans="1:18" x14ac:dyDescent="0.25">
      <c r="A663" s="170">
        <v>42978</v>
      </c>
      <c r="B663" s="116">
        <v>624</v>
      </c>
      <c r="C663" s="116">
        <v>601.35</v>
      </c>
      <c r="D663" s="116">
        <v>596</v>
      </c>
      <c r="E663" s="116">
        <v>624</v>
      </c>
      <c r="F663" s="116">
        <v>1202.7</v>
      </c>
      <c r="G663">
        <v>8176</v>
      </c>
      <c r="H663" s="116"/>
      <c r="I663" s="116"/>
      <c r="L663" s="170">
        <v>42978</v>
      </c>
      <c r="M663" s="116">
        <v>601.75</v>
      </c>
      <c r="N663" s="116">
        <v>612.5</v>
      </c>
      <c r="O663" s="116">
        <v>595.54999999999995</v>
      </c>
      <c r="P663" s="116">
        <v>604.54999999999995</v>
      </c>
      <c r="Q663" s="116">
        <v>1203.5</v>
      </c>
      <c r="R663">
        <v>186642</v>
      </c>
    </row>
    <row r="664" spans="1:18" x14ac:dyDescent="0.25">
      <c r="A664" s="170">
        <v>42979</v>
      </c>
      <c r="B664" s="116">
        <v>614</v>
      </c>
      <c r="C664" s="116">
        <v>610.04999999999995</v>
      </c>
      <c r="D664" s="116">
        <v>602.5</v>
      </c>
      <c r="E664" s="116">
        <v>605</v>
      </c>
      <c r="F664" s="116">
        <v>1220.0999999999999</v>
      </c>
      <c r="G664">
        <v>4455</v>
      </c>
      <c r="H664" s="116"/>
      <c r="I664" s="116"/>
      <c r="L664" s="170">
        <v>42979</v>
      </c>
      <c r="M664" s="116">
        <v>610</v>
      </c>
      <c r="N664" s="116">
        <v>614.15</v>
      </c>
      <c r="O664" s="116">
        <v>603.20000000000005</v>
      </c>
      <c r="P664" s="116">
        <v>607.47500000000002</v>
      </c>
      <c r="Q664" s="116">
        <v>1220</v>
      </c>
      <c r="R664">
        <v>75028</v>
      </c>
    </row>
    <row r="665" spans="1:18" x14ac:dyDescent="0.25">
      <c r="A665" s="170">
        <v>42982</v>
      </c>
      <c r="B665" s="116">
        <v>612.5</v>
      </c>
      <c r="C665" s="116">
        <v>607.9</v>
      </c>
      <c r="D665" s="116">
        <v>600.9</v>
      </c>
      <c r="E665" s="116">
        <v>611</v>
      </c>
      <c r="F665" s="116">
        <v>1215.8</v>
      </c>
      <c r="G665">
        <v>8922</v>
      </c>
      <c r="H665" s="116"/>
      <c r="I665" s="116"/>
      <c r="L665" s="170">
        <v>42982</v>
      </c>
      <c r="M665" s="116">
        <v>610.67499999999995</v>
      </c>
      <c r="N665" s="116">
        <v>614</v>
      </c>
      <c r="O665" s="116">
        <v>599.29999999999995</v>
      </c>
      <c r="P665" s="116">
        <v>614</v>
      </c>
      <c r="Q665" s="116">
        <v>1221.3499999999999</v>
      </c>
      <c r="R665">
        <v>89393</v>
      </c>
    </row>
    <row r="666" spans="1:18" x14ac:dyDescent="0.25">
      <c r="A666" s="170">
        <v>42983</v>
      </c>
      <c r="B666" s="116">
        <v>616.4</v>
      </c>
      <c r="C666" s="116">
        <v>611.67499999999995</v>
      </c>
      <c r="D666" s="116">
        <v>609.125</v>
      </c>
      <c r="E666" s="116">
        <v>610</v>
      </c>
      <c r="F666" s="116">
        <v>1223.3499999999999</v>
      </c>
      <c r="G666">
        <v>4220</v>
      </c>
      <c r="H666" s="116"/>
      <c r="I666" s="116"/>
      <c r="L666" s="170">
        <v>42983</v>
      </c>
      <c r="M666" s="116">
        <v>613.17499999999995</v>
      </c>
      <c r="N666" s="116">
        <v>617.375</v>
      </c>
      <c r="O666" s="116">
        <v>607.25</v>
      </c>
      <c r="P666" s="116">
        <v>610.67499999999995</v>
      </c>
      <c r="Q666" s="116">
        <v>1226.3499999999999</v>
      </c>
      <c r="R666">
        <v>98442</v>
      </c>
    </row>
    <row r="667" spans="1:18" x14ac:dyDescent="0.25">
      <c r="A667" s="170">
        <v>42984</v>
      </c>
      <c r="B667" s="116">
        <v>611.97500000000002</v>
      </c>
      <c r="C667" s="116">
        <v>600.875</v>
      </c>
      <c r="D667" s="116">
        <v>600</v>
      </c>
      <c r="E667" s="116">
        <v>605.5</v>
      </c>
      <c r="F667" s="116">
        <v>1201.75</v>
      </c>
      <c r="G667">
        <v>3163</v>
      </c>
      <c r="H667" s="116"/>
      <c r="I667" s="116"/>
      <c r="L667" s="170">
        <v>42984</v>
      </c>
      <c r="M667" s="116">
        <v>600.54999999999995</v>
      </c>
      <c r="N667" s="116">
        <v>612.5</v>
      </c>
      <c r="O667" s="116">
        <v>599.5</v>
      </c>
      <c r="P667" s="116">
        <v>608.5</v>
      </c>
      <c r="Q667" s="116">
        <v>1201.0999999999999</v>
      </c>
      <c r="R667">
        <v>63169</v>
      </c>
    </row>
    <row r="668" spans="1:18" x14ac:dyDescent="0.25">
      <c r="A668" s="170">
        <v>42985</v>
      </c>
      <c r="B668" s="116">
        <v>611.95000000000005</v>
      </c>
      <c r="C668" s="116">
        <v>608.375</v>
      </c>
      <c r="D668" s="116">
        <v>599.4</v>
      </c>
      <c r="E668" s="116">
        <v>602.75</v>
      </c>
      <c r="F668" s="116">
        <v>1216.75</v>
      </c>
      <c r="G668">
        <v>5151</v>
      </c>
      <c r="H668" s="116"/>
      <c r="I668" s="116"/>
      <c r="L668" s="170">
        <v>42985</v>
      </c>
      <c r="M668" s="116">
        <v>609.47500000000002</v>
      </c>
      <c r="N668" s="116">
        <v>612.5</v>
      </c>
      <c r="O668" s="116">
        <v>603.02499999999998</v>
      </c>
      <c r="P668" s="116">
        <v>604.5</v>
      </c>
      <c r="Q668" s="116">
        <v>1218.95</v>
      </c>
      <c r="R668">
        <v>72194</v>
      </c>
    </row>
    <row r="669" spans="1:18" x14ac:dyDescent="0.25">
      <c r="A669" s="170">
        <v>42986</v>
      </c>
      <c r="B669" s="116">
        <v>612.97500000000002</v>
      </c>
      <c r="C669" s="116">
        <v>605.02499999999998</v>
      </c>
      <c r="D669" s="116">
        <v>603.02499999999998</v>
      </c>
      <c r="E669" s="116">
        <v>612.72500000000002</v>
      </c>
      <c r="F669" s="116">
        <v>1210.05</v>
      </c>
      <c r="G669">
        <v>2331</v>
      </c>
      <c r="H669" s="116"/>
      <c r="I669" s="116"/>
      <c r="L669" s="170">
        <v>42986</v>
      </c>
      <c r="M669" s="116">
        <v>604.32500000000005</v>
      </c>
      <c r="N669" s="116">
        <v>612.5</v>
      </c>
      <c r="O669" s="116">
        <v>602.5</v>
      </c>
      <c r="P669" s="116">
        <v>609.47500000000002</v>
      </c>
      <c r="Q669" s="116">
        <v>1208.6500000000001</v>
      </c>
      <c r="R669">
        <v>50951</v>
      </c>
    </row>
    <row r="670" spans="1:18" x14ac:dyDescent="0.25">
      <c r="A670" s="170">
        <v>42989</v>
      </c>
      <c r="B670" s="116">
        <v>608.02499999999998</v>
      </c>
      <c r="C670" s="116">
        <v>597.72500000000002</v>
      </c>
      <c r="D670" s="116">
        <v>590.125</v>
      </c>
      <c r="E670" s="116">
        <v>596</v>
      </c>
      <c r="F670" s="116">
        <v>1195.45</v>
      </c>
      <c r="G670">
        <v>4790</v>
      </c>
      <c r="H670" s="116"/>
      <c r="I670" s="116"/>
      <c r="L670" s="170">
        <v>42989</v>
      </c>
      <c r="M670" s="116">
        <v>596.125</v>
      </c>
      <c r="N670" s="116">
        <v>608.5</v>
      </c>
      <c r="O670" s="116">
        <v>590.5</v>
      </c>
      <c r="P670" s="116">
        <v>606.5</v>
      </c>
      <c r="Q670" s="116">
        <v>1192.25</v>
      </c>
      <c r="R670">
        <v>124591</v>
      </c>
    </row>
    <row r="671" spans="1:18" x14ac:dyDescent="0.25">
      <c r="A671" s="170">
        <v>42990</v>
      </c>
      <c r="B671" s="116">
        <v>609.875</v>
      </c>
      <c r="C671" s="116">
        <v>602.54999999999995</v>
      </c>
      <c r="D671" s="116">
        <v>574.52499999999998</v>
      </c>
      <c r="E671" s="116">
        <v>594.5</v>
      </c>
      <c r="F671" s="116">
        <v>1205.0999999999999</v>
      </c>
      <c r="G671">
        <v>39038</v>
      </c>
      <c r="H671" s="116"/>
      <c r="I671" s="116"/>
      <c r="L671" s="170">
        <v>42990</v>
      </c>
      <c r="M671" s="116">
        <v>602.875</v>
      </c>
      <c r="N671" s="116">
        <v>607.6</v>
      </c>
      <c r="O671" s="116">
        <v>573.65</v>
      </c>
      <c r="P671" s="116">
        <v>593</v>
      </c>
      <c r="Q671" s="116">
        <v>1205.75</v>
      </c>
      <c r="R671">
        <v>467505</v>
      </c>
    </row>
    <row r="672" spans="1:18" x14ac:dyDescent="0.25">
      <c r="A672" s="170">
        <v>42991</v>
      </c>
      <c r="B672" s="116">
        <v>616</v>
      </c>
      <c r="C672" s="116">
        <v>606.02499999999998</v>
      </c>
      <c r="D672" s="116">
        <v>598.54999999999995</v>
      </c>
      <c r="E672" s="116">
        <v>600</v>
      </c>
      <c r="F672" s="116">
        <v>1212.05</v>
      </c>
      <c r="G672">
        <v>13324</v>
      </c>
      <c r="H672" s="116"/>
      <c r="I672" s="116"/>
      <c r="L672" s="170">
        <v>42991</v>
      </c>
      <c r="M672" s="116">
        <v>606.45000000000005</v>
      </c>
      <c r="N672" s="116">
        <v>615</v>
      </c>
      <c r="O672" s="116">
        <v>597.5</v>
      </c>
      <c r="P672" s="116">
        <v>597.6</v>
      </c>
      <c r="Q672" s="116">
        <v>1212.9000000000001</v>
      </c>
      <c r="R672">
        <v>163574</v>
      </c>
    </row>
    <row r="673" spans="1:18" x14ac:dyDescent="0.25">
      <c r="A673" s="170">
        <v>42992</v>
      </c>
      <c r="B673" s="116">
        <v>626.27499999999998</v>
      </c>
      <c r="C673" s="116">
        <v>609.22500000000002</v>
      </c>
      <c r="D673" s="116">
        <v>605.45000000000005</v>
      </c>
      <c r="E673" s="116">
        <v>621.5</v>
      </c>
      <c r="F673" s="116">
        <v>1218.45</v>
      </c>
      <c r="G673">
        <v>14482</v>
      </c>
      <c r="H673" s="116"/>
      <c r="I673" s="116"/>
      <c r="L673" s="170">
        <v>42992</v>
      </c>
      <c r="M673" s="116">
        <v>609.85</v>
      </c>
      <c r="N673" s="116">
        <v>618.5</v>
      </c>
      <c r="O673" s="116">
        <v>607.5</v>
      </c>
      <c r="P673" s="116">
        <v>608.72500000000002</v>
      </c>
      <c r="Q673" s="116">
        <v>1219.7</v>
      </c>
      <c r="R673">
        <v>141287</v>
      </c>
    </row>
    <row r="674" spans="1:18" x14ac:dyDescent="0.25">
      <c r="A674" s="170">
        <v>42993</v>
      </c>
      <c r="B674" s="116">
        <v>611.22500000000002</v>
      </c>
      <c r="C674" s="116">
        <v>606.4</v>
      </c>
      <c r="D674" s="116">
        <v>597.70000000000005</v>
      </c>
      <c r="E674" s="116">
        <v>607.5</v>
      </c>
      <c r="F674" s="116">
        <v>1212.8</v>
      </c>
      <c r="G674">
        <v>5861</v>
      </c>
      <c r="H674" s="116"/>
      <c r="I674" s="116"/>
      <c r="L674" s="170">
        <v>42993</v>
      </c>
      <c r="M674" s="116">
        <v>608.125</v>
      </c>
      <c r="N674" s="116">
        <v>612.17499999999995</v>
      </c>
      <c r="O674" s="116">
        <v>598.02499999999998</v>
      </c>
      <c r="P674" s="116">
        <v>610.54999999999995</v>
      </c>
      <c r="Q674" s="116">
        <v>1216.25</v>
      </c>
      <c r="R674">
        <v>98544</v>
      </c>
    </row>
    <row r="675" spans="1:18" x14ac:dyDescent="0.25">
      <c r="A675" s="170">
        <v>42996</v>
      </c>
      <c r="B675" s="116">
        <v>624.95000000000005</v>
      </c>
      <c r="C675" s="116">
        <v>621.79999999999995</v>
      </c>
      <c r="D675" s="116">
        <v>609.5</v>
      </c>
      <c r="E675" s="116">
        <v>610</v>
      </c>
      <c r="F675" s="116">
        <v>1243.5999999999999</v>
      </c>
      <c r="G675">
        <v>5714</v>
      </c>
      <c r="H675" s="116"/>
      <c r="I675" s="116"/>
      <c r="L675" s="170">
        <v>42996</v>
      </c>
      <c r="M675" s="116">
        <v>622.375</v>
      </c>
      <c r="N675" s="116">
        <v>625</v>
      </c>
      <c r="O675" s="116">
        <v>607.52499999999998</v>
      </c>
      <c r="P675" s="116">
        <v>610.25</v>
      </c>
      <c r="Q675" s="116">
        <v>1244.75</v>
      </c>
      <c r="R675">
        <v>99712</v>
      </c>
    </row>
    <row r="676" spans="1:18" x14ac:dyDescent="0.25">
      <c r="A676" s="170">
        <v>42997</v>
      </c>
      <c r="B676" s="116">
        <v>636.375</v>
      </c>
      <c r="C676" s="116">
        <v>625.77499999999998</v>
      </c>
      <c r="D676" s="116">
        <v>620.92499999999995</v>
      </c>
      <c r="E676" s="116">
        <v>624.20000000000005</v>
      </c>
      <c r="F676" s="116">
        <v>1251.55</v>
      </c>
      <c r="G676">
        <v>18474</v>
      </c>
      <c r="H676" s="116"/>
      <c r="I676" s="116"/>
      <c r="L676" s="170">
        <v>42997</v>
      </c>
      <c r="M676" s="116">
        <v>630.82500000000005</v>
      </c>
      <c r="N676" s="116">
        <v>640</v>
      </c>
      <c r="O676" s="116">
        <v>620.42499999999995</v>
      </c>
      <c r="P676" s="116">
        <v>622.5</v>
      </c>
      <c r="Q676" s="116">
        <v>1261.6500000000001</v>
      </c>
      <c r="R676">
        <v>248511</v>
      </c>
    </row>
    <row r="677" spans="1:18" x14ac:dyDescent="0.25">
      <c r="A677" s="170">
        <v>42998</v>
      </c>
      <c r="B677" s="116">
        <v>637.5</v>
      </c>
      <c r="C677" s="116">
        <v>629.04999999999995</v>
      </c>
      <c r="D677" s="116">
        <v>624</v>
      </c>
      <c r="E677" s="116">
        <v>635</v>
      </c>
      <c r="F677" s="116">
        <v>1258.0999999999999</v>
      </c>
      <c r="G677">
        <v>12551</v>
      </c>
      <c r="H677" s="116"/>
      <c r="I677" s="116"/>
      <c r="L677" s="170">
        <v>42998</v>
      </c>
      <c r="M677" s="116">
        <v>628.97500000000002</v>
      </c>
      <c r="N677" s="116">
        <v>635</v>
      </c>
      <c r="O677" s="116">
        <v>624.27499999999998</v>
      </c>
      <c r="P677" s="116">
        <v>635</v>
      </c>
      <c r="Q677" s="116">
        <v>1257.95</v>
      </c>
      <c r="R677">
        <v>192914</v>
      </c>
    </row>
    <row r="678" spans="1:18" x14ac:dyDescent="0.25">
      <c r="A678" s="170">
        <v>42999</v>
      </c>
      <c r="B678" s="116">
        <v>676.5</v>
      </c>
      <c r="C678" s="116">
        <v>672.02499999999998</v>
      </c>
      <c r="D678" s="116">
        <v>625</v>
      </c>
      <c r="E678" s="116">
        <v>625</v>
      </c>
      <c r="F678" s="116">
        <v>1344.05</v>
      </c>
      <c r="G678">
        <v>70753</v>
      </c>
      <c r="H678" s="116"/>
      <c r="I678" s="116"/>
      <c r="L678" s="170">
        <v>42999</v>
      </c>
      <c r="M678" s="116">
        <v>672</v>
      </c>
      <c r="N678" s="116">
        <v>676.9</v>
      </c>
      <c r="O678" s="116">
        <v>629</v>
      </c>
      <c r="P678" s="116">
        <v>629.9</v>
      </c>
      <c r="Q678" s="116">
        <v>1344</v>
      </c>
      <c r="R678">
        <v>900515</v>
      </c>
    </row>
    <row r="679" spans="1:18" x14ac:dyDescent="0.25">
      <c r="A679" s="170">
        <v>43000</v>
      </c>
      <c r="B679" s="116">
        <v>682.375</v>
      </c>
      <c r="C679" s="116">
        <v>631.375</v>
      </c>
      <c r="D679" s="116">
        <v>624.1</v>
      </c>
      <c r="E679" s="116">
        <v>679.875</v>
      </c>
      <c r="F679" s="116">
        <v>1262.75</v>
      </c>
      <c r="G679">
        <v>24892</v>
      </c>
      <c r="H679" s="116"/>
      <c r="I679" s="116"/>
      <c r="L679" s="170">
        <v>43000</v>
      </c>
      <c r="M679" s="116">
        <v>630.95000000000005</v>
      </c>
      <c r="N679" s="116">
        <v>682.1</v>
      </c>
      <c r="O679" s="116">
        <v>623.75</v>
      </c>
      <c r="P679" s="116">
        <v>675</v>
      </c>
      <c r="Q679" s="116">
        <v>1261.9000000000001</v>
      </c>
      <c r="R679">
        <v>362773</v>
      </c>
    </row>
    <row r="680" spans="1:18" x14ac:dyDescent="0.25">
      <c r="A680" s="170">
        <v>43003</v>
      </c>
      <c r="B680" s="116">
        <v>635.17499999999995</v>
      </c>
      <c r="C680" s="116">
        <v>616.27499999999998</v>
      </c>
      <c r="D680" s="116">
        <v>610.75</v>
      </c>
      <c r="E680" s="116">
        <v>634.29999999999995</v>
      </c>
      <c r="F680" s="116">
        <v>1232.55</v>
      </c>
      <c r="G680">
        <v>11591</v>
      </c>
      <c r="H680" s="116"/>
      <c r="I680" s="116"/>
      <c r="L680" s="170">
        <v>43003</v>
      </c>
      <c r="M680" s="116">
        <v>615.04999999999995</v>
      </c>
      <c r="N680" s="116">
        <v>635</v>
      </c>
      <c r="O680" s="116">
        <v>609.25</v>
      </c>
      <c r="P680" s="116">
        <v>631</v>
      </c>
      <c r="Q680" s="116">
        <v>1230.0999999999999</v>
      </c>
      <c r="R680">
        <v>172049</v>
      </c>
    </row>
    <row r="681" spans="1:18" x14ac:dyDescent="0.25">
      <c r="A681" s="170">
        <v>43004</v>
      </c>
      <c r="B681" s="116">
        <v>655</v>
      </c>
      <c r="C681" s="116">
        <v>639.375</v>
      </c>
      <c r="D681" s="116">
        <v>609.70000000000005</v>
      </c>
      <c r="E681" s="116">
        <v>616.22500000000002</v>
      </c>
      <c r="F681" s="116">
        <v>1278.75</v>
      </c>
      <c r="G681">
        <v>34065</v>
      </c>
      <c r="H681" s="116"/>
      <c r="I681" s="116"/>
      <c r="L681" s="170">
        <v>43004</v>
      </c>
      <c r="M681" s="116">
        <v>635.25</v>
      </c>
      <c r="N681" s="116">
        <v>654.42499999999995</v>
      </c>
      <c r="O681" s="116">
        <v>605.57500000000005</v>
      </c>
      <c r="P681" s="116">
        <v>611.5</v>
      </c>
      <c r="Q681" s="116">
        <v>1270.5</v>
      </c>
      <c r="R681">
        <v>359573</v>
      </c>
    </row>
    <row r="682" spans="1:18" x14ac:dyDescent="0.25">
      <c r="A682" s="170">
        <v>43005</v>
      </c>
      <c r="B682" s="116">
        <v>640</v>
      </c>
      <c r="C682" s="116">
        <v>610.79999999999995</v>
      </c>
      <c r="D682" s="116">
        <v>607.5</v>
      </c>
      <c r="E682" s="116">
        <v>639.95000000000005</v>
      </c>
      <c r="F682" s="116">
        <v>1221.5999999999999</v>
      </c>
      <c r="G682">
        <v>16969</v>
      </c>
      <c r="H682" s="116"/>
      <c r="I682" s="116"/>
      <c r="L682" s="170">
        <v>43005</v>
      </c>
      <c r="M682" s="116">
        <v>610.125</v>
      </c>
      <c r="N682" s="116">
        <v>638.35</v>
      </c>
      <c r="O682" s="116">
        <v>606.02499999999998</v>
      </c>
      <c r="P682" s="116">
        <v>637.6</v>
      </c>
      <c r="Q682" s="116">
        <v>1220.25</v>
      </c>
      <c r="R682">
        <v>171424</v>
      </c>
    </row>
    <row r="683" spans="1:18" x14ac:dyDescent="0.25">
      <c r="A683" s="170">
        <v>43006</v>
      </c>
      <c r="B683" s="116">
        <v>631.5</v>
      </c>
      <c r="C683" s="116">
        <v>611.70000000000005</v>
      </c>
      <c r="D683" s="116">
        <v>602.5</v>
      </c>
      <c r="E683" s="116">
        <v>604.75</v>
      </c>
      <c r="F683" s="116">
        <v>1223.4000000000001</v>
      </c>
      <c r="G683">
        <v>14585</v>
      </c>
      <c r="H683" s="116"/>
      <c r="I683" s="116"/>
      <c r="L683" s="170">
        <v>43006</v>
      </c>
      <c r="M683" s="116">
        <v>610.85</v>
      </c>
      <c r="N683" s="116">
        <v>632</v>
      </c>
      <c r="O683" s="116">
        <v>600.79999999999995</v>
      </c>
      <c r="P683" s="116">
        <v>607.5</v>
      </c>
      <c r="Q683" s="116">
        <v>1221.7</v>
      </c>
      <c r="R683">
        <v>250090</v>
      </c>
    </row>
    <row r="684" spans="1:18" x14ac:dyDescent="0.25">
      <c r="A684" s="170">
        <v>43007</v>
      </c>
      <c r="B684" s="116">
        <v>621.5</v>
      </c>
      <c r="C684" s="116">
        <v>615.625</v>
      </c>
      <c r="D684" s="116">
        <v>610.70000000000005</v>
      </c>
      <c r="E684" s="116">
        <v>616.70000000000005</v>
      </c>
      <c r="F684" s="116">
        <v>1231.25</v>
      </c>
      <c r="G684">
        <v>3914</v>
      </c>
      <c r="H684" s="116"/>
      <c r="I684" s="116"/>
      <c r="L684" s="170">
        <v>43007</v>
      </c>
      <c r="M684" s="116">
        <v>615.47500000000002</v>
      </c>
      <c r="N684" s="116">
        <v>621.75</v>
      </c>
      <c r="O684" s="116">
        <v>610</v>
      </c>
      <c r="P684" s="116">
        <v>612</v>
      </c>
      <c r="Q684" s="116">
        <v>1230.95</v>
      </c>
      <c r="R684">
        <v>103799</v>
      </c>
    </row>
    <row r="685" spans="1:18" x14ac:dyDescent="0.25">
      <c r="A685" s="170">
        <v>43011</v>
      </c>
      <c r="B685" s="116">
        <v>632.5</v>
      </c>
      <c r="C685" s="116">
        <v>621.67499999999995</v>
      </c>
      <c r="D685" s="116">
        <v>617.52499999999998</v>
      </c>
      <c r="E685" s="116">
        <v>620.29999999999995</v>
      </c>
      <c r="F685" s="116">
        <v>1243.3499999999999</v>
      </c>
      <c r="G685">
        <v>4326</v>
      </c>
      <c r="H685" s="116"/>
      <c r="I685" s="116"/>
      <c r="L685" s="170">
        <v>43011</v>
      </c>
      <c r="M685" s="116">
        <v>623.04999999999995</v>
      </c>
      <c r="N685" s="116">
        <v>627.25</v>
      </c>
      <c r="O685" s="116">
        <v>616.54999999999995</v>
      </c>
      <c r="P685" s="116">
        <v>617.54999999999995</v>
      </c>
      <c r="Q685" s="116">
        <v>1246.0999999999999</v>
      </c>
      <c r="R685">
        <v>49834</v>
      </c>
    </row>
    <row r="686" spans="1:18" x14ac:dyDescent="0.25">
      <c r="A686" s="170">
        <v>43012</v>
      </c>
      <c r="B686" s="116">
        <v>632.5</v>
      </c>
      <c r="C686" s="116">
        <v>626.125</v>
      </c>
      <c r="D686" s="116">
        <v>622.75</v>
      </c>
      <c r="E686" s="116">
        <v>623.5</v>
      </c>
      <c r="F686" s="116">
        <v>1252.25</v>
      </c>
      <c r="G686">
        <v>7793</v>
      </c>
      <c r="H686" s="116"/>
      <c r="I686" s="116"/>
      <c r="L686" s="170">
        <v>43012</v>
      </c>
      <c r="M686" s="116">
        <v>625.875</v>
      </c>
      <c r="N686" s="116">
        <v>634.47500000000002</v>
      </c>
      <c r="O686" s="116">
        <v>615</v>
      </c>
      <c r="P686" s="116">
        <v>625</v>
      </c>
      <c r="Q686" s="116">
        <v>1251.75</v>
      </c>
      <c r="R686">
        <v>128874</v>
      </c>
    </row>
    <row r="687" spans="1:18" x14ac:dyDescent="0.25">
      <c r="A687" s="170">
        <v>43013</v>
      </c>
      <c r="B687" s="116">
        <v>649.5</v>
      </c>
      <c r="C687" s="116">
        <v>623.65</v>
      </c>
      <c r="D687" s="116">
        <v>620.5</v>
      </c>
      <c r="E687" s="116">
        <v>627.5</v>
      </c>
      <c r="F687" s="116">
        <v>1247.3</v>
      </c>
      <c r="G687">
        <v>11802</v>
      </c>
      <c r="H687" s="116"/>
      <c r="I687" s="116"/>
      <c r="L687" s="170">
        <v>43013</v>
      </c>
      <c r="M687" s="116">
        <v>624.54999999999995</v>
      </c>
      <c r="N687" s="116">
        <v>632.47500000000002</v>
      </c>
      <c r="O687" s="116">
        <v>620.5</v>
      </c>
      <c r="P687" s="116">
        <v>631.5</v>
      </c>
      <c r="Q687" s="116">
        <v>1249.0999999999999</v>
      </c>
      <c r="R687">
        <v>116212</v>
      </c>
    </row>
    <row r="688" spans="1:18" x14ac:dyDescent="0.25">
      <c r="A688" s="170">
        <v>43014</v>
      </c>
      <c r="B688" s="116">
        <v>635.82500000000005</v>
      </c>
      <c r="C688" s="116">
        <v>632.77499999999998</v>
      </c>
      <c r="D688" s="116">
        <v>624.04999999999995</v>
      </c>
      <c r="E688" s="116">
        <v>626.95000000000005</v>
      </c>
      <c r="F688" s="116">
        <v>1265.55</v>
      </c>
      <c r="G688">
        <v>7359</v>
      </c>
      <c r="H688" s="116"/>
      <c r="I688" s="116"/>
      <c r="L688" s="170">
        <v>43014</v>
      </c>
      <c r="M688" s="116">
        <v>633.1</v>
      </c>
      <c r="N688" s="116">
        <v>636.27499999999998</v>
      </c>
      <c r="O688" s="116">
        <v>624</v>
      </c>
      <c r="P688" s="116">
        <v>630</v>
      </c>
      <c r="Q688" s="116">
        <v>1266.2</v>
      </c>
      <c r="R688">
        <v>295878</v>
      </c>
    </row>
    <row r="689" spans="1:18" x14ac:dyDescent="0.25">
      <c r="A689" s="170">
        <v>43017</v>
      </c>
      <c r="B689" s="116">
        <v>648.5</v>
      </c>
      <c r="C689" s="116">
        <v>628.70000000000005</v>
      </c>
      <c r="D689" s="116">
        <v>622.5</v>
      </c>
      <c r="E689" s="116">
        <v>648.5</v>
      </c>
      <c r="F689" s="116">
        <v>1257.4000000000001</v>
      </c>
      <c r="G689">
        <v>8596</v>
      </c>
      <c r="H689" s="116"/>
      <c r="I689" s="116"/>
      <c r="L689" s="170">
        <v>43017</v>
      </c>
      <c r="M689" s="116">
        <v>628.47500000000002</v>
      </c>
      <c r="N689" s="116">
        <v>639.5</v>
      </c>
      <c r="O689" s="116">
        <v>622.27499999999998</v>
      </c>
      <c r="P689" s="116">
        <v>627.52499999999998</v>
      </c>
      <c r="Q689" s="116">
        <v>1256.95</v>
      </c>
      <c r="R689">
        <v>128437</v>
      </c>
    </row>
    <row r="690" spans="1:18" x14ac:dyDescent="0.25">
      <c r="A690" s="170">
        <v>43018</v>
      </c>
      <c r="B690" s="116">
        <v>639.17499999999995</v>
      </c>
      <c r="C690" s="116">
        <v>634.54999999999995</v>
      </c>
      <c r="D690" s="116">
        <v>632.52499999999998</v>
      </c>
      <c r="E690" s="116">
        <v>633.17499999999995</v>
      </c>
      <c r="F690" s="116">
        <v>1269.0999999999999</v>
      </c>
      <c r="G690">
        <v>23339</v>
      </c>
      <c r="H690" s="116"/>
      <c r="I690" s="116"/>
      <c r="L690" s="170">
        <v>43018</v>
      </c>
      <c r="M690" s="116">
        <v>635.125</v>
      </c>
      <c r="N690" s="116">
        <v>640</v>
      </c>
      <c r="O690" s="116">
        <v>628.47500000000002</v>
      </c>
      <c r="P690" s="116">
        <v>628.47500000000002</v>
      </c>
      <c r="Q690" s="116">
        <v>1270.25</v>
      </c>
      <c r="R690">
        <v>437622</v>
      </c>
    </row>
    <row r="691" spans="1:18" x14ac:dyDescent="0.25">
      <c r="A691" s="170">
        <v>43019</v>
      </c>
      <c r="B691" s="116">
        <v>640</v>
      </c>
      <c r="C691" s="116">
        <v>626.375</v>
      </c>
      <c r="D691" s="116">
        <v>623</v>
      </c>
      <c r="E691" s="116">
        <v>640</v>
      </c>
      <c r="F691" s="116">
        <v>1252.75</v>
      </c>
      <c r="G691">
        <v>6181</v>
      </c>
      <c r="H691" s="116"/>
      <c r="I691" s="116"/>
      <c r="L691" s="170">
        <v>43019</v>
      </c>
      <c r="M691" s="116">
        <v>625.5</v>
      </c>
      <c r="N691" s="116">
        <v>643.45000000000005</v>
      </c>
      <c r="O691" s="116">
        <v>622.79999999999995</v>
      </c>
      <c r="P691" s="116">
        <v>643.45000000000005</v>
      </c>
      <c r="Q691" s="116">
        <v>1251</v>
      </c>
      <c r="R691">
        <v>293893</v>
      </c>
    </row>
    <row r="692" spans="1:18" x14ac:dyDescent="0.25">
      <c r="A692" s="170">
        <v>43020</v>
      </c>
      <c r="B692" s="116">
        <v>641.5</v>
      </c>
      <c r="C692" s="116">
        <v>639.25</v>
      </c>
      <c r="D692" s="116">
        <v>626</v>
      </c>
      <c r="E692" s="116">
        <v>633.45000000000005</v>
      </c>
      <c r="F692" s="116">
        <v>1278.5</v>
      </c>
      <c r="G692">
        <v>5705</v>
      </c>
      <c r="H692" s="116"/>
      <c r="I692" s="116"/>
      <c r="L692" s="170">
        <v>43020</v>
      </c>
      <c r="M692" s="116">
        <v>640.92499999999995</v>
      </c>
      <c r="N692" s="116">
        <v>642.5</v>
      </c>
      <c r="O692" s="116">
        <v>624.6</v>
      </c>
      <c r="P692" s="116">
        <v>632</v>
      </c>
      <c r="Q692" s="116">
        <v>1281.8499999999999</v>
      </c>
      <c r="R692">
        <v>129762</v>
      </c>
    </row>
    <row r="693" spans="1:18" x14ac:dyDescent="0.25">
      <c r="A693" s="170">
        <v>43021</v>
      </c>
      <c r="B693" s="116">
        <v>642.72500000000002</v>
      </c>
      <c r="C693" s="116">
        <v>634.79999999999995</v>
      </c>
      <c r="D693" s="116">
        <v>632.42499999999995</v>
      </c>
      <c r="E693" s="116">
        <v>641.95000000000005</v>
      </c>
      <c r="F693" s="116">
        <v>1269.5999999999999</v>
      </c>
      <c r="G693">
        <v>3008</v>
      </c>
      <c r="H693" s="116"/>
      <c r="I693" s="116"/>
      <c r="L693" s="170">
        <v>43021</v>
      </c>
      <c r="M693" s="116">
        <v>635.32500000000005</v>
      </c>
      <c r="N693" s="116">
        <v>642.5</v>
      </c>
      <c r="O693" s="116">
        <v>633</v>
      </c>
      <c r="P693" s="116">
        <v>640</v>
      </c>
      <c r="Q693" s="116">
        <v>1270.6500000000001</v>
      </c>
      <c r="R693">
        <v>94766</v>
      </c>
    </row>
    <row r="694" spans="1:18" x14ac:dyDescent="0.25">
      <c r="A694" s="170">
        <v>43024</v>
      </c>
      <c r="B694" s="116">
        <v>643.42499999999995</v>
      </c>
      <c r="C694" s="116">
        <v>639.92499999999995</v>
      </c>
      <c r="D694" s="116">
        <v>633.54999999999995</v>
      </c>
      <c r="E694" s="116">
        <v>639.85</v>
      </c>
      <c r="F694" s="116">
        <v>1279.8499999999999</v>
      </c>
      <c r="G694">
        <v>5389</v>
      </c>
      <c r="H694" s="116"/>
      <c r="I694" s="116"/>
      <c r="L694" s="170">
        <v>43024</v>
      </c>
      <c r="M694" s="116">
        <v>643.25</v>
      </c>
      <c r="N694" s="116">
        <v>645.5</v>
      </c>
      <c r="O694" s="116">
        <v>633.75</v>
      </c>
      <c r="P694" s="116">
        <v>641.25</v>
      </c>
      <c r="Q694" s="116">
        <v>1286.5</v>
      </c>
      <c r="R694">
        <v>159669</v>
      </c>
    </row>
    <row r="695" spans="1:18" x14ac:dyDescent="0.25">
      <c r="A695" s="170">
        <v>43025</v>
      </c>
      <c r="B695" s="116">
        <v>667.1</v>
      </c>
      <c r="C695" s="116">
        <v>664.4</v>
      </c>
      <c r="D695" s="116">
        <v>639.02499999999998</v>
      </c>
      <c r="E695" s="116">
        <v>643.07500000000005</v>
      </c>
      <c r="F695" s="116">
        <v>1328.8</v>
      </c>
      <c r="G695">
        <v>14705</v>
      </c>
      <c r="H695" s="116"/>
      <c r="I695" s="116"/>
      <c r="L695" s="170">
        <v>43025</v>
      </c>
      <c r="M695" s="116">
        <v>665.05</v>
      </c>
      <c r="N695" s="116">
        <v>667.32500000000005</v>
      </c>
      <c r="O695" s="116">
        <v>639.77499999999998</v>
      </c>
      <c r="P695" s="116">
        <v>644.97500000000002</v>
      </c>
      <c r="Q695" s="116">
        <v>1330.1</v>
      </c>
      <c r="R695">
        <v>273599</v>
      </c>
    </row>
    <row r="696" spans="1:18" x14ac:dyDescent="0.25">
      <c r="A696" s="170">
        <v>43026</v>
      </c>
      <c r="B696" s="116">
        <v>698.52499999999998</v>
      </c>
      <c r="C696" s="116">
        <v>692.32500000000005</v>
      </c>
      <c r="D696" s="116">
        <v>649.47500000000002</v>
      </c>
      <c r="E696" s="116">
        <v>650</v>
      </c>
      <c r="F696" s="116">
        <v>1384.65</v>
      </c>
      <c r="G696">
        <v>22939</v>
      </c>
      <c r="H696" s="116"/>
      <c r="I696" s="116"/>
      <c r="L696" s="170">
        <v>43026</v>
      </c>
      <c r="M696" s="116">
        <v>693.22500000000002</v>
      </c>
      <c r="N696" s="116">
        <v>699.5</v>
      </c>
      <c r="O696" s="116">
        <v>645.15</v>
      </c>
      <c r="P696" s="116">
        <v>665</v>
      </c>
      <c r="Q696" s="116">
        <v>1386.45</v>
      </c>
      <c r="R696">
        <v>292397</v>
      </c>
    </row>
    <row r="697" spans="1:18" x14ac:dyDescent="0.25">
      <c r="A697" s="170">
        <v>43027</v>
      </c>
      <c r="B697" s="116">
        <v>700</v>
      </c>
      <c r="C697" s="116">
        <v>678.375</v>
      </c>
      <c r="D697" s="116">
        <v>672.52499999999998</v>
      </c>
      <c r="E697" s="116">
        <v>700</v>
      </c>
      <c r="F697" s="116">
        <v>1356.75</v>
      </c>
      <c r="G697">
        <v>2558</v>
      </c>
      <c r="H697" s="116"/>
      <c r="I697" s="116"/>
      <c r="L697" s="170">
        <v>43027</v>
      </c>
      <c r="M697" s="116">
        <v>681.22500000000002</v>
      </c>
      <c r="N697" s="116">
        <v>696.5</v>
      </c>
      <c r="O697" s="116">
        <v>671.625</v>
      </c>
      <c r="P697" s="116">
        <v>695</v>
      </c>
      <c r="Q697" s="116">
        <v>1362.45</v>
      </c>
      <c r="R697">
        <v>42895</v>
      </c>
    </row>
    <row r="698" spans="1:18" x14ac:dyDescent="0.25">
      <c r="A698" s="170">
        <v>43031</v>
      </c>
      <c r="B698" s="116">
        <v>705.72500000000002</v>
      </c>
      <c r="C698" s="116">
        <v>686.4</v>
      </c>
      <c r="D698" s="116">
        <v>681</v>
      </c>
      <c r="E698" s="116">
        <v>681</v>
      </c>
      <c r="F698" s="116">
        <v>1372.8</v>
      </c>
      <c r="G698">
        <v>19450</v>
      </c>
      <c r="H698" s="116"/>
      <c r="I698" s="116"/>
      <c r="L698" s="170">
        <v>43031</v>
      </c>
      <c r="M698" s="116">
        <v>686.45</v>
      </c>
      <c r="N698" s="116">
        <v>706.85</v>
      </c>
      <c r="O698" s="116">
        <v>680</v>
      </c>
      <c r="P698" s="116">
        <v>680</v>
      </c>
      <c r="Q698" s="116">
        <v>1372.9</v>
      </c>
      <c r="R698">
        <v>228172</v>
      </c>
    </row>
    <row r="699" spans="1:18" x14ac:dyDescent="0.25">
      <c r="A699" s="170">
        <v>43032</v>
      </c>
      <c r="B699" s="116">
        <v>695.77499999999998</v>
      </c>
      <c r="C699" s="116">
        <v>687.75</v>
      </c>
      <c r="D699" s="116">
        <v>682.85</v>
      </c>
      <c r="E699" s="116">
        <v>691.25</v>
      </c>
      <c r="F699" s="116">
        <v>1375.5</v>
      </c>
      <c r="G699">
        <v>4083</v>
      </c>
      <c r="H699" s="116"/>
      <c r="I699" s="116"/>
      <c r="L699" s="170">
        <v>43032</v>
      </c>
      <c r="M699" s="116">
        <v>688.32500000000005</v>
      </c>
      <c r="N699" s="116">
        <v>696.5</v>
      </c>
      <c r="O699" s="116">
        <v>682.52499999999998</v>
      </c>
      <c r="P699" s="116">
        <v>690.72500000000002</v>
      </c>
      <c r="Q699" s="116">
        <v>1376.65</v>
      </c>
      <c r="R699">
        <v>97379</v>
      </c>
    </row>
    <row r="700" spans="1:18" x14ac:dyDescent="0.25">
      <c r="A700" s="170">
        <v>43033</v>
      </c>
      <c r="B700" s="116">
        <v>690.92499999999995</v>
      </c>
      <c r="C700" s="116">
        <v>652.20000000000005</v>
      </c>
      <c r="D700" s="116">
        <v>649.5</v>
      </c>
      <c r="E700" s="116">
        <v>689.875</v>
      </c>
      <c r="F700" s="116">
        <v>1304.4000000000001</v>
      </c>
      <c r="G700">
        <v>13589</v>
      </c>
      <c r="H700" s="116"/>
      <c r="I700" s="116"/>
      <c r="L700" s="170">
        <v>43033</v>
      </c>
      <c r="M700" s="116">
        <v>651.5</v>
      </c>
      <c r="N700" s="116">
        <v>691.47500000000002</v>
      </c>
      <c r="O700" s="116">
        <v>647.5</v>
      </c>
      <c r="P700" s="116">
        <v>687.625</v>
      </c>
      <c r="Q700" s="116">
        <v>1303</v>
      </c>
      <c r="R700">
        <v>182279</v>
      </c>
    </row>
    <row r="701" spans="1:18" x14ac:dyDescent="0.25">
      <c r="A701" s="170">
        <v>43034</v>
      </c>
      <c r="B701" s="116">
        <v>653.67499999999995</v>
      </c>
      <c r="C701" s="116">
        <v>624.6</v>
      </c>
      <c r="D701" s="116">
        <v>622</v>
      </c>
      <c r="E701" s="116">
        <v>652.65</v>
      </c>
      <c r="F701" s="116">
        <v>1249.2</v>
      </c>
      <c r="G701">
        <v>18887</v>
      </c>
      <c r="H701" s="116"/>
      <c r="I701" s="116"/>
      <c r="L701" s="170">
        <v>43034</v>
      </c>
      <c r="M701" s="116">
        <v>624.07500000000005</v>
      </c>
      <c r="N701" s="116">
        <v>654.5</v>
      </c>
      <c r="O701" s="116">
        <v>621</v>
      </c>
      <c r="P701" s="116">
        <v>650</v>
      </c>
      <c r="Q701" s="116">
        <v>1248.1500000000001</v>
      </c>
      <c r="R701">
        <v>329094</v>
      </c>
    </row>
    <row r="702" spans="1:18" x14ac:dyDescent="0.25">
      <c r="A702" s="170">
        <v>43035</v>
      </c>
      <c r="B702" s="116">
        <v>638.04999999999995</v>
      </c>
      <c r="C702" s="116">
        <v>632.70000000000005</v>
      </c>
      <c r="D702" s="116">
        <v>622.875</v>
      </c>
      <c r="E702" s="116">
        <v>629</v>
      </c>
      <c r="F702" s="116">
        <v>1265.4000000000001</v>
      </c>
      <c r="G702">
        <v>12941</v>
      </c>
      <c r="H702" s="116"/>
      <c r="I702" s="116"/>
      <c r="L702" s="170">
        <v>43035</v>
      </c>
      <c r="M702" s="116">
        <v>632.02499999999998</v>
      </c>
      <c r="N702" s="116">
        <v>637.75</v>
      </c>
      <c r="O702" s="116">
        <v>622.5</v>
      </c>
      <c r="P702" s="116">
        <v>629.95000000000005</v>
      </c>
      <c r="Q702" s="116">
        <v>1264.05</v>
      </c>
      <c r="R702">
        <v>197496</v>
      </c>
    </row>
    <row r="703" spans="1:18" x14ac:dyDescent="0.25">
      <c r="A703" s="170">
        <v>43038</v>
      </c>
      <c r="B703" s="116">
        <v>643</v>
      </c>
      <c r="C703" s="116">
        <v>634.07500000000005</v>
      </c>
      <c r="D703" s="116">
        <v>625.07500000000005</v>
      </c>
      <c r="E703" s="116">
        <v>625.07500000000005</v>
      </c>
      <c r="F703" s="116">
        <v>1268.1500000000001</v>
      </c>
      <c r="G703">
        <v>6923</v>
      </c>
      <c r="H703" s="116"/>
      <c r="I703" s="116"/>
      <c r="L703" s="170">
        <v>43038</v>
      </c>
      <c r="M703" s="116">
        <v>634.52499999999998</v>
      </c>
      <c r="N703" s="116">
        <v>644</v>
      </c>
      <c r="O703" s="116">
        <v>631.5</v>
      </c>
      <c r="P703" s="116">
        <v>635</v>
      </c>
      <c r="Q703" s="116">
        <v>1269.05</v>
      </c>
      <c r="R703">
        <v>110070</v>
      </c>
    </row>
    <row r="704" spans="1:18" x14ac:dyDescent="0.25">
      <c r="A704" s="170">
        <v>43039</v>
      </c>
      <c r="B704" s="116">
        <v>645</v>
      </c>
      <c r="C704" s="116">
        <v>635.70000000000005</v>
      </c>
      <c r="D704" s="116">
        <v>632.67499999999995</v>
      </c>
      <c r="E704" s="116">
        <v>645</v>
      </c>
      <c r="F704" s="116">
        <v>1271.4000000000001</v>
      </c>
      <c r="G704">
        <v>3505</v>
      </c>
      <c r="H704" s="116"/>
      <c r="I704" s="116"/>
      <c r="L704" s="170">
        <v>43039</v>
      </c>
      <c r="M704" s="116">
        <v>634.92499999999995</v>
      </c>
      <c r="N704" s="116">
        <v>642.97500000000002</v>
      </c>
      <c r="O704" s="116">
        <v>632.5</v>
      </c>
      <c r="P704" s="116">
        <v>637</v>
      </c>
      <c r="Q704" s="116">
        <v>1269.8499999999999</v>
      </c>
      <c r="R704">
        <v>66711</v>
      </c>
    </row>
    <row r="705" spans="1:18" x14ac:dyDescent="0.25">
      <c r="A705" s="170">
        <v>43040</v>
      </c>
      <c r="B705" s="116">
        <v>648.5</v>
      </c>
      <c r="C705" s="116">
        <v>643.625</v>
      </c>
      <c r="D705" s="116">
        <v>634.97500000000002</v>
      </c>
      <c r="E705" s="116">
        <v>636.1</v>
      </c>
      <c r="F705" s="116">
        <v>1287.25</v>
      </c>
      <c r="G705">
        <v>12353</v>
      </c>
      <c r="H705" s="116"/>
      <c r="I705" s="116"/>
      <c r="L705" s="170">
        <v>43040</v>
      </c>
      <c r="M705" s="116">
        <v>642.54999999999995</v>
      </c>
      <c r="N705" s="116">
        <v>649</v>
      </c>
      <c r="O705" s="116">
        <v>635.67499999999995</v>
      </c>
      <c r="P705" s="116">
        <v>636</v>
      </c>
      <c r="Q705" s="116">
        <v>1285.0999999999999</v>
      </c>
      <c r="R705">
        <v>109799</v>
      </c>
    </row>
    <row r="706" spans="1:18" x14ac:dyDescent="0.25">
      <c r="A706" s="170">
        <v>43041</v>
      </c>
      <c r="B706" s="116">
        <v>666.72500000000002</v>
      </c>
      <c r="C706" s="116">
        <v>662.67499999999995</v>
      </c>
      <c r="D706" s="116">
        <v>642.52499999999998</v>
      </c>
      <c r="E706" s="116">
        <v>645</v>
      </c>
      <c r="F706" s="116">
        <v>1325.35</v>
      </c>
      <c r="G706">
        <v>22243</v>
      </c>
      <c r="H706" s="116"/>
      <c r="I706" s="116"/>
      <c r="L706" s="170">
        <v>43041</v>
      </c>
      <c r="M706" s="116">
        <v>662.42499999999995</v>
      </c>
      <c r="N706" s="116">
        <v>667.375</v>
      </c>
      <c r="O706" s="116">
        <v>642.6</v>
      </c>
      <c r="P706" s="116">
        <v>642.6</v>
      </c>
      <c r="Q706" s="116">
        <v>1324.85</v>
      </c>
      <c r="R706">
        <v>240799</v>
      </c>
    </row>
    <row r="707" spans="1:18" x14ac:dyDescent="0.25">
      <c r="A707" s="170">
        <v>43042</v>
      </c>
      <c r="B707" s="116">
        <v>687.85</v>
      </c>
      <c r="C707" s="116">
        <v>657.65</v>
      </c>
      <c r="D707" s="116">
        <v>650.5</v>
      </c>
      <c r="E707" s="116">
        <v>680</v>
      </c>
      <c r="F707" s="116">
        <v>1315.3</v>
      </c>
      <c r="G707">
        <v>61404</v>
      </c>
      <c r="H707" s="116"/>
      <c r="I707" s="116"/>
      <c r="L707" s="170">
        <v>43042</v>
      </c>
      <c r="M707" s="116">
        <v>658</v>
      </c>
      <c r="N707" s="116">
        <v>692.5</v>
      </c>
      <c r="O707" s="116">
        <v>648</v>
      </c>
      <c r="P707" s="116">
        <v>692.5</v>
      </c>
      <c r="Q707" s="116">
        <v>1316</v>
      </c>
      <c r="R707">
        <v>1007642</v>
      </c>
    </row>
    <row r="708" spans="1:18" x14ac:dyDescent="0.25">
      <c r="A708" s="170">
        <v>43045</v>
      </c>
      <c r="B708" s="116">
        <v>682.72500000000002</v>
      </c>
      <c r="C708" s="116">
        <v>653.17499999999995</v>
      </c>
      <c r="D708" s="116">
        <v>647.4</v>
      </c>
      <c r="E708" s="116">
        <v>674.95</v>
      </c>
      <c r="F708" s="116">
        <v>1306.3499999999999</v>
      </c>
      <c r="G708">
        <v>46524</v>
      </c>
      <c r="H708" s="116"/>
      <c r="I708" s="116"/>
      <c r="L708" s="170">
        <v>43045</v>
      </c>
      <c r="M708" s="116">
        <v>652.32500000000005</v>
      </c>
      <c r="N708" s="116">
        <v>682.4</v>
      </c>
      <c r="O708" s="116">
        <v>650</v>
      </c>
      <c r="P708" s="116">
        <v>682.4</v>
      </c>
      <c r="Q708" s="116">
        <v>1304.6500000000001</v>
      </c>
      <c r="R708">
        <v>647893</v>
      </c>
    </row>
    <row r="709" spans="1:18" x14ac:dyDescent="0.25">
      <c r="A709" s="170">
        <v>43046</v>
      </c>
      <c r="B709" s="116">
        <v>662.45</v>
      </c>
      <c r="C709" s="116">
        <v>634.32500000000005</v>
      </c>
      <c r="D709" s="116">
        <v>630.15</v>
      </c>
      <c r="E709" s="116">
        <v>655</v>
      </c>
      <c r="F709" s="116">
        <v>1268.6500000000001</v>
      </c>
      <c r="G709">
        <v>37649</v>
      </c>
      <c r="H709" s="116"/>
      <c r="I709" s="116"/>
      <c r="L709" s="170">
        <v>43046</v>
      </c>
      <c r="M709" s="116">
        <v>634.4</v>
      </c>
      <c r="N709" s="116">
        <v>664.97500000000002</v>
      </c>
      <c r="O709" s="116">
        <v>626.47500000000002</v>
      </c>
      <c r="P709" s="116">
        <v>656.4</v>
      </c>
      <c r="Q709" s="116">
        <v>1268.8</v>
      </c>
      <c r="R709">
        <v>343414</v>
      </c>
    </row>
    <row r="710" spans="1:18" x14ac:dyDescent="0.25">
      <c r="A710" s="170">
        <v>43047</v>
      </c>
      <c r="B710" s="116">
        <v>647.92499999999995</v>
      </c>
      <c r="C710" s="116">
        <v>620.97500000000002</v>
      </c>
      <c r="D710" s="116">
        <v>618.17499999999995</v>
      </c>
      <c r="E710" s="116">
        <v>637.25</v>
      </c>
      <c r="F710" s="116">
        <v>1241.95</v>
      </c>
      <c r="G710">
        <v>10949</v>
      </c>
      <c r="H710" s="116"/>
      <c r="I710" s="116"/>
      <c r="L710" s="170">
        <v>43047</v>
      </c>
      <c r="M710" s="116">
        <v>620.22500000000002</v>
      </c>
      <c r="N710" s="116">
        <v>647.4</v>
      </c>
      <c r="O710" s="116">
        <v>612.75</v>
      </c>
      <c r="P710" s="116">
        <v>635</v>
      </c>
      <c r="Q710" s="116">
        <v>1240.45</v>
      </c>
      <c r="R710">
        <v>164649</v>
      </c>
    </row>
    <row r="711" spans="1:18" x14ac:dyDescent="0.25">
      <c r="A711" s="170">
        <v>43048</v>
      </c>
      <c r="B711" s="116">
        <v>626</v>
      </c>
      <c r="C711" s="116">
        <v>618.45000000000005</v>
      </c>
      <c r="D711" s="116">
        <v>610.5</v>
      </c>
      <c r="E711" s="116">
        <v>615.5</v>
      </c>
      <c r="F711" s="116">
        <v>1236.9000000000001</v>
      </c>
      <c r="G711">
        <v>15621</v>
      </c>
      <c r="H711" s="116"/>
      <c r="I711" s="116"/>
      <c r="L711" s="170">
        <v>43048</v>
      </c>
      <c r="M711" s="116">
        <v>620.04999999999995</v>
      </c>
      <c r="N711" s="116">
        <v>626.97500000000002</v>
      </c>
      <c r="O711" s="116">
        <v>610</v>
      </c>
      <c r="P711" s="116">
        <v>621</v>
      </c>
      <c r="Q711" s="116">
        <v>1240.0999999999999</v>
      </c>
      <c r="R711">
        <v>135568</v>
      </c>
    </row>
    <row r="712" spans="1:18" x14ac:dyDescent="0.25">
      <c r="A712" s="170">
        <v>43049</v>
      </c>
      <c r="B712" s="116">
        <v>616.92499999999995</v>
      </c>
      <c r="C712" s="116">
        <v>612.07500000000005</v>
      </c>
      <c r="D712" s="116">
        <v>610</v>
      </c>
      <c r="E712" s="116">
        <v>615.25</v>
      </c>
      <c r="F712" s="116">
        <v>1224.1500000000001</v>
      </c>
      <c r="G712">
        <v>5563</v>
      </c>
      <c r="H712" s="116"/>
      <c r="I712" s="116"/>
      <c r="L712" s="170">
        <v>43049</v>
      </c>
      <c r="M712" s="116">
        <v>612.57500000000005</v>
      </c>
      <c r="N712" s="116">
        <v>619.5</v>
      </c>
      <c r="O712" s="116">
        <v>610</v>
      </c>
      <c r="P712" s="116">
        <v>619.5</v>
      </c>
      <c r="Q712" s="116">
        <v>1225.1500000000001</v>
      </c>
      <c r="R712">
        <v>78022</v>
      </c>
    </row>
    <row r="713" spans="1:18" x14ac:dyDescent="0.25">
      <c r="A713" s="170">
        <v>43052</v>
      </c>
      <c r="B713" s="116">
        <v>615.67499999999995</v>
      </c>
      <c r="C713" s="116">
        <v>608.54999999999995</v>
      </c>
      <c r="D713" s="116">
        <v>603</v>
      </c>
      <c r="E713" s="116">
        <v>614.4</v>
      </c>
      <c r="F713" s="116">
        <v>1217.0999999999999</v>
      </c>
      <c r="G713">
        <v>8298</v>
      </c>
      <c r="H713" s="116"/>
      <c r="I713" s="116"/>
      <c r="L713" s="170">
        <v>43052</v>
      </c>
      <c r="M713" s="116">
        <v>609.22500000000002</v>
      </c>
      <c r="N713" s="116">
        <v>615.15</v>
      </c>
      <c r="O713" s="116">
        <v>602.1</v>
      </c>
      <c r="P713" s="116">
        <v>612</v>
      </c>
      <c r="Q713" s="116">
        <v>1218.45</v>
      </c>
      <c r="R713">
        <v>247644</v>
      </c>
    </row>
    <row r="714" spans="1:18" x14ac:dyDescent="0.25">
      <c r="A714" s="170">
        <v>43053</v>
      </c>
      <c r="B714" s="116">
        <v>634.5</v>
      </c>
      <c r="C714" s="116">
        <v>625.97500000000002</v>
      </c>
      <c r="D714" s="116">
        <v>610</v>
      </c>
      <c r="E714" s="116">
        <v>622.5</v>
      </c>
      <c r="F714" s="116">
        <v>1251.95</v>
      </c>
      <c r="G714">
        <v>15665</v>
      </c>
      <c r="H714" s="116"/>
      <c r="I714" s="116"/>
      <c r="L714" s="170">
        <v>43053</v>
      </c>
      <c r="M714" s="116">
        <v>625.54999999999995</v>
      </c>
      <c r="N714" s="116">
        <v>635</v>
      </c>
      <c r="O714" s="116">
        <v>609.22500000000002</v>
      </c>
      <c r="P714" s="116">
        <v>610</v>
      </c>
      <c r="Q714" s="116">
        <v>1251.0999999999999</v>
      </c>
      <c r="R714">
        <v>372293</v>
      </c>
    </row>
    <row r="715" spans="1:18" x14ac:dyDescent="0.25">
      <c r="A715" s="170">
        <v>43054</v>
      </c>
      <c r="B715" s="116">
        <v>630</v>
      </c>
      <c r="C715" s="116">
        <v>625.9</v>
      </c>
      <c r="D715" s="116">
        <v>619.5</v>
      </c>
      <c r="E715" s="116">
        <v>619.5</v>
      </c>
      <c r="F715" s="116">
        <v>1251.8</v>
      </c>
      <c r="G715">
        <v>6612</v>
      </c>
      <c r="H715" s="116"/>
      <c r="I715" s="116"/>
      <c r="L715" s="170">
        <v>43054</v>
      </c>
      <c r="M715" s="116">
        <v>626.95000000000005</v>
      </c>
      <c r="N715" s="116">
        <v>631.125</v>
      </c>
      <c r="O715" s="116">
        <v>620.95000000000005</v>
      </c>
      <c r="P715" s="116">
        <v>625.5</v>
      </c>
      <c r="Q715" s="116">
        <v>1253.9000000000001</v>
      </c>
      <c r="R715">
        <v>195859</v>
      </c>
    </row>
    <row r="716" spans="1:18" x14ac:dyDescent="0.25">
      <c r="A716" s="170">
        <v>43055</v>
      </c>
      <c r="B716" s="116">
        <v>642.02499999999998</v>
      </c>
      <c r="C716" s="116">
        <v>634.625</v>
      </c>
      <c r="D716" s="116">
        <v>625.72500000000002</v>
      </c>
      <c r="E716" s="116">
        <v>635</v>
      </c>
      <c r="F716" s="116">
        <v>1269.25</v>
      </c>
      <c r="G716">
        <v>8359</v>
      </c>
      <c r="H716" s="116"/>
      <c r="I716" s="116"/>
      <c r="L716" s="170">
        <v>43055</v>
      </c>
      <c r="M716" s="116">
        <v>636.15</v>
      </c>
      <c r="N716" s="116">
        <v>642.75</v>
      </c>
      <c r="O716" s="116">
        <v>620.15</v>
      </c>
      <c r="P716" s="116">
        <v>625</v>
      </c>
      <c r="Q716" s="116">
        <v>1272.3</v>
      </c>
      <c r="R716">
        <v>238293</v>
      </c>
    </row>
    <row r="717" spans="1:18" x14ac:dyDescent="0.25">
      <c r="A717" s="170">
        <v>43056</v>
      </c>
      <c r="B717" s="116">
        <v>643.82500000000005</v>
      </c>
      <c r="C717" s="116">
        <v>629.07500000000005</v>
      </c>
      <c r="D717" s="116">
        <v>623.5</v>
      </c>
      <c r="E717" s="116">
        <v>642.47500000000002</v>
      </c>
      <c r="F717" s="116">
        <v>1258.1500000000001</v>
      </c>
      <c r="G717">
        <v>7470</v>
      </c>
      <c r="H717" s="116"/>
      <c r="I717" s="116"/>
      <c r="L717" s="170">
        <v>43056</v>
      </c>
      <c r="M717" s="116">
        <v>631.52499999999998</v>
      </c>
      <c r="N717" s="116">
        <v>644</v>
      </c>
      <c r="O717" s="116">
        <v>626.04999999999995</v>
      </c>
      <c r="P717" s="116">
        <v>640</v>
      </c>
      <c r="Q717" s="116">
        <v>1263.05</v>
      </c>
      <c r="R717">
        <v>140978</v>
      </c>
    </row>
    <row r="718" spans="1:18" x14ac:dyDescent="0.25">
      <c r="A718" s="170">
        <v>43059</v>
      </c>
      <c r="B718" s="116">
        <v>638.17499999999995</v>
      </c>
      <c r="C718" s="116">
        <v>623.125</v>
      </c>
      <c r="D718" s="116">
        <v>618.75</v>
      </c>
      <c r="E718" s="116">
        <v>636.52499999999998</v>
      </c>
      <c r="F718" s="116">
        <v>1246.25</v>
      </c>
      <c r="G718">
        <v>10086</v>
      </c>
      <c r="H718" s="116"/>
      <c r="I718" s="116"/>
      <c r="L718" s="170">
        <v>43059</v>
      </c>
      <c r="M718" s="116">
        <v>624.875</v>
      </c>
      <c r="N718" s="116">
        <v>637.6</v>
      </c>
      <c r="O718" s="116">
        <v>623.27499999999998</v>
      </c>
      <c r="P718" s="116">
        <v>635</v>
      </c>
      <c r="Q718" s="116">
        <v>1249.75</v>
      </c>
      <c r="R718">
        <v>158640</v>
      </c>
    </row>
    <row r="719" spans="1:18" x14ac:dyDescent="0.25">
      <c r="A719" s="170">
        <v>43060</v>
      </c>
      <c r="B719" s="116">
        <v>655</v>
      </c>
      <c r="C719" s="116">
        <v>636.29999999999995</v>
      </c>
      <c r="D719" s="116">
        <v>623.5</v>
      </c>
      <c r="E719" s="116">
        <v>655</v>
      </c>
      <c r="F719" s="116">
        <v>1272.5999999999999</v>
      </c>
      <c r="G719">
        <v>12010</v>
      </c>
      <c r="H719" s="116"/>
      <c r="I719" s="116"/>
      <c r="L719" s="170">
        <v>43060</v>
      </c>
      <c r="M719" s="116">
        <v>637.1</v>
      </c>
      <c r="N719" s="116">
        <v>642.47500000000002</v>
      </c>
      <c r="O719" s="116">
        <v>620</v>
      </c>
      <c r="P719" s="116">
        <v>627.5</v>
      </c>
      <c r="Q719" s="116">
        <v>1274.2</v>
      </c>
      <c r="R719">
        <v>117017</v>
      </c>
    </row>
    <row r="720" spans="1:18" x14ac:dyDescent="0.25">
      <c r="A720" s="170">
        <v>43061</v>
      </c>
      <c r="B720" s="116">
        <v>644</v>
      </c>
      <c r="C720" s="116">
        <v>636.95000000000005</v>
      </c>
      <c r="D720" s="116">
        <v>633.72500000000002</v>
      </c>
      <c r="E720" s="116">
        <v>637</v>
      </c>
      <c r="F720" s="116">
        <v>1273.9000000000001</v>
      </c>
      <c r="G720">
        <v>4868</v>
      </c>
      <c r="H720" s="116"/>
      <c r="I720" s="116"/>
      <c r="L720" s="170">
        <v>43061</v>
      </c>
      <c r="M720" s="116">
        <v>638.04999999999995</v>
      </c>
      <c r="N720" s="116">
        <v>644.72500000000002</v>
      </c>
      <c r="O720" s="116">
        <v>632.82500000000005</v>
      </c>
      <c r="P720" s="116">
        <v>640.95000000000005</v>
      </c>
      <c r="Q720" s="116">
        <v>1276.0999999999999</v>
      </c>
      <c r="R720">
        <v>186149</v>
      </c>
    </row>
    <row r="721" spans="1:18" x14ac:dyDescent="0.25">
      <c r="A721" s="170">
        <v>43062</v>
      </c>
      <c r="B721" s="116">
        <v>645.97500000000002</v>
      </c>
      <c r="C721" s="116">
        <v>640.375</v>
      </c>
      <c r="D721" s="116">
        <v>631.04999999999995</v>
      </c>
      <c r="E721" s="116">
        <v>631.04999999999995</v>
      </c>
      <c r="F721" s="116">
        <v>1280.75</v>
      </c>
      <c r="G721">
        <v>7365</v>
      </c>
      <c r="H721" s="116"/>
      <c r="I721" s="116"/>
      <c r="L721" s="170">
        <v>43062</v>
      </c>
      <c r="M721" s="116">
        <v>638.9</v>
      </c>
      <c r="N721" s="116">
        <v>646.5</v>
      </c>
      <c r="O721" s="116">
        <v>612.5</v>
      </c>
      <c r="P721" s="116">
        <v>638</v>
      </c>
      <c r="Q721" s="116">
        <v>1277.8</v>
      </c>
      <c r="R721">
        <v>121539</v>
      </c>
    </row>
    <row r="722" spans="1:18" x14ac:dyDescent="0.25">
      <c r="A722" s="170">
        <v>43063</v>
      </c>
      <c r="B722" s="116">
        <v>642.35</v>
      </c>
      <c r="C722" s="116">
        <v>640.4</v>
      </c>
      <c r="D722" s="116">
        <v>636.45000000000005</v>
      </c>
      <c r="E722" s="116">
        <v>636.45000000000005</v>
      </c>
      <c r="F722" s="116">
        <v>1280.8</v>
      </c>
      <c r="G722">
        <v>4292</v>
      </c>
      <c r="H722" s="116"/>
      <c r="I722" s="116"/>
      <c r="L722" s="170">
        <v>43063</v>
      </c>
      <c r="M722" s="116">
        <v>639.92499999999995</v>
      </c>
      <c r="N722" s="116">
        <v>642.5</v>
      </c>
      <c r="O722" s="116">
        <v>635.25</v>
      </c>
      <c r="P722" s="116">
        <v>639</v>
      </c>
      <c r="Q722" s="116">
        <v>1279.8499999999999</v>
      </c>
      <c r="R722">
        <v>113962</v>
      </c>
    </row>
    <row r="723" spans="1:18" x14ac:dyDescent="0.25">
      <c r="A723" s="170">
        <v>43066</v>
      </c>
      <c r="B723" s="116">
        <v>647.125</v>
      </c>
      <c r="C723" s="116">
        <v>642.52499999999998</v>
      </c>
      <c r="D723" s="116">
        <v>635.70000000000005</v>
      </c>
      <c r="E723" s="116">
        <v>640.42499999999995</v>
      </c>
      <c r="F723" s="116">
        <v>1285.05</v>
      </c>
      <c r="G723">
        <v>4870</v>
      </c>
      <c r="H723" s="116"/>
      <c r="I723" s="116"/>
      <c r="L723" s="170">
        <v>43066</v>
      </c>
      <c r="M723" s="116">
        <v>641.6</v>
      </c>
      <c r="N723" s="116">
        <v>647</v>
      </c>
      <c r="O723" s="116">
        <v>633.5</v>
      </c>
      <c r="P723" s="116">
        <v>633.5</v>
      </c>
      <c r="Q723" s="116">
        <v>1283.2</v>
      </c>
      <c r="R723">
        <v>112898</v>
      </c>
    </row>
    <row r="724" spans="1:18" x14ac:dyDescent="0.25">
      <c r="A724" s="170">
        <v>43067</v>
      </c>
      <c r="B724" s="116">
        <v>642.82500000000005</v>
      </c>
      <c r="C724" s="116">
        <v>640.52499999999998</v>
      </c>
      <c r="D724" s="116">
        <v>637.72500000000002</v>
      </c>
      <c r="E724" s="116">
        <v>641.42499999999995</v>
      </c>
      <c r="F724" s="116">
        <v>1281.05</v>
      </c>
      <c r="G724">
        <v>8175</v>
      </c>
      <c r="H724" s="116"/>
      <c r="I724" s="116"/>
      <c r="L724" s="170">
        <v>43067</v>
      </c>
      <c r="M724" s="116">
        <v>639.875</v>
      </c>
      <c r="N724" s="116">
        <v>645.75</v>
      </c>
      <c r="O724" s="116">
        <v>637.54999999999995</v>
      </c>
      <c r="P724" s="116">
        <v>642.5</v>
      </c>
      <c r="Q724" s="116">
        <v>1279.75</v>
      </c>
      <c r="R724">
        <v>64920</v>
      </c>
    </row>
    <row r="725" spans="1:18" x14ac:dyDescent="0.25">
      <c r="A725" s="170">
        <v>43068</v>
      </c>
      <c r="B725" s="116">
        <v>642.6</v>
      </c>
      <c r="C725" s="116">
        <v>640.70000000000005</v>
      </c>
      <c r="D725" s="116">
        <v>638.04999999999995</v>
      </c>
      <c r="E725" s="116">
        <v>642.6</v>
      </c>
      <c r="F725" s="116">
        <v>1281.4000000000001</v>
      </c>
      <c r="G725">
        <v>3284</v>
      </c>
      <c r="H725" s="116"/>
      <c r="I725" s="116"/>
      <c r="L725" s="170">
        <v>43068</v>
      </c>
      <c r="M725" s="116">
        <v>640.17499999999995</v>
      </c>
      <c r="N725" s="116">
        <v>643.02499999999998</v>
      </c>
      <c r="O725" s="116">
        <v>636</v>
      </c>
      <c r="P725" s="116">
        <v>641.27499999999998</v>
      </c>
      <c r="Q725" s="116">
        <v>1280.3499999999999</v>
      </c>
      <c r="R725">
        <v>38365</v>
      </c>
    </row>
    <row r="726" spans="1:18" x14ac:dyDescent="0.25">
      <c r="A726" s="170">
        <v>43069</v>
      </c>
      <c r="B726" s="116">
        <v>650.6</v>
      </c>
      <c r="C726" s="116">
        <v>643.95000000000005</v>
      </c>
      <c r="D726" s="116">
        <v>636.17499999999995</v>
      </c>
      <c r="E726" s="116">
        <v>636.17499999999995</v>
      </c>
      <c r="F726" s="116">
        <v>1287.9000000000001</v>
      </c>
      <c r="G726">
        <v>13136</v>
      </c>
      <c r="H726" s="116"/>
      <c r="I726" s="116"/>
      <c r="L726" s="170">
        <v>43069</v>
      </c>
      <c r="M726" s="116">
        <v>643.07500000000005</v>
      </c>
      <c r="N726" s="116">
        <v>651</v>
      </c>
      <c r="O726" s="116">
        <v>635</v>
      </c>
      <c r="P726" s="116">
        <v>642.4</v>
      </c>
      <c r="Q726" s="116">
        <v>1286.1500000000001</v>
      </c>
      <c r="R726">
        <v>226083</v>
      </c>
    </row>
    <row r="727" spans="1:18" x14ac:dyDescent="0.25">
      <c r="A727" s="170">
        <v>43070</v>
      </c>
      <c r="B727" s="116">
        <v>649.20000000000005</v>
      </c>
      <c r="C727" s="116">
        <v>639.07500000000005</v>
      </c>
      <c r="D727" s="116">
        <v>636</v>
      </c>
      <c r="E727" s="116">
        <v>641.75</v>
      </c>
      <c r="F727" s="116">
        <v>1278.1500000000001</v>
      </c>
      <c r="G727">
        <v>25279</v>
      </c>
      <c r="H727" s="116"/>
      <c r="I727" s="116"/>
      <c r="L727" s="170">
        <v>43070</v>
      </c>
      <c r="M727" s="116">
        <v>638.85</v>
      </c>
      <c r="N727" s="116">
        <v>649.4</v>
      </c>
      <c r="O727" s="116">
        <v>635.35</v>
      </c>
      <c r="P727" s="116">
        <v>649.4</v>
      </c>
      <c r="Q727" s="116">
        <v>1277.7</v>
      </c>
      <c r="R727">
        <v>305173</v>
      </c>
    </row>
    <row r="728" spans="1:18" x14ac:dyDescent="0.25">
      <c r="A728" s="170">
        <v>43073</v>
      </c>
      <c r="B728" s="116">
        <v>654</v>
      </c>
      <c r="C728" s="116">
        <v>648.32500000000005</v>
      </c>
      <c r="D728" s="116">
        <v>630.95000000000005</v>
      </c>
      <c r="E728" s="116">
        <v>650</v>
      </c>
      <c r="F728" s="116">
        <v>1296.6500000000001</v>
      </c>
      <c r="G728">
        <v>6648</v>
      </c>
      <c r="H728" s="116"/>
      <c r="I728" s="116"/>
      <c r="L728" s="170">
        <v>43073</v>
      </c>
      <c r="M728" s="116">
        <v>647.67499999999995</v>
      </c>
      <c r="N728" s="116">
        <v>654.75</v>
      </c>
      <c r="O728" s="116">
        <v>629.4</v>
      </c>
      <c r="P728" s="116">
        <v>642.5</v>
      </c>
      <c r="Q728" s="116">
        <v>1295.3499999999999</v>
      </c>
      <c r="R728">
        <v>113597</v>
      </c>
    </row>
    <row r="729" spans="1:18" x14ac:dyDescent="0.25">
      <c r="A729" s="170">
        <v>43074</v>
      </c>
      <c r="B729" s="116">
        <v>648.82500000000005</v>
      </c>
      <c r="C729" s="116">
        <v>642.97500000000002</v>
      </c>
      <c r="D729" s="116">
        <v>639.35</v>
      </c>
      <c r="E729" s="116">
        <v>648.82500000000005</v>
      </c>
      <c r="F729" s="116">
        <v>1285.95</v>
      </c>
      <c r="G729">
        <v>6639</v>
      </c>
      <c r="H729" s="116"/>
      <c r="I729" s="116"/>
      <c r="L729" s="170">
        <v>43074</v>
      </c>
      <c r="M729" s="116">
        <v>642.52499999999998</v>
      </c>
      <c r="N729" s="116">
        <v>647.52499999999998</v>
      </c>
      <c r="O729" s="116">
        <v>638</v>
      </c>
      <c r="P729" s="116">
        <v>646.5</v>
      </c>
      <c r="Q729" s="116">
        <v>1285.05</v>
      </c>
      <c r="R729">
        <v>50766</v>
      </c>
    </row>
    <row r="730" spans="1:18" x14ac:dyDescent="0.25">
      <c r="A730" s="170">
        <v>43075</v>
      </c>
      <c r="B730" s="116">
        <v>657.625</v>
      </c>
      <c r="C730" s="116">
        <v>650.82500000000005</v>
      </c>
      <c r="D730" s="116">
        <v>637.625</v>
      </c>
      <c r="E730" s="116">
        <v>643.35</v>
      </c>
      <c r="F730" s="116">
        <v>1301.6500000000001</v>
      </c>
      <c r="G730">
        <v>66639</v>
      </c>
      <c r="H730" s="116"/>
      <c r="I730" s="116"/>
      <c r="L730" s="170">
        <v>43075</v>
      </c>
      <c r="M730" s="116">
        <v>651.72500000000002</v>
      </c>
      <c r="N730" s="116">
        <v>658.5</v>
      </c>
      <c r="O730" s="116">
        <v>636.54999999999995</v>
      </c>
      <c r="P730" s="116">
        <v>640.02499999999998</v>
      </c>
      <c r="Q730" s="116">
        <v>1303.45</v>
      </c>
      <c r="R730">
        <v>153864</v>
      </c>
    </row>
    <row r="731" spans="1:18" x14ac:dyDescent="0.25">
      <c r="A731" s="170">
        <v>43076</v>
      </c>
      <c r="B731" s="116">
        <v>665</v>
      </c>
      <c r="C731" s="116">
        <v>662.15</v>
      </c>
      <c r="D731" s="116">
        <v>647.5</v>
      </c>
      <c r="E731" s="116">
        <v>656</v>
      </c>
      <c r="F731" s="116">
        <v>1324.3</v>
      </c>
      <c r="G731">
        <v>8083</v>
      </c>
      <c r="H731" s="116"/>
      <c r="I731" s="116"/>
      <c r="L731" s="170">
        <v>43076</v>
      </c>
      <c r="M731" s="116">
        <v>663.95</v>
      </c>
      <c r="N731" s="116">
        <v>665</v>
      </c>
      <c r="O731" s="116">
        <v>646.375</v>
      </c>
      <c r="P731" s="116">
        <v>651.5</v>
      </c>
      <c r="Q731" s="116">
        <v>1327.9</v>
      </c>
      <c r="R731">
        <v>800255</v>
      </c>
    </row>
    <row r="732" spans="1:18" x14ac:dyDescent="0.25">
      <c r="A732" s="170">
        <v>43077</v>
      </c>
      <c r="B732" s="116">
        <v>665.5</v>
      </c>
      <c r="C732" s="116">
        <v>660.95</v>
      </c>
      <c r="D732" s="116">
        <v>657.65</v>
      </c>
      <c r="E732" s="116">
        <v>660</v>
      </c>
      <c r="F732" s="116">
        <v>1321.9</v>
      </c>
      <c r="G732">
        <v>7668</v>
      </c>
      <c r="H732" s="116"/>
      <c r="I732" s="116"/>
      <c r="L732" s="170">
        <v>43077</v>
      </c>
      <c r="M732" s="116">
        <v>661.875</v>
      </c>
      <c r="N732" s="116">
        <v>666.75</v>
      </c>
      <c r="O732" s="116">
        <v>658.55</v>
      </c>
      <c r="P732" s="116">
        <v>664.5</v>
      </c>
      <c r="Q732" s="116">
        <v>1323.75</v>
      </c>
      <c r="R732">
        <v>78365</v>
      </c>
    </row>
    <row r="733" spans="1:18" x14ac:dyDescent="0.25">
      <c r="A733" s="170">
        <v>43080</v>
      </c>
      <c r="B733" s="116">
        <v>669.95</v>
      </c>
      <c r="C733" s="116">
        <v>666.17499999999995</v>
      </c>
      <c r="D733" s="116">
        <v>662</v>
      </c>
      <c r="E733" s="116">
        <v>662</v>
      </c>
      <c r="F733" s="116">
        <v>1332.35</v>
      </c>
      <c r="G733">
        <v>4423</v>
      </c>
      <c r="H733" s="116"/>
      <c r="I733" s="116"/>
      <c r="L733" s="170">
        <v>43080</v>
      </c>
      <c r="M733" s="116">
        <v>667.2</v>
      </c>
      <c r="N733" s="116">
        <v>670.95</v>
      </c>
      <c r="O733" s="116">
        <v>661.47500000000002</v>
      </c>
      <c r="P733" s="116">
        <v>662</v>
      </c>
      <c r="Q733" s="116">
        <v>1334.4</v>
      </c>
      <c r="R733">
        <v>85448</v>
      </c>
    </row>
    <row r="734" spans="1:18" x14ac:dyDescent="0.25">
      <c r="A734" s="170">
        <v>43081</v>
      </c>
      <c r="B734" s="116">
        <v>673.47500000000002</v>
      </c>
      <c r="C734" s="116">
        <v>666</v>
      </c>
      <c r="D734" s="116">
        <v>661.4</v>
      </c>
      <c r="E734" s="116">
        <v>669.95</v>
      </c>
      <c r="F734" s="116">
        <v>1332</v>
      </c>
      <c r="G734">
        <v>3986</v>
      </c>
      <c r="H734" s="116"/>
      <c r="I734" s="116"/>
      <c r="L734" s="170">
        <v>43081</v>
      </c>
      <c r="M734" s="116">
        <v>668.4</v>
      </c>
      <c r="N734" s="116">
        <v>674.47500000000002</v>
      </c>
      <c r="O734" s="116">
        <v>663.17499999999995</v>
      </c>
      <c r="P734" s="116">
        <v>667</v>
      </c>
      <c r="Q734" s="116">
        <v>1336.8</v>
      </c>
      <c r="R734">
        <v>105442</v>
      </c>
    </row>
    <row r="735" spans="1:18" x14ac:dyDescent="0.25">
      <c r="A735" s="170">
        <v>43082</v>
      </c>
      <c r="B735" s="116">
        <v>671.25</v>
      </c>
      <c r="C735" s="116">
        <v>662.95</v>
      </c>
      <c r="D735" s="116">
        <v>655.02499999999998</v>
      </c>
      <c r="E735" s="116">
        <v>665.5</v>
      </c>
      <c r="F735" s="116">
        <v>1325.9</v>
      </c>
      <c r="G735">
        <v>7010</v>
      </c>
      <c r="H735" s="116"/>
      <c r="I735" s="116"/>
      <c r="L735" s="170">
        <v>43082</v>
      </c>
      <c r="M735" s="116">
        <v>665.67499999999995</v>
      </c>
      <c r="N735" s="116">
        <v>672.47500000000002</v>
      </c>
      <c r="O735" s="116">
        <v>659.52499999999998</v>
      </c>
      <c r="P735" s="116">
        <v>664</v>
      </c>
      <c r="Q735" s="116">
        <v>1331.35</v>
      </c>
      <c r="R735">
        <v>162044</v>
      </c>
    </row>
    <row r="736" spans="1:18" x14ac:dyDescent="0.25">
      <c r="A736" s="170">
        <v>43083</v>
      </c>
      <c r="B736" s="116">
        <v>666.42499999999995</v>
      </c>
      <c r="C736" s="116">
        <v>657.5</v>
      </c>
      <c r="D736" s="116">
        <v>650.02499999999998</v>
      </c>
      <c r="E736" s="116">
        <v>665.2</v>
      </c>
      <c r="F736" s="116">
        <v>1315</v>
      </c>
      <c r="G736">
        <v>4695</v>
      </c>
      <c r="H736" s="116"/>
      <c r="I736" s="116"/>
      <c r="L736" s="170">
        <v>43083</v>
      </c>
      <c r="M736" s="116">
        <v>661.625</v>
      </c>
      <c r="N736" s="116">
        <v>665.95</v>
      </c>
      <c r="O736" s="116">
        <v>655.04999999999995</v>
      </c>
      <c r="P736" s="116">
        <v>664.375</v>
      </c>
      <c r="Q736" s="116">
        <v>1323.25</v>
      </c>
      <c r="R736">
        <v>90347</v>
      </c>
    </row>
    <row r="737" spans="1:18" x14ac:dyDescent="0.25">
      <c r="A737" s="170">
        <v>43084</v>
      </c>
      <c r="B737" s="116">
        <v>678.375</v>
      </c>
      <c r="C737" s="116">
        <v>671.47500000000002</v>
      </c>
      <c r="D737" s="116">
        <v>663.2</v>
      </c>
      <c r="E737" s="116">
        <v>663.2</v>
      </c>
      <c r="F737" s="116">
        <v>1342.95</v>
      </c>
      <c r="G737">
        <v>3282</v>
      </c>
      <c r="H737" s="116"/>
      <c r="I737" s="116"/>
      <c r="L737" s="170">
        <v>43084</v>
      </c>
      <c r="M737" s="116">
        <v>672.42499999999995</v>
      </c>
      <c r="N737" s="116">
        <v>678.5</v>
      </c>
      <c r="O737" s="116">
        <v>662.125</v>
      </c>
      <c r="P737" s="116">
        <v>665</v>
      </c>
      <c r="Q737" s="116">
        <v>1344.85</v>
      </c>
      <c r="R737">
        <v>86910</v>
      </c>
    </row>
    <row r="738" spans="1:18" x14ac:dyDescent="0.25">
      <c r="A738" s="170">
        <v>43087</v>
      </c>
      <c r="B738" s="116">
        <v>685.9</v>
      </c>
      <c r="C738" s="116">
        <v>677.625</v>
      </c>
      <c r="D738" s="116">
        <v>662.5</v>
      </c>
      <c r="E738" s="116">
        <v>662.57500000000005</v>
      </c>
      <c r="F738" s="116">
        <v>1355.25</v>
      </c>
      <c r="G738">
        <v>4703</v>
      </c>
      <c r="H738" s="116"/>
      <c r="I738" s="116"/>
      <c r="L738" s="170">
        <v>43087</v>
      </c>
      <c r="M738" s="116">
        <v>679.6</v>
      </c>
      <c r="N738" s="116">
        <v>687.35</v>
      </c>
      <c r="O738" s="116">
        <v>662.3</v>
      </c>
      <c r="P738" s="116">
        <v>672.42499999999995</v>
      </c>
      <c r="Q738" s="116">
        <v>1359.2</v>
      </c>
      <c r="R738">
        <v>242481</v>
      </c>
    </row>
    <row r="739" spans="1:18" x14ac:dyDescent="0.25">
      <c r="A739" s="170">
        <v>43088</v>
      </c>
      <c r="B739" s="116">
        <v>682.47500000000002</v>
      </c>
      <c r="C739" s="116">
        <v>679.7</v>
      </c>
      <c r="D739" s="116">
        <v>672.42499999999995</v>
      </c>
      <c r="E739" s="116">
        <v>679.95</v>
      </c>
      <c r="F739" s="116">
        <v>1359.4</v>
      </c>
      <c r="G739">
        <v>4952</v>
      </c>
      <c r="H739" s="116"/>
      <c r="I739" s="116"/>
      <c r="L739" s="170">
        <v>43088</v>
      </c>
      <c r="M739" s="116">
        <v>680.2</v>
      </c>
      <c r="N739" s="116">
        <v>683.95</v>
      </c>
      <c r="O739" s="116">
        <v>672.5</v>
      </c>
      <c r="P739" s="116">
        <v>683.92499999999995</v>
      </c>
      <c r="Q739" s="116">
        <v>1360.4</v>
      </c>
      <c r="R739">
        <v>65653</v>
      </c>
    </row>
    <row r="740" spans="1:18" x14ac:dyDescent="0.25">
      <c r="A740" s="170">
        <v>43089</v>
      </c>
      <c r="B740" s="116">
        <v>690</v>
      </c>
      <c r="C740" s="116">
        <v>678.82500000000005</v>
      </c>
      <c r="D740" s="116">
        <v>672.5</v>
      </c>
      <c r="E740" s="116">
        <v>676.92499999999995</v>
      </c>
      <c r="F740" s="116">
        <v>1357.65</v>
      </c>
      <c r="G740">
        <v>6867</v>
      </c>
      <c r="H740" s="116"/>
      <c r="I740" s="116"/>
      <c r="L740" s="170">
        <v>43089</v>
      </c>
      <c r="M740" s="116">
        <v>681.57500000000005</v>
      </c>
      <c r="N740" s="116">
        <v>690.5</v>
      </c>
      <c r="O740" s="116">
        <v>674.5</v>
      </c>
      <c r="P740" s="116">
        <v>680.25</v>
      </c>
      <c r="Q740" s="116">
        <v>1363.15</v>
      </c>
      <c r="R740">
        <v>187817</v>
      </c>
    </row>
    <row r="741" spans="1:18" x14ac:dyDescent="0.25">
      <c r="A741" s="170">
        <v>43090</v>
      </c>
      <c r="B741" s="116">
        <v>690.5</v>
      </c>
      <c r="C741" s="116">
        <v>679.15</v>
      </c>
      <c r="D741" s="116">
        <v>676.97500000000002</v>
      </c>
      <c r="E741" s="116">
        <v>680.17499999999995</v>
      </c>
      <c r="F741" s="116">
        <v>1358.3</v>
      </c>
      <c r="G741">
        <v>6360</v>
      </c>
      <c r="H741" s="116"/>
      <c r="I741" s="116"/>
      <c r="L741" s="170">
        <v>43090</v>
      </c>
      <c r="M741" s="116">
        <v>679.8</v>
      </c>
      <c r="N741" s="116">
        <v>691.75</v>
      </c>
      <c r="O741" s="116">
        <v>677</v>
      </c>
      <c r="P741" s="116">
        <v>682.45</v>
      </c>
      <c r="Q741" s="116">
        <v>1359.6</v>
      </c>
      <c r="R741">
        <v>197227</v>
      </c>
    </row>
    <row r="742" spans="1:18" x14ac:dyDescent="0.25">
      <c r="A742" s="170">
        <v>43091</v>
      </c>
      <c r="B742" s="116">
        <v>686.02499999999998</v>
      </c>
      <c r="C742" s="116">
        <v>681.9</v>
      </c>
      <c r="D742" s="116">
        <v>671.55</v>
      </c>
      <c r="E742" s="116">
        <v>679.15</v>
      </c>
      <c r="F742" s="116">
        <v>1363.8</v>
      </c>
      <c r="G742">
        <v>5347</v>
      </c>
      <c r="H742" s="116"/>
      <c r="I742" s="116"/>
      <c r="L742" s="170">
        <v>43091</v>
      </c>
      <c r="M742" s="116">
        <v>682.97500000000002</v>
      </c>
      <c r="N742" s="116">
        <v>687</v>
      </c>
      <c r="O742" s="116">
        <v>673.5</v>
      </c>
      <c r="P742" s="116">
        <v>684.5</v>
      </c>
      <c r="Q742" s="116">
        <v>1365.95</v>
      </c>
      <c r="R742">
        <v>78261</v>
      </c>
    </row>
    <row r="743" spans="1:18" x14ac:dyDescent="0.25">
      <c r="A743" s="170">
        <v>43095</v>
      </c>
      <c r="B743" s="116">
        <v>697.02499999999998</v>
      </c>
      <c r="C743" s="116">
        <v>692.875</v>
      </c>
      <c r="D743" s="116">
        <v>680.5</v>
      </c>
      <c r="E743" s="116">
        <v>683.8</v>
      </c>
      <c r="F743" s="116">
        <v>1385.75</v>
      </c>
      <c r="G743">
        <v>13123</v>
      </c>
      <c r="H743" s="116"/>
      <c r="I743" s="116"/>
      <c r="L743" s="170">
        <v>43095</v>
      </c>
      <c r="M743" s="116">
        <v>692.7</v>
      </c>
      <c r="N743" s="116">
        <v>697.625</v>
      </c>
      <c r="O743" s="116">
        <v>680</v>
      </c>
      <c r="P743" s="116">
        <v>682.97500000000002</v>
      </c>
      <c r="Q743" s="116">
        <v>1385.4</v>
      </c>
      <c r="R743">
        <v>144720</v>
      </c>
    </row>
    <row r="744" spans="1:18" x14ac:dyDescent="0.25">
      <c r="A744" s="170">
        <v>43096</v>
      </c>
      <c r="B744" s="116">
        <v>717.375</v>
      </c>
      <c r="C744" s="116">
        <v>695.72500000000002</v>
      </c>
      <c r="D744" s="116">
        <v>691.25</v>
      </c>
      <c r="E744" s="116">
        <v>693.1</v>
      </c>
      <c r="F744" s="116">
        <v>1391.45</v>
      </c>
      <c r="G744">
        <v>13834</v>
      </c>
      <c r="H744" s="116"/>
      <c r="I744" s="116"/>
      <c r="L744" s="170">
        <v>43096</v>
      </c>
      <c r="M744" s="116">
        <v>696.57500000000005</v>
      </c>
      <c r="N744" s="116">
        <v>715.92499999999995</v>
      </c>
      <c r="O744" s="116">
        <v>693.1</v>
      </c>
      <c r="P744" s="116">
        <v>694</v>
      </c>
      <c r="Q744" s="116">
        <v>1393.15</v>
      </c>
      <c r="R744">
        <v>333150</v>
      </c>
    </row>
    <row r="745" spans="1:18" x14ac:dyDescent="0.25">
      <c r="A745" s="170">
        <v>43097</v>
      </c>
      <c r="B745" s="116">
        <v>700</v>
      </c>
      <c r="C745" s="116">
        <v>694.85</v>
      </c>
      <c r="D745" s="116">
        <v>685</v>
      </c>
      <c r="E745" s="116">
        <v>692.9</v>
      </c>
      <c r="F745" s="116">
        <v>1389.7</v>
      </c>
      <c r="G745">
        <v>8783</v>
      </c>
      <c r="H745" s="116"/>
      <c r="I745" s="116"/>
      <c r="L745" s="170">
        <v>43097</v>
      </c>
      <c r="M745" s="116">
        <v>698.05</v>
      </c>
      <c r="N745" s="116">
        <v>705</v>
      </c>
      <c r="O745" s="116">
        <v>684.02499999999998</v>
      </c>
      <c r="P745" s="116">
        <v>697</v>
      </c>
      <c r="Q745" s="116">
        <v>1396.1</v>
      </c>
      <c r="R745">
        <v>103844</v>
      </c>
    </row>
    <row r="746" spans="1:18" x14ac:dyDescent="0.25">
      <c r="A746" s="170">
        <v>43098</v>
      </c>
      <c r="B746" s="116">
        <v>711.5</v>
      </c>
      <c r="C746" s="116">
        <v>708.32500000000005</v>
      </c>
      <c r="D746" s="116">
        <v>696.52499999999998</v>
      </c>
      <c r="E746" s="116">
        <v>701.375</v>
      </c>
      <c r="F746" s="116">
        <v>1416.65</v>
      </c>
      <c r="G746">
        <v>5526</v>
      </c>
      <c r="H746" s="116"/>
      <c r="I746" s="116"/>
      <c r="L746" s="170">
        <v>43098</v>
      </c>
      <c r="M746" s="116">
        <v>709.27499999999998</v>
      </c>
      <c r="N746" s="116">
        <v>712.5</v>
      </c>
      <c r="O746" s="116">
        <v>697.02499999999998</v>
      </c>
      <c r="P746" s="116">
        <v>704.92499999999995</v>
      </c>
      <c r="Q746" s="116">
        <v>1418.55</v>
      </c>
      <c r="R746">
        <v>85930</v>
      </c>
    </row>
    <row r="747" spans="1:18" x14ac:dyDescent="0.25">
      <c r="A747" s="170">
        <v>43101</v>
      </c>
      <c r="B747" s="116">
        <v>715.02499999999998</v>
      </c>
      <c r="C747" s="116">
        <v>697.25</v>
      </c>
      <c r="D747" s="116">
        <v>685.32500000000005</v>
      </c>
      <c r="E747" s="116">
        <v>712</v>
      </c>
      <c r="F747" s="116">
        <v>1394.5</v>
      </c>
      <c r="G747">
        <v>3918</v>
      </c>
      <c r="H747" s="116"/>
      <c r="I747" s="116"/>
      <c r="L747" s="170">
        <v>43101</v>
      </c>
      <c r="M747" s="116">
        <v>695.22500000000002</v>
      </c>
      <c r="N747" s="116">
        <v>716.72500000000002</v>
      </c>
      <c r="O747" s="116">
        <v>685.05</v>
      </c>
      <c r="P747" s="116">
        <v>709.5</v>
      </c>
      <c r="Q747" s="116">
        <v>1390.45</v>
      </c>
      <c r="R747">
        <v>70969</v>
      </c>
    </row>
    <row r="748" spans="1:18" x14ac:dyDescent="0.25">
      <c r="A748" s="170">
        <v>43102</v>
      </c>
      <c r="B748" s="116">
        <v>706.35</v>
      </c>
      <c r="C748" s="116">
        <v>697.82500000000005</v>
      </c>
      <c r="D748" s="116">
        <v>688.07500000000005</v>
      </c>
      <c r="E748" s="116">
        <v>692.6</v>
      </c>
      <c r="F748" s="116">
        <v>1395.65</v>
      </c>
      <c r="G748">
        <v>6199</v>
      </c>
      <c r="H748" s="116"/>
      <c r="I748" s="116"/>
      <c r="L748" s="170">
        <v>43102</v>
      </c>
      <c r="M748" s="116">
        <v>697.55</v>
      </c>
      <c r="N748" s="116">
        <v>706.375</v>
      </c>
      <c r="O748" s="116">
        <v>687.5</v>
      </c>
      <c r="P748" s="116">
        <v>692</v>
      </c>
      <c r="Q748" s="116">
        <v>1395.1</v>
      </c>
      <c r="R748">
        <v>75533</v>
      </c>
    </row>
    <row r="749" spans="1:18" x14ac:dyDescent="0.25">
      <c r="A749" s="170">
        <v>43103</v>
      </c>
      <c r="B749" s="116">
        <v>703.2</v>
      </c>
      <c r="C749" s="116">
        <v>689.7</v>
      </c>
      <c r="D749" s="116">
        <v>680.67499999999995</v>
      </c>
      <c r="E749" s="116">
        <v>699.5</v>
      </c>
      <c r="F749" s="116">
        <v>1379.4</v>
      </c>
      <c r="G749">
        <v>11374</v>
      </c>
      <c r="H749" s="116"/>
      <c r="I749" s="116"/>
      <c r="L749" s="170">
        <v>43103</v>
      </c>
      <c r="M749" s="116">
        <v>689.27499999999998</v>
      </c>
      <c r="N749" s="116">
        <v>703.95</v>
      </c>
      <c r="O749" s="116">
        <v>680.27499999999998</v>
      </c>
      <c r="P749" s="116">
        <v>697.45</v>
      </c>
      <c r="Q749" s="116">
        <v>1378.55</v>
      </c>
      <c r="R749">
        <v>120264</v>
      </c>
    </row>
    <row r="750" spans="1:18" x14ac:dyDescent="0.25">
      <c r="A750" s="170">
        <v>43104</v>
      </c>
      <c r="B750" s="116">
        <v>698.45</v>
      </c>
      <c r="C750" s="116">
        <v>695.82500000000005</v>
      </c>
      <c r="D750" s="116">
        <v>685.57500000000005</v>
      </c>
      <c r="E750" s="116">
        <v>695.875</v>
      </c>
      <c r="F750" s="116">
        <v>1391.65</v>
      </c>
      <c r="G750">
        <v>6144</v>
      </c>
      <c r="H750" s="116"/>
      <c r="I750" s="116"/>
      <c r="L750" s="170">
        <v>43104</v>
      </c>
      <c r="M750" s="116">
        <v>696.95</v>
      </c>
      <c r="N750" s="116">
        <v>699.375</v>
      </c>
      <c r="O750" s="116">
        <v>685.72500000000002</v>
      </c>
      <c r="P750" s="116">
        <v>693.5</v>
      </c>
      <c r="Q750" s="116">
        <v>1393.9</v>
      </c>
      <c r="R750">
        <v>62641</v>
      </c>
    </row>
    <row r="751" spans="1:18" x14ac:dyDescent="0.25">
      <c r="A751" s="170">
        <v>43105</v>
      </c>
      <c r="B751" s="116">
        <v>711.72500000000002</v>
      </c>
      <c r="C751" s="116">
        <v>708.85</v>
      </c>
      <c r="D751" s="116">
        <v>692.3</v>
      </c>
      <c r="E751" s="116">
        <v>693.25</v>
      </c>
      <c r="F751" s="116">
        <v>1417.7</v>
      </c>
      <c r="G751">
        <v>26373</v>
      </c>
      <c r="H751" s="116"/>
      <c r="I751" s="116"/>
      <c r="L751" s="170">
        <v>43105</v>
      </c>
      <c r="M751" s="116">
        <v>710.375</v>
      </c>
      <c r="N751" s="116">
        <v>714.5</v>
      </c>
      <c r="O751" s="116">
        <v>690.77499999999998</v>
      </c>
      <c r="P751" s="116">
        <v>690.77499999999998</v>
      </c>
      <c r="Q751" s="116">
        <v>1420.75</v>
      </c>
      <c r="R751">
        <v>271607</v>
      </c>
    </row>
    <row r="752" spans="1:18" x14ac:dyDescent="0.25">
      <c r="A752" s="170">
        <v>43108</v>
      </c>
      <c r="B752" s="116">
        <v>721.42499999999995</v>
      </c>
      <c r="C752" s="116">
        <v>714.85</v>
      </c>
      <c r="D752" s="116">
        <v>708.52499999999998</v>
      </c>
      <c r="E752" s="116">
        <v>711.4</v>
      </c>
      <c r="F752" s="116">
        <v>1429.7</v>
      </c>
      <c r="G752">
        <v>29167</v>
      </c>
      <c r="H752" s="116"/>
      <c r="I752" s="116"/>
      <c r="L752" s="170">
        <v>43108</v>
      </c>
      <c r="M752" s="116">
        <v>716.92499999999995</v>
      </c>
      <c r="N752" s="116">
        <v>721.27499999999998</v>
      </c>
      <c r="O752" s="116">
        <v>706</v>
      </c>
      <c r="P752" s="116">
        <v>706</v>
      </c>
      <c r="Q752" s="116">
        <v>1433.85</v>
      </c>
      <c r="R752">
        <v>209934</v>
      </c>
    </row>
    <row r="753" spans="1:18" x14ac:dyDescent="0.25">
      <c r="A753" s="170">
        <v>43109</v>
      </c>
      <c r="B753" s="116">
        <v>720.32500000000005</v>
      </c>
      <c r="C753" s="116">
        <v>705.27499999999998</v>
      </c>
      <c r="D753" s="116">
        <v>700.02499999999998</v>
      </c>
      <c r="E753" s="116">
        <v>716</v>
      </c>
      <c r="F753" s="116">
        <v>1410.55</v>
      </c>
      <c r="G753">
        <v>3973</v>
      </c>
      <c r="H753" s="116"/>
      <c r="I753" s="116"/>
      <c r="L753" s="170">
        <v>43109</v>
      </c>
      <c r="M753" s="116">
        <v>705</v>
      </c>
      <c r="N753" s="116">
        <v>719</v>
      </c>
      <c r="O753" s="116">
        <v>700.75</v>
      </c>
      <c r="P753" s="116">
        <v>717.52499999999998</v>
      </c>
      <c r="Q753" s="116">
        <v>1410</v>
      </c>
      <c r="R753">
        <v>28202</v>
      </c>
    </row>
    <row r="754" spans="1:18" x14ac:dyDescent="0.25">
      <c r="A754" s="170">
        <v>43110</v>
      </c>
      <c r="B754" s="116">
        <v>714.5</v>
      </c>
      <c r="C754" s="116">
        <v>699.47500000000002</v>
      </c>
      <c r="D754" s="116">
        <v>695.625</v>
      </c>
      <c r="E754" s="116">
        <v>699.92499999999995</v>
      </c>
      <c r="F754" s="116">
        <v>1398.95</v>
      </c>
      <c r="G754">
        <v>9442</v>
      </c>
      <c r="H754" s="116"/>
      <c r="I754" s="116"/>
      <c r="L754" s="170">
        <v>43110</v>
      </c>
      <c r="M754" s="116">
        <v>700.625</v>
      </c>
      <c r="N754" s="116">
        <v>715.35</v>
      </c>
      <c r="O754" s="116">
        <v>697.5</v>
      </c>
      <c r="P754" s="116">
        <v>699.85</v>
      </c>
      <c r="Q754" s="116">
        <v>1401.25</v>
      </c>
      <c r="R754">
        <v>115831</v>
      </c>
    </row>
    <row r="755" spans="1:18" x14ac:dyDescent="0.25">
      <c r="A755" s="170">
        <v>43111</v>
      </c>
      <c r="B755" s="116">
        <v>704</v>
      </c>
      <c r="C755" s="116">
        <v>691.75</v>
      </c>
      <c r="D755" s="116">
        <v>689.5</v>
      </c>
      <c r="E755" s="116">
        <v>699.82500000000005</v>
      </c>
      <c r="F755" s="116">
        <v>1383.5</v>
      </c>
      <c r="G755">
        <v>3699</v>
      </c>
      <c r="H755" s="116"/>
      <c r="I755" s="116"/>
      <c r="L755" s="170">
        <v>43111</v>
      </c>
      <c r="M755" s="116">
        <v>690.92499999999995</v>
      </c>
      <c r="N755" s="116">
        <v>704.5</v>
      </c>
      <c r="O755" s="116">
        <v>689.97500000000002</v>
      </c>
      <c r="P755" s="116">
        <v>700.05</v>
      </c>
      <c r="Q755" s="116">
        <v>1381.85</v>
      </c>
      <c r="R755">
        <v>63742</v>
      </c>
    </row>
    <row r="756" spans="1:18" x14ac:dyDescent="0.25">
      <c r="A756" s="170">
        <v>43112</v>
      </c>
      <c r="B756" s="116">
        <v>700.2</v>
      </c>
      <c r="C756" s="116">
        <v>690.125</v>
      </c>
      <c r="D756" s="116">
        <v>688.5</v>
      </c>
      <c r="E756" s="116">
        <v>694.6</v>
      </c>
      <c r="F756" s="116">
        <v>1380.25</v>
      </c>
      <c r="G756">
        <v>12353</v>
      </c>
      <c r="H756" s="116"/>
      <c r="I756" s="116"/>
      <c r="L756" s="170">
        <v>43112</v>
      </c>
      <c r="M756" s="116">
        <v>690.27499999999998</v>
      </c>
      <c r="N756" s="116">
        <v>702.15</v>
      </c>
      <c r="O756" s="116">
        <v>687.5</v>
      </c>
      <c r="P756" s="116">
        <v>697</v>
      </c>
      <c r="Q756" s="116">
        <v>1380.55</v>
      </c>
      <c r="R756">
        <v>141745</v>
      </c>
    </row>
    <row r="757" spans="1:18" x14ac:dyDescent="0.25">
      <c r="A757" s="170">
        <v>43115</v>
      </c>
      <c r="B757" s="116">
        <v>711</v>
      </c>
      <c r="C757" s="116">
        <v>708.02499999999998</v>
      </c>
      <c r="D757" s="116">
        <v>686</v>
      </c>
      <c r="E757" s="116">
        <v>686</v>
      </c>
      <c r="F757" s="116">
        <v>1416.05</v>
      </c>
      <c r="G757">
        <v>10637</v>
      </c>
      <c r="H757" s="116"/>
      <c r="I757" s="116"/>
      <c r="L757" s="170">
        <v>43115</v>
      </c>
      <c r="M757" s="116">
        <v>708.15</v>
      </c>
      <c r="N757" s="116">
        <v>711.47500000000002</v>
      </c>
      <c r="O757" s="116">
        <v>692.5</v>
      </c>
      <c r="P757" s="116">
        <v>692.5</v>
      </c>
      <c r="Q757" s="116">
        <v>1416.3</v>
      </c>
      <c r="R757">
        <v>108509</v>
      </c>
    </row>
    <row r="758" spans="1:18" x14ac:dyDescent="0.25">
      <c r="A758" s="170">
        <v>43116</v>
      </c>
      <c r="B758" s="116">
        <v>706.8</v>
      </c>
      <c r="C758" s="116">
        <v>699.77499999999998</v>
      </c>
      <c r="D758" s="116">
        <v>696.82500000000005</v>
      </c>
      <c r="E758" s="116">
        <v>706.8</v>
      </c>
      <c r="F758" s="116">
        <v>1399.55</v>
      </c>
      <c r="G758">
        <v>2771</v>
      </c>
      <c r="H758" s="116"/>
      <c r="I758" s="116"/>
      <c r="L758" s="170">
        <v>43116</v>
      </c>
      <c r="M758" s="116">
        <v>700.4</v>
      </c>
      <c r="N758" s="116">
        <v>709.47500000000002</v>
      </c>
      <c r="O758" s="116">
        <v>695.77499999999998</v>
      </c>
      <c r="P758" s="116">
        <v>705.5</v>
      </c>
      <c r="Q758" s="116">
        <v>1400.8</v>
      </c>
      <c r="R758">
        <v>70705</v>
      </c>
    </row>
    <row r="759" spans="1:18" x14ac:dyDescent="0.25">
      <c r="A759" s="170">
        <v>43117</v>
      </c>
      <c r="B759" s="116">
        <v>707.55</v>
      </c>
      <c r="C759" s="116">
        <v>700.72500000000002</v>
      </c>
      <c r="D759" s="116">
        <v>694.97500000000002</v>
      </c>
      <c r="E759" s="116">
        <v>703.17499999999995</v>
      </c>
      <c r="F759" s="116">
        <v>1401.45</v>
      </c>
      <c r="G759">
        <v>2918</v>
      </c>
      <c r="H759" s="116"/>
      <c r="I759" s="116"/>
      <c r="L759" s="170">
        <v>43117</v>
      </c>
      <c r="M759" s="116">
        <v>702.32500000000005</v>
      </c>
      <c r="N759" s="116">
        <v>709.22500000000002</v>
      </c>
      <c r="O759" s="116">
        <v>694.65</v>
      </c>
      <c r="P759" s="116">
        <v>700.02499999999998</v>
      </c>
      <c r="Q759" s="116">
        <v>1404.65</v>
      </c>
      <c r="R759">
        <v>41655</v>
      </c>
    </row>
    <row r="760" spans="1:18" x14ac:dyDescent="0.25">
      <c r="A760" s="170">
        <v>43118</v>
      </c>
      <c r="B760" s="116">
        <v>722.52499999999998</v>
      </c>
      <c r="C760" s="116">
        <v>712.125</v>
      </c>
      <c r="D760" s="116">
        <v>699.5</v>
      </c>
      <c r="E760" s="116">
        <v>699.5</v>
      </c>
      <c r="F760" s="116">
        <v>1424.25</v>
      </c>
      <c r="G760">
        <v>9112</v>
      </c>
      <c r="H760" s="116"/>
      <c r="I760" s="116"/>
      <c r="L760" s="170">
        <v>43118</v>
      </c>
      <c r="M760" s="116">
        <v>715.45</v>
      </c>
      <c r="N760" s="116">
        <v>724</v>
      </c>
      <c r="O760" s="116">
        <v>699.22500000000002</v>
      </c>
      <c r="P760" s="116">
        <v>699.22500000000002</v>
      </c>
      <c r="Q760" s="116">
        <v>1430.9</v>
      </c>
      <c r="R760">
        <v>165569</v>
      </c>
    </row>
    <row r="761" spans="1:18" x14ac:dyDescent="0.25">
      <c r="A761" s="170">
        <v>43119</v>
      </c>
      <c r="B761" s="116">
        <v>721</v>
      </c>
      <c r="C761" s="116">
        <v>709.67499999999995</v>
      </c>
      <c r="D761" s="116">
        <v>695</v>
      </c>
      <c r="E761" s="116">
        <v>720</v>
      </c>
      <c r="F761" s="116">
        <v>1419.35</v>
      </c>
      <c r="G761">
        <v>5582</v>
      </c>
      <c r="H761" s="116"/>
      <c r="I761" s="116"/>
      <c r="L761" s="170">
        <v>43119</v>
      </c>
      <c r="M761" s="116">
        <v>715.25</v>
      </c>
      <c r="N761" s="116">
        <v>722.47500000000002</v>
      </c>
      <c r="O761" s="116">
        <v>702.65</v>
      </c>
      <c r="P761" s="116">
        <v>720.95</v>
      </c>
      <c r="Q761" s="116">
        <v>1430.5</v>
      </c>
      <c r="R761">
        <v>84651</v>
      </c>
    </row>
    <row r="762" spans="1:18" x14ac:dyDescent="0.25">
      <c r="A762" s="170">
        <v>43122</v>
      </c>
      <c r="B762" s="116">
        <v>736.375</v>
      </c>
      <c r="C762" s="116">
        <v>725.77499999999998</v>
      </c>
      <c r="D762" s="116">
        <v>710</v>
      </c>
      <c r="E762" s="116">
        <v>710</v>
      </c>
      <c r="F762" s="116">
        <v>1451.55</v>
      </c>
      <c r="G762">
        <v>12481</v>
      </c>
      <c r="H762" s="116"/>
      <c r="I762" s="116"/>
      <c r="L762" s="170">
        <v>43122</v>
      </c>
      <c r="M762" s="116">
        <v>725.67499999999995</v>
      </c>
      <c r="N762" s="116">
        <v>737.4</v>
      </c>
      <c r="O762" s="116">
        <v>711.05</v>
      </c>
      <c r="P762" s="116">
        <v>719</v>
      </c>
      <c r="Q762" s="116">
        <v>1451.35</v>
      </c>
      <c r="R762">
        <v>170417</v>
      </c>
    </row>
    <row r="763" spans="1:18" x14ac:dyDescent="0.25">
      <c r="A763" s="170">
        <v>43123</v>
      </c>
      <c r="B763" s="116">
        <v>731.15</v>
      </c>
      <c r="C763" s="116">
        <v>718.97500000000002</v>
      </c>
      <c r="D763" s="116">
        <v>711.92499999999995</v>
      </c>
      <c r="E763" s="116">
        <v>727</v>
      </c>
      <c r="F763" s="116">
        <v>1437.95</v>
      </c>
      <c r="G763">
        <v>10715</v>
      </c>
      <c r="H763" s="116"/>
      <c r="I763" s="116"/>
      <c r="L763" s="170">
        <v>43123</v>
      </c>
      <c r="M763" s="116">
        <v>721.5</v>
      </c>
      <c r="N763" s="116">
        <v>732.5</v>
      </c>
      <c r="O763" s="116">
        <v>717.77499999999998</v>
      </c>
      <c r="P763" s="116">
        <v>728</v>
      </c>
      <c r="Q763" s="116">
        <v>1443</v>
      </c>
      <c r="R763">
        <v>155033</v>
      </c>
    </row>
    <row r="764" spans="1:18" x14ac:dyDescent="0.25">
      <c r="A764" s="170">
        <v>43124</v>
      </c>
      <c r="B764" s="116">
        <v>732.4</v>
      </c>
      <c r="C764" s="116">
        <v>727.05</v>
      </c>
      <c r="D764" s="116">
        <v>719</v>
      </c>
      <c r="E764" s="116">
        <v>719</v>
      </c>
      <c r="F764" s="116">
        <v>1454.1</v>
      </c>
      <c r="G764">
        <v>6235</v>
      </c>
      <c r="H764" s="116"/>
      <c r="I764" s="116"/>
      <c r="L764" s="170">
        <v>43124</v>
      </c>
      <c r="M764" s="116">
        <v>726.35</v>
      </c>
      <c r="N764" s="116">
        <v>733.65</v>
      </c>
      <c r="O764" s="116">
        <v>716.8</v>
      </c>
      <c r="P764" s="116">
        <v>717</v>
      </c>
      <c r="Q764" s="116">
        <v>1452.7</v>
      </c>
      <c r="R764">
        <v>182622</v>
      </c>
    </row>
    <row r="765" spans="1:18" x14ac:dyDescent="0.25">
      <c r="A765" s="170">
        <v>43125</v>
      </c>
      <c r="B765" s="116">
        <v>728.47500000000002</v>
      </c>
      <c r="C765" s="116">
        <v>712.75</v>
      </c>
      <c r="D765" s="116">
        <v>710</v>
      </c>
      <c r="E765" s="116">
        <v>727.25</v>
      </c>
      <c r="F765" s="116">
        <v>1425.5</v>
      </c>
      <c r="G765">
        <v>6024</v>
      </c>
      <c r="H765" s="116"/>
      <c r="I765" s="116"/>
      <c r="L765" s="170">
        <v>43125</v>
      </c>
      <c r="M765" s="116">
        <v>710.7</v>
      </c>
      <c r="N765" s="116">
        <v>730.5</v>
      </c>
      <c r="O765" s="116">
        <v>702.75</v>
      </c>
      <c r="P765" s="116">
        <v>718.5</v>
      </c>
      <c r="Q765" s="116">
        <v>1421.4</v>
      </c>
      <c r="R765">
        <v>248728</v>
      </c>
    </row>
    <row r="766" spans="1:18" x14ac:dyDescent="0.25">
      <c r="A766" s="170">
        <v>43129</v>
      </c>
      <c r="B766" s="116">
        <v>712.07500000000005</v>
      </c>
      <c r="C766" s="116">
        <v>689.47500000000002</v>
      </c>
      <c r="D766" s="116">
        <v>687.5</v>
      </c>
      <c r="E766" s="116">
        <v>712</v>
      </c>
      <c r="F766" s="116">
        <v>1378.95</v>
      </c>
      <c r="G766">
        <v>5871</v>
      </c>
      <c r="H766" s="116"/>
      <c r="I766" s="116"/>
      <c r="L766" s="170">
        <v>43129</v>
      </c>
      <c r="M766" s="116">
        <v>689.17499999999995</v>
      </c>
      <c r="N766" s="116">
        <v>713.67499999999995</v>
      </c>
      <c r="O766" s="116">
        <v>683.55</v>
      </c>
      <c r="P766" s="116">
        <v>710.02499999999998</v>
      </c>
      <c r="Q766" s="116">
        <v>1378.35</v>
      </c>
      <c r="R766">
        <v>311847</v>
      </c>
    </row>
    <row r="767" spans="1:18" x14ac:dyDescent="0.25">
      <c r="A767" s="170">
        <v>43130</v>
      </c>
      <c r="B767" s="116">
        <v>687.07500000000005</v>
      </c>
      <c r="C767" s="116">
        <v>678.55</v>
      </c>
      <c r="D767" s="116">
        <v>674.1</v>
      </c>
      <c r="E767" s="116">
        <v>687.07500000000005</v>
      </c>
      <c r="F767" s="116">
        <v>1357.1</v>
      </c>
      <c r="G767">
        <v>13301</v>
      </c>
      <c r="H767" s="116"/>
      <c r="I767" s="116"/>
      <c r="L767" s="170">
        <v>43130</v>
      </c>
      <c r="M767" s="116">
        <v>678.3</v>
      </c>
      <c r="N767" s="116">
        <v>687</v>
      </c>
      <c r="O767" s="116">
        <v>673.5</v>
      </c>
      <c r="P767" s="116">
        <v>687</v>
      </c>
      <c r="Q767" s="116">
        <v>1356.6</v>
      </c>
      <c r="R767">
        <v>174008</v>
      </c>
    </row>
    <row r="768" spans="1:18" x14ac:dyDescent="0.25">
      <c r="A768" s="170">
        <v>43131</v>
      </c>
      <c r="B768" s="116">
        <v>684.875</v>
      </c>
      <c r="C768" s="116">
        <v>681.47500000000002</v>
      </c>
      <c r="D768" s="116">
        <v>671.75</v>
      </c>
      <c r="E768" s="116">
        <v>676.07500000000005</v>
      </c>
      <c r="F768" s="116">
        <v>1362.95</v>
      </c>
      <c r="G768">
        <v>2793</v>
      </c>
      <c r="H768" s="116"/>
      <c r="I768" s="116"/>
      <c r="L768" s="170">
        <v>43131</v>
      </c>
      <c r="M768" s="116">
        <v>681.2</v>
      </c>
      <c r="N768" s="116">
        <v>684.97500000000002</v>
      </c>
      <c r="O768" s="116">
        <v>670</v>
      </c>
      <c r="P768" s="116">
        <v>679</v>
      </c>
      <c r="Q768" s="116">
        <v>1362.4</v>
      </c>
      <c r="R768">
        <v>115158</v>
      </c>
    </row>
    <row r="769" spans="1:18" x14ac:dyDescent="0.25">
      <c r="A769" s="170">
        <v>43132</v>
      </c>
      <c r="B769" s="116">
        <v>687.97500000000002</v>
      </c>
      <c r="C769" s="116">
        <v>678.2</v>
      </c>
      <c r="D769" s="116">
        <v>672.82500000000005</v>
      </c>
      <c r="E769" s="116">
        <v>682.5</v>
      </c>
      <c r="F769" s="116">
        <v>1356.4</v>
      </c>
      <c r="G769">
        <v>2303</v>
      </c>
      <c r="H769" s="116"/>
      <c r="I769" s="116"/>
      <c r="L769" s="170">
        <v>43132</v>
      </c>
      <c r="M769" s="116">
        <v>677.45</v>
      </c>
      <c r="N769" s="116">
        <v>687.45</v>
      </c>
      <c r="O769" s="116">
        <v>672.5</v>
      </c>
      <c r="P769" s="116">
        <v>684.97500000000002</v>
      </c>
      <c r="Q769" s="116">
        <v>1354.9</v>
      </c>
      <c r="R769">
        <v>288717</v>
      </c>
    </row>
    <row r="770" spans="1:18" x14ac:dyDescent="0.25">
      <c r="A770" s="170">
        <v>43133</v>
      </c>
      <c r="B770" s="116">
        <v>692.5</v>
      </c>
      <c r="C770" s="116">
        <v>678.82500000000005</v>
      </c>
      <c r="D770" s="116">
        <v>665.07500000000005</v>
      </c>
      <c r="E770" s="116">
        <v>675.5</v>
      </c>
      <c r="F770" s="116">
        <v>1357.65</v>
      </c>
      <c r="G770">
        <v>4606</v>
      </c>
      <c r="H770" s="116"/>
      <c r="I770" s="116"/>
      <c r="L770" s="170">
        <v>43133</v>
      </c>
      <c r="M770" s="116">
        <v>679.17499999999995</v>
      </c>
      <c r="N770" s="116">
        <v>692.5</v>
      </c>
      <c r="O770" s="116">
        <v>665</v>
      </c>
      <c r="P770" s="116">
        <v>676.45</v>
      </c>
      <c r="Q770" s="116">
        <v>1358.35</v>
      </c>
      <c r="R770">
        <v>89079</v>
      </c>
    </row>
    <row r="771" spans="1:18" x14ac:dyDescent="0.25">
      <c r="A771" s="170">
        <v>43136</v>
      </c>
      <c r="B771" s="116">
        <v>697.5</v>
      </c>
      <c r="C771" s="116">
        <v>668.57500000000005</v>
      </c>
      <c r="D771" s="116">
        <v>662.5</v>
      </c>
      <c r="E771" s="116">
        <v>664.95</v>
      </c>
      <c r="F771" s="116">
        <v>1337.15</v>
      </c>
      <c r="G771">
        <v>11539</v>
      </c>
      <c r="H771" s="116"/>
      <c r="I771" s="116"/>
      <c r="L771" s="170">
        <v>43136</v>
      </c>
      <c r="M771" s="116">
        <v>671.17499999999995</v>
      </c>
      <c r="N771" s="116">
        <v>699.22500000000002</v>
      </c>
      <c r="O771" s="116">
        <v>660</v>
      </c>
      <c r="P771" s="116">
        <v>660.02499999999998</v>
      </c>
      <c r="Q771" s="116">
        <v>1342.35</v>
      </c>
      <c r="R771">
        <v>164677</v>
      </c>
    </row>
    <row r="772" spans="1:18" x14ac:dyDescent="0.25">
      <c r="A772" s="170">
        <v>43137</v>
      </c>
      <c r="B772" s="116">
        <v>672</v>
      </c>
      <c r="C772" s="116">
        <v>667.45</v>
      </c>
      <c r="D772" s="116">
        <v>635</v>
      </c>
      <c r="E772" s="116">
        <v>655</v>
      </c>
      <c r="F772" s="116">
        <v>1334.9</v>
      </c>
      <c r="G772">
        <v>7794</v>
      </c>
      <c r="H772" s="116"/>
      <c r="I772" s="116"/>
      <c r="L772" s="170">
        <v>43137</v>
      </c>
      <c r="M772" s="116">
        <v>666.875</v>
      </c>
      <c r="N772" s="116">
        <v>670</v>
      </c>
      <c r="O772" s="116">
        <v>635.77499999999998</v>
      </c>
      <c r="P772" s="116">
        <v>645</v>
      </c>
      <c r="Q772" s="116">
        <v>1333.75</v>
      </c>
      <c r="R772">
        <v>99878</v>
      </c>
    </row>
    <row r="773" spans="1:18" x14ac:dyDescent="0.25">
      <c r="A773" s="170">
        <v>43138</v>
      </c>
      <c r="B773" s="116">
        <v>697.5</v>
      </c>
      <c r="C773" s="116">
        <v>685.7</v>
      </c>
      <c r="D773" s="116">
        <v>658.35</v>
      </c>
      <c r="E773" s="116">
        <v>669.3</v>
      </c>
      <c r="F773" s="116">
        <v>1371.4</v>
      </c>
      <c r="G773">
        <v>6063</v>
      </c>
      <c r="H773" s="116"/>
      <c r="I773" s="116"/>
      <c r="L773" s="170">
        <v>43138</v>
      </c>
      <c r="M773" s="116">
        <v>687.875</v>
      </c>
      <c r="N773" s="116">
        <v>697</v>
      </c>
      <c r="O773" s="116">
        <v>658.4</v>
      </c>
      <c r="P773" s="116">
        <v>665.25</v>
      </c>
      <c r="Q773" s="116">
        <v>1375.75</v>
      </c>
      <c r="R773">
        <v>108269</v>
      </c>
    </row>
    <row r="774" spans="1:18" x14ac:dyDescent="0.25">
      <c r="A774" s="170">
        <v>43139</v>
      </c>
      <c r="B774" s="116">
        <v>701.07500000000005</v>
      </c>
      <c r="C774" s="116">
        <v>686.02499999999998</v>
      </c>
      <c r="D774" s="116">
        <v>678.5</v>
      </c>
      <c r="E774" s="116">
        <v>688</v>
      </c>
      <c r="F774" s="116">
        <v>1372.05</v>
      </c>
      <c r="G774">
        <v>10817</v>
      </c>
      <c r="H774" s="116"/>
      <c r="I774" s="116"/>
      <c r="L774" s="170">
        <v>43139</v>
      </c>
      <c r="M774" s="116">
        <v>690.42499999999995</v>
      </c>
      <c r="N774" s="116">
        <v>702.15</v>
      </c>
      <c r="O774" s="116">
        <v>678.02499999999998</v>
      </c>
      <c r="P774" s="116">
        <v>687.875</v>
      </c>
      <c r="Q774" s="116">
        <v>1380.85</v>
      </c>
      <c r="R774">
        <v>156061</v>
      </c>
    </row>
    <row r="775" spans="1:18" x14ac:dyDescent="0.25">
      <c r="A775" s="170">
        <v>43140</v>
      </c>
      <c r="B775" s="116">
        <v>723.55</v>
      </c>
      <c r="C775" s="116">
        <v>715.45</v>
      </c>
      <c r="D775" s="116">
        <v>667.5</v>
      </c>
      <c r="E775" s="116">
        <v>676</v>
      </c>
      <c r="F775" s="116">
        <v>1430.9</v>
      </c>
      <c r="G775">
        <v>15922</v>
      </c>
      <c r="H775" s="116"/>
      <c r="I775" s="116"/>
      <c r="L775" s="170">
        <v>43140</v>
      </c>
      <c r="M775" s="116">
        <v>717.17499999999995</v>
      </c>
      <c r="N775" s="116">
        <v>725</v>
      </c>
      <c r="O775" s="116">
        <v>666.3</v>
      </c>
      <c r="P775" s="116">
        <v>675.5</v>
      </c>
      <c r="Q775" s="116">
        <v>1434.35</v>
      </c>
      <c r="R775">
        <v>228837</v>
      </c>
    </row>
    <row r="776" spans="1:18" x14ac:dyDescent="0.25">
      <c r="A776" s="170">
        <v>43143</v>
      </c>
      <c r="B776" s="116">
        <v>721.3</v>
      </c>
      <c r="C776" s="116">
        <v>711.95</v>
      </c>
      <c r="D776" s="116">
        <v>704.75</v>
      </c>
      <c r="E776" s="116">
        <v>715.55</v>
      </c>
      <c r="F776" s="116">
        <v>1423.9</v>
      </c>
      <c r="G776">
        <v>10908</v>
      </c>
      <c r="H776" s="116"/>
      <c r="I776" s="116"/>
      <c r="L776" s="170">
        <v>43143</v>
      </c>
      <c r="M776" s="116">
        <v>715.4</v>
      </c>
      <c r="N776" s="116">
        <v>721.9</v>
      </c>
      <c r="O776" s="116">
        <v>704.27499999999998</v>
      </c>
      <c r="P776" s="116">
        <v>717.17499999999995</v>
      </c>
      <c r="Q776" s="116">
        <v>1430.8</v>
      </c>
      <c r="R776">
        <v>86563</v>
      </c>
    </row>
    <row r="777" spans="1:18" x14ac:dyDescent="0.25">
      <c r="A777" s="170">
        <v>43145</v>
      </c>
      <c r="B777" s="116">
        <v>722.5</v>
      </c>
      <c r="C777" s="116">
        <v>712.625</v>
      </c>
      <c r="D777" s="116">
        <v>706.45</v>
      </c>
      <c r="E777" s="116">
        <v>715.5</v>
      </c>
      <c r="F777" s="116">
        <v>1425.25</v>
      </c>
      <c r="G777">
        <v>7239</v>
      </c>
      <c r="H777" s="116"/>
      <c r="I777" s="116"/>
      <c r="L777" s="170">
        <v>43145</v>
      </c>
      <c r="M777" s="116">
        <v>714.625</v>
      </c>
      <c r="N777" s="116">
        <v>720.8</v>
      </c>
      <c r="O777" s="116">
        <v>708.22500000000002</v>
      </c>
      <c r="P777" s="116">
        <v>720.5</v>
      </c>
      <c r="Q777" s="116">
        <v>1429.25</v>
      </c>
      <c r="R777">
        <v>128238</v>
      </c>
    </row>
    <row r="778" spans="1:18" x14ac:dyDescent="0.25">
      <c r="A778" s="170">
        <v>43146</v>
      </c>
      <c r="B778" s="116">
        <v>720</v>
      </c>
      <c r="C778" s="116">
        <v>708.75</v>
      </c>
      <c r="D778" s="116">
        <v>706.65</v>
      </c>
      <c r="E778" s="116">
        <v>720</v>
      </c>
      <c r="F778" s="116">
        <v>1417.5</v>
      </c>
      <c r="G778">
        <v>3332</v>
      </c>
      <c r="H778" s="116"/>
      <c r="I778" s="116"/>
      <c r="L778" s="170">
        <v>43146</v>
      </c>
      <c r="M778" s="116">
        <v>710.47500000000002</v>
      </c>
      <c r="N778" s="116">
        <v>717.52499999999998</v>
      </c>
      <c r="O778" s="116">
        <v>706</v>
      </c>
      <c r="P778" s="116">
        <v>716</v>
      </c>
      <c r="Q778" s="116">
        <v>1420.95</v>
      </c>
      <c r="R778">
        <v>68486</v>
      </c>
    </row>
    <row r="779" spans="1:18" x14ac:dyDescent="0.25">
      <c r="A779" s="170">
        <v>43147</v>
      </c>
      <c r="B779" s="116">
        <v>724.67499999999995</v>
      </c>
      <c r="C779" s="116">
        <v>707.65</v>
      </c>
      <c r="D779" s="116">
        <v>701.02499999999998</v>
      </c>
      <c r="E779" s="116">
        <v>718</v>
      </c>
      <c r="F779" s="116">
        <v>1415.3</v>
      </c>
      <c r="G779">
        <v>503340</v>
      </c>
      <c r="H779" s="116"/>
      <c r="I779" s="116"/>
      <c r="L779" s="170">
        <v>43147</v>
      </c>
      <c r="M779" s="116">
        <v>711.57500000000005</v>
      </c>
      <c r="N779" s="116">
        <v>725</v>
      </c>
      <c r="O779" s="116">
        <v>700.5</v>
      </c>
      <c r="P779" s="116">
        <v>706</v>
      </c>
      <c r="Q779" s="116">
        <v>1423.15</v>
      </c>
      <c r="R779">
        <v>368088</v>
      </c>
    </row>
    <row r="780" spans="1:18" x14ac:dyDescent="0.25">
      <c r="A780" s="170">
        <v>43150</v>
      </c>
      <c r="B780" s="116">
        <v>706</v>
      </c>
      <c r="C780" s="116">
        <v>696.6</v>
      </c>
      <c r="D780" s="116">
        <v>690</v>
      </c>
      <c r="E780" s="116">
        <v>704.32500000000005</v>
      </c>
      <c r="F780" s="116">
        <v>1393.2</v>
      </c>
      <c r="G780">
        <v>4373</v>
      </c>
      <c r="H780" s="116"/>
      <c r="I780" s="116"/>
      <c r="L780" s="170">
        <v>43150</v>
      </c>
      <c r="M780" s="116">
        <v>696.6</v>
      </c>
      <c r="N780" s="116">
        <v>709.82500000000005</v>
      </c>
      <c r="O780" s="116">
        <v>688.5</v>
      </c>
      <c r="P780" s="116">
        <v>704.875</v>
      </c>
      <c r="Q780" s="116">
        <v>1393.2</v>
      </c>
      <c r="R780">
        <v>79859</v>
      </c>
    </row>
    <row r="781" spans="1:18" x14ac:dyDescent="0.25">
      <c r="A781" s="170">
        <v>43151</v>
      </c>
      <c r="B781" s="116">
        <v>696.22500000000002</v>
      </c>
      <c r="C781" s="116">
        <v>691.5</v>
      </c>
      <c r="D781" s="116">
        <v>687.5</v>
      </c>
      <c r="E781" s="116">
        <v>695.1</v>
      </c>
      <c r="F781" s="116">
        <v>1383</v>
      </c>
      <c r="G781">
        <v>1892</v>
      </c>
      <c r="H781" s="116"/>
      <c r="I781" s="116"/>
      <c r="L781" s="170">
        <v>43151</v>
      </c>
      <c r="M781" s="116">
        <v>691.97500000000002</v>
      </c>
      <c r="N781" s="116">
        <v>699.97500000000002</v>
      </c>
      <c r="O781" s="116">
        <v>686.52499999999998</v>
      </c>
      <c r="P781" s="116">
        <v>697.5</v>
      </c>
      <c r="Q781" s="116">
        <v>1383.95</v>
      </c>
      <c r="R781">
        <v>63716</v>
      </c>
    </row>
    <row r="782" spans="1:18" x14ac:dyDescent="0.25">
      <c r="A782" s="170">
        <v>43152</v>
      </c>
      <c r="B782" s="116">
        <v>689.35</v>
      </c>
      <c r="C782" s="116">
        <v>678.85</v>
      </c>
      <c r="D782" s="116">
        <v>673.5</v>
      </c>
      <c r="E782" s="116">
        <v>688.42499999999995</v>
      </c>
      <c r="F782" s="116">
        <v>1357.7</v>
      </c>
      <c r="G782">
        <v>3544</v>
      </c>
      <c r="H782" s="116"/>
      <c r="I782" s="116"/>
      <c r="L782" s="170">
        <v>43152</v>
      </c>
      <c r="M782" s="116">
        <v>677</v>
      </c>
      <c r="N782" s="116">
        <v>691.5</v>
      </c>
      <c r="O782" s="116">
        <v>672.32500000000005</v>
      </c>
      <c r="P782" s="116">
        <v>688.5</v>
      </c>
      <c r="Q782" s="116">
        <v>1354</v>
      </c>
      <c r="R782">
        <v>94520</v>
      </c>
    </row>
    <row r="783" spans="1:18" x14ac:dyDescent="0.25">
      <c r="A783" s="170">
        <v>43153</v>
      </c>
      <c r="B783" s="116">
        <v>678.875</v>
      </c>
      <c r="C783" s="116">
        <v>661.35</v>
      </c>
      <c r="D783" s="116">
        <v>655.75</v>
      </c>
      <c r="E783" s="116">
        <v>678.875</v>
      </c>
      <c r="F783" s="116">
        <v>1322.7</v>
      </c>
      <c r="G783">
        <v>7446</v>
      </c>
      <c r="H783" s="116"/>
      <c r="I783" s="116"/>
      <c r="L783" s="170">
        <v>43153</v>
      </c>
      <c r="M783" s="116">
        <v>661.1</v>
      </c>
      <c r="N783" s="116">
        <v>679.97500000000002</v>
      </c>
      <c r="O783" s="116">
        <v>653.20000000000005</v>
      </c>
      <c r="P783" s="116">
        <v>675.05</v>
      </c>
      <c r="Q783" s="116">
        <v>1322.2</v>
      </c>
      <c r="R783">
        <v>197307</v>
      </c>
    </row>
    <row r="784" spans="1:18" x14ac:dyDescent="0.25">
      <c r="A784" s="170">
        <v>43154</v>
      </c>
      <c r="B784" s="116">
        <v>670</v>
      </c>
      <c r="C784" s="116">
        <v>665.7</v>
      </c>
      <c r="D784" s="116">
        <v>661.625</v>
      </c>
      <c r="E784" s="116">
        <v>662.7</v>
      </c>
      <c r="F784" s="116">
        <v>1331.4</v>
      </c>
      <c r="G784">
        <v>7006</v>
      </c>
      <c r="H784" s="116"/>
      <c r="I784" s="116"/>
      <c r="L784" s="170">
        <v>43154</v>
      </c>
      <c r="M784" s="116">
        <v>668.27499999999998</v>
      </c>
      <c r="N784" s="116">
        <v>677.625</v>
      </c>
      <c r="O784" s="116">
        <v>660</v>
      </c>
      <c r="P784" s="116">
        <v>661.5</v>
      </c>
      <c r="Q784" s="116">
        <v>1336.55</v>
      </c>
      <c r="R784">
        <v>103815</v>
      </c>
    </row>
    <row r="785" spans="1:18" x14ac:dyDescent="0.25">
      <c r="A785" s="170">
        <v>43157</v>
      </c>
      <c r="B785" s="116">
        <v>677.5</v>
      </c>
      <c r="C785" s="116">
        <v>672.15</v>
      </c>
      <c r="D785" s="116">
        <v>660</v>
      </c>
      <c r="E785" s="116">
        <v>673.02499999999998</v>
      </c>
      <c r="F785" s="116">
        <v>1344.3</v>
      </c>
      <c r="G785">
        <v>497376</v>
      </c>
      <c r="H785" s="116"/>
      <c r="I785" s="116"/>
      <c r="L785" s="170">
        <v>43157</v>
      </c>
      <c r="M785" s="116">
        <v>672.27499999999998</v>
      </c>
      <c r="N785" s="116">
        <v>678.67499999999995</v>
      </c>
      <c r="O785" s="116">
        <v>658.02499999999998</v>
      </c>
      <c r="P785" s="116">
        <v>672.5</v>
      </c>
      <c r="Q785" s="116">
        <v>1344.55</v>
      </c>
      <c r="R785">
        <v>115540</v>
      </c>
    </row>
    <row r="786" spans="1:18" x14ac:dyDescent="0.25">
      <c r="A786" s="170">
        <v>43158</v>
      </c>
      <c r="B786" s="116">
        <v>691.5</v>
      </c>
      <c r="C786" s="116">
        <v>673.92499999999995</v>
      </c>
      <c r="D786" s="116">
        <v>661.65</v>
      </c>
      <c r="E786" s="116">
        <v>687</v>
      </c>
      <c r="F786" s="116">
        <v>1347.85</v>
      </c>
      <c r="G786">
        <v>14937</v>
      </c>
      <c r="H786" s="116"/>
      <c r="I786" s="116"/>
      <c r="L786" s="170">
        <v>43158</v>
      </c>
      <c r="M786" s="116">
        <v>674.17499999999995</v>
      </c>
      <c r="N786" s="116">
        <v>692</v>
      </c>
      <c r="O786" s="116">
        <v>667.97500000000002</v>
      </c>
      <c r="P786" s="116">
        <v>678.5</v>
      </c>
      <c r="Q786" s="116">
        <v>1348.35</v>
      </c>
      <c r="R786">
        <v>133530</v>
      </c>
    </row>
    <row r="787" spans="1:18" x14ac:dyDescent="0.25">
      <c r="A787" s="170">
        <v>43159</v>
      </c>
      <c r="B787" s="116">
        <v>692.5</v>
      </c>
      <c r="C787" s="116">
        <v>684.625</v>
      </c>
      <c r="D787" s="116">
        <v>665</v>
      </c>
      <c r="E787" s="116">
        <v>671.65</v>
      </c>
      <c r="F787" s="116">
        <v>1369.25</v>
      </c>
      <c r="G787">
        <v>20710</v>
      </c>
      <c r="H787" s="116"/>
      <c r="I787" s="116"/>
      <c r="L787" s="170">
        <v>43159</v>
      </c>
      <c r="M787" s="116">
        <v>684.32500000000005</v>
      </c>
      <c r="N787" s="116">
        <v>693</v>
      </c>
      <c r="O787" s="116">
        <v>664.77499999999998</v>
      </c>
      <c r="P787" s="116">
        <v>674</v>
      </c>
      <c r="Q787" s="116">
        <v>1368.65</v>
      </c>
      <c r="R787">
        <v>424288</v>
      </c>
    </row>
    <row r="788" spans="1:18" x14ac:dyDescent="0.25">
      <c r="A788" s="170">
        <v>43160</v>
      </c>
      <c r="B788" s="116">
        <v>681.47500000000002</v>
      </c>
      <c r="C788" s="116">
        <v>666.47500000000002</v>
      </c>
      <c r="D788" s="116">
        <v>659.2</v>
      </c>
      <c r="E788" s="116">
        <v>679.5</v>
      </c>
      <c r="F788" s="116">
        <v>1332.95</v>
      </c>
      <c r="G788">
        <v>26705</v>
      </c>
      <c r="H788" s="116"/>
      <c r="I788" s="116"/>
      <c r="L788" s="170">
        <v>43160</v>
      </c>
      <c r="M788" s="116">
        <v>669.05</v>
      </c>
      <c r="N788" s="116">
        <v>681.5</v>
      </c>
      <c r="O788" s="116">
        <v>658.55</v>
      </c>
      <c r="P788" s="116">
        <v>680</v>
      </c>
      <c r="Q788" s="116">
        <v>1338.1</v>
      </c>
      <c r="R788">
        <v>442347</v>
      </c>
    </row>
    <row r="789" spans="1:18" x14ac:dyDescent="0.25">
      <c r="A789" s="170">
        <v>43164</v>
      </c>
      <c r="B789" s="116">
        <v>686.1</v>
      </c>
      <c r="C789" s="116">
        <v>681.9</v>
      </c>
      <c r="D789" s="116">
        <v>655.85</v>
      </c>
      <c r="E789" s="116">
        <v>667.5</v>
      </c>
      <c r="F789" s="116">
        <v>1363.8</v>
      </c>
      <c r="G789">
        <v>11556</v>
      </c>
      <c r="H789" s="116"/>
      <c r="I789" s="116"/>
      <c r="L789" s="170">
        <v>43164</v>
      </c>
      <c r="M789" s="116">
        <v>683.3</v>
      </c>
      <c r="N789" s="116">
        <v>687.97500000000002</v>
      </c>
      <c r="O789" s="116">
        <v>655.22500000000002</v>
      </c>
      <c r="P789" s="116">
        <v>669</v>
      </c>
      <c r="Q789" s="116">
        <v>1366.6</v>
      </c>
      <c r="R789">
        <v>469594</v>
      </c>
    </row>
    <row r="790" spans="1:18" x14ac:dyDescent="0.25">
      <c r="A790" s="170">
        <v>43165</v>
      </c>
      <c r="B790" s="116">
        <v>687.05</v>
      </c>
      <c r="C790" s="116">
        <v>674.72500000000002</v>
      </c>
      <c r="D790" s="116">
        <v>666.2</v>
      </c>
      <c r="E790" s="116">
        <v>687.05</v>
      </c>
      <c r="F790" s="116">
        <v>1349.45</v>
      </c>
      <c r="G790">
        <v>5406</v>
      </c>
      <c r="H790" s="116"/>
      <c r="I790" s="116"/>
      <c r="L790" s="170">
        <v>43165</v>
      </c>
      <c r="M790" s="116">
        <v>672.97500000000002</v>
      </c>
      <c r="N790" s="116">
        <v>687.5</v>
      </c>
      <c r="O790" s="116">
        <v>669.6</v>
      </c>
      <c r="P790" s="116">
        <v>685</v>
      </c>
      <c r="Q790" s="116">
        <v>1345.95</v>
      </c>
      <c r="R790">
        <v>541245</v>
      </c>
    </row>
    <row r="791" spans="1:18" x14ac:dyDescent="0.25">
      <c r="A791" s="170">
        <v>43166</v>
      </c>
      <c r="B791" s="116">
        <v>676</v>
      </c>
      <c r="C791" s="116">
        <v>662.95</v>
      </c>
      <c r="D791" s="116">
        <v>651.5</v>
      </c>
      <c r="E791" s="116">
        <v>675</v>
      </c>
      <c r="F791" s="116">
        <v>1325.9</v>
      </c>
      <c r="G791">
        <v>19468</v>
      </c>
      <c r="H791" s="116"/>
      <c r="I791" s="116"/>
      <c r="L791" s="170">
        <v>43166</v>
      </c>
      <c r="M791" s="116">
        <v>664.7</v>
      </c>
      <c r="N791" s="116">
        <v>675.95</v>
      </c>
      <c r="O791" s="116">
        <v>650.67499999999995</v>
      </c>
      <c r="P791" s="116">
        <v>673.55</v>
      </c>
      <c r="Q791" s="116">
        <v>1329.4</v>
      </c>
      <c r="R791">
        <v>383547</v>
      </c>
    </row>
    <row r="792" spans="1:18" x14ac:dyDescent="0.25">
      <c r="A792" s="170">
        <v>43167</v>
      </c>
      <c r="B792" s="116">
        <v>670</v>
      </c>
      <c r="C792" s="116">
        <v>658.125</v>
      </c>
      <c r="D792" s="116">
        <v>655</v>
      </c>
      <c r="E792" s="116">
        <v>670</v>
      </c>
      <c r="F792" s="116">
        <v>1316.25</v>
      </c>
      <c r="G792">
        <v>6485</v>
      </c>
      <c r="H792" s="116"/>
      <c r="I792" s="116"/>
      <c r="L792" s="170">
        <v>43167</v>
      </c>
      <c r="M792" s="116">
        <v>658.9</v>
      </c>
      <c r="N792" s="116">
        <v>672.97500000000002</v>
      </c>
      <c r="O792" s="116">
        <v>655</v>
      </c>
      <c r="P792" s="116">
        <v>669</v>
      </c>
      <c r="Q792" s="116">
        <v>1317.8</v>
      </c>
      <c r="R792">
        <v>289502</v>
      </c>
    </row>
    <row r="793" spans="1:18" x14ac:dyDescent="0.25">
      <c r="A793" s="170">
        <v>43168</v>
      </c>
      <c r="B793" s="116">
        <v>665.5</v>
      </c>
      <c r="C793" s="116">
        <v>664.22500000000002</v>
      </c>
      <c r="D793" s="116">
        <v>655.45</v>
      </c>
      <c r="E793" s="116">
        <v>662.75</v>
      </c>
      <c r="F793" s="116">
        <v>1328.45</v>
      </c>
      <c r="G793">
        <v>3999</v>
      </c>
      <c r="H793" s="116"/>
      <c r="I793" s="116"/>
      <c r="L793" s="170">
        <v>43168</v>
      </c>
      <c r="M793" s="116">
        <v>664.9</v>
      </c>
      <c r="N793" s="116">
        <v>666.5</v>
      </c>
      <c r="O793" s="116">
        <v>655.02499999999998</v>
      </c>
      <c r="P793" s="116">
        <v>662</v>
      </c>
      <c r="Q793" s="116">
        <v>1329.8</v>
      </c>
      <c r="R793">
        <v>372963</v>
      </c>
    </row>
    <row r="794" spans="1:18" x14ac:dyDescent="0.25">
      <c r="A794" s="170">
        <v>43171</v>
      </c>
      <c r="B794" s="116">
        <v>673.47500000000002</v>
      </c>
      <c r="C794" s="116">
        <v>655.29999999999995</v>
      </c>
      <c r="D794" s="116">
        <v>642</v>
      </c>
      <c r="E794" s="116">
        <v>668.6</v>
      </c>
      <c r="F794" s="116">
        <v>1310.5999999999999</v>
      </c>
      <c r="G794">
        <v>8892</v>
      </c>
      <c r="H794" s="116"/>
      <c r="I794" s="116"/>
      <c r="L794" s="170">
        <v>43171</v>
      </c>
      <c r="M794" s="116">
        <v>655.92499999999995</v>
      </c>
      <c r="N794" s="116">
        <v>674</v>
      </c>
      <c r="O794" s="116">
        <v>640.5</v>
      </c>
      <c r="P794" s="116">
        <v>667.5</v>
      </c>
      <c r="Q794" s="116">
        <v>1311.85</v>
      </c>
      <c r="R794">
        <v>487366</v>
      </c>
    </row>
    <row r="795" spans="1:18" x14ac:dyDescent="0.25">
      <c r="A795" s="170">
        <v>43172</v>
      </c>
      <c r="B795" s="116">
        <v>660.5</v>
      </c>
      <c r="C795" s="116">
        <v>652.82500000000005</v>
      </c>
      <c r="D795" s="116">
        <v>648.25</v>
      </c>
      <c r="E795" s="116">
        <v>653.97500000000002</v>
      </c>
      <c r="F795" s="116">
        <v>1305.6500000000001</v>
      </c>
      <c r="G795">
        <v>4170</v>
      </c>
      <c r="H795" s="116"/>
      <c r="I795" s="116"/>
      <c r="L795" s="170">
        <v>43172</v>
      </c>
      <c r="M795" s="116">
        <v>652.75</v>
      </c>
      <c r="N795" s="116">
        <v>660.67499999999995</v>
      </c>
      <c r="O795" s="116">
        <v>648.02499999999998</v>
      </c>
      <c r="P795" s="116">
        <v>655</v>
      </c>
      <c r="Q795" s="116">
        <v>1305.5</v>
      </c>
      <c r="R795">
        <v>110900</v>
      </c>
    </row>
    <row r="796" spans="1:18" x14ac:dyDescent="0.25">
      <c r="A796" s="170">
        <v>43173</v>
      </c>
      <c r="B796" s="116">
        <v>654.5</v>
      </c>
      <c r="C796" s="116">
        <v>649.04999999999995</v>
      </c>
      <c r="D796" s="116">
        <v>646.29999999999995</v>
      </c>
      <c r="E796" s="116">
        <v>650.20000000000005</v>
      </c>
      <c r="F796" s="116">
        <v>1298.0999999999999</v>
      </c>
      <c r="G796">
        <v>3583</v>
      </c>
      <c r="H796" s="116"/>
      <c r="I796" s="116"/>
      <c r="L796" s="170">
        <v>43173</v>
      </c>
      <c r="M796" s="116">
        <v>648.27499999999998</v>
      </c>
      <c r="N796" s="116">
        <v>658.22500000000002</v>
      </c>
      <c r="O796" s="116">
        <v>645</v>
      </c>
      <c r="P796" s="116">
        <v>649.5</v>
      </c>
      <c r="Q796" s="116">
        <v>1296.55</v>
      </c>
      <c r="R796">
        <v>129669</v>
      </c>
    </row>
    <row r="797" spans="1:18" x14ac:dyDescent="0.25">
      <c r="A797" s="170">
        <v>43174</v>
      </c>
      <c r="B797" s="116">
        <v>647.1</v>
      </c>
      <c r="C797" s="116">
        <v>640.07500000000005</v>
      </c>
      <c r="D797" s="116">
        <v>637.47500000000002</v>
      </c>
      <c r="E797" s="116">
        <v>645.5</v>
      </c>
      <c r="F797" s="116">
        <v>1280.1500000000001</v>
      </c>
      <c r="G797">
        <v>7790</v>
      </c>
      <c r="H797" s="116"/>
      <c r="I797" s="116"/>
      <c r="L797" s="170">
        <v>43174</v>
      </c>
      <c r="M797" s="116">
        <v>639.9</v>
      </c>
      <c r="N797" s="116">
        <v>648.9</v>
      </c>
      <c r="O797" s="116">
        <v>635.32500000000005</v>
      </c>
      <c r="P797" s="116">
        <v>645.5</v>
      </c>
      <c r="Q797" s="116">
        <v>1279.8</v>
      </c>
      <c r="R797">
        <v>188495</v>
      </c>
    </row>
    <row r="798" spans="1:18" x14ac:dyDescent="0.25">
      <c r="A798" s="170">
        <v>43175</v>
      </c>
      <c r="B798" s="116">
        <v>645.15</v>
      </c>
      <c r="C798" s="116">
        <v>635.29999999999995</v>
      </c>
      <c r="D798" s="116">
        <v>630</v>
      </c>
      <c r="E798" s="116">
        <v>639.5</v>
      </c>
      <c r="F798" s="116">
        <v>1270.5999999999999</v>
      </c>
      <c r="G798">
        <v>4827</v>
      </c>
      <c r="H798" s="116"/>
      <c r="I798" s="116"/>
      <c r="L798" s="170">
        <v>43175</v>
      </c>
      <c r="M798" s="116">
        <v>634.22500000000002</v>
      </c>
      <c r="N798" s="116">
        <v>645</v>
      </c>
      <c r="O798" s="116">
        <v>629.67499999999995</v>
      </c>
      <c r="P798" s="116">
        <v>644.5</v>
      </c>
      <c r="Q798" s="116">
        <v>1268.45</v>
      </c>
      <c r="R798">
        <v>187781</v>
      </c>
    </row>
    <row r="799" spans="1:18" x14ac:dyDescent="0.25">
      <c r="A799" s="170">
        <v>43178</v>
      </c>
      <c r="B799" s="116">
        <v>639.375</v>
      </c>
      <c r="C799" s="116">
        <v>628.85</v>
      </c>
      <c r="D799" s="116">
        <v>622.5</v>
      </c>
      <c r="E799" s="116">
        <v>634.5</v>
      </c>
      <c r="F799" s="116">
        <v>1257.7</v>
      </c>
      <c r="G799">
        <v>8454</v>
      </c>
      <c r="H799" s="116"/>
      <c r="I799" s="116"/>
      <c r="L799" s="170">
        <v>43178</v>
      </c>
      <c r="M799" s="116">
        <v>630.82500000000005</v>
      </c>
      <c r="N799" s="116">
        <v>640.07500000000005</v>
      </c>
      <c r="O799" s="116">
        <v>622.17499999999995</v>
      </c>
      <c r="P799" s="116">
        <v>632.5</v>
      </c>
      <c r="Q799" s="116">
        <v>1261.6500000000001</v>
      </c>
      <c r="R799">
        <v>115788</v>
      </c>
    </row>
    <row r="800" spans="1:18" x14ac:dyDescent="0.25">
      <c r="A800" s="170">
        <v>43179</v>
      </c>
      <c r="B800" s="116">
        <v>631.5</v>
      </c>
      <c r="C800" s="116">
        <v>628.22500000000002</v>
      </c>
      <c r="D800" s="116">
        <v>625.02499999999998</v>
      </c>
      <c r="E800" s="116">
        <v>629.25</v>
      </c>
      <c r="F800" s="116">
        <v>1256.45</v>
      </c>
      <c r="G800">
        <v>6230</v>
      </c>
      <c r="H800" s="116"/>
      <c r="I800" s="116"/>
      <c r="L800" s="170">
        <v>43179</v>
      </c>
      <c r="M800" s="116">
        <v>627.4</v>
      </c>
      <c r="N800" s="116">
        <v>632.5</v>
      </c>
      <c r="O800" s="116">
        <v>624.4</v>
      </c>
      <c r="P800" s="116">
        <v>628</v>
      </c>
      <c r="Q800" s="116">
        <v>1254.8</v>
      </c>
      <c r="R800">
        <v>101598</v>
      </c>
    </row>
    <row r="801" spans="1:18" x14ac:dyDescent="0.25">
      <c r="A801" s="170">
        <v>43180</v>
      </c>
      <c r="B801" s="116">
        <v>629.4</v>
      </c>
      <c r="C801" s="116">
        <v>619.42499999999995</v>
      </c>
      <c r="D801" s="116">
        <v>616.17499999999995</v>
      </c>
      <c r="E801" s="116">
        <v>628.4</v>
      </c>
      <c r="F801" s="116">
        <v>1238.8499999999999</v>
      </c>
      <c r="G801">
        <v>4191</v>
      </c>
      <c r="H801" s="116"/>
      <c r="I801" s="116"/>
      <c r="L801" s="170">
        <v>43180</v>
      </c>
      <c r="M801" s="116">
        <v>619.35</v>
      </c>
      <c r="N801" s="116">
        <v>634</v>
      </c>
      <c r="O801" s="116">
        <v>617.375</v>
      </c>
      <c r="P801" s="116">
        <v>633.77499999999998</v>
      </c>
      <c r="Q801" s="116">
        <v>1238.7</v>
      </c>
      <c r="R801">
        <v>208408</v>
      </c>
    </row>
    <row r="802" spans="1:18" x14ac:dyDescent="0.25">
      <c r="A802" s="170">
        <v>43181</v>
      </c>
      <c r="B802" s="116">
        <v>627.67499999999995</v>
      </c>
      <c r="C802" s="116">
        <v>623.77499999999998</v>
      </c>
      <c r="D802" s="116">
        <v>611.875</v>
      </c>
      <c r="E802" s="116">
        <v>619.6</v>
      </c>
      <c r="F802" s="116">
        <v>1247.55</v>
      </c>
      <c r="G802">
        <v>3772</v>
      </c>
      <c r="H802" s="116"/>
      <c r="I802" s="116"/>
      <c r="L802" s="170">
        <v>43181</v>
      </c>
      <c r="M802" s="116">
        <v>623.9</v>
      </c>
      <c r="N802" s="116">
        <v>627.5</v>
      </c>
      <c r="O802" s="116">
        <v>610.6</v>
      </c>
      <c r="P802" s="116">
        <v>620.6</v>
      </c>
      <c r="Q802" s="116">
        <v>1247.8</v>
      </c>
      <c r="R802">
        <v>302298</v>
      </c>
    </row>
    <row r="803" spans="1:18" x14ac:dyDescent="0.25">
      <c r="A803" s="170">
        <v>43182</v>
      </c>
      <c r="B803" s="116">
        <v>628.5</v>
      </c>
      <c r="C803" s="116">
        <v>625.45000000000005</v>
      </c>
      <c r="D803" s="116">
        <v>612.25</v>
      </c>
      <c r="E803" s="116">
        <v>620.04999999999995</v>
      </c>
      <c r="F803" s="116">
        <v>1250.9000000000001</v>
      </c>
      <c r="G803">
        <v>6712</v>
      </c>
      <c r="H803" s="116"/>
      <c r="I803" s="116"/>
      <c r="L803" s="170">
        <v>43182</v>
      </c>
      <c r="M803" s="116">
        <v>625.4</v>
      </c>
      <c r="N803" s="116">
        <v>628.95000000000005</v>
      </c>
      <c r="O803" s="116">
        <v>611.9</v>
      </c>
      <c r="P803" s="116">
        <v>623.5</v>
      </c>
      <c r="Q803" s="116">
        <v>1250.8</v>
      </c>
      <c r="R803">
        <v>406035</v>
      </c>
    </row>
    <row r="804" spans="1:18" x14ac:dyDescent="0.25">
      <c r="A804" s="170">
        <v>43185</v>
      </c>
      <c r="B804" s="116">
        <v>630.70000000000005</v>
      </c>
      <c r="C804" s="116">
        <v>628.625</v>
      </c>
      <c r="D804" s="116">
        <v>624.97500000000002</v>
      </c>
      <c r="E804" s="116">
        <v>625.20000000000005</v>
      </c>
      <c r="F804" s="116">
        <v>1257.25</v>
      </c>
      <c r="G804">
        <v>2723</v>
      </c>
      <c r="H804" s="116"/>
      <c r="I804" s="116"/>
      <c r="L804" s="170">
        <v>43185</v>
      </c>
      <c r="M804" s="116">
        <v>627.04999999999995</v>
      </c>
      <c r="N804" s="116">
        <v>632.25</v>
      </c>
      <c r="O804" s="116">
        <v>621.5</v>
      </c>
      <c r="P804" s="116">
        <v>621.5</v>
      </c>
      <c r="Q804" s="116">
        <v>1254.0999999999999</v>
      </c>
      <c r="R804">
        <v>79438</v>
      </c>
    </row>
    <row r="805" spans="1:18" x14ac:dyDescent="0.25">
      <c r="A805" s="170">
        <v>43186</v>
      </c>
      <c r="B805" s="116">
        <v>636.5</v>
      </c>
      <c r="C805" s="116">
        <v>630.04999999999995</v>
      </c>
      <c r="D805" s="116">
        <v>619</v>
      </c>
      <c r="E805" s="116">
        <v>627.82500000000005</v>
      </c>
      <c r="F805" s="116">
        <v>1260.0999999999999</v>
      </c>
      <c r="G805">
        <v>5104</v>
      </c>
      <c r="H805" s="116"/>
      <c r="I805" s="116"/>
      <c r="L805" s="170">
        <v>43186</v>
      </c>
      <c r="M805" s="116">
        <v>629.85</v>
      </c>
      <c r="N805" s="116">
        <v>638.54999999999995</v>
      </c>
      <c r="O805" s="116">
        <v>627.47500000000002</v>
      </c>
      <c r="P805" s="116">
        <v>630</v>
      </c>
      <c r="Q805" s="116">
        <v>1259.7</v>
      </c>
      <c r="R805">
        <v>124724</v>
      </c>
    </row>
    <row r="806" spans="1:18" x14ac:dyDescent="0.25">
      <c r="A806" s="170">
        <v>43187</v>
      </c>
      <c r="B806" s="116">
        <v>632.6</v>
      </c>
      <c r="C806" s="116">
        <v>623.95000000000005</v>
      </c>
      <c r="D806" s="116">
        <v>618.1</v>
      </c>
      <c r="E806" s="116">
        <v>624.04999999999995</v>
      </c>
      <c r="F806" s="116">
        <v>1247.9000000000001</v>
      </c>
      <c r="G806">
        <v>2428</v>
      </c>
      <c r="H806" s="116"/>
      <c r="I806" s="116"/>
      <c r="L806" s="170">
        <v>43187</v>
      </c>
      <c r="M806" s="116">
        <v>624.875</v>
      </c>
      <c r="N806" s="116">
        <v>634.72500000000002</v>
      </c>
      <c r="O806" s="116">
        <v>617.5</v>
      </c>
      <c r="P806" s="116">
        <v>622.02499999999998</v>
      </c>
      <c r="Q806" s="116">
        <v>1249.75</v>
      </c>
      <c r="R806">
        <v>227397</v>
      </c>
    </row>
    <row r="807" spans="1:18" x14ac:dyDescent="0.25">
      <c r="A807" s="170">
        <v>43192</v>
      </c>
      <c r="B807" s="116">
        <v>636</v>
      </c>
      <c r="C807" s="116">
        <v>631.57500000000005</v>
      </c>
      <c r="D807" s="116">
        <v>622.5</v>
      </c>
      <c r="E807" s="116">
        <v>626.20000000000005</v>
      </c>
      <c r="F807" s="116">
        <v>1263.1500000000001</v>
      </c>
      <c r="G807">
        <v>1823</v>
      </c>
      <c r="H807" s="116"/>
      <c r="I807" s="116"/>
      <c r="L807" s="170">
        <v>43192</v>
      </c>
      <c r="M807" s="116">
        <v>633.17499999999995</v>
      </c>
      <c r="N807" s="116">
        <v>637.35</v>
      </c>
      <c r="O807" s="116">
        <v>621.79999999999995</v>
      </c>
      <c r="P807" s="116">
        <v>624.9</v>
      </c>
      <c r="Q807" s="116">
        <v>1266.3499999999999</v>
      </c>
      <c r="R807">
        <v>32540</v>
      </c>
    </row>
    <row r="808" spans="1:18" x14ac:dyDescent="0.25">
      <c r="A808" s="170">
        <v>43193</v>
      </c>
      <c r="B808" s="116">
        <v>645.57500000000005</v>
      </c>
      <c r="C808" s="116">
        <v>643.77499999999998</v>
      </c>
      <c r="D808" s="116">
        <v>634.35</v>
      </c>
      <c r="E808" s="116">
        <v>634.35</v>
      </c>
      <c r="F808" s="116">
        <v>1287.55</v>
      </c>
      <c r="G808">
        <v>2502</v>
      </c>
      <c r="H808" s="116"/>
      <c r="I808" s="116"/>
      <c r="L808" s="170">
        <v>43193</v>
      </c>
      <c r="M808" s="116">
        <v>645.20000000000005</v>
      </c>
      <c r="N808" s="116">
        <v>647.5</v>
      </c>
      <c r="O808" s="116">
        <v>629</v>
      </c>
      <c r="P808" s="116">
        <v>629</v>
      </c>
      <c r="Q808" s="116">
        <v>1290.4000000000001</v>
      </c>
      <c r="R808">
        <v>71862</v>
      </c>
    </row>
    <row r="809" spans="1:18" x14ac:dyDescent="0.25">
      <c r="A809" s="170">
        <v>43194</v>
      </c>
      <c r="B809" s="116">
        <v>652.42499999999995</v>
      </c>
      <c r="C809" s="116">
        <v>641.65</v>
      </c>
      <c r="D809" s="116">
        <v>633.35</v>
      </c>
      <c r="E809" s="116">
        <v>649.5</v>
      </c>
      <c r="F809" s="116">
        <v>1283.3</v>
      </c>
      <c r="G809">
        <v>3207</v>
      </c>
      <c r="H809" s="116"/>
      <c r="I809" s="116"/>
      <c r="L809" s="170">
        <v>43194</v>
      </c>
      <c r="M809" s="116">
        <v>641.82500000000005</v>
      </c>
      <c r="N809" s="116">
        <v>653.72500000000002</v>
      </c>
      <c r="O809" s="116">
        <v>634</v>
      </c>
      <c r="P809" s="116">
        <v>646.45000000000005</v>
      </c>
      <c r="Q809" s="116">
        <v>1283.6500000000001</v>
      </c>
      <c r="R809">
        <v>106054</v>
      </c>
    </row>
    <row r="810" spans="1:18" x14ac:dyDescent="0.25">
      <c r="A810" s="170">
        <v>43195</v>
      </c>
      <c r="B810" s="116">
        <v>664.5</v>
      </c>
      <c r="C810" s="116">
        <v>662.8</v>
      </c>
      <c r="D810" s="116">
        <v>635.5</v>
      </c>
      <c r="E810" s="116">
        <v>635.5</v>
      </c>
      <c r="F810" s="116">
        <v>1325.6</v>
      </c>
      <c r="G810">
        <v>4610</v>
      </c>
      <c r="H810" s="116"/>
      <c r="I810" s="116"/>
      <c r="L810" s="170">
        <v>43195</v>
      </c>
      <c r="M810" s="116">
        <v>663.6</v>
      </c>
      <c r="N810" s="116">
        <v>667</v>
      </c>
      <c r="O810" s="116">
        <v>646.22500000000002</v>
      </c>
      <c r="P810" s="116">
        <v>649.72500000000002</v>
      </c>
      <c r="Q810" s="116">
        <v>1327.2</v>
      </c>
      <c r="R810">
        <v>134037</v>
      </c>
    </row>
    <row r="811" spans="1:18" x14ac:dyDescent="0.25">
      <c r="A811" s="170">
        <v>43196</v>
      </c>
      <c r="B811" s="116">
        <v>671.5</v>
      </c>
      <c r="C811" s="116">
        <v>660.85</v>
      </c>
      <c r="D811" s="116">
        <v>650</v>
      </c>
      <c r="E811" s="116">
        <v>664.17499999999995</v>
      </c>
      <c r="F811" s="116">
        <v>1321.7</v>
      </c>
      <c r="G811">
        <v>3477</v>
      </c>
      <c r="H811" s="116"/>
      <c r="I811" s="116"/>
      <c r="L811" s="170">
        <v>43196</v>
      </c>
      <c r="M811" s="116">
        <v>662.6</v>
      </c>
      <c r="N811" s="116">
        <v>672.25</v>
      </c>
      <c r="O811" s="116">
        <v>649</v>
      </c>
      <c r="P811" s="116">
        <v>655.07500000000005</v>
      </c>
      <c r="Q811" s="116">
        <v>1325.2</v>
      </c>
      <c r="R811">
        <v>186277</v>
      </c>
    </row>
    <row r="812" spans="1:18" x14ac:dyDescent="0.25">
      <c r="A812" s="170">
        <v>43199</v>
      </c>
      <c r="B812" s="116">
        <v>668.32500000000005</v>
      </c>
      <c r="C812" s="116">
        <v>649.6</v>
      </c>
      <c r="D812" s="116">
        <v>647.5</v>
      </c>
      <c r="E812" s="116">
        <v>668.32500000000005</v>
      </c>
      <c r="F812" s="116">
        <v>1299.2</v>
      </c>
      <c r="G812">
        <v>6514</v>
      </c>
      <c r="H812" s="116"/>
      <c r="I812" s="116"/>
      <c r="L812" s="170">
        <v>43199</v>
      </c>
      <c r="M812" s="116">
        <v>650.15</v>
      </c>
      <c r="N812" s="116">
        <v>668.25</v>
      </c>
      <c r="O812" s="116">
        <v>647.5</v>
      </c>
      <c r="P812" s="116">
        <v>664.55</v>
      </c>
      <c r="Q812" s="116">
        <v>1300.3</v>
      </c>
      <c r="R812">
        <v>984265</v>
      </c>
    </row>
    <row r="813" spans="1:18" x14ac:dyDescent="0.25">
      <c r="A813" s="170">
        <v>43200</v>
      </c>
      <c r="B813" s="116">
        <v>668.97500000000002</v>
      </c>
      <c r="C813" s="116">
        <v>652.47500000000002</v>
      </c>
      <c r="D813" s="116">
        <v>649</v>
      </c>
      <c r="E813" s="116">
        <v>654.22500000000002</v>
      </c>
      <c r="F813" s="116">
        <v>1304.95</v>
      </c>
      <c r="G813">
        <v>102058</v>
      </c>
      <c r="H813" s="116"/>
      <c r="I813" s="116"/>
      <c r="L813" s="170">
        <v>43200</v>
      </c>
      <c r="M813" s="116">
        <v>652.52499999999998</v>
      </c>
      <c r="N813" s="116">
        <v>658.5</v>
      </c>
      <c r="O813" s="116">
        <v>648.22500000000002</v>
      </c>
      <c r="P813" s="116">
        <v>654.875</v>
      </c>
      <c r="Q813" s="116">
        <v>1305.05</v>
      </c>
      <c r="R813">
        <v>237184</v>
      </c>
    </row>
    <row r="814" spans="1:18" x14ac:dyDescent="0.25">
      <c r="A814" s="170">
        <v>43201</v>
      </c>
      <c r="B814" s="116">
        <v>665.2</v>
      </c>
      <c r="C814" s="116">
        <v>662.375</v>
      </c>
      <c r="D814" s="116">
        <v>655.25</v>
      </c>
      <c r="E814" s="116">
        <v>655.25</v>
      </c>
      <c r="F814" s="116">
        <v>1324.75</v>
      </c>
      <c r="G814">
        <v>6044</v>
      </c>
      <c r="H814" s="116"/>
      <c r="I814" s="116"/>
      <c r="L814" s="170">
        <v>43201</v>
      </c>
      <c r="M814" s="116">
        <v>662.9</v>
      </c>
      <c r="N814" s="116">
        <v>665</v>
      </c>
      <c r="O814" s="116">
        <v>652.57500000000005</v>
      </c>
      <c r="P814" s="116">
        <v>652.57500000000005</v>
      </c>
      <c r="Q814" s="116">
        <v>1325.8</v>
      </c>
      <c r="R814">
        <v>237399</v>
      </c>
    </row>
    <row r="815" spans="1:18" x14ac:dyDescent="0.25">
      <c r="A815" s="170">
        <v>43202</v>
      </c>
      <c r="B815" s="116">
        <v>663.97500000000002</v>
      </c>
      <c r="C815" s="116">
        <v>660.3</v>
      </c>
      <c r="D815" s="116">
        <v>657.6</v>
      </c>
      <c r="E815" s="116">
        <v>660</v>
      </c>
      <c r="F815" s="116">
        <v>1320.6</v>
      </c>
      <c r="G815">
        <v>1116</v>
      </c>
      <c r="H815" s="116"/>
      <c r="I815" s="116"/>
      <c r="L815" s="170">
        <v>43202</v>
      </c>
      <c r="M815" s="116">
        <v>660.15</v>
      </c>
      <c r="N815" s="116">
        <v>666.32500000000005</v>
      </c>
      <c r="O815" s="116">
        <v>652.57500000000005</v>
      </c>
      <c r="P815" s="116">
        <v>665.25</v>
      </c>
      <c r="Q815" s="116">
        <v>1320.3</v>
      </c>
      <c r="R815">
        <v>149339</v>
      </c>
    </row>
    <row r="816" spans="1:18" x14ac:dyDescent="0.25">
      <c r="A816" s="170">
        <v>43203</v>
      </c>
      <c r="B816" s="116">
        <v>668.27499999999998</v>
      </c>
      <c r="C816" s="116">
        <v>661.97500000000002</v>
      </c>
      <c r="D816" s="116">
        <v>660</v>
      </c>
      <c r="E816" s="116">
        <v>661.625</v>
      </c>
      <c r="F816" s="116">
        <v>1323.95</v>
      </c>
      <c r="G816">
        <v>2196</v>
      </c>
      <c r="H816" s="116"/>
      <c r="I816" s="116"/>
      <c r="L816" s="170">
        <v>43203</v>
      </c>
      <c r="M816" s="116">
        <v>663.52499999999998</v>
      </c>
      <c r="N816" s="116">
        <v>669.55</v>
      </c>
      <c r="O816" s="116">
        <v>658.5</v>
      </c>
      <c r="P816" s="116">
        <v>664.8</v>
      </c>
      <c r="Q816" s="116">
        <v>1327.05</v>
      </c>
      <c r="R816">
        <v>116634</v>
      </c>
    </row>
    <row r="817" spans="1:18" x14ac:dyDescent="0.25">
      <c r="A817" s="170">
        <v>43206</v>
      </c>
      <c r="B817" s="116">
        <v>677.1</v>
      </c>
      <c r="C817" s="116">
        <v>672.22500000000002</v>
      </c>
      <c r="D817" s="116">
        <v>653</v>
      </c>
      <c r="E817" s="116">
        <v>653</v>
      </c>
      <c r="F817" s="116">
        <v>1344.45</v>
      </c>
      <c r="G817">
        <v>2700</v>
      </c>
      <c r="H817" s="116"/>
      <c r="I817" s="116"/>
      <c r="L817" s="170">
        <v>43206</v>
      </c>
      <c r="M817" s="116">
        <v>673.75</v>
      </c>
      <c r="N817" s="116">
        <v>678.27499999999998</v>
      </c>
      <c r="O817" s="116">
        <v>655</v>
      </c>
      <c r="P817" s="116">
        <v>655</v>
      </c>
      <c r="Q817" s="116">
        <v>1347.5</v>
      </c>
      <c r="R817">
        <v>75549</v>
      </c>
    </row>
    <row r="818" spans="1:18" x14ac:dyDescent="0.25">
      <c r="A818" s="170">
        <v>43207</v>
      </c>
      <c r="B818" s="116">
        <v>678.35</v>
      </c>
      <c r="C818" s="116">
        <v>668.67499999999995</v>
      </c>
      <c r="D818" s="116">
        <v>666.65</v>
      </c>
      <c r="E818" s="116">
        <v>675.32500000000005</v>
      </c>
      <c r="F818" s="116">
        <v>1337.35</v>
      </c>
      <c r="G818">
        <v>2801</v>
      </c>
      <c r="H818" s="116"/>
      <c r="I818" s="116"/>
      <c r="L818" s="170">
        <v>43207</v>
      </c>
      <c r="M818" s="116">
        <v>669.375</v>
      </c>
      <c r="N818" s="116">
        <v>679.25</v>
      </c>
      <c r="O818" s="116">
        <v>666.32500000000005</v>
      </c>
      <c r="P818" s="116">
        <v>676.5</v>
      </c>
      <c r="Q818" s="116">
        <v>1338.75</v>
      </c>
      <c r="R818">
        <v>50559</v>
      </c>
    </row>
    <row r="819" spans="1:18" x14ac:dyDescent="0.25">
      <c r="A819" s="170">
        <v>43208</v>
      </c>
      <c r="B819" s="116">
        <v>680.4</v>
      </c>
      <c r="C819" s="116">
        <v>676.625</v>
      </c>
      <c r="D819" s="116">
        <v>667.72500000000002</v>
      </c>
      <c r="E819" s="116">
        <v>668.85</v>
      </c>
      <c r="F819" s="116">
        <v>1353.25</v>
      </c>
      <c r="G819">
        <v>3699</v>
      </c>
      <c r="H819" s="116"/>
      <c r="I819" s="116"/>
      <c r="L819" s="170">
        <v>43208</v>
      </c>
      <c r="M819" s="116">
        <v>676.77499999999998</v>
      </c>
      <c r="N819" s="116">
        <v>680.77499999999998</v>
      </c>
      <c r="O819" s="116">
        <v>666.02499999999998</v>
      </c>
      <c r="P819" s="116">
        <v>667.02499999999998</v>
      </c>
      <c r="Q819" s="116">
        <v>1353.55</v>
      </c>
      <c r="R819">
        <v>98305</v>
      </c>
    </row>
    <row r="820" spans="1:18" x14ac:dyDescent="0.25">
      <c r="A820" s="170">
        <v>43209</v>
      </c>
      <c r="B820" s="116">
        <v>699</v>
      </c>
      <c r="C820" s="116">
        <v>696.17499999999995</v>
      </c>
      <c r="D820" s="116">
        <v>677.5</v>
      </c>
      <c r="E820" s="116">
        <v>677.5</v>
      </c>
      <c r="F820" s="116">
        <v>1392.35</v>
      </c>
      <c r="G820">
        <v>6621</v>
      </c>
      <c r="H820" s="116"/>
      <c r="I820" s="116"/>
      <c r="L820" s="170">
        <v>43209</v>
      </c>
      <c r="M820" s="116">
        <v>699.07500000000005</v>
      </c>
      <c r="N820" s="116">
        <v>700.375</v>
      </c>
      <c r="O820" s="116">
        <v>673.85</v>
      </c>
      <c r="P820" s="116">
        <v>679.97500000000002</v>
      </c>
      <c r="Q820" s="116">
        <v>1398.15</v>
      </c>
      <c r="R820">
        <v>215973</v>
      </c>
    </row>
    <row r="821" spans="1:18" x14ac:dyDescent="0.25">
      <c r="A821" s="170">
        <v>43210</v>
      </c>
      <c r="B821" s="116">
        <v>708.125</v>
      </c>
      <c r="C821" s="116">
        <v>698.52499999999998</v>
      </c>
      <c r="D821" s="116">
        <v>684.625</v>
      </c>
      <c r="E821" s="116">
        <v>697.35</v>
      </c>
      <c r="F821" s="116">
        <v>1397.05</v>
      </c>
      <c r="G821">
        <v>6771</v>
      </c>
      <c r="H821" s="116"/>
      <c r="I821" s="116"/>
      <c r="L821" s="170">
        <v>43210</v>
      </c>
      <c r="M821" s="116">
        <v>700.125</v>
      </c>
      <c r="N821" s="116">
        <v>709</v>
      </c>
      <c r="O821" s="116">
        <v>684.97500000000002</v>
      </c>
      <c r="P821" s="116">
        <v>690.02499999999998</v>
      </c>
      <c r="Q821" s="116">
        <v>1400.25</v>
      </c>
      <c r="R821">
        <v>391639</v>
      </c>
    </row>
    <row r="822" spans="1:18" x14ac:dyDescent="0.25">
      <c r="A822" s="170">
        <v>43213</v>
      </c>
      <c r="B822" s="116">
        <v>704.82500000000005</v>
      </c>
      <c r="C822" s="116">
        <v>698.45</v>
      </c>
      <c r="D822" s="116">
        <v>695.125</v>
      </c>
      <c r="E822" s="116">
        <v>703.15</v>
      </c>
      <c r="F822" s="116">
        <v>1396.9</v>
      </c>
      <c r="G822">
        <v>94338</v>
      </c>
      <c r="H822" s="116"/>
      <c r="I822" s="116"/>
      <c r="L822" s="170">
        <v>43213</v>
      </c>
      <c r="M822" s="116">
        <v>700.5</v>
      </c>
      <c r="N822" s="116">
        <v>707.22500000000002</v>
      </c>
      <c r="O822" s="116">
        <v>696.42499999999995</v>
      </c>
      <c r="P822" s="116">
        <v>699.8</v>
      </c>
      <c r="Q822" s="116">
        <v>1401</v>
      </c>
      <c r="R822">
        <v>144998</v>
      </c>
    </row>
    <row r="823" spans="1:18" x14ac:dyDescent="0.25">
      <c r="A823" s="170">
        <v>43214</v>
      </c>
      <c r="B823" s="116">
        <v>723.07500000000005</v>
      </c>
      <c r="C823" s="116">
        <v>709.57500000000005</v>
      </c>
      <c r="D823" s="116">
        <v>705.02499999999998</v>
      </c>
      <c r="E823" s="116">
        <v>705.42499999999995</v>
      </c>
      <c r="F823" s="116">
        <v>1419.15</v>
      </c>
      <c r="G823">
        <v>12117</v>
      </c>
      <c r="H823" s="116"/>
      <c r="I823" s="116"/>
      <c r="L823" s="170">
        <v>43214</v>
      </c>
      <c r="M823" s="116">
        <v>709.2</v>
      </c>
      <c r="N823" s="116">
        <v>723.97500000000002</v>
      </c>
      <c r="O823" s="116">
        <v>703.45</v>
      </c>
      <c r="P823" s="116">
        <v>705.02499999999998</v>
      </c>
      <c r="Q823" s="116">
        <v>1418.4</v>
      </c>
      <c r="R823">
        <v>682708</v>
      </c>
    </row>
    <row r="824" spans="1:18" x14ac:dyDescent="0.25">
      <c r="A824" s="170">
        <v>43215</v>
      </c>
      <c r="B824" s="116">
        <v>708.72500000000002</v>
      </c>
      <c r="C824" s="116">
        <v>697.95</v>
      </c>
      <c r="D824" s="116">
        <v>692.47500000000002</v>
      </c>
      <c r="E824" s="116">
        <v>702.1</v>
      </c>
      <c r="F824" s="116">
        <v>1395.9</v>
      </c>
      <c r="G824">
        <v>6671</v>
      </c>
      <c r="H824" s="116"/>
      <c r="I824" s="116"/>
      <c r="L824" s="170">
        <v>43215</v>
      </c>
      <c r="M824" s="116">
        <v>700.625</v>
      </c>
      <c r="N824" s="116">
        <v>709.55</v>
      </c>
      <c r="O824" s="116">
        <v>690.77499999999998</v>
      </c>
      <c r="P824" s="116">
        <v>704.07500000000005</v>
      </c>
      <c r="Q824" s="116">
        <v>1401.25</v>
      </c>
      <c r="R824">
        <v>186767</v>
      </c>
    </row>
    <row r="825" spans="1:18" x14ac:dyDescent="0.25">
      <c r="A825" s="170">
        <v>43216</v>
      </c>
      <c r="B825" s="116">
        <v>705</v>
      </c>
      <c r="C825" s="116">
        <v>696.82500000000005</v>
      </c>
      <c r="D825" s="116">
        <v>692</v>
      </c>
      <c r="E825" s="116">
        <v>700.5</v>
      </c>
      <c r="F825" s="116">
        <v>1393.65</v>
      </c>
      <c r="G825">
        <v>1905</v>
      </c>
      <c r="H825" s="116"/>
      <c r="I825" s="116"/>
      <c r="L825" s="170">
        <v>43216</v>
      </c>
      <c r="M825" s="116">
        <v>697.85</v>
      </c>
      <c r="N825" s="116">
        <v>706.22500000000002</v>
      </c>
      <c r="O825" s="116">
        <v>690.75</v>
      </c>
      <c r="P825" s="116">
        <v>695.5</v>
      </c>
      <c r="Q825" s="116">
        <v>1395.7</v>
      </c>
      <c r="R825">
        <v>173701</v>
      </c>
    </row>
    <row r="826" spans="1:18" x14ac:dyDescent="0.25">
      <c r="A826" s="170">
        <v>43217</v>
      </c>
      <c r="B826" s="116">
        <v>710</v>
      </c>
      <c r="C826" s="116">
        <v>694.02499999999998</v>
      </c>
      <c r="D826" s="116">
        <v>685.35</v>
      </c>
      <c r="E826" s="116">
        <v>702.5</v>
      </c>
      <c r="F826" s="116">
        <v>1388.05</v>
      </c>
      <c r="G826">
        <v>1747</v>
      </c>
      <c r="H826" s="116"/>
      <c r="I826" s="116"/>
      <c r="L826" s="170">
        <v>43217</v>
      </c>
      <c r="M826" s="116">
        <v>692.125</v>
      </c>
      <c r="N826" s="116">
        <v>704.5</v>
      </c>
      <c r="O826" s="116">
        <v>682.9</v>
      </c>
      <c r="P826" s="116">
        <v>703.45</v>
      </c>
      <c r="Q826" s="116">
        <v>1384.25</v>
      </c>
      <c r="R826">
        <v>78863</v>
      </c>
    </row>
    <row r="827" spans="1:18" x14ac:dyDescent="0.25">
      <c r="A827" s="170">
        <v>43220</v>
      </c>
      <c r="B827" s="116">
        <v>710</v>
      </c>
      <c r="C827" s="116">
        <v>707.72500000000002</v>
      </c>
      <c r="D827" s="116">
        <v>690.95</v>
      </c>
      <c r="E827" s="116">
        <v>692.42499999999995</v>
      </c>
      <c r="F827" s="116">
        <v>1415.45</v>
      </c>
      <c r="G827">
        <v>4332</v>
      </c>
      <c r="H827" s="116"/>
      <c r="I827" s="116"/>
      <c r="L827" s="170">
        <v>43220</v>
      </c>
      <c r="M827" s="116">
        <v>709.25</v>
      </c>
      <c r="N827" s="116">
        <v>712.47500000000002</v>
      </c>
      <c r="O827" s="116">
        <v>688.52499999999998</v>
      </c>
      <c r="P827" s="116">
        <v>690</v>
      </c>
      <c r="Q827" s="116">
        <v>1418.5</v>
      </c>
      <c r="R827">
        <v>94759</v>
      </c>
    </row>
    <row r="828" spans="1:18" x14ac:dyDescent="0.25">
      <c r="A828" s="170">
        <v>43222</v>
      </c>
      <c r="B828" s="116">
        <v>713.77499999999998</v>
      </c>
      <c r="C828" s="116">
        <v>689.67499999999995</v>
      </c>
      <c r="D828" s="116">
        <v>685.35</v>
      </c>
      <c r="E828" s="116">
        <v>700</v>
      </c>
      <c r="F828" s="116">
        <v>1379.35</v>
      </c>
      <c r="G828">
        <v>4908</v>
      </c>
      <c r="H828" s="116"/>
      <c r="I828" s="116"/>
      <c r="L828" s="170">
        <v>43222</v>
      </c>
      <c r="M828" s="116">
        <v>689.4</v>
      </c>
      <c r="N828" s="116">
        <v>715</v>
      </c>
      <c r="O828" s="116">
        <v>684.27499999999998</v>
      </c>
      <c r="P828" s="116">
        <v>711.25</v>
      </c>
      <c r="Q828" s="116">
        <v>1378.8</v>
      </c>
      <c r="R828">
        <v>151834</v>
      </c>
    </row>
    <row r="829" spans="1:18" x14ac:dyDescent="0.25">
      <c r="A829" s="170">
        <v>43223</v>
      </c>
      <c r="B829" s="116">
        <v>698.47500000000002</v>
      </c>
      <c r="C829" s="116">
        <v>688.1</v>
      </c>
      <c r="D829" s="116">
        <v>683.75</v>
      </c>
      <c r="E829" s="116">
        <v>690</v>
      </c>
      <c r="F829" s="116">
        <v>1376.2</v>
      </c>
      <c r="G829">
        <v>6641</v>
      </c>
      <c r="H829" s="116"/>
      <c r="I829" s="116"/>
      <c r="L829" s="170">
        <v>43223</v>
      </c>
      <c r="M829" s="116">
        <v>689.75</v>
      </c>
      <c r="N829" s="116">
        <v>700</v>
      </c>
      <c r="O829" s="116">
        <v>682.47500000000002</v>
      </c>
      <c r="P829" s="116">
        <v>688.25</v>
      </c>
      <c r="Q829" s="116">
        <v>1379.5</v>
      </c>
      <c r="R829">
        <v>114042</v>
      </c>
    </row>
    <row r="830" spans="1:18" x14ac:dyDescent="0.25">
      <c r="A830" s="170">
        <v>43224</v>
      </c>
      <c r="B830" s="116">
        <v>703.625</v>
      </c>
      <c r="C830" s="116">
        <v>696.82500000000005</v>
      </c>
      <c r="D830" s="116">
        <v>684.3</v>
      </c>
      <c r="E830" s="116">
        <v>687.85</v>
      </c>
      <c r="F830" s="116">
        <v>1393.65</v>
      </c>
      <c r="G830">
        <v>2962</v>
      </c>
      <c r="H830" s="116"/>
      <c r="I830" s="116"/>
      <c r="L830" s="170">
        <v>43224</v>
      </c>
      <c r="M830" s="116">
        <v>697.27499999999998</v>
      </c>
      <c r="N830" s="116">
        <v>704.7</v>
      </c>
      <c r="O830" s="116">
        <v>682.5</v>
      </c>
      <c r="P830" s="116">
        <v>688.2</v>
      </c>
      <c r="Q830" s="116">
        <v>1394.55</v>
      </c>
      <c r="R830">
        <v>137080</v>
      </c>
    </row>
    <row r="831" spans="1:18" x14ac:dyDescent="0.25">
      <c r="A831" s="170">
        <v>43227</v>
      </c>
      <c r="B831" s="116">
        <v>715</v>
      </c>
      <c r="C831" s="116">
        <v>692.32500000000005</v>
      </c>
      <c r="D831" s="116">
        <v>681.5</v>
      </c>
      <c r="E831" s="116">
        <v>698.67499999999995</v>
      </c>
      <c r="F831" s="116">
        <v>1384.65</v>
      </c>
      <c r="G831">
        <v>7776</v>
      </c>
      <c r="H831" s="116"/>
      <c r="I831" s="116"/>
      <c r="L831" s="170">
        <v>43227</v>
      </c>
      <c r="M831" s="116">
        <v>692.45</v>
      </c>
      <c r="N831" s="116">
        <v>707</v>
      </c>
      <c r="O831" s="116">
        <v>681.5</v>
      </c>
      <c r="P831" s="116">
        <v>697.27499999999998</v>
      </c>
      <c r="Q831" s="116">
        <v>1384.9</v>
      </c>
      <c r="R831">
        <v>165820</v>
      </c>
    </row>
    <row r="832" spans="1:18" x14ac:dyDescent="0.25">
      <c r="A832" s="170">
        <v>43228</v>
      </c>
      <c r="B832" s="116">
        <v>696</v>
      </c>
      <c r="C832" s="116">
        <v>680.02499999999998</v>
      </c>
      <c r="D832" s="116">
        <v>678.5</v>
      </c>
      <c r="E832" s="116">
        <v>687.17499999999995</v>
      </c>
      <c r="F832" s="116">
        <v>1360.05</v>
      </c>
      <c r="G832">
        <v>4559</v>
      </c>
      <c r="H832" s="116"/>
      <c r="I832" s="116"/>
      <c r="L832" s="170">
        <v>43228</v>
      </c>
      <c r="M832" s="116">
        <v>678.72500000000002</v>
      </c>
      <c r="N832" s="116">
        <v>697.27499999999998</v>
      </c>
      <c r="O832" s="116">
        <v>677.22500000000002</v>
      </c>
      <c r="P832" s="116">
        <v>692.47500000000002</v>
      </c>
      <c r="Q832" s="116">
        <v>1357.45</v>
      </c>
      <c r="R832">
        <v>167990</v>
      </c>
    </row>
    <row r="833" spans="1:18" x14ac:dyDescent="0.25">
      <c r="A833" s="170">
        <v>43229</v>
      </c>
      <c r="B833" s="116">
        <v>688</v>
      </c>
      <c r="C833" s="116">
        <v>682.125</v>
      </c>
      <c r="D833" s="116">
        <v>675.15</v>
      </c>
      <c r="E833" s="116">
        <v>680</v>
      </c>
      <c r="F833" s="116">
        <v>1364.25</v>
      </c>
      <c r="G833">
        <v>4162</v>
      </c>
      <c r="H833" s="116"/>
      <c r="I833" s="116"/>
      <c r="L833" s="170">
        <v>43229</v>
      </c>
      <c r="M833" s="116">
        <v>683.02499999999998</v>
      </c>
      <c r="N833" s="116">
        <v>690</v>
      </c>
      <c r="O833" s="116">
        <v>674.77499999999998</v>
      </c>
      <c r="P833" s="116">
        <v>678.875</v>
      </c>
      <c r="Q833" s="116">
        <v>1366.05</v>
      </c>
      <c r="R833">
        <v>133046</v>
      </c>
    </row>
    <row r="834" spans="1:18" x14ac:dyDescent="0.25">
      <c r="A834" s="170">
        <v>43230</v>
      </c>
      <c r="B834" s="116">
        <v>686.22500000000002</v>
      </c>
      <c r="C834" s="116">
        <v>673.1</v>
      </c>
      <c r="D834" s="116">
        <v>667.5</v>
      </c>
      <c r="E834" s="116">
        <v>682.5</v>
      </c>
      <c r="F834" s="116">
        <v>1346.2</v>
      </c>
      <c r="G834">
        <v>2761</v>
      </c>
      <c r="H834" s="116"/>
      <c r="I834" s="116"/>
      <c r="L834" s="170">
        <v>43230</v>
      </c>
      <c r="M834" s="116">
        <v>673.75</v>
      </c>
      <c r="N834" s="116">
        <v>695</v>
      </c>
      <c r="O834" s="116">
        <v>666.45</v>
      </c>
      <c r="P834" s="116">
        <v>695</v>
      </c>
      <c r="Q834" s="116">
        <v>1347.5</v>
      </c>
      <c r="R834">
        <v>114156</v>
      </c>
    </row>
    <row r="835" spans="1:18" x14ac:dyDescent="0.25">
      <c r="A835" s="170">
        <v>43231</v>
      </c>
      <c r="B835" s="116">
        <v>687.95</v>
      </c>
      <c r="C835" s="116">
        <v>680.4</v>
      </c>
      <c r="D835" s="116">
        <v>671.9</v>
      </c>
      <c r="E835" s="116">
        <v>671.9</v>
      </c>
      <c r="F835" s="116">
        <v>1360.8</v>
      </c>
      <c r="G835">
        <v>2444</v>
      </c>
      <c r="H835" s="116"/>
      <c r="I835" s="116"/>
      <c r="L835" s="170">
        <v>43231</v>
      </c>
      <c r="M835" s="116">
        <v>682.52499999999998</v>
      </c>
      <c r="N835" s="116">
        <v>690</v>
      </c>
      <c r="O835" s="116">
        <v>672</v>
      </c>
      <c r="P835" s="116">
        <v>677.5</v>
      </c>
      <c r="Q835" s="116">
        <v>1365.05</v>
      </c>
      <c r="R835">
        <v>159121</v>
      </c>
    </row>
    <row r="836" spans="1:18" x14ac:dyDescent="0.25">
      <c r="A836" s="170">
        <v>43234</v>
      </c>
      <c r="B836" s="116">
        <v>691.3</v>
      </c>
      <c r="C836" s="116">
        <v>681.1</v>
      </c>
      <c r="D836" s="116">
        <v>663</v>
      </c>
      <c r="E836" s="116">
        <v>666.1</v>
      </c>
      <c r="F836" s="116">
        <v>1362.2</v>
      </c>
      <c r="G836">
        <v>6376</v>
      </c>
      <c r="H836" s="116"/>
      <c r="I836" s="116"/>
      <c r="L836" s="170">
        <v>43234</v>
      </c>
      <c r="M836" s="116">
        <v>683.22500000000002</v>
      </c>
      <c r="N836" s="116">
        <v>691.9</v>
      </c>
      <c r="O836" s="116">
        <v>675.5</v>
      </c>
      <c r="P836" s="116">
        <v>679.1</v>
      </c>
      <c r="Q836" s="116">
        <v>1366.45</v>
      </c>
      <c r="R836">
        <v>71437</v>
      </c>
    </row>
    <row r="837" spans="1:18" x14ac:dyDescent="0.25">
      <c r="A837" s="170">
        <v>43235</v>
      </c>
      <c r="B837" s="116">
        <v>689.875</v>
      </c>
      <c r="C837" s="116">
        <v>674.75</v>
      </c>
      <c r="D837" s="116">
        <v>663.67499999999995</v>
      </c>
      <c r="E837" s="116">
        <v>679.75</v>
      </c>
      <c r="F837" s="116">
        <v>1349.5</v>
      </c>
      <c r="G837">
        <v>3317</v>
      </c>
      <c r="H837" s="116"/>
      <c r="I837" s="116"/>
      <c r="L837" s="170">
        <v>43235</v>
      </c>
      <c r="M837" s="116">
        <v>675.05</v>
      </c>
      <c r="N837" s="116">
        <v>691</v>
      </c>
      <c r="O837" s="116">
        <v>663.07500000000005</v>
      </c>
      <c r="P837" s="116">
        <v>685</v>
      </c>
      <c r="Q837" s="116">
        <v>1350.1</v>
      </c>
      <c r="R837">
        <v>117645</v>
      </c>
    </row>
    <row r="838" spans="1:18" x14ac:dyDescent="0.25">
      <c r="A838" s="170">
        <v>43236</v>
      </c>
      <c r="B838" s="116">
        <v>685.5</v>
      </c>
      <c r="C838" s="116">
        <v>678.52499999999998</v>
      </c>
      <c r="D838" s="116">
        <v>664.75</v>
      </c>
      <c r="E838" s="116">
        <v>672.75</v>
      </c>
      <c r="F838" s="116">
        <v>1357.05</v>
      </c>
      <c r="G838">
        <v>1687</v>
      </c>
      <c r="H838" s="116"/>
      <c r="I838" s="116"/>
      <c r="L838" s="170">
        <v>43236</v>
      </c>
      <c r="M838" s="116">
        <v>679.65</v>
      </c>
      <c r="N838" s="116">
        <v>687.5</v>
      </c>
      <c r="O838" s="116">
        <v>663.07500000000005</v>
      </c>
      <c r="P838" s="116">
        <v>675.05</v>
      </c>
      <c r="Q838" s="116">
        <v>1359.3</v>
      </c>
      <c r="R838">
        <v>90374</v>
      </c>
    </row>
    <row r="839" spans="1:18" x14ac:dyDescent="0.25">
      <c r="A839" s="170">
        <v>43237</v>
      </c>
      <c r="B839" s="116">
        <v>688.47500000000002</v>
      </c>
      <c r="C839" s="116">
        <v>683.27499999999998</v>
      </c>
      <c r="D839" s="116">
        <v>676.17499999999995</v>
      </c>
      <c r="E839" s="116">
        <v>681.27499999999998</v>
      </c>
      <c r="F839" s="116">
        <v>1366.55</v>
      </c>
      <c r="G839">
        <v>946</v>
      </c>
      <c r="H839" s="116"/>
      <c r="I839" s="116"/>
      <c r="L839" s="170">
        <v>43237</v>
      </c>
      <c r="M839" s="116">
        <v>684</v>
      </c>
      <c r="N839" s="116">
        <v>689.22500000000002</v>
      </c>
      <c r="O839" s="116">
        <v>675.3</v>
      </c>
      <c r="P839" s="116">
        <v>687.45</v>
      </c>
      <c r="Q839" s="116">
        <v>1368</v>
      </c>
      <c r="R839">
        <v>79948</v>
      </c>
    </row>
    <row r="840" spans="1:18" x14ac:dyDescent="0.25">
      <c r="A840" s="170">
        <v>43238</v>
      </c>
      <c r="B840" s="116">
        <v>681.6</v>
      </c>
      <c r="C840" s="116">
        <v>671.77499999999998</v>
      </c>
      <c r="D840" s="116">
        <v>667.5</v>
      </c>
      <c r="E840" s="116">
        <v>680.42499999999995</v>
      </c>
      <c r="F840" s="116">
        <v>1343.55</v>
      </c>
      <c r="G840">
        <v>2877</v>
      </c>
      <c r="H840" s="116"/>
      <c r="I840" s="116"/>
      <c r="L840" s="170">
        <v>43238</v>
      </c>
      <c r="M840" s="116">
        <v>671.77499999999998</v>
      </c>
      <c r="N840" s="116">
        <v>687.5</v>
      </c>
      <c r="O840" s="116">
        <v>667.125</v>
      </c>
      <c r="P840" s="116">
        <v>687.5</v>
      </c>
      <c r="Q840" s="116">
        <v>1343.55</v>
      </c>
      <c r="R840">
        <v>69574</v>
      </c>
    </row>
    <row r="841" spans="1:18" x14ac:dyDescent="0.25">
      <c r="A841" s="170">
        <v>43241</v>
      </c>
      <c r="B841" s="116">
        <v>675.5</v>
      </c>
      <c r="C841" s="116">
        <v>668.15</v>
      </c>
      <c r="D841" s="116">
        <v>654</v>
      </c>
      <c r="E841" s="116">
        <v>668.35</v>
      </c>
      <c r="F841" s="116">
        <v>1336.3</v>
      </c>
      <c r="G841">
        <v>2313</v>
      </c>
      <c r="H841" s="116"/>
      <c r="I841" s="116"/>
      <c r="L841" s="170">
        <v>43241</v>
      </c>
      <c r="M841" s="116">
        <v>667.52499999999998</v>
      </c>
      <c r="N841" s="116">
        <v>676.57500000000005</v>
      </c>
      <c r="O841" s="116">
        <v>652.79999999999995</v>
      </c>
      <c r="P841" s="116">
        <v>667.52499999999998</v>
      </c>
      <c r="Q841" s="116">
        <v>1335.05</v>
      </c>
      <c r="R841">
        <v>182053</v>
      </c>
    </row>
    <row r="842" spans="1:18" x14ac:dyDescent="0.25">
      <c r="A842" s="170">
        <v>43242</v>
      </c>
      <c r="B842" s="116">
        <v>675.5</v>
      </c>
      <c r="C842" s="116">
        <v>668.67499999999995</v>
      </c>
      <c r="D842" s="116">
        <v>656.5</v>
      </c>
      <c r="E842" s="116">
        <v>661.02499999999998</v>
      </c>
      <c r="F842" s="116">
        <v>1337.35</v>
      </c>
      <c r="G842">
        <v>2505</v>
      </c>
      <c r="H842" s="116"/>
      <c r="I842" s="116"/>
      <c r="L842" s="170">
        <v>43242</v>
      </c>
      <c r="M842" s="116">
        <v>665</v>
      </c>
      <c r="N842" s="116">
        <v>677.25</v>
      </c>
      <c r="O842" s="116">
        <v>656.1</v>
      </c>
      <c r="P842" s="116">
        <v>662.55</v>
      </c>
      <c r="Q842" s="116">
        <v>1330</v>
      </c>
      <c r="R842">
        <v>116869</v>
      </c>
    </row>
    <row r="843" spans="1:18" x14ac:dyDescent="0.25">
      <c r="A843" s="170">
        <v>43243</v>
      </c>
      <c r="B843" s="116">
        <v>668.5</v>
      </c>
      <c r="C843" s="116">
        <v>663.72500000000002</v>
      </c>
      <c r="D843" s="116">
        <v>653.75</v>
      </c>
      <c r="E843" s="116">
        <v>666.25</v>
      </c>
      <c r="F843" s="116">
        <v>1327.45</v>
      </c>
      <c r="G843">
        <v>3192</v>
      </c>
      <c r="H843" s="116"/>
      <c r="I843" s="116"/>
      <c r="L843" s="170">
        <v>43243</v>
      </c>
      <c r="M843" s="116">
        <v>664.07500000000005</v>
      </c>
      <c r="N843" s="116">
        <v>668.72500000000002</v>
      </c>
      <c r="O843" s="116">
        <v>653.02499999999998</v>
      </c>
      <c r="P843" s="116">
        <v>662.42499999999995</v>
      </c>
      <c r="Q843" s="116">
        <v>1328.15</v>
      </c>
      <c r="R843">
        <v>126494</v>
      </c>
    </row>
    <row r="844" spans="1:18" x14ac:dyDescent="0.25">
      <c r="A844" s="170">
        <v>43244</v>
      </c>
      <c r="B844" s="116">
        <v>665.77499999999998</v>
      </c>
      <c r="C844" s="116">
        <v>659.875</v>
      </c>
      <c r="D844" s="116">
        <v>652.5</v>
      </c>
      <c r="E844" s="116">
        <v>662.15</v>
      </c>
      <c r="F844" s="116">
        <v>1319.75</v>
      </c>
      <c r="G844">
        <v>3269</v>
      </c>
      <c r="H844" s="116"/>
      <c r="I844" s="116"/>
      <c r="L844" s="170">
        <v>43244</v>
      </c>
      <c r="M844" s="116">
        <v>660.02499999999998</v>
      </c>
      <c r="N844" s="116">
        <v>666.47500000000002</v>
      </c>
      <c r="O844" s="116">
        <v>651.77499999999998</v>
      </c>
      <c r="P844" s="116">
        <v>663.17499999999995</v>
      </c>
      <c r="Q844" s="116">
        <v>1320.05</v>
      </c>
      <c r="R844">
        <v>233856</v>
      </c>
    </row>
    <row r="845" spans="1:18" x14ac:dyDescent="0.25">
      <c r="A845" s="170">
        <v>43245</v>
      </c>
      <c r="B845" s="116">
        <v>673.55</v>
      </c>
      <c r="C845" s="116">
        <v>659.82500000000005</v>
      </c>
      <c r="D845" s="116">
        <v>641</v>
      </c>
      <c r="E845" s="116">
        <v>653.75</v>
      </c>
      <c r="F845" s="116">
        <v>1319.65</v>
      </c>
      <c r="G845">
        <v>5560</v>
      </c>
      <c r="H845" s="116"/>
      <c r="I845" s="116"/>
      <c r="L845" s="170">
        <v>43245</v>
      </c>
      <c r="M845" s="116">
        <v>659.02499999999998</v>
      </c>
      <c r="N845" s="116">
        <v>675.67499999999995</v>
      </c>
      <c r="O845" s="116">
        <v>653.04999999999995</v>
      </c>
      <c r="P845" s="116">
        <v>660</v>
      </c>
      <c r="Q845" s="116">
        <v>1318.05</v>
      </c>
      <c r="R845">
        <v>139874</v>
      </c>
    </row>
    <row r="846" spans="1:18" x14ac:dyDescent="0.25">
      <c r="A846" s="170">
        <v>43248</v>
      </c>
      <c r="B846" s="116">
        <v>688.3</v>
      </c>
      <c r="C846" s="116">
        <v>685.875</v>
      </c>
      <c r="D846" s="116">
        <v>659.5</v>
      </c>
      <c r="E846" s="116">
        <v>659.5</v>
      </c>
      <c r="F846" s="116">
        <v>1371.75</v>
      </c>
      <c r="G846">
        <v>6712</v>
      </c>
      <c r="H846" s="116"/>
      <c r="I846" s="116"/>
      <c r="L846" s="170">
        <v>43248</v>
      </c>
      <c r="M846" s="116">
        <v>686.35</v>
      </c>
      <c r="N846" s="116">
        <v>690</v>
      </c>
      <c r="O846" s="116">
        <v>655</v>
      </c>
      <c r="P846" s="116">
        <v>662.45</v>
      </c>
      <c r="Q846" s="116">
        <v>1372.7</v>
      </c>
      <c r="R846">
        <v>129424</v>
      </c>
    </row>
    <row r="847" spans="1:18" x14ac:dyDescent="0.25">
      <c r="A847" s="170">
        <v>43249</v>
      </c>
      <c r="B847" s="116">
        <v>687.5</v>
      </c>
      <c r="C847" s="116">
        <v>674.05</v>
      </c>
      <c r="D847" s="116">
        <v>667.17499999999995</v>
      </c>
      <c r="E847" s="116">
        <v>687.5</v>
      </c>
      <c r="F847" s="116">
        <v>1348.1</v>
      </c>
      <c r="G847">
        <v>8492</v>
      </c>
      <c r="H847" s="116"/>
      <c r="I847" s="116"/>
      <c r="L847" s="170">
        <v>43249</v>
      </c>
      <c r="M847" s="116">
        <v>673.25</v>
      </c>
      <c r="N847" s="116">
        <v>688.5</v>
      </c>
      <c r="O847" s="116">
        <v>666.22500000000002</v>
      </c>
      <c r="P847" s="116">
        <v>688.5</v>
      </c>
      <c r="Q847" s="116">
        <v>1346.5</v>
      </c>
      <c r="R847">
        <v>91485</v>
      </c>
    </row>
    <row r="848" spans="1:18" x14ac:dyDescent="0.25">
      <c r="A848" s="170">
        <v>43250</v>
      </c>
      <c r="B848" s="116">
        <v>679.9</v>
      </c>
      <c r="C848" s="116">
        <v>666.97500000000002</v>
      </c>
      <c r="D848" s="116">
        <v>657.5</v>
      </c>
      <c r="E848" s="116">
        <v>672.5</v>
      </c>
      <c r="F848" s="116">
        <v>1333.95</v>
      </c>
      <c r="G848">
        <v>3322</v>
      </c>
      <c r="H848" s="116"/>
      <c r="I848" s="116"/>
      <c r="L848" s="170">
        <v>43250</v>
      </c>
      <c r="M848" s="116">
        <v>669.6</v>
      </c>
      <c r="N848" s="116">
        <v>681.47500000000002</v>
      </c>
      <c r="O848" s="116">
        <v>665.5</v>
      </c>
      <c r="P848" s="116">
        <v>674.5</v>
      </c>
      <c r="Q848" s="116">
        <v>1339.2</v>
      </c>
      <c r="R848">
        <v>153947</v>
      </c>
    </row>
    <row r="849" spans="1:18" x14ac:dyDescent="0.25">
      <c r="A849" s="170">
        <v>43251</v>
      </c>
      <c r="B849" s="116">
        <v>714</v>
      </c>
      <c r="C849" s="116">
        <v>705.125</v>
      </c>
      <c r="D849" s="116">
        <v>666.8</v>
      </c>
      <c r="E849" s="116">
        <v>676.67499999999995</v>
      </c>
      <c r="F849" s="116">
        <v>1410.25</v>
      </c>
      <c r="G849">
        <v>18527</v>
      </c>
      <c r="H849" s="116"/>
      <c r="I849" s="116"/>
      <c r="L849" s="170">
        <v>43251</v>
      </c>
      <c r="M849" s="116">
        <v>705.75</v>
      </c>
      <c r="N849" s="116">
        <v>714.7</v>
      </c>
      <c r="O849" s="116">
        <v>664.8</v>
      </c>
      <c r="P849" s="116">
        <v>670</v>
      </c>
      <c r="Q849" s="116">
        <v>1411.5</v>
      </c>
      <c r="R849">
        <v>594301</v>
      </c>
    </row>
    <row r="850" spans="1:18" x14ac:dyDescent="0.25">
      <c r="A850" s="170">
        <v>43252</v>
      </c>
      <c r="B850" s="116">
        <v>743.07500000000005</v>
      </c>
      <c r="C850" s="116">
        <v>726.875</v>
      </c>
      <c r="D850" s="116">
        <v>702.5</v>
      </c>
      <c r="E850" s="116">
        <v>702.5</v>
      </c>
      <c r="F850" s="116">
        <v>1453.75</v>
      </c>
      <c r="G850">
        <v>21474</v>
      </c>
      <c r="H850" s="116"/>
      <c r="I850" s="116"/>
      <c r="L850" s="170">
        <v>43252</v>
      </c>
      <c r="M850" s="116">
        <v>727.47500000000002</v>
      </c>
      <c r="N850" s="116">
        <v>743.85</v>
      </c>
      <c r="O850" s="116">
        <v>700.75</v>
      </c>
      <c r="P850" s="116">
        <v>700.75</v>
      </c>
      <c r="Q850" s="116">
        <v>1454.95</v>
      </c>
      <c r="R850">
        <v>627994</v>
      </c>
    </row>
    <row r="851" spans="1:18" x14ac:dyDescent="0.25">
      <c r="A851" s="170">
        <v>43255</v>
      </c>
      <c r="B851" s="116">
        <v>727.4</v>
      </c>
      <c r="C851" s="116">
        <v>708.77499999999998</v>
      </c>
      <c r="D851" s="116">
        <v>700.2</v>
      </c>
      <c r="E851" s="116">
        <v>725</v>
      </c>
      <c r="F851" s="116">
        <v>1417.55</v>
      </c>
      <c r="G851">
        <v>3227</v>
      </c>
      <c r="H851" s="116"/>
      <c r="I851" s="116"/>
      <c r="L851" s="170">
        <v>43255</v>
      </c>
      <c r="M851" s="116">
        <v>709.375</v>
      </c>
      <c r="N851" s="116">
        <v>728.8</v>
      </c>
      <c r="O851" s="116">
        <v>707.52499999999998</v>
      </c>
      <c r="P851" s="116">
        <v>727.47500000000002</v>
      </c>
      <c r="Q851" s="116">
        <v>1418.75</v>
      </c>
      <c r="R851">
        <v>297145</v>
      </c>
    </row>
    <row r="852" spans="1:18" x14ac:dyDescent="0.25">
      <c r="A852" s="170">
        <v>43256</v>
      </c>
      <c r="B852" s="116">
        <v>710.97500000000002</v>
      </c>
      <c r="C852" s="116">
        <v>698.625</v>
      </c>
      <c r="D852" s="116">
        <v>685</v>
      </c>
      <c r="E852" s="116">
        <v>709.15</v>
      </c>
      <c r="F852" s="116">
        <v>1397.25</v>
      </c>
      <c r="G852">
        <v>4400</v>
      </c>
      <c r="H852" s="116"/>
      <c r="I852" s="116"/>
      <c r="L852" s="170">
        <v>43256</v>
      </c>
      <c r="M852" s="116">
        <v>699.27499999999998</v>
      </c>
      <c r="N852" s="116">
        <v>712.92499999999995</v>
      </c>
      <c r="O852" s="116">
        <v>685.57500000000005</v>
      </c>
      <c r="P852" s="116">
        <v>709</v>
      </c>
      <c r="Q852" s="116">
        <v>1398.55</v>
      </c>
      <c r="R852">
        <v>189893</v>
      </c>
    </row>
    <row r="853" spans="1:18" x14ac:dyDescent="0.25">
      <c r="A853" s="170">
        <v>43257</v>
      </c>
      <c r="B853" s="116">
        <v>714.77499999999998</v>
      </c>
      <c r="C853" s="116">
        <v>694.07500000000005</v>
      </c>
      <c r="D853" s="116">
        <v>687.5</v>
      </c>
      <c r="E853" s="116">
        <v>687.5</v>
      </c>
      <c r="F853" s="116">
        <v>1388.15</v>
      </c>
      <c r="G853">
        <v>4038</v>
      </c>
      <c r="H853" s="116"/>
      <c r="I853" s="116"/>
      <c r="L853" s="170">
        <v>43257</v>
      </c>
      <c r="M853" s="116">
        <v>696</v>
      </c>
      <c r="N853" s="116">
        <v>716.22500000000002</v>
      </c>
      <c r="O853" s="116">
        <v>687.02499999999998</v>
      </c>
      <c r="P853" s="116">
        <v>695.07500000000005</v>
      </c>
      <c r="Q853" s="116">
        <v>1392</v>
      </c>
      <c r="R853">
        <v>224803</v>
      </c>
    </row>
    <row r="854" spans="1:18" x14ac:dyDescent="0.25">
      <c r="A854" s="170">
        <v>43258</v>
      </c>
      <c r="B854" s="116">
        <v>701.02499999999998</v>
      </c>
      <c r="C854" s="116">
        <v>696.05</v>
      </c>
      <c r="D854" s="116">
        <v>690.8</v>
      </c>
      <c r="E854" s="116">
        <v>695.57500000000005</v>
      </c>
      <c r="F854" s="116">
        <v>1392.1</v>
      </c>
      <c r="G854">
        <v>1727</v>
      </c>
      <c r="H854" s="116"/>
      <c r="I854" s="116"/>
      <c r="L854" s="170">
        <v>43258</v>
      </c>
      <c r="M854" s="116">
        <v>697.6</v>
      </c>
      <c r="N854" s="116">
        <v>702.9</v>
      </c>
      <c r="O854" s="116">
        <v>690.375</v>
      </c>
      <c r="P854" s="116">
        <v>696.6</v>
      </c>
      <c r="Q854" s="116">
        <v>1395.2</v>
      </c>
      <c r="R854">
        <v>137415</v>
      </c>
    </row>
    <row r="855" spans="1:18" x14ac:dyDescent="0.25">
      <c r="A855" s="170">
        <v>43259</v>
      </c>
      <c r="B855" s="116">
        <v>719.5</v>
      </c>
      <c r="C855" s="116">
        <v>705.55</v>
      </c>
      <c r="D855" s="116">
        <v>700</v>
      </c>
      <c r="E855" s="116">
        <v>700</v>
      </c>
      <c r="F855" s="116">
        <v>1411.1</v>
      </c>
      <c r="G855">
        <v>8394</v>
      </c>
      <c r="H855" s="116"/>
      <c r="I855" s="116"/>
      <c r="L855" s="170">
        <v>43259</v>
      </c>
      <c r="M855" s="116">
        <v>706.52499999999998</v>
      </c>
      <c r="N855" s="116">
        <v>721.45</v>
      </c>
      <c r="O855" s="116">
        <v>693</v>
      </c>
      <c r="P855" s="116">
        <v>697.47500000000002</v>
      </c>
      <c r="Q855" s="116">
        <v>1413.05</v>
      </c>
      <c r="R855">
        <v>319975</v>
      </c>
    </row>
    <row r="856" spans="1:18" x14ac:dyDescent="0.25">
      <c r="A856" s="170">
        <v>43262</v>
      </c>
      <c r="B856" s="116">
        <v>712.125</v>
      </c>
      <c r="C856" s="116">
        <v>694.3</v>
      </c>
      <c r="D856" s="116">
        <v>692.125</v>
      </c>
      <c r="E856" s="116">
        <v>712.125</v>
      </c>
      <c r="F856" s="116">
        <v>1388.6</v>
      </c>
      <c r="G856">
        <v>50796</v>
      </c>
      <c r="H856" s="116"/>
      <c r="I856" s="116"/>
      <c r="L856" s="170">
        <v>43262</v>
      </c>
      <c r="M856" s="116">
        <v>694.67499999999995</v>
      </c>
      <c r="N856" s="116">
        <v>712</v>
      </c>
      <c r="O856" s="116">
        <v>690.4</v>
      </c>
      <c r="P856" s="116">
        <v>710</v>
      </c>
      <c r="Q856" s="116">
        <v>1389.35</v>
      </c>
      <c r="R856">
        <v>243523</v>
      </c>
    </row>
    <row r="857" spans="1:18" x14ac:dyDescent="0.25">
      <c r="A857" s="170">
        <v>43263</v>
      </c>
      <c r="B857" s="116">
        <v>706.75</v>
      </c>
      <c r="C857" s="116">
        <v>703.875</v>
      </c>
      <c r="D857" s="116">
        <v>683</v>
      </c>
      <c r="E857" s="116">
        <v>683</v>
      </c>
      <c r="F857" s="116">
        <v>1407.75</v>
      </c>
      <c r="G857">
        <v>5381</v>
      </c>
      <c r="H857" s="116"/>
      <c r="I857" s="116"/>
      <c r="L857" s="170">
        <v>43263</v>
      </c>
      <c r="M857" s="116">
        <v>702.2</v>
      </c>
      <c r="N857" s="116">
        <v>705.625</v>
      </c>
      <c r="O857" s="116">
        <v>689.2</v>
      </c>
      <c r="P857" s="116">
        <v>691.52499999999998</v>
      </c>
      <c r="Q857" s="116">
        <v>1404.4</v>
      </c>
      <c r="R857">
        <v>358442</v>
      </c>
    </row>
    <row r="858" spans="1:18" x14ac:dyDescent="0.25">
      <c r="A858" s="170">
        <v>43264</v>
      </c>
      <c r="B858" s="116">
        <v>728.05</v>
      </c>
      <c r="C858" s="116">
        <v>703.9</v>
      </c>
      <c r="D858" s="116">
        <v>700</v>
      </c>
      <c r="E858" s="116">
        <v>711</v>
      </c>
      <c r="F858" s="116">
        <v>1407.8</v>
      </c>
      <c r="G858">
        <v>48258</v>
      </c>
      <c r="H858" s="116"/>
      <c r="I858" s="116"/>
      <c r="L858" s="170">
        <v>43264</v>
      </c>
      <c r="M858" s="116">
        <v>702</v>
      </c>
      <c r="N858" s="116">
        <v>727.125</v>
      </c>
      <c r="O858" s="116">
        <v>699.2</v>
      </c>
      <c r="P858" s="116">
        <v>710</v>
      </c>
      <c r="Q858" s="116">
        <v>1404</v>
      </c>
      <c r="R858">
        <v>511048</v>
      </c>
    </row>
    <row r="859" spans="1:18" x14ac:dyDescent="0.25">
      <c r="A859" s="170">
        <v>43265</v>
      </c>
      <c r="B859" s="116">
        <v>725.45</v>
      </c>
      <c r="C859" s="116">
        <v>723.7</v>
      </c>
      <c r="D859" s="116">
        <v>699.97500000000002</v>
      </c>
      <c r="E859" s="116">
        <v>714.375</v>
      </c>
      <c r="F859" s="116">
        <v>1447.4</v>
      </c>
      <c r="G859">
        <v>49559</v>
      </c>
      <c r="H859" s="116"/>
      <c r="I859" s="116"/>
      <c r="L859" s="170">
        <v>43265</v>
      </c>
      <c r="M859" s="116">
        <v>724.75</v>
      </c>
      <c r="N859" s="116">
        <v>727.5</v>
      </c>
      <c r="O859" s="116">
        <v>698.5</v>
      </c>
      <c r="P859" s="116">
        <v>707.27499999999998</v>
      </c>
      <c r="Q859" s="116">
        <v>1449.5</v>
      </c>
      <c r="R859">
        <v>271501</v>
      </c>
    </row>
    <row r="860" spans="1:18" x14ac:dyDescent="0.25">
      <c r="A860" s="170">
        <v>43266</v>
      </c>
      <c r="B860" s="116">
        <v>758</v>
      </c>
      <c r="C860" s="116">
        <v>740.15</v>
      </c>
      <c r="D860" s="116">
        <v>724.97500000000002</v>
      </c>
      <c r="E860" s="116">
        <v>728.5</v>
      </c>
      <c r="F860" s="116">
        <v>1480.3</v>
      </c>
      <c r="G860">
        <v>1055234</v>
      </c>
      <c r="H860" s="116"/>
      <c r="I860" s="116"/>
      <c r="L860" s="170">
        <v>43266</v>
      </c>
      <c r="M860" s="116">
        <v>741.02499999999998</v>
      </c>
      <c r="N860" s="116">
        <v>759.2</v>
      </c>
      <c r="O860" s="116">
        <v>724.75</v>
      </c>
      <c r="P860" s="116">
        <v>724.75</v>
      </c>
      <c r="Q860" s="116">
        <v>1482.05</v>
      </c>
      <c r="R860">
        <v>988999</v>
      </c>
    </row>
    <row r="861" spans="1:18" x14ac:dyDescent="0.25">
      <c r="A861" s="170">
        <v>43269</v>
      </c>
      <c r="B861" s="116">
        <v>751.32500000000005</v>
      </c>
      <c r="C861" s="116">
        <v>741.22500000000002</v>
      </c>
      <c r="D861" s="116">
        <v>737.65</v>
      </c>
      <c r="E861" s="116">
        <v>743</v>
      </c>
      <c r="F861" s="116">
        <v>1482.45</v>
      </c>
      <c r="G861">
        <v>17303</v>
      </c>
      <c r="H861" s="116"/>
      <c r="I861" s="116"/>
      <c r="L861" s="170">
        <v>43269</v>
      </c>
      <c r="M861" s="116">
        <v>741.97500000000002</v>
      </c>
      <c r="N861" s="116">
        <v>750.75</v>
      </c>
      <c r="O861" s="116">
        <v>736.72500000000002</v>
      </c>
      <c r="P861" s="116">
        <v>744.5</v>
      </c>
      <c r="Q861" s="116">
        <v>1483.95</v>
      </c>
      <c r="R861">
        <v>350126</v>
      </c>
    </row>
    <row r="862" spans="1:18" x14ac:dyDescent="0.25">
      <c r="A862" s="170">
        <v>43270</v>
      </c>
      <c r="B862" s="116">
        <v>763.47500000000002</v>
      </c>
      <c r="C862" s="116">
        <v>743.75</v>
      </c>
      <c r="D862" s="116">
        <v>738</v>
      </c>
      <c r="E862" s="116">
        <v>743</v>
      </c>
      <c r="F862" s="116">
        <v>1487.5</v>
      </c>
      <c r="G862">
        <v>35412</v>
      </c>
      <c r="H862" s="116"/>
      <c r="I862" s="116"/>
      <c r="L862" s="170">
        <v>43270</v>
      </c>
      <c r="M862" s="116">
        <v>744.125</v>
      </c>
      <c r="N862" s="116">
        <v>762.5</v>
      </c>
      <c r="O862" s="116">
        <v>738</v>
      </c>
      <c r="P862" s="116">
        <v>741.47500000000002</v>
      </c>
      <c r="Q862" s="116">
        <v>1488.25</v>
      </c>
      <c r="R862">
        <v>565306</v>
      </c>
    </row>
    <row r="863" spans="1:18" x14ac:dyDescent="0.25">
      <c r="A863" s="170">
        <v>43271</v>
      </c>
      <c r="B863" s="116">
        <v>753.05</v>
      </c>
      <c r="C863" s="116">
        <v>744.25</v>
      </c>
      <c r="D863" s="116">
        <v>737.97500000000002</v>
      </c>
      <c r="E863" s="116">
        <v>749.5</v>
      </c>
      <c r="F863" s="116">
        <v>1488.5</v>
      </c>
      <c r="G863">
        <v>21950</v>
      </c>
      <c r="H863" s="116"/>
      <c r="I863" s="116"/>
      <c r="L863" s="170">
        <v>43271</v>
      </c>
      <c r="M863" s="116">
        <v>744.125</v>
      </c>
      <c r="N863" s="116">
        <v>752</v>
      </c>
      <c r="O863" s="116">
        <v>738</v>
      </c>
      <c r="P863" s="116">
        <v>744.45</v>
      </c>
      <c r="Q863" s="116">
        <v>1488.25</v>
      </c>
      <c r="R863">
        <v>268152</v>
      </c>
    </row>
    <row r="864" spans="1:18" x14ac:dyDescent="0.25">
      <c r="A864" s="170">
        <v>43272</v>
      </c>
      <c r="B864" s="116">
        <v>753.97500000000002</v>
      </c>
      <c r="C864" s="116">
        <v>738.65</v>
      </c>
      <c r="D864" s="116">
        <v>738</v>
      </c>
      <c r="E864" s="116">
        <v>753.97500000000002</v>
      </c>
      <c r="F864" s="116">
        <v>1477.3</v>
      </c>
      <c r="G864">
        <v>9776</v>
      </c>
      <c r="H864" s="116"/>
      <c r="I864" s="116"/>
      <c r="L864" s="170">
        <v>43272</v>
      </c>
      <c r="M864" s="116">
        <v>738.2</v>
      </c>
      <c r="N864" s="116">
        <v>749.5</v>
      </c>
      <c r="O864" s="116">
        <v>736.07500000000005</v>
      </c>
      <c r="P864" s="116">
        <v>747.5</v>
      </c>
      <c r="Q864" s="116">
        <v>1476.4</v>
      </c>
      <c r="R864">
        <v>216219</v>
      </c>
    </row>
    <row r="865" spans="1:18" x14ac:dyDescent="0.25">
      <c r="A865" s="170">
        <v>43273</v>
      </c>
      <c r="B865" s="116">
        <v>738.25</v>
      </c>
      <c r="C865" s="116">
        <v>734.4</v>
      </c>
      <c r="D865" s="116">
        <v>724</v>
      </c>
      <c r="E865" s="116">
        <v>730</v>
      </c>
      <c r="F865" s="116">
        <v>1468.8</v>
      </c>
      <c r="G865">
        <v>4336</v>
      </c>
      <c r="H865" s="116"/>
      <c r="I865" s="116"/>
      <c r="L865" s="170">
        <v>43273</v>
      </c>
      <c r="M865" s="116">
        <v>735.27499999999998</v>
      </c>
      <c r="N865" s="116">
        <v>738</v>
      </c>
      <c r="O865" s="116">
        <v>722.5</v>
      </c>
      <c r="P865" s="116">
        <v>737.77499999999998</v>
      </c>
      <c r="Q865" s="116">
        <v>1470.55</v>
      </c>
      <c r="R865">
        <v>197804</v>
      </c>
    </row>
    <row r="866" spans="1:18" x14ac:dyDescent="0.25">
      <c r="A866" s="170">
        <v>43276</v>
      </c>
      <c r="B866" s="116">
        <v>743.85</v>
      </c>
      <c r="C866" s="116">
        <v>732.25</v>
      </c>
      <c r="D866" s="116">
        <v>725.9</v>
      </c>
      <c r="E866" s="116">
        <v>733.67499999999995</v>
      </c>
      <c r="F866" s="116">
        <v>1464.5</v>
      </c>
      <c r="G866">
        <v>6038</v>
      </c>
      <c r="H866" s="116"/>
      <c r="I866" s="116"/>
      <c r="L866" s="170">
        <v>43276</v>
      </c>
      <c r="M866" s="116">
        <v>731.47500000000002</v>
      </c>
      <c r="N866" s="116">
        <v>744</v>
      </c>
      <c r="O866" s="116">
        <v>727.27499999999998</v>
      </c>
      <c r="P866" s="116">
        <v>734.27499999999998</v>
      </c>
      <c r="Q866" s="116">
        <v>1462.95</v>
      </c>
      <c r="R866">
        <v>216462</v>
      </c>
    </row>
    <row r="867" spans="1:18" x14ac:dyDescent="0.25">
      <c r="A867" s="170">
        <v>43277</v>
      </c>
      <c r="B867" s="116">
        <v>734.72500000000002</v>
      </c>
      <c r="C867" s="116">
        <v>728.9</v>
      </c>
      <c r="D867" s="116">
        <v>726.125</v>
      </c>
      <c r="E867" s="116">
        <v>730.95</v>
      </c>
      <c r="F867" s="116">
        <v>1457.8</v>
      </c>
      <c r="G867">
        <v>7121</v>
      </c>
      <c r="H867" s="116"/>
      <c r="I867" s="116"/>
      <c r="L867" s="170">
        <v>43277</v>
      </c>
      <c r="M867" s="116">
        <v>729.57500000000005</v>
      </c>
      <c r="N867" s="116">
        <v>734.97500000000002</v>
      </c>
      <c r="O867" s="116">
        <v>725.25</v>
      </c>
      <c r="P867" s="116">
        <v>731</v>
      </c>
      <c r="Q867" s="116">
        <v>1459.15</v>
      </c>
      <c r="R867">
        <v>161094</v>
      </c>
    </row>
    <row r="868" spans="1:18" x14ac:dyDescent="0.25">
      <c r="A868" s="170">
        <v>43278</v>
      </c>
      <c r="B868" s="116">
        <v>730</v>
      </c>
      <c r="C868" s="116">
        <v>716.6</v>
      </c>
      <c r="D868" s="116">
        <v>700.15</v>
      </c>
      <c r="E868" s="116">
        <v>726.125</v>
      </c>
      <c r="F868" s="116">
        <v>1433.2</v>
      </c>
      <c r="G868">
        <v>8604</v>
      </c>
      <c r="H868" s="116"/>
      <c r="I868" s="116"/>
      <c r="L868" s="170">
        <v>43278</v>
      </c>
      <c r="M868" s="116">
        <v>717.92499999999995</v>
      </c>
      <c r="N868" s="116">
        <v>732.22500000000002</v>
      </c>
      <c r="O868" s="116">
        <v>701</v>
      </c>
      <c r="P868" s="116">
        <v>727.5</v>
      </c>
      <c r="Q868" s="116">
        <v>1435.85</v>
      </c>
      <c r="R868">
        <v>132093</v>
      </c>
    </row>
    <row r="869" spans="1:18" x14ac:dyDescent="0.25">
      <c r="A869" s="170">
        <v>43279</v>
      </c>
      <c r="B869" s="116">
        <v>724.5</v>
      </c>
      <c r="C869" s="116">
        <v>700.72500000000002</v>
      </c>
      <c r="D869" s="116">
        <v>692.5</v>
      </c>
      <c r="E869" s="116">
        <v>714.95</v>
      </c>
      <c r="F869" s="116">
        <v>1401.45</v>
      </c>
      <c r="G869">
        <v>7497</v>
      </c>
      <c r="H869" s="116"/>
      <c r="I869" s="116"/>
      <c r="L869" s="170">
        <v>43279</v>
      </c>
      <c r="M869" s="116">
        <v>698.8</v>
      </c>
      <c r="N869" s="116">
        <v>725</v>
      </c>
      <c r="O869" s="116">
        <v>696.77499999999998</v>
      </c>
      <c r="P869" s="116">
        <v>725</v>
      </c>
      <c r="Q869" s="116">
        <v>1397.6</v>
      </c>
      <c r="R869">
        <v>151793</v>
      </c>
    </row>
    <row r="870" spans="1:18" x14ac:dyDescent="0.25">
      <c r="A870" s="170">
        <v>43280</v>
      </c>
      <c r="B870" s="116">
        <v>714.57500000000005</v>
      </c>
      <c r="C870" s="116">
        <v>701.25</v>
      </c>
      <c r="D870" s="116">
        <v>697.5</v>
      </c>
      <c r="E870" s="116">
        <v>702.55</v>
      </c>
      <c r="F870" s="116">
        <v>1402.5</v>
      </c>
      <c r="G870">
        <v>5321</v>
      </c>
      <c r="H870" s="116"/>
      <c r="I870" s="116"/>
      <c r="L870" s="170">
        <v>43280</v>
      </c>
      <c r="M870" s="116">
        <v>700.57500000000005</v>
      </c>
      <c r="N870" s="116">
        <v>714.55</v>
      </c>
      <c r="O870" s="116">
        <v>697.67499999999995</v>
      </c>
      <c r="P870" s="116">
        <v>705.47500000000002</v>
      </c>
      <c r="Q870" s="116">
        <v>1401.15</v>
      </c>
      <c r="R870">
        <v>169559</v>
      </c>
    </row>
    <row r="871" spans="1:18" x14ac:dyDescent="0.25">
      <c r="A871" s="170">
        <v>43283</v>
      </c>
      <c r="B871" s="116">
        <v>713.5</v>
      </c>
      <c r="C871" s="116">
        <v>709.57500000000005</v>
      </c>
      <c r="D871" s="116">
        <v>697.05</v>
      </c>
      <c r="E871" s="116">
        <v>707.95</v>
      </c>
      <c r="F871" s="116">
        <v>1419.15</v>
      </c>
      <c r="G871">
        <v>5921</v>
      </c>
      <c r="H871" s="116"/>
      <c r="I871" s="116"/>
      <c r="L871" s="170">
        <v>43283</v>
      </c>
      <c r="M871" s="116">
        <v>708.82500000000005</v>
      </c>
      <c r="N871" s="116">
        <v>714.3</v>
      </c>
      <c r="O871" s="116">
        <v>695.32500000000005</v>
      </c>
      <c r="P871" s="116">
        <v>705.55</v>
      </c>
      <c r="Q871" s="116">
        <v>1417.65</v>
      </c>
      <c r="R871">
        <v>124582</v>
      </c>
    </row>
    <row r="872" spans="1:18" x14ac:dyDescent="0.25">
      <c r="A872" s="170">
        <v>43284</v>
      </c>
      <c r="B872" s="116">
        <v>740</v>
      </c>
      <c r="C872" s="116">
        <v>722.42499999999995</v>
      </c>
      <c r="D872" s="116">
        <v>700.5</v>
      </c>
      <c r="E872" s="116">
        <v>715</v>
      </c>
      <c r="F872" s="116">
        <v>1444.85</v>
      </c>
      <c r="G872">
        <v>12367</v>
      </c>
      <c r="H872" s="116"/>
      <c r="I872" s="116"/>
      <c r="L872" s="170">
        <v>43284</v>
      </c>
      <c r="M872" s="116">
        <v>723.2</v>
      </c>
      <c r="N872" s="116">
        <v>730.02499999999998</v>
      </c>
      <c r="O872" s="116">
        <v>700.2</v>
      </c>
      <c r="P872" s="116">
        <v>708.8</v>
      </c>
      <c r="Q872" s="116">
        <v>1446.4</v>
      </c>
      <c r="R872">
        <v>262769</v>
      </c>
    </row>
    <row r="873" spans="1:18" x14ac:dyDescent="0.25">
      <c r="A873" s="170">
        <v>43285</v>
      </c>
      <c r="B873" s="116">
        <v>728.47500000000002</v>
      </c>
      <c r="C873" s="116">
        <v>713.625</v>
      </c>
      <c r="D873" s="116">
        <v>710.75</v>
      </c>
      <c r="E873" s="116">
        <v>724.07500000000005</v>
      </c>
      <c r="F873" s="116">
        <v>1427.25</v>
      </c>
      <c r="G873">
        <v>8807</v>
      </c>
      <c r="H873" s="116"/>
      <c r="I873" s="116"/>
      <c r="L873" s="170">
        <v>43285</v>
      </c>
      <c r="M873" s="116">
        <v>712.57500000000005</v>
      </c>
      <c r="N873" s="116">
        <v>729.5</v>
      </c>
      <c r="O873" s="116">
        <v>709.65</v>
      </c>
      <c r="P873" s="116">
        <v>726.52499999999998</v>
      </c>
      <c r="Q873" s="116">
        <v>1425.15</v>
      </c>
      <c r="R873">
        <v>169296</v>
      </c>
    </row>
    <row r="874" spans="1:18" x14ac:dyDescent="0.25">
      <c r="A874" s="170">
        <v>43286</v>
      </c>
      <c r="B874" s="116">
        <v>724.22500000000002</v>
      </c>
      <c r="C874" s="116">
        <v>710.4</v>
      </c>
      <c r="D874" s="116">
        <v>706.05</v>
      </c>
      <c r="E874" s="116">
        <v>714.2</v>
      </c>
      <c r="F874" s="116">
        <v>1420.8</v>
      </c>
      <c r="G874">
        <v>5708</v>
      </c>
      <c r="H874" s="116"/>
      <c r="I874" s="116"/>
      <c r="L874" s="170">
        <v>43286</v>
      </c>
      <c r="M874" s="116">
        <v>709.97500000000002</v>
      </c>
      <c r="N874" s="116">
        <v>723.92499999999995</v>
      </c>
      <c r="O874" s="116">
        <v>706.07500000000005</v>
      </c>
      <c r="P874" s="116">
        <v>715.5</v>
      </c>
      <c r="Q874" s="116">
        <v>1419.95</v>
      </c>
      <c r="R874">
        <v>129993</v>
      </c>
    </row>
    <row r="875" spans="1:18" x14ac:dyDescent="0.25">
      <c r="A875" s="170">
        <v>43287</v>
      </c>
      <c r="B875" s="116">
        <v>718.97500000000002</v>
      </c>
      <c r="C875" s="116">
        <v>710.1</v>
      </c>
      <c r="D875" s="116">
        <v>704.57500000000005</v>
      </c>
      <c r="E875" s="116">
        <v>713.4</v>
      </c>
      <c r="F875" s="116">
        <v>1420.2</v>
      </c>
      <c r="G875">
        <v>7091</v>
      </c>
      <c r="H875" s="116"/>
      <c r="I875" s="116"/>
      <c r="L875" s="170">
        <v>43287</v>
      </c>
      <c r="M875" s="116">
        <v>709.6</v>
      </c>
      <c r="N875" s="116">
        <v>721</v>
      </c>
      <c r="O875" s="116">
        <v>704.625</v>
      </c>
      <c r="P875" s="116">
        <v>709.97500000000002</v>
      </c>
      <c r="Q875" s="116">
        <v>1419.2</v>
      </c>
      <c r="R875">
        <v>218849</v>
      </c>
    </row>
    <row r="876" spans="1:18" x14ac:dyDescent="0.25">
      <c r="A876" s="170">
        <v>43290</v>
      </c>
      <c r="B876" s="116">
        <v>725.5</v>
      </c>
      <c r="C876" s="116">
        <v>722.625</v>
      </c>
      <c r="D876" s="116">
        <v>703.5</v>
      </c>
      <c r="E876" s="116">
        <v>706.92499999999995</v>
      </c>
      <c r="F876" s="116">
        <v>1445.25</v>
      </c>
      <c r="G876">
        <v>6412</v>
      </c>
      <c r="H876" s="116"/>
      <c r="I876" s="116"/>
      <c r="L876" s="170">
        <v>43290</v>
      </c>
      <c r="M876" s="116">
        <v>723.2</v>
      </c>
      <c r="N876" s="116">
        <v>728.9</v>
      </c>
      <c r="O876" s="116">
        <v>703</v>
      </c>
      <c r="P876" s="116">
        <v>710.25</v>
      </c>
      <c r="Q876" s="116">
        <v>1446.4</v>
      </c>
      <c r="R876">
        <v>203801</v>
      </c>
    </row>
    <row r="877" spans="1:18" x14ac:dyDescent="0.25">
      <c r="A877" s="170">
        <v>43291</v>
      </c>
      <c r="B877" s="116">
        <v>733.02499999999998</v>
      </c>
      <c r="C877" s="116">
        <v>728.27499999999998</v>
      </c>
      <c r="D877" s="116">
        <v>716.47500000000002</v>
      </c>
      <c r="E877" s="116">
        <v>725</v>
      </c>
      <c r="F877" s="116">
        <v>1456.55</v>
      </c>
      <c r="G877">
        <v>14075</v>
      </c>
      <c r="H877" s="116"/>
      <c r="I877" s="116"/>
      <c r="L877" s="170">
        <v>43291</v>
      </c>
      <c r="M877" s="116">
        <v>728.52499999999998</v>
      </c>
      <c r="N877" s="116">
        <v>733.22500000000002</v>
      </c>
      <c r="O877" s="116">
        <v>715.45</v>
      </c>
      <c r="P877" s="116">
        <v>726.65</v>
      </c>
      <c r="Q877" s="116">
        <v>1457.05</v>
      </c>
      <c r="R877">
        <v>254814</v>
      </c>
    </row>
    <row r="878" spans="1:18" x14ac:dyDescent="0.25">
      <c r="A878" s="170">
        <v>43292</v>
      </c>
      <c r="B878" s="116">
        <v>739</v>
      </c>
      <c r="C878" s="116">
        <v>729.9</v>
      </c>
      <c r="D878" s="116">
        <v>724.02499999999998</v>
      </c>
      <c r="E878" s="116">
        <v>729.3</v>
      </c>
      <c r="F878" s="116">
        <v>1459.8</v>
      </c>
      <c r="G878">
        <v>13039</v>
      </c>
      <c r="H878" s="116"/>
      <c r="I878" s="116"/>
      <c r="L878" s="170">
        <v>43292</v>
      </c>
      <c r="M878" s="116">
        <v>730.67499999999995</v>
      </c>
      <c r="N878" s="116">
        <v>740</v>
      </c>
      <c r="O878" s="116">
        <v>724.5</v>
      </c>
      <c r="P878" s="116">
        <v>727.97500000000002</v>
      </c>
      <c r="Q878" s="116">
        <v>1461.35</v>
      </c>
      <c r="R878">
        <v>328801</v>
      </c>
    </row>
    <row r="879" spans="1:18" x14ac:dyDescent="0.25">
      <c r="A879" s="170">
        <v>43293</v>
      </c>
      <c r="B879" s="116">
        <v>744.875</v>
      </c>
      <c r="C879" s="116">
        <v>725.32500000000005</v>
      </c>
      <c r="D879" s="116">
        <v>723.27499999999998</v>
      </c>
      <c r="E879" s="116">
        <v>744.875</v>
      </c>
      <c r="F879" s="116">
        <v>1450.65</v>
      </c>
      <c r="G879">
        <v>4844</v>
      </c>
      <c r="H879" s="116"/>
      <c r="I879" s="116"/>
      <c r="L879" s="170">
        <v>43293</v>
      </c>
      <c r="M879" s="116">
        <v>727.22500000000002</v>
      </c>
      <c r="N879" s="116">
        <v>740.32500000000005</v>
      </c>
      <c r="O879" s="116">
        <v>723.02499999999998</v>
      </c>
      <c r="P879" s="116">
        <v>737.97500000000002</v>
      </c>
      <c r="Q879" s="116">
        <v>1454.45</v>
      </c>
      <c r="R879">
        <v>229036</v>
      </c>
    </row>
    <row r="880" spans="1:18" x14ac:dyDescent="0.25">
      <c r="A880" s="170">
        <v>43294</v>
      </c>
      <c r="B880" s="116">
        <v>730</v>
      </c>
      <c r="C880" s="116">
        <v>719.45</v>
      </c>
      <c r="D880" s="116">
        <v>717.6</v>
      </c>
      <c r="E880" s="116">
        <v>728.77499999999998</v>
      </c>
      <c r="F880" s="116">
        <v>1438.9</v>
      </c>
      <c r="G880">
        <v>5580</v>
      </c>
      <c r="H880" s="116"/>
      <c r="I880" s="116"/>
      <c r="L880" s="170">
        <v>43294</v>
      </c>
      <c r="M880" s="116">
        <v>720.97500000000002</v>
      </c>
      <c r="N880" s="116">
        <v>730.67499999999995</v>
      </c>
      <c r="O880" s="116">
        <v>718.4</v>
      </c>
      <c r="P880" s="116">
        <v>728.22500000000002</v>
      </c>
      <c r="Q880" s="116">
        <v>1441.95</v>
      </c>
      <c r="R880">
        <v>248153</v>
      </c>
    </row>
    <row r="881" spans="1:18" x14ac:dyDescent="0.25">
      <c r="A881" s="170">
        <v>43297</v>
      </c>
      <c r="B881" s="116">
        <v>733.47500000000002</v>
      </c>
      <c r="C881" s="116">
        <v>716.8</v>
      </c>
      <c r="D881" s="116">
        <v>713.5</v>
      </c>
      <c r="E881" s="116">
        <v>726.22500000000002</v>
      </c>
      <c r="F881" s="116">
        <v>1433.6</v>
      </c>
      <c r="G881">
        <v>7019</v>
      </c>
      <c r="H881" s="116"/>
      <c r="I881" s="116"/>
      <c r="L881" s="170">
        <v>43297</v>
      </c>
      <c r="M881" s="116">
        <v>717.27499999999998</v>
      </c>
      <c r="N881" s="116">
        <v>734</v>
      </c>
      <c r="O881" s="116">
        <v>715</v>
      </c>
      <c r="P881" s="116">
        <v>716.05</v>
      </c>
      <c r="Q881" s="116">
        <v>1434.55</v>
      </c>
      <c r="R881">
        <v>315573</v>
      </c>
    </row>
    <row r="882" spans="1:18" x14ac:dyDescent="0.25">
      <c r="A882" s="170">
        <v>43298</v>
      </c>
      <c r="B882" s="116">
        <v>730.15</v>
      </c>
      <c r="C882" s="116">
        <v>725.9</v>
      </c>
      <c r="D882" s="116">
        <v>714.125</v>
      </c>
      <c r="E882" s="116">
        <v>714.125</v>
      </c>
      <c r="F882" s="116">
        <v>1451.8</v>
      </c>
      <c r="G882">
        <v>4602</v>
      </c>
      <c r="H882" s="116"/>
      <c r="I882" s="116"/>
      <c r="L882" s="170">
        <v>43298</v>
      </c>
      <c r="M882" s="116">
        <v>724.8</v>
      </c>
      <c r="N882" s="116">
        <v>727.97500000000002</v>
      </c>
      <c r="O882" s="116">
        <v>712.5</v>
      </c>
      <c r="P882" s="116">
        <v>717.1</v>
      </c>
      <c r="Q882" s="116">
        <v>1449.6</v>
      </c>
      <c r="R882">
        <v>155017</v>
      </c>
    </row>
    <row r="883" spans="1:18" x14ac:dyDescent="0.25">
      <c r="A883" s="170">
        <v>43299</v>
      </c>
      <c r="B883" s="116">
        <v>740</v>
      </c>
      <c r="C883" s="116">
        <v>720.32500000000005</v>
      </c>
      <c r="D883" s="116">
        <v>717.35</v>
      </c>
      <c r="E883" s="116">
        <v>736.57500000000005</v>
      </c>
      <c r="F883" s="116">
        <v>1440.65</v>
      </c>
      <c r="G883">
        <v>5672</v>
      </c>
      <c r="H883" s="116"/>
      <c r="I883" s="116"/>
      <c r="L883" s="170">
        <v>43299</v>
      </c>
      <c r="M883" s="116">
        <v>720.82500000000005</v>
      </c>
      <c r="N883" s="116">
        <v>745.97500000000002</v>
      </c>
      <c r="O883" s="116">
        <v>719</v>
      </c>
      <c r="P883" s="116">
        <v>730.5</v>
      </c>
      <c r="Q883" s="116">
        <v>1441.65</v>
      </c>
      <c r="R883">
        <v>227886</v>
      </c>
    </row>
    <row r="884" spans="1:18" x14ac:dyDescent="0.25">
      <c r="A884" s="170">
        <v>43300</v>
      </c>
      <c r="B884" s="116">
        <v>721.3</v>
      </c>
      <c r="C884" s="116">
        <v>711.2</v>
      </c>
      <c r="D884" s="116">
        <v>704.57500000000005</v>
      </c>
      <c r="E884" s="116">
        <v>720.55</v>
      </c>
      <c r="F884" s="116">
        <v>1422.4</v>
      </c>
      <c r="G884">
        <v>8782</v>
      </c>
      <c r="H884" s="116"/>
      <c r="I884" s="116"/>
      <c r="L884" s="170">
        <v>43300</v>
      </c>
      <c r="M884" s="116">
        <v>711.82500000000005</v>
      </c>
      <c r="N884" s="116">
        <v>724</v>
      </c>
      <c r="O884" s="116">
        <v>705.27499999999998</v>
      </c>
      <c r="P884" s="116">
        <v>722.5</v>
      </c>
      <c r="Q884" s="116">
        <v>1423.65</v>
      </c>
      <c r="R884">
        <v>134552</v>
      </c>
    </row>
    <row r="885" spans="1:18" x14ac:dyDescent="0.25">
      <c r="A885" s="170">
        <v>43301</v>
      </c>
      <c r="B885" s="116">
        <v>717.47500000000002</v>
      </c>
      <c r="C885" s="116">
        <v>710.22500000000002</v>
      </c>
      <c r="D885" s="116">
        <v>707.02499999999998</v>
      </c>
      <c r="E885" s="116">
        <v>711.97500000000002</v>
      </c>
      <c r="F885" s="116">
        <v>1420.45</v>
      </c>
      <c r="G885">
        <v>8765</v>
      </c>
      <c r="H885" s="116"/>
      <c r="I885" s="116"/>
      <c r="L885" s="170">
        <v>43301</v>
      </c>
      <c r="M885" s="116">
        <v>710.47500000000002</v>
      </c>
      <c r="N885" s="116">
        <v>717.75</v>
      </c>
      <c r="O885" s="116">
        <v>707.75</v>
      </c>
      <c r="P885" s="116">
        <v>710.32500000000005</v>
      </c>
      <c r="Q885" s="116">
        <v>1420.95</v>
      </c>
      <c r="R885">
        <v>89059</v>
      </c>
    </row>
    <row r="886" spans="1:18" x14ac:dyDescent="0.25">
      <c r="A886" s="170">
        <v>43304</v>
      </c>
      <c r="B886" s="116">
        <v>737.625</v>
      </c>
      <c r="C886" s="116">
        <v>723.67499999999995</v>
      </c>
      <c r="D886" s="116">
        <v>703.72500000000002</v>
      </c>
      <c r="E886" s="116">
        <v>709.17499999999995</v>
      </c>
      <c r="F886" s="116">
        <v>1447.35</v>
      </c>
      <c r="G886">
        <v>4872</v>
      </c>
      <c r="H886" s="116"/>
      <c r="I886" s="116"/>
      <c r="L886" s="170">
        <v>43304</v>
      </c>
      <c r="M886" s="116">
        <v>725.02499999999998</v>
      </c>
      <c r="N886" s="116">
        <v>738.42499999999995</v>
      </c>
      <c r="O886" s="116">
        <v>702.27499999999998</v>
      </c>
      <c r="P886" s="116">
        <v>710.5</v>
      </c>
      <c r="Q886" s="116">
        <v>1450.05</v>
      </c>
      <c r="R886">
        <v>158986</v>
      </c>
    </row>
    <row r="887" spans="1:18" x14ac:dyDescent="0.25">
      <c r="A887" s="170">
        <v>43305</v>
      </c>
      <c r="B887" s="116">
        <v>739.5</v>
      </c>
      <c r="C887" s="116">
        <v>733.2</v>
      </c>
      <c r="D887" s="116">
        <v>716</v>
      </c>
      <c r="E887" s="116">
        <v>721.97500000000002</v>
      </c>
      <c r="F887" s="116">
        <v>1466.4</v>
      </c>
      <c r="G887">
        <v>3278</v>
      </c>
      <c r="H887" s="116"/>
      <c r="I887" s="116"/>
      <c r="L887" s="170">
        <v>43305</v>
      </c>
      <c r="M887" s="116">
        <v>732.72500000000002</v>
      </c>
      <c r="N887" s="116">
        <v>740.1</v>
      </c>
      <c r="O887" s="116">
        <v>716.2</v>
      </c>
      <c r="P887" s="116">
        <v>723.95</v>
      </c>
      <c r="Q887" s="116">
        <v>1465.45</v>
      </c>
      <c r="R887">
        <v>201859</v>
      </c>
    </row>
    <row r="888" spans="1:18" x14ac:dyDescent="0.25">
      <c r="A888" s="170">
        <v>43306</v>
      </c>
      <c r="B888" s="116">
        <v>742.5</v>
      </c>
      <c r="C888" s="116">
        <v>737.97500000000002</v>
      </c>
      <c r="D888" s="116">
        <v>731.5</v>
      </c>
      <c r="E888" s="116">
        <v>742.5</v>
      </c>
      <c r="F888" s="116">
        <v>1475.95</v>
      </c>
      <c r="G888">
        <v>3875</v>
      </c>
      <c r="H888" s="116"/>
      <c r="I888" s="116"/>
      <c r="L888" s="170">
        <v>43306</v>
      </c>
      <c r="M888" s="116">
        <v>740.05</v>
      </c>
      <c r="N888" s="116">
        <v>743.125</v>
      </c>
      <c r="O888" s="116">
        <v>731</v>
      </c>
      <c r="P888" s="116">
        <v>735</v>
      </c>
      <c r="Q888" s="116">
        <v>1480.1</v>
      </c>
      <c r="R888">
        <v>149860</v>
      </c>
    </row>
    <row r="889" spans="1:18" x14ac:dyDescent="0.25">
      <c r="A889" s="170">
        <v>43307</v>
      </c>
      <c r="B889" s="116">
        <v>749.95</v>
      </c>
      <c r="C889" s="116">
        <v>746.6</v>
      </c>
      <c r="D889" s="116">
        <v>740.47500000000002</v>
      </c>
      <c r="E889" s="116">
        <v>742.5</v>
      </c>
      <c r="F889" s="116">
        <v>1493.2</v>
      </c>
      <c r="G889">
        <v>7128</v>
      </c>
      <c r="H889" s="116"/>
      <c r="I889" s="116"/>
      <c r="L889" s="170">
        <v>43307</v>
      </c>
      <c r="M889" s="116">
        <v>747.32500000000005</v>
      </c>
      <c r="N889" s="116">
        <v>750.5</v>
      </c>
      <c r="O889" s="116">
        <v>737.5</v>
      </c>
      <c r="P889" s="116">
        <v>739.57500000000005</v>
      </c>
      <c r="Q889" s="116">
        <v>1494.65</v>
      </c>
      <c r="R889">
        <v>204650</v>
      </c>
    </row>
    <row r="890" spans="1:18" x14ac:dyDescent="0.25">
      <c r="A890" s="170">
        <v>43308</v>
      </c>
      <c r="B890" s="116">
        <v>756.15</v>
      </c>
      <c r="C890" s="116">
        <v>741.8</v>
      </c>
      <c r="D890" s="116">
        <v>737.7</v>
      </c>
      <c r="E890" s="116">
        <v>750</v>
      </c>
      <c r="F890" s="116">
        <v>1483.6</v>
      </c>
      <c r="G890">
        <v>5036</v>
      </c>
      <c r="H890" s="116"/>
      <c r="I890" s="116"/>
      <c r="L890" s="170">
        <v>43308</v>
      </c>
      <c r="M890" s="116">
        <v>741.3</v>
      </c>
      <c r="N890" s="116">
        <v>754.4</v>
      </c>
      <c r="O890" s="116">
        <v>738.875</v>
      </c>
      <c r="P890" s="116">
        <v>749</v>
      </c>
      <c r="Q890" s="116">
        <v>1482.6</v>
      </c>
      <c r="R890">
        <v>85641</v>
      </c>
    </row>
    <row r="891" spans="1:18" x14ac:dyDescent="0.25">
      <c r="A891" s="170">
        <v>43311</v>
      </c>
      <c r="B891" s="116">
        <v>746.47500000000002</v>
      </c>
      <c r="C891" s="116">
        <v>743.55</v>
      </c>
      <c r="D891" s="116">
        <v>740</v>
      </c>
      <c r="E891" s="116">
        <v>745.375</v>
      </c>
      <c r="F891" s="116">
        <v>1487.1</v>
      </c>
      <c r="G891">
        <v>7563</v>
      </c>
      <c r="H891" s="116"/>
      <c r="I891" s="116"/>
      <c r="L891" s="170">
        <v>43311</v>
      </c>
      <c r="M891" s="116">
        <v>743.6</v>
      </c>
      <c r="N891" s="116">
        <v>747.5</v>
      </c>
      <c r="O891" s="116">
        <v>737.5</v>
      </c>
      <c r="P891" s="116">
        <v>747.3</v>
      </c>
      <c r="Q891" s="116">
        <v>1487.2</v>
      </c>
      <c r="R891">
        <v>164315</v>
      </c>
    </row>
    <row r="892" spans="1:18" x14ac:dyDescent="0.25">
      <c r="A892" s="170">
        <v>43312</v>
      </c>
      <c r="B892" s="116">
        <v>768.92499999999995</v>
      </c>
      <c r="C892" s="116">
        <v>763.1</v>
      </c>
      <c r="D892" s="116">
        <v>738.3</v>
      </c>
      <c r="E892" s="116">
        <v>740.27499999999998</v>
      </c>
      <c r="F892" s="116">
        <v>1526.2</v>
      </c>
      <c r="G892">
        <v>18405</v>
      </c>
      <c r="H892" s="116"/>
      <c r="I892" s="116"/>
      <c r="L892" s="170">
        <v>43312</v>
      </c>
      <c r="M892" s="116">
        <v>764.3</v>
      </c>
      <c r="N892" s="116">
        <v>766.57500000000005</v>
      </c>
      <c r="O892" s="116">
        <v>734.97500000000002</v>
      </c>
      <c r="P892" s="116">
        <v>738.5</v>
      </c>
      <c r="Q892" s="116">
        <v>1528.6</v>
      </c>
      <c r="R892">
        <v>457705</v>
      </c>
    </row>
    <row r="893" spans="1:18" x14ac:dyDescent="0.25">
      <c r="A893" s="170">
        <v>43313</v>
      </c>
      <c r="B893" s="116">
        <v>772.5</v>
      </c>
      <c r="C893" s="116">
        <v>762.42499999999995</v>
      </c>
      <c r="D893" s="116">
        <v>756.9</v>
      </c>
      <c r="E893" s="116">
        <v>769.52499999999998</v>
      </c>
      <c r="F893" s="116">
        <v>1524.85</v>
      </c>
      <c r="G893">
        <v>10293</v>
      </c>
      <c r="H893" s="116"/>
      <c r="I893" s="116"/>
      <c r="L893" s="170">
        <v>43313</v>
      </c>
      <c r="M893" s="116">
        <v>761.72500000000002</v>
      </c>
      <c r="N893" s="116">
        <v>772.5</v>
      </c>
      <c r="O893" s="116">
        <v>757.17499999999995</v>
      </c>
      <c r="P893" s="116">
        <v>765</v>
      </c>
      <c r="Q893" s="116">
        <v>1523.45</v>
      </c>
      <c r="R893">
        <v>197468</v>
      </c>
    </row>
    <row r="894" spans="1:18" x14ac:dyDescent="0.25">
      <c r="A894" s="170">
        <v>43314</v>
      </c>
      <c r="B894" s="116">
        <v>773.92499999999995</v>
      </c>
      <c r="C894" s="116">
        <v>761.35</v>
      </c>
      <c r="D894" s="116">
        <v>755.75</v>
      </c>
      <c r="E894" s="116">
        <v>768.5</v>
      </c>
      <c r="F894" s="116">
        <v>1522.7</v>
      </c>
      <c r="G894">
        <v>33271</v>
      </c>
      <c r="H894" s="116"/>
      <c r="I894" s="116"/>
      <c r="L894" s="170">
        <v>43314</v>
      </c>
      <c r="M894" s="116">
        <v>761.52499999999998</v>
      </c>
      <c r="N894" s="116">
        <v>774.97500000000002</v>
      </c>
      <c r="O894" s="116">
        <v>754</v>
      </c>
      <c r="P894" s="116">
        <v>763.32500000000005</v>
      </c>
      <c r="Q894" s="116">
        <v>1523.05</v>
      </c>
      <c r="R894">
        <v>462777</v>
      </c>
    </row>
    <row r="895" spans="1:18" x14ac:dyDescent="0.25">
      <c r="A895" s="170">
        <v>43315</v>
      </c>
      <c r="B895" s="116">
        <v>825.75</v>
      </c>
      <c r="C895" s="116">
        <v>813.72500000000002</v>
      </c>
      <c r="D895" s="116">
        <v>768.5</v>
      </c>
      <c r="E895" s="116">
        <v>772.5</v>
      </c>
      <c r="F895" s="116">
        <v>1627.45</v>
      </c>
      <c r="G895">
        <v>108001</v>
      </c>
      <c r="H895" s="116"/>
      <c r="I895" s="116"/>
      <c r="L895" s="170">
        <v>43315</v>
      </c>
      <c r="M895" s="116">
        <v>811.32500000000005</v>
      </c>
      <c r="N895" s="116">
        <v>827.4</v>
      </c>
      <c r="O895" s="116">
        <v>765.5</v>
      </c>
      <c r="P895" s="116">
        <v>771.5</v>
      </c>
      <c r="Q895" s="116">
        <v>1622.65</v>
      </c>
      <c r="R895">
        <v>1636753</v>
      </c>
    </row>
    <row r="896" spans="1:18" x14ac:dyDescent="0.25">
      <c r="A896" s="170">
        <v>43318</v>
      </c>
      <c r="B896" s="116">
        <v>832.5</v>
      </c>
      <c r="C896" s="116">
        <v>826.55</v>
      </c>
      <c r="D896" s="116">
        <v>813.35</v>
      </c>
      <c r="E896" s="116">
        <v>815</v>
      </c>
      <c r="F896" s="116">
        <v>1653.1</v>
      </c>
      <c r="G896">
        <v>72989</v>
      </c>
      <c r="H896" s="116"/>
      <c r="I896" s="116"/>
      <c r="L896" s="170">
        <v>43318</v>
      </c>
      <c r="M896" s="116">
        <v>825.55</v>
      </c>
      <c r="N896" s="116">
        <v>834.5</v>
      </c>
      <c r="O896" s="116">
        <v>811.77499999999998</v>
      </c>
      <c r="P896" s="116">
        <v>817.5</v>
      </c>
      <c r="Q896" s="116">
        <v>1651.1</v>
      </c>
      <c r="R896">
        <v>797324</v>
      </c>
    </row>
    <row r="897" spans="1:18" x14ac:dyDescent="0.25">
      <c r="A897" s="170">
        <v>43319</v>
      </c>
      <c r="B897" s="116">
        <v>851</v>
      </c>
      <c r="C897" s="116">
        <v>840.35</v>
      </c>
      <c r="D897" s="116">
        <v>821.97500000000002</v>
      </c>
      <c r="E897" s="116">
        <v>827.5</v>
      </c>
      <c r="F897" s="116">
        <v>1680.7</v>
      </c>
      <c r="G897">
        <v>57241</v>
      </c>
      <c r="H897" s="116"/>
      <c r="I897" s="116"/>
      <c r="L897" s="170">
        <v>43319</v>
      </c>
      <c r="M897" s="116">
        <v>841.47500000000002</v>
      </c>
      <c r="N897" s="116">
        <v>852.32500000000005</v>
      </c>
      <c r="O897" s="116">
        <v>821</v>
      </c>
      <c r="P897" s="116">
        <v>827.5</v>
      </c>
      <c r="Q897" s="116">
        <v>1682.95</v>
      </c>
      <c r="R897">
        <v>825333</v>
      </c>
    </row>
    <row r="898" spans="1:18" x14ac:dyDescent="0.25">
      <c r="A898" s="170">
        <v>43320</v>
      </c>
      <c r="B898" s="116">
        <v>857.5</v>
      </c>
      <c r="C898" s="116">
        <v>855.9</v>
      </c>
      <c r="D898" s="116">
        <v>836.5</v>
      </c>
      <c r="E898" s="116">
        <v>839.8</v>
      </c>
      <c r="F898" s="116">
        <v>1711.8</v>
      </c>
      <c r="G898">
        <v>22055</v>
      </c>
      <c r="H898" s="116"/>
      <c r="I898" s="116"/>
      <c r="L898" s="170">
        <v>43320</v>
      </c>
      <c r="M898" s="116">
        <v>859.85</v>
      </c>
      <c r="N898" s="116">
        <v>862.5</v>
      </c>
      <c r="O898" s="116">
        <v>836.07500000000005</v>
      </c>
      <c r="P898" s="116">
        <v>841.97500000000002</v>
      </c>
      <c r="Q898" s="116">
        <v>1719.7</v>
      </c>
      <c r="R898">
        <v>471604</v>
      </c>
    </row>
    <row r="899" spans="1:18" x14ac:dyDescent="0.25">
      <c r="A899" s="170">
        <v>43321</v>
      </c>
      <c r="B899" s="116">
        <v>883.375</v>
      </c>
      <c r="C899" s="116">
        <v>849.77499999999998</v>
      </c>
      <c r="D899" s="116">
        <v>845.6</v>
      </c>
      <c r="E899" s="116">
        <v>859.5</v>
      </c>
      <c r="F899" s="116">
        <v>1699.55</v>
      </c>
      <c r="G899">
        <v>27052</v>
      </c>
      <c r="H899" s="116"/>
      <c r="I899" s="116"/>
      <c r="L899" s="170">
        <v>43321</v>
      </c>
      <c r="M899" s="116">
        <v>850.2</v>
      </c>
      <c r="N899" s="116">
        <v>884</v>
      </c>
      <c r="O899" s="116">
        <v>846.27499999999998</v>
      </c>
      <c r="P899" s="116">
        <v>859.82500000000005</v>
      </c>
      <c r="Q899" s="116">
        <v>1700.4</v>
      </c>
      <c r="R899">
        <v>669044</v>
      </c>
    </row>
    <row r="900" spans="1:18" x14ac:dyDescent="0.25">
      <c r="A900" s="170">
        <v>43322</v>
      </c>
      <c r="B900" s="116">
        <v>852.57500000000005</v>
      </c>
      <c r="C900" s="116">
        <v>850.95</v>
      </c>
      <c r="D900" s="116">
        <v>843.22500000000002</v>
      </c>
      <c r="E900" s="116">
        <v>849</v>
      </c>
      <c r="F900" s="116">
        <v>1701.9</v>
      </c>
      <c r="G900">
        <v>8077</v>
      </c>
      <c r="H900" s="116"/>
      <c r="I900" s="116"/>
      <c r="L900" s="170">
        <v>43322</v>
      </c>
      <c r="M900" s="116">
        <v>848.52499999999998</v>
      </c>
      <c r="N900" s="116">
        <v>854.875</v>
      </c>
      <c r="O900" s="116">
        <v>836.1</v>
      </c>
      <c r="P900" s="116">
        <v>851.5</v>
      </c>
      <c r="Q900" s="116">
        <v>1697.05</v>
      </c>
      <c r="R900">
        <v>264918</v>
      </c>
    </row>
    <row r="901" spans="1:18" x14ac:dyDescent="0.25">
      <c r="A901" s="170">
        <v>43325</v>
      </c>
      <c r="B901" s="116">
        <v>853.3</v>
      </c>
      <c r="C901" s="116">
        <v>848.77499999999998</v>
      </c>
      <c r="D901" s="116">
        <v>839.47500000000002</v>
      </c>
      <c r="E901" s="116">
        <v>841.4</v>
      </c>
      <c r="F901" s="116">
        <v>1697.55</v>
      </c>
      <c r="G901">
        <v>6031</v>
      </c>
      <c r="H901" s="116"/>
      <c r="I901" s="116"/>
      <c r="L901" s="170">
        <v>43325</v>
      </c>
      <c r="M901" s="116">
        <v>849.07500000000005</v>
      </c>
      <c r="N901" s="116">
        <v>854.875</v>
      </c>
      <c r="O901" s="116">
        <v>837.5</v>
      </c>
      <c r="P901" s="116">
        <v>845</v>
      </c>
      <c r="Q901" s="116">
        <v>1698.15</v>
      </c>
      <c r="R901">
        <v>181831</v>
      </c>
    </row>
    <row r="902" spans="1:18" x14ac:dyDescent="0.25">
      <c r="A902" s="170">
        <v>43326</v>
      </c>
      <c r="B902" s="116">
        <v>860</v>
      </c>
      <c r="C902" s="116">
        <v>856.57500000000005</v>
      </c>
      <c r="D902" s="116">
        <v>848</v>
      </c>
      <c r="E902" s="116">
        <v>854.57500000000005</v>
      </c>
      <c r="F902" s="116">
        <v>1713.15</v>
      </c>
      <c r="G902">
        <v>5586</v>
      </c>
      <c r="H902" s="116"/>
      <c r="I902" s="116"/>
      <c r="L902" s="170">
        <v>43326</v>
      </c>
      <c r="M902" s="116">
        <v>855.4</v>
      </c>
      <c r="N902" s="116">
        <v>858.5</v>
      </c>
      <c r="O902" s="116">
        <v>847.5</v>
      </c>
      <c r="P902" s="116">
        <v>850</v>
      </c>
      <c r="Q902" s="116">
        <v>1710.8</v>
      </c>
      <c r="R902">
        <v>309354</v>
      </c>
    </row>
    <row r="903" spans="1:18" x14ac:dyDescent="0.25">
      <c r="A903" s="170">
        <v>43328</v>
      </c>
      <c r="B903" s="116">
        <v>859.77499999999998</v>
      </c>
      <c r="C903" s="116">
        <v>849.57500000000005</v>
      </c>
      <c r="D903" s="116">
        <v>845.42499999999995</v>
      </c>
      <c r="E903" s="116">
        <v>856.5</v>
      </c>
      <c r="F903" s="116">
        <v>1699.15</v>
      </c>
      <c r="G903">
        <v>8441</v>
      </c>
      <c r="H903" s="116"/>
      <c r="I903" s="116"/>
      <c r="L903" s="170">
        <v>43328</v>
      </c>
      <c r="M903" s="116">
        <v>850.07500000000005</v>
      </c>
      <c r="N903" s="116">
        <v>859.5</v>
      </c>
      <c r="O903" s="116">
        <v>845</v>
      </c>
      <c r="P903" s="116">
        <v>851.27499999999998</v>
      </c>
      <c r="Q903" s="116">
        <v>1700.15</v>
      </c>
      <c r="R903">
        <v>277674</v>
      </c>
    </row>
    <row r="904" spans="1:18" x14ac:dyDescent="0.25">
      <c r="A904" s="170">
        <v>43329</v>
      </c>
      <c r="B904" s="116">
        <v>887.15</v>
      </c>
      <c r="C904" s="116">
        <v>883.35</v>
      </c>
      <c r="D904" s="116">
        <v>847.42499999999995</v>
      </c>
      <c r="E904" s="116">
        <v>861.5</v>
      </c>
      <c r="F904" s="116">
        <v>1766.7</v>
      </c>
      <c r="G904">
        <v>32726</v>
      </c>
      <c r="H904" s="116"/>
      <c r="I904" s="116"/>
      <c r="L904" s="170">
        <v>43329</v>
      </c>
      <c r="M904" s="116">
        <v>882.95</v>
      </c>
      <c r="N904" s="116">
        <v>887.35</v>
      </c>
      <c r="O904" s="116">
        <v>847.5</v>
      </c>
      <c r="P904" s="116">
        <v>854.97500000000002</v>
      </c>
      <c r="Q904" s="116">
        <v>1765.9</v>
      </c>
      <c r="R904">
        <v>535637</v>
      </c>
    </row>
    <row r="905" spans="1:18" x14ac:dyDescent="0.25">
      <c r="A905" s="170">
        <v>43332</v>
      </c>
      <c r="B905" s="116">
        <v>894.95</v>
      </c>
      <c r="C905" s="116">
        <v>870.8</v>
      </c>
      <c r="D905" s="116">
        <v>867.5</v>
      </c>
      <c r="E905" s="116">
        <v>887.5</v>
      </c>
      <c r="F905" s="116">
        <v>1741.6</v>
      </c>
      <c r="G905">
        <v>24431</v>
      </c>
      <c r="H905" s="116"/>
      <c r="I905" s="116"/>
      <c r="L905" s="170">
        <v>43332</v>
      </c>
      <c r="M905" s="116">
        <v>871.5</v>
      </c>
      <c r="N905" s="116">
        <v>895.27499999999998</v>
      </c>
      <c r="O905" s="116">
        <v>864.8</v>
      </c>
      <c r="P905" s="116">
        <v>888.5</v>
      </c>
      <c r="Q905" s="116">
        <v>1743</v>
      </c>
      <c r="R905">
        <v>509930</v>
      </c>
    </row>
    <row r="906" spans="1:18" x14ac:dyDescent="0.25">
      <c r="A906" s="170">
        <v>43333</v>
      </c>
      <c r="B906" s="116">
        <v>890</v>
      </c>
      <c r="C906" s="116">
        <v>873.875</v>
      </c>
      <c r="D906" s="116">
        <v>866.3</v>
      </c>
      <c r="E906" s="116">
        <v>875.25</v>
      </c>
      <c r="F906" s="116">
        <v>1747.75</v>
      </c>
      <c r="G906">
        <v>28957</v>
      </c>
      <c r="H906" s="116"/>
      <c r="I906" s="116"/>
      <c r="L906" s="170">
        <v>43333</v>
      </c>
      <c r="M906" s="116">
        <v>873.7</v>
      </c>
      <c r="N906" s="116">
        <v>889.95</v>
      </c>
      <c r="O906" s="116">
        <v>865.6</v>
      </c>
      <c r="P906" s="116">
        <v>878.02499999999998</v>
      </c>
      <c r="Q906" s="116">
        <v>1747.4</v>
      </c>
      <c r="R906">
        <v>531544</v>
      </c>
    </row>
    <row r="907" spans="1:18" x14ac:dyDescent="0.25">
      <c r="A907" s="170">
        <v>43335</v>
      </c>
      <c r="B907" s="116">
        <v>888.4</v>
      </c>
      <c r="C907" s="116">
        <v>885.32500000000005</v>
      </c>
      <c r="D907" s="116">
        <v>872.55</v>
      </c>
      <c r="E907" s="116">
        <v>873.875</v>
      </c>
      <c r="F907" s="116">
        <v>1770.65</v>
      </c>
      <c r="G907">
        <v>14888</v>
      </c>
      <c r="H907" s="116"/>
      <c r="I907" s="116"/>
      <c r="L907" s="170">
        <v>43335</v>
      </c>
      <c r="M907" s="116">
        <v>883.92499999999995</v>
      </c>
      <c r="N907" s="116">
        <v>887.7</v>
      </c>
      <c r="O907" s="116">
        <v>872.5</v>
      </c>
      <c r="P907" s="116">
        <v>877.47500000000002</v>
      </c>
      <c r="Q907" s="116">
        <v>1767.85</v>
      </c>
      <c r="R907">
        <v>255209</v>
      </c>
    </row>
    <row r="908" spans="1:18" x14ac:dyDescent="0.25">
      <c r="A908" s="170">
        <v>43336</v>
      </c>
      <c r="B908" s="116">
        <v>897.72500000000002</v>
      </c>
      <c r="C908" s="116">
        <v>885.4</v>
      </c>
      <c r="D908" s="116">
        <v>876.17499999999995</v>
      </c>
      <c r="E908" s="116">
        <v>882.97500000000002</v>
      </c>
      <c r="F908" s="116">
        <v>1770.8</v>
      </c>
      <c r="G908">
        <v>29107</v>
      </c>
      <c r="H908" s="116"/>
      <c r="I908" s="116"/>
      <c r="L908" s="170">
        <v>43336</v>
      </c>
      <c r="M908" s="116">
        <v>885.72500000000002</v>
      </c>
      <c r="N908" s="116">
        <v>897.4</v>
      </c>
      <c r="O908" s="116">
        <v>875</v>
      </c>
      <c r="P908" s="116">
        <v>881.77499999999998</v>
      </c>
      <c r="Q908" s="116">
        <v>1771.45</v>
      </c>
      <c r="R908">
        <v>409384</v>
      </c>
    </row>
    <row r="909" spans="1:18" x14ac:dyDescent="0.25">
      <c r="A909" s="170">
        <v>43339</v>
      </c>
      <c r="B909" s="116">
        <v>901.27499999999998</v>
      </c>
      <c r="C909" s="116">
        <v>891.1</v>
      </c>
      <c r="D909" s="116">
        <v>887.1</v>
      </c>
      <c r="E909" s="116">
        <v>891.7</v>
      </c>
      <c r="F909" s="116">
        <v>1782.2</v>
      </c>
      <c r="G909">
        <v>19532</v>
      </c>
      <c r="H909" s="116"/>
      <c r="I909" s="116"/>
      <c r="L909" s="170">
        <v>43339</v>
      </c>
      <c r="M909" s="116">
        <v>890.9</v>
      </c>
      <c r="N909" s="116">
        <v>901.47500000000002</v>
      </c>
      <c r="O909" s="116">
        <v>886.875</v>
      </c>
      <c r="P909" s="116">
        <v>890</v>
      </c>
      <c r="Q909" s="116">
        <v>1781.8</v>
      </c>
      <c r="R909">
        <v>355388</v>
      </c>
    </row>
    <row r="910" spans="1:18" x14ac:dyDescent="0.25">
      <c r="A910" s="170">
        <v>43340</v>
      </c>
      <c r="B910" s="116">
        <v>898.52499999999998</v>
      </c>
      <c r="C910" s="116">
        <v>885.17499999999995</v>
      </c>
      <c r="D910" s="116">
        <v>882.55</v>
      </c>
      <c r="E910" s="116">
        <v>890</v>
      </c>
      <c r="F910" s="116">
        <v>1770.35</v>
      </c>
      <c r="G910">
        <v>14581</v>
      </c>
      <c r="H910" s="116"/>
      <c r="I910" s="116"/>
      <c r="L910" s="170">
        <v>43340</v>
      </c>
      <c r="M910" s="116">
        <v>885.72500000000002</v>
      </c>
      <c r="N910" s="116">
        <v>899.1</v>
      </c>
      <c r="O910" s="116">
        <v>882.4</v>
      </c>
      <c r="P910" s="116">
        <v>892.5</v>
      </c>
      <c r="Q910" s="116">
        <v>1771.45</v>
      </c>
      <c r="R910">
        <v>158719</v>
      </c>
    </row>
    <row r="911" spans="1:18" x14ac:dyDescent="0.25">
      <c r="A911" s="170">
        <v>43341</v>
      </c>
      <c r="B911" s="116">
        <v>896.47500000000002</v>
      </c>
      <c r="C911" s="116">
        <v>883.42499999999995</v>
      </c>
      <c r="D911" s="116">
        <v>877.82500000000005</v>
      </c>
      <c r="E911" s="116">
        <v>886.22500000000002</v>
      </c>
      <c r="F911" s="116">
        <v>1766.85</v>
      </c>
      <c r="G911">
        <v>5232</v>
      </c>
      <c r="H911" s="116"/>
      <c r="I911" s="116"/>
      <c r="L911" s="170">
        <v>43341</v>
      </c>
      <c r="M911" s="116">
        <v>884.57500000000005</v>
      </c>
      <c r="N911" s="116">
        <v>897.5</v>
      </c>
      <c r="O911" s="116">
        <v>880.5</v>
      </c>
      <c r="P911" s="116">
        <v>885.5</v>
      </c>
      <c r="Q911" s="116">
        <v>1769.15</v>
      </c>
      <c r="R911">
        <v>138271</v>
      </c>
    </row>
    <row r="912" spans="1:18" x14ac:dyDescent="0.25">
      <c r="A912" s="170">
        <v>43342</v>
      </c>
      <c r="B912" s="116">
        <v>887.27499999999998</v>
      </c>
      <c r="C912" s="116">
        <v>884.2</v>
      </c>
      <c r="D912" s="116">
        <v>875.5</v>
      </c>
      <c r="E912" s="116">
        <v>883.75</v>
      </c>
      <c r="F912" s="116">
        <v>1768.4</v>
      </c>
      <c r="G912">
        <v>4601</v>
      </c>
      <c r="H912" s="116"/>
      <c r="I912" s="116"/>
      <c r="L912" s="170">
        <v>43342</v>
      </c>
      <c r="M912" s="116">
        <v>885.07500000000005</v>
      </c>
      <c r="N912" s="116">
        <v>888.32500000000005</v>
      </c>
      <c r="O912" s="116">
        <v>874.82500000000005</v>
      </c>
      <c r="P912" s="116">
        <v>884.95</v>
      </c>
      <c r="Q912" s="116">
        <v>1770.15</v>
      </c>
      <c r="R912">
        <v>305831</v>
      </c>
    </row>
    <row r="913" spans="1:18" x14ac:dyDescent="0.25">
      <c r="A913" s="170">
        <v>43343</v>
      </c>
      <c r="B913" s="116">
        <v>912.82500000000005</v>
      </c>
      <c r="C913" s="116">
        <v>906.52499999999998</v>
      </c>
      <c r="D913" s="116">
        <v>879.95</v>
      </c>
      <c r="E913" s="116">
        <v>879.95</v>
      </c>
      <c r="F913" s="116">
        <v>1813.05</v>
      </c>
      <c r="G913">
        <v>36795</v>
      </c>
      <c r="H913" s="116"/>
      <c r="I913" s="116"/>
      <c r="L913" s="170">
        <v>43343</v>
      </c>
      <c r="M913" s="116">
        <v>906.4</v>
      </c>
      <c r="N913" s="116">
        <v>911.97500000000002</v>
      </c>
      <c r="O913" s="116">
        <v>881.52499999999998</v>
      </c>
      <c r="P913" s="116">
        <v>885.625</v>
      </c>
      <c r="Q913" s="116">
        <v>1812.8</v>
      </c>
      <c r="R913">
        <v>571537</v>
      </c>
    </row>
    <row r="914" spans="1:18" x14ac:dyDescent="0.25">
      <c r="A914" s="170">
        <v>43346</v>
      </c>
      <c r="B914" s="116">
        <v>928</v>
      </c>
      <c r="C914" s="116">
        <v>910.875</v>
      </c>
      <c r="D914" s="116">
        <v>904.125</v>
      </c>
      <c r="E914" s="116">
        <v>919.5</v>
      </c>
      <c r="F914" s="116">
        <v>1821.75</v>
      </c>
      <c r="G914">
        <v>16846</v>
      </c>
      <c r="H914" s="116"/>
      <c r="I914" s="116"/>
      <c r="L914" s="170">
        <v>43346</v>
      </c>
      <c r="M914" s="116">
        <v>912.45</v>
      </c>
      <c r="N914" s="116">
        <v>928.6</v>
      </c>
      <c r="O914" s="116">
        <v>904.05</v>
      </c>
      <c r="P914" s="116">
        <v>914.5</v>
      </c>
      <c r="Q914" s="116">
        <v>1824.9</v>
      </c>
      <c r="R914">
        <v>300031</v>
      </c>
    </row>
    <row r="915" spans="1:18" x14ac:dyDescent="0.25">
      <c r="A915" s="170">
        <v>43347</v>
      </c>
      <c r="B915" s="116">
        <v>911.57500000000005</v>
      </c>
      <c r="C915" s="116">
        <v>876.57500000000005</v>
      </c>
      <c r="D915" s="116">
        <v>871.2</v>
      </c>
      <c r="E915" s="116">
        <v>911.57500000000005</v>
      </c>
      <c r="F915" s="116">
        <v>1753.15</v>
      </c>
      <c r="G915">
        <v>13654</v>
      </c>
      <c r="H915" s="116"/>
      <c r="I915" s="116"/>
      <c r="L915" s="170">
        <v>43347</v>
      </c>
      <c r="M915" s="116">
        <v>876.875</v>
      </c>
      <c r="N915" s="116">
        <v>914</v>
      </c>
      <c r="O915" s="116">
        <v>873.27499999999998</v>
      </c>
      <c r="P915" s="116">
        <v>912.75</v>
      </c>
      <c r="Q915" s="116">
        <v>1753.75</v>
      </c>
      <c r="R915">
        <v>210934</v>
      </c>
    </row>
    <row r="916" spans="1:18" x14ac:dyDescent="0.25">
      <c r="A916" s="170">
        <v>43348</v>
      </c>
      <c r="B916" s="116">
        <v>887.17499999999995</v>
      </c>
      <c r="C916" s="116">
        <v>867.97500000000002</v>
      </c>
      <c r="D916" s="116">
        <v>851.5</v>
      </c>
      <c r="E916" s="116">
        <v>880.22500000000002</v>
      </c>
      <c r="F916" s="116">
        <v>1735.95</v>
      </c>
      <c r="G916">
        <v>19259</v>
      </c>
      <c r="H916" s="116"/>
      <c r="I916" s="116"/>
      <c r="L916" s="170">
        <v>43348</v>
      </c>
      <c r="M916" s="116">
        <v>867.875</v>
      </c>
      <c r="N916" s="116">
        <v>886.92499999999995</v>
      </c>
      <c r="O916" s="116">
        <v>854.77499999999998</v>
      </c>
      <c r="P916" s="116">
        <v>880</v>
      </c>
      <c r="Q916" s="116">
        <v>1735.75</v>
      </c>
      <c r="R916">
        <v>301755</v>
      </c>
    </row>
    <row r="917" spans="1:18" x14ac:dyDescent="0.25">
      <c r="A917" s="170">
        <v>43349</v>
      </c>
      <c r="B917" s="116">
        <v>922.55</v>
      </c>
      <c r="C917" s="116">
        <v>913.625</v>
      </c>
      <c r="D917" s="116">
        <v>869.7</v>
      </c>
      <c r="E917" s="116">
        <v>871.4</v>
      </c>
      <c r="F917" s="116">
        <v>1827.25</v>
      </c>
      <c r="G917">
        <v>26160</v>
      </c>
      <c r="H917" s="116"/>
      <c r="I917" s="116"/>
      <c r="L917" s="170">
        <v>43349</v>
      </c>
      <c r="M917" s="116">
        <v>914.2</v>
      </c>
      <c r="N917" s="116">
        <v>920.875</v>
      </c>
      <c r="O917" s="116">
        <v>867.52499999999998</v>
      </c>
      <c r="P917" s="116">
        <v>867.52499999999998</v>
      </c>
      <c r="Q917" s="116">
        <v>1828.4</v>
      </c>
      <c r="R917">
        <v>428815</v>
      </c>
    </row>
    <row r="918" spans="1:18" x14ac:dyDescent="0.25">
      <c r="A918" s="170">
        <v>43350</v>
      </c>
      <c r="B918" s="116">
        <v>935.97500000000002</v>
      </c>
      <c r="C918" s="116">
        <v>913.92499999999995</v>
      </c>
      <c r="D918" s="116">
        <v>899.75</v>
      </c>
      <c r="E918" s="116">
        <v>927.5</v>
      </c>
      <c r="F918" s="116">
        <v>1827.85</v>
      </c>
      <c r="G918">
        <v>35697</v>
      </c>
      <c r="H918" s="116"/>
      <c r="I918" s="116"/>
      <c r="L918" s="170">
        <v>43350</v>
      </c>
      <c r="M918" s="116">
        <v>917.45</v>
      </c>
      <c r="N918" s="116">
        <v>936.4</v>
      </c>
      <c r="O918" s="116">
        <v>899.25</v>
      </c>
      <c r="P918" s="116">
        <v>921</v>
      </c>
      <c r="Q918" s="116">
        <v>1834.9</v>
      </c>
      <c r="R918">
        <v>699212</v>
      </c>
    </row>
    <row r="919" spans="1:18" x14ac:dyDescent="0.25">
      <c r="A919" s="170">
        <v>43353</v>
      </c>
      <c r="B919" s="116">
        <v>928.27499999999998</v>
      </c>
      <c r="C919" s="116">
        <v>894.5</v>
      </c>
      <c r="D919" s="116">
        <v>891.02499999999998</v>
      </c>
      <c r="E919" s="116">
        <v>918.5</v>
      </c>
      <c r="F919" s="116">
        <v>1789</v>
      </c>
      <c r="G919">
        <v>11111</v>
      </c>
      <c r="H919" s="116"/>
      <c r="I919" s="116"/>
      <c r="L919" s="170">
        <v>43353</v>
      </c>
      <c r="M919" s="116">
        <v>894.02499999999998</v>
      </c>
      <c r="N919" s="116">
        <v>928.75</v>
      </c>
      <c r="O919" s="116">
        <v>890</v>
      </c>
      <c r="P919" s="116">
        <v>917</v>
      </c>
      <c r="Q919" s="116">
        <v>1788.05</v>
      </c>
      <c r="R919">
        <v>489650</v>
      </c>
    </row>
    <row r="920" spans="1:18" x14ac:dyDescent="0.25">
      <c r="A920" s="170">
        <v>43354</v>
      </c>
      <c r="B920" s="116">
        <v>908.6</v>
      </c>
      <c r="C920" s="116">
        <v>873.35</v>
      </c>
      <c r="D920" s="116">
        <v>866.17499999999995</v>
      </c>
      <c r="E920" s="116">
        <v>903.65</v>
      </c>
      <c r="F920" s="116">
        <v>1746.7</v>
      </c>
      <c r="G920">
        <v>20852</v>
      </c>
      <c r="H920" s="116"/>
      <c r="I920" s="116"/>
      <c r="L920" s="170">
        <v>43354</v>
      </c>
      <c r="M920" s="116">
        <v>872.92499999999995</v>
      </c>
      <c r="N920" s="116">
        <v>908.22500000000002</v>
      </c>
      <c r="O920" s="116">
        <v>865</v>
      </c>
      <c r="P920" s="116">
        <v>901.125</v>
      </c>
      <c r="Q920" s="116">
        <v>1745.85</v>
      </c>
      <c r="R920">
        <v>344012</v>
      </c>
    </row>
    <row r="921" spans="1:18" x14ac:dyDescent="0.25">
      <c r="A921" s="170">
        <v>43355</v>
      </c>
      <c r="B921" s="116">
        <v>896.32500000000005</v>
      </c>
      <c r="C921" s="116">
        <v>878.07500000000005</v>
      </c>
      <c r="D921" s="116">
        <v>856</v>
      </c>
      <c r="E921" s="116">
        <v>867.92499999999995</v>
      </c>
      <c r="F921" s="116">
        <v>1756.15</v>
      </c>
      <c r="G921">
        <v>19058</v>
      </c>
      <c r="H921" s="116"/>
      <c r="I921" s="116"/>
      <c r="L921" s="170">
        <v>43355</v>
      </c>
      <c r="M921" s="116">
        <v>875.75</v>
      </c>
      <c r="N921" s="116">
        <v>897.07500000000005</v>
      </c>
      <c r="O921" s="116">
        <v>853.07500000000005</v>
      </c>
      <c r="P921" s="116">
        <v>874.45</v>
      </c>
      <c r="Q921" s="116">
        <v>1751.5</v>
      </c>
      <c r="R921">
        <v>306451</v>
      </c>
    </row>
    <row r="922" spans="1:18" x14ac:dyDescent="0.25">
      <c r="A922" s="170">
        <v>43357</v>
      </c>
      <c r="B922" s="116">
        <v>885</v>
      </c>
      <c r="C922" s="116">
        <v>868.875</v>
      </c>
      <c r="D922" s="116">
        <v>855</v>
      </c>
      <c r="E922" s="116">
        <v>882.85</v>
      </c>
      <c r="F922" s="116">
        <v>1737.75</v>
      </c>
      <c r="G922">
        <v>30875</v>
      </c>
      <c r="H922" s="116"/>
      <c r="I922" s="116"/>
      <c r="L922" s="170">
        <v>43357</v>
      </c>
      <c r="M922" s="116">
        <v>869.125</v>
      </c>
      <c r="N922" s="116">
        <v>886</v>
      </c>
      <c r="O922" s="116">
        <v>853.27499999999998</v>
      </c>
      <c r="P922" s="116">
        <v>880</v>
      </c>
      <c r="Q922" s="116">
        <v>1738.25</v>
      </c>
      <c r="R922">
        <v>382309</v>
      </c>
    </row>
    <row r="923" spans="1:18" x14ac:dyDescent="0.25">
      <c r="A923" s="170">
        <v>43360</v>
      </c>
      <c r="B923" s="116">
        <v>899.5</v>
      </c>
      <c r="C923" s="116">
        <v>891.375</v>
      </c>
      <c r="D923" s="116">
        <v>861.82500000000005</v>
      </c>
      <c r="E923" s="116">
        <v>875</v>
      </c>
      <c r="F923" s="116">
        <v>1782.75</v>
      </c>
      <c r="G923">
        <v>31022</v>
      </c>
      <c r="H923" s="116"/>
      <c r="I923" s="116"/>
      <c r="L923" s="170">
        <v>43360</v>
      </c>
      <c r="M923" s="116">
        <v>890.82500000000005</v>
      </c>
      <c r="N923" s="116">
        <v>899</v>
      </c>
      <c r="O923" s="116">
        <v>860.85</v>
      </c>
      <c r="P923" s="116">
        <v>871.5</v>
      </c>
      <c r="Q923" s="116">
        <v>1781.65</v>
      </c>
      <c r="R923">
        <v>503708</v>
      </c>
    </row>
    <row r="924" spans="1:18" x14ac:dyDescent="0.25">
      <c r="A924" s="170">
        <v>43361</v>
      </c>
      <c r="B924" s="116">
        <v>891.97500000000002</v>
      </c>
      <c r="C924" s="116">
        <v>867.35</v>
      </c>
      <c r="D924" s="116">
        <v>864.125</v>
      </c>
      <c r="E924" s="116">
        <v>891.75</v>
      </c>
      <c r="F924" s="116">
        <v>1734.7</v>
      </c>
      <c r="G924">
        <v>9871</v>
      </c>
      <c r="H924" s="116"/>
      <c r="I924" s="116"/>
      <c r="L924" s="170">
        <v>43361</v>
      </c>
      <c r="M924" s="116">
        <v>867.6</v>
      </c>
      <c r="N924" s="116">
        <v>896.07500000000005</v>
      </c>
      <c r="O924" s="116">
        <v>862.6</v>
      </c>
      <c r="P924" s="116">
        <v>896</v>
      </c>
      <c r="Q924" s="116">
        <v>1735.2</v>
      </c>
      <c r="R924">
        <v>203553</v>
      </c>
    </row>
    <row r="925" spans="1:18" x14ac:dyDescent="0.25">
      <c r="A925" s="170">
        <v>43362</v>
      </c>
      <c r="B925" s="116">
        <v>883.25</v>
      </c>
      <c r="C925" s="116">
        <v>877.125</v>
      </c>
      <c r="D925" s="116">
        <v>865.67499999999995</v>
      </c>
      <c r="E925" s="116">
        <v>873.65</v>
      </c>
      <c r="F925" s="116">
        <v>1754.25</v>
      </c>
      <c r="G925">
        <v>11798</v>
      </c>
      <c r="H925" s="116"/>
      <c r="I925" s="116"/>
      <c r="L925" s="170">
        <v>43362</v>
      </c>
      <c r="M925" s="116">
        <v>879.67499999999995</v>
      </c>
      <c r="N925" s="116">
        <v>883.5</v>
      </c>
      <c r="O925" s="116">
        <v>865</v>
      </c>
      <c r="P925" s="116">
        <v>876.4</v>
      </c>
      <c r="Q925" s="116">
        <v>1759.35</v>
      </c>
      <c r="R925">
        <v>227880</v>
      </c>
    </row>
    <row r="926" spans="1:18" x14ac:dyDescent="0.25">
      <c r="A926" s="170">
        <v>43364</v>
      </c>
      <c r="B926" s="116">
        <v>887.5</v>
      </c>
      <c r="C926" s="116">
        <v>863.97500000000002</v>
      </c>
      <c r="D926" s="116">
        <v>794.47500000000002</v>
      </c>
      <c r="E926" s="116">
        <v>879.07500000000005</v>
      </c>
      <c r="F926" s="116">
        <v>1727.95</v>
      </c>
      <c r="G926">
        <v>22820</v>
      </c>
      <c r="H926" s="116"/>
      <c r="I926" s="116"/>
      <c r="L926" s="170">
        <v>43364</v>
      </c>
      <c r="M926" s="116">
        <v>864.875</v>
      </c>
      <c r="N926" s="116">
        <v>887.5</v>
      </c>
      <c r="O926" s="116">
        <v>791.72500000000002</v>
      </c>
      <c r="P926" s="116">
        <v>879.97500000000002</v>
      </c>
      <c r="Q926" s="116">
        <v>1729.75</v>
      </c>
      <c r="R926">
        <v>453321</v>
      </c>
    </row>
    <row r="927" spans="1:18" x14ac:dyDescent="0.25">
      <c r="A927" s="170">
        <v>43367</v>
      </c>
      <c r="B927" s="116">
        <v>866.55</v>
      </c>
      <c r="C927" s="116">
        <v>840.8</v>
      </c>
      <c r="D927" s="116">
        <v>837.52499999999998</v>
      </c>
      <c r="E927" s="116">
        <v>862.22500000000002</v>
      </c>
      <c r="F927" s="116">
        <v>1681.6</v>
      </c>
      <c r="G927">
        <v>10010</v>
      </c>
      <c r="H927" s="116"/>
      <c r="I927" s="116"/>
      <c r="L927" s="170">
        <v>43367</v>
      </c>
      <c r="M927" s="116">
        <v>841.65</v>
      </c>
      <c r="N927" s="116">
        <v>865.5</v>
      </c>
      <c r="O927" s="116">
        <v>837.52499999999998</v>
      </c>
      <c r="P927" s="116">
        <v>864.5</v>
      </c>
      <c r="Q927" s="116">
        <v>1683.3</v>
      </c>
      <c r="R927">
        <v>212268</v>
      </c>
    </row>
    <row r="928" spans="1:18" x14ac:dyDescent="0.25">
      <c r="A928" s="170">
        <v>43368</v>
      </c>
      <c r="B928" s="116">
        <v>871.625</v>
      </c>
      <c r="C928" s="116">
        <v>863.97500000000002</v>
      </c>
      <c r="D928" s="116">
        <v>823.17499999999995</v>
      </c>
      <c r="E928" s="116">
        <v>830</v>
      </c>
      <c r="F928" s="116">
        <v>1727.95</v>
      </c>
      <c r="G928">
        <v>16136</v>
      </c>
      <c r="H928" s="116"/>
      <c r="I928" s="116"/>
      <c r="L928" s="170">
        <v>43368</v>
      </c>
      <c r="M928" s="116">
        <v>863.75</v>
      </c>
      <c r="N928" s="116">
        <v>872.45</v>
      </c>
      <c r="O928" s="116">
        <v>825</v>
      </c>
      <c r="P928" s="116">
        <v>827.6</v>
      </c>
      <c r="Q928" s="116">
        <v>1727.5</v>
      </c>
      <c r="R928">
        <v>311865</v>
      </c>
    </row>
    <row r="929" spans="1:18" x14ac:dyDescent="0.25">
      <c r="A929" s="170">
        <v>43369</v>
      </c>
      <c r="B929" s="116">
        <v>874.75</v>
      </c>
      <c r="C929" s="116">
        <v>854.45</v>
      </c>
      <c r="D929" s="116">
        <v>851.27499999999998</v>
      </c>
      <c r="E929" s="116">
        <v>872.55</v>
      </c>
      <c r="F929" s="116">
        <v>1708.9</v>
      </c>
      <c r="G929">
        <v>10295</v>
      </c>
      <c r="H929" s="116"/>
      <c r="I929" s="116"/>
      <c r="L929" s="170">
        <v>43369</v>
      </c>
      <c r="M929" s="116">
        <v>852.45</v>
      </c>
      <c r="N929" s="116">
        <v>874.05</v>
      </c>
      <c r="O929" s="116">
        <v>850.5</v>
      </c>
      <c r="P929" s="116">
        <v>865</v>
      </c>
      <c r="Q929" s="116">
        <v>1704.9</v>
      </c>
      <c r="R929">
        <v>192584</v>
      </c>
    </row>
    <row r="930" spans="1:18" x14ac:dyDescent="0.25">
      <c r="A930" s="170">
        <v>43370</v>
      </c>
      <c r="B930" s="116">
        <v>857.125</v>
      </c>
      <c r="C930" s="116">
        <v>839.47500000000002</v>
      </c>
      <c r="D930" s="116">
        <v>837.02499999999998</v>
      </c>
      <c r="E930" s="116">
        <v>854.52499999999998</v>
      </c>
      <c r="F930" s="116">
        <v>1678.95</v>
      </c>
      <c r="G930">
        <v>5277</v>
      </c>
      <c r="H930" s="116"/>
      <c r="I930" s="116"/>
      <c r="L930" s="170">
        <v>43370</v>
      </c>
      <c r="M930" s="116">
        <v>839.45</v>
      </c>
      <c r="N930" s="116">
        <v>858.85</v>
      </c>
      <c r="O930" s="116">
        <v>835</v>
      </c>
      <c r="P930" s="116">
        <v>858.82500000000005</v>
      </c>
      <c r="Q930" s="116">
        <v>1678.9</v>
      </c>
      <c r="R930">
        <v>185544</v>
      </c>
    </row>
    <row r="931" spans="1:18" x14ac:dyDescent="0.25">
      <c r="A931" s="170">
        <v>43371</v>
      </c>
      <c r="B931" s="116">
        <v>846.6</v>
      </c>
      <c r="C931" s="116">
        <v>825.125</v>
      </c>
      <c r="D931" s="116">
        <v>807.52499999999998</v>
      </c>
      <c r="E931" s="116">
        <v>840.125</v>
      </c>
      <c r="F931" s="116">
        <v>1650.25</v>
      </c>
      <c r="G931">
        <v>15488</v>
      </c>
      <c r="H931" s="116"/>
      <c r="I931" s="116"/>
      <c r="L931" s="170">
        <v>43371</v>
      </c>
      <c r="M931" s="116">
        <v>826.3</v>
      </c>
      <c r="N931" s="116">
        <v>848</v>
      </c>
      <c r="O931" s="116">
        <v>810</v>
      </c>
      <c r="P931" s="116">
        <v>848</v>
      </c>
      <c r="Q931" s="116">
        <v>1652.6</v>
      </c>
      <c r="R931">
        <v>211810</v>
      </c>
    </row>
    <row r="932" spans="1:18" x14ac:dyDescent="0.25">
      <c r="A932" s="170">
        <v>43374</v>
      </c>
      <c r="B932" s="116">
        <v>831.22500000000002</v>
      </c>
      <c r="C932" s="116">
        <v>825.57500000000005</v>
      </c>
      <c r="D932" s="116">
        <v>789.5</v>
      </c>
      <c r="E932" s="116">
        <v>820.02499999999998</v>
      </c>
      <c r="F932" s="116">
        <v>1651.15</v>
      </c>
      <c r="G932">
        <v>14142</v>
      </c>
      <c r="H932" s="116"/>
      <c r="I932" s="116"/>
      <c r="L932" s="170">
        <v>43374</v>
      </c>
      <c r="M932" s="116">
        <v>826.25</v>
      </c>
      <c r="N932" s="116">
        <v>832.45</v>
      </c>
      <c r="O932" s="116">
        <v>800.45</v>
      </c>
      <c r="P932" s="116">
        <v>820</v>
      </c>
      <c r="Q932" s="116">
        <v>1652.5</v>
      </c>
      <c r="R932">
        <v>221908</v>
      </c>
    </row>
    <row r="933" spans="1:18" x14ac:dyDescent="0.25">
      <c r="A933" s="170">
        <v>43376</v>
      </c>
      <c r="B933" s="116">
        <v>829.35</v>
      </c>
      <c r="C933" s="116">
        <v>824.5</v>
      </c>
      <c r="D933" s="116">
        <v>817.5</v>
      </c>
      <c r="E933" s="116">
        <v>817.77499999999998</v>
      </c>
      <c r="F933" s="116">
        <v>1649</v>
      </c>
      <c r="G933">
        <v>7509</v>
      </c>
      <c r="H933" s="116"/>
      <c r="I933" s="116"/>
      <c r="L933" s="170">
        <v>43376</v>
      </c>
      <c r="M933" s="116">
        <v>824.65</v>
      </c>
      <c r="N933" s="116">
        <v>830</v>
      </c>
      <c r="O933" s="116">
        <v>818.52499999999998</v>
      </c>
      <c r="P933" s="116">
        <v>823.95</v>
      </c>
      <c r="Q933" s="116">
        <v>1649.3</v>
      </c>
      <c r="R933">
        <v>259700</v>
      </c>
    </row>
    <row r="934" spans="1:18" x14ac:dyDescent="0.25">
      <c r="A934" s="170">
        <v>43377</v>
      </c>
      <c r="B934" s="116">
        <v>825.57500000000005</v>
      </c>
      <c r="C934" s="116">
        <v>817.5</v>
      </c>
      <c r="D934" s="116">
        <v>795.67499999999995</v>
      </c>
      <c r="E934" s="116">
        <v>820</v>
      </c>
      <c r="F934" s="116">
        <v>1635</v>
      </c>
      <c r="G934">
        <v>10238</v>
      </c>
      <c r="H934" s="116"/>
      <c r="I934" s="116"/>
      <c r="L934" s="170">
        <v>43377</v>
      </c>
      <c r="M934" s="116">
        <v>819.27499999999998</v>
      </c>
      <c r="N934" s="116">
        <v>826.22500000000002</v>
      </c>
      <c r="O934" s="116">
        <v>802.5</v>
      </c>
      <c r="P934" s="116">
        <v>823.92499999999995</v>
      </c>
      <c r="Q934" s="116">
        <v>1638.55</v>
      </c>
      <c r="R934">
        <v>172959</v>
      </c>
    </row>
    <row r="935" spans="1:18" x14ac:dyDescent="0.25">
      <c r="A935" s="170">
        <v>43378</v>
      </c>
      <c r="B935" s="116">
        <v>825.07500000000005</v>
      </c>
      <c r="C935" s="116">
        <v>807.6</v>
      </c>
      <c r="D935" s="116">
        <v>790.57500000000005</v>
      </c>
      <c r="E935" s="116">
        <v>816.375</v>
      </c>
      <c r="F935" s="116">
        <v>1615.2</v>
      </c>
      <c r="G935">
        <v>9299</v>
      </c>
      <c r="H935" s="116"/>
      <c r="I935" s="116"/>
      <c r="L935" s="170">
        <v>43378</v>
      </c>
      <c r="M935" s="116">
        <v>805.125</v>
      </c>
      <c r="N935" s="116">
        <v>825</v>
      </c>
      <c r="O935" s="116">
        <v>795.5</v>
      </c>
      <c r="P935" s="116">
        <v>814</v>
      </c>
      <c r="Q935" s="116">
        <v>1610.25</v>
      </c>
      <c r="R935">
        <v>124941</v>
      </c>
    </row>
    <row r="936" spans="1:18" x14ac:dyDescent="0.25">
      <c r="A936" s="170">
        <v>43381</v>
      </c>
      <c r="B936" s="116">
        <v>815</v>
      </c>
      <c r="C936" s="116">
        <v>783.05</v>
      </c>
      <c r="D936" s="116">
        <v>763.65</v>
      </c>
      <c r="E936" s="116">
        <v>815</v>
      </c>
      <c r="F936" s="116">
        <v>1566.1</v>
      </c>
      <c r="G936">
        <v>7983</v>
      </c>
      <c r="H936" s="116"/>
      <c r="I936" s="116"/>
      <c r="L936" s="170">
        <v>43381</v>
      </c>
      <c r="M936" s="116">
        <v>784.5</v>
      </c>
      <c r="N936" s="116">
        <v>802.82500000000005</v>
      </c>
      <c r="O936" s="116">
        <v>765</v>
      </c>
      <c r="P936" s="116">
        <v>801.02499999999998</v>
      </c>
      <c r="Q936" s="116">
        <v>1569</v>
      </c>
      <c r="R936">
        <v>239193</v>
      </c>
    </row>
    <row r="937" spans="1:18" x14ac:dyDescent="0.25">
      <c r="A937" s="170">
        <v>43382</v>
      </c>
      <c r="B937" s="116">
        <v>807.05</v>
      </c>
      <c r="C937" s="116">
        <v>797.375</v>
      </c>
      <c r="D937" s="116">
        <v>778.95</v>
      </c>
      <c r="E937" s="116">
        <v>783.55</v>
      </c>
      <c r="F937" s="116">
        <v>1594.75</v>
      </c>
      <c r="G937">
        <v>4213</v>
      </c>
      <c r="H937" s="116"/>
      <c r="I937" s="116"/>
      <c r="L937" s="170">
        <v>43382</v>
      </c>
      <c r="M937" s="116">
        <v>797.52499999999998</v>
      </c>
      <c r="N937" s="116">
        <v>808.3</v>
      </c>
      <c r="O937" s="116">
        <v>779</v>
      </c>
      <c r="P937" s="116">
        <v>783.4</v>
      </c>
      <c r="Q937" s="116">
        <v>1595.05</v>
      </c>
      <c r="R937">
        <v>127089</v>
      </c>
    </row>
    <row r="938" spans="1:18" x14ac:dyDescent="0.25">
      <c r="A938" s="170">
        <v>43383</v>
      </c>
      <c r="B938" s="116">
        <v>817.07500000000005</v>
      </c>
      <c r="C938" s="116">
        <v>804.45</v>
      </c>
      <c r="D938" s="116">
        <v>792.45</v>
      </c>
      <c r="E938" s="116">
        <v>792.45</v>
      </c>
      <c r="F938" s="116">
        <v>1608.9</v>
      </c>
      <c r="G938">
        <v>4304</v>
      </c>
      <c r="H938" s="116"/>
      <c r="I938" s="116"/>
      <c r="L938" s="170">
        <v>43383</v>
      </c>
      <c r="M938" s="116">
        <v>806.45</v>
      </c>
      <c r="N938" s="116">
        <v>817.57500000000005</v>
      </c>
      <c r="O938" s="116">
        <v>790.02499999999998</v>
      </c>
      <c r="P938" s="116">
        <v>792.5</v>
      </c>
      <c r="Q938" s="116">
        <v>1612.9</v>
      </c>
      <c r="R938">
        <v>115528</v>
      </c>
    </row>
    <row r="939" spans="1:18" x14ac:dyDescent="0.25">
      <c r="A939" s="170">
        <v>43384</v>
      </c>
      <c r="B939" s="116">
        <v>814</v>
      </c>
      <c r="C939" s="116">
        <v>800.45</v>
      </c>
      <c r="D939" s="116">
        <v>777.9</v>
      </c>
      <c r="E939" s="116">
        <v>804.5</v>
      </c>
      <c r="F939" s="116">
        <v>1600.9</v>
      </c>
      <c r="G939">
        <v>7619</v>
      </c>
      <c r="H939" s="116"/>
      <c r="I939" s="116"/>
      <c r="L939" s="170">
        <v>43384</v>
      </c>
      <c r="M939" s="116">
        <v>798.7</v>
      </c>
      <c r="N939" s="116">
        <v>817.35</v>
      </c>
      <c r="O939" s="116">
        <v>775.07500000000005</v>
      </c>
      <c r="P939" s="116">
        <v>794</v>
      </c>
      <c r="Q939" s="116">
        <v>1597.4</v>
      </c>
      <c r="R939">
        <v>99744</v>
      </c>
    </row>
    <row r="940" spans="1:18" x14ac:dyDescent="0.25">
      <c r="A940" s="170">
        <v>43385</v>
      </c>
      <c r="B940" s="116">
        <v>807.35</v>
      </c>
      <c r="C940" s="116">
        <v>791.47500000000002</v>
      </c>
      <c r="D940" s="116">
        <v>776.85</v>
      </c>
      <c r="E940" s="116">
        <v>806.72500000000002</v>
      </c>
      <c r="F940" s="116">
        <v>1582.95</v>
      </c>
      <c r="G940">
        <v>5010</v>
      </c>
      <c r="H940" s="116"/>
      <c r="I940" s="116"/>
      <c r="L940" s="170">
        <v>43385</v>
      </c>
      <c r="M940" s="116">
        <v>790.125</v>
      </c>
      <c r="N940" s="116">
        <v>812.92499999999995</v>
      </c>
      <c r="O940" s="116">
        <v>775.97500000000002</v>
      </c>
      <c r="P940" s="116">
        <v>800.5</v>
      </c>
      <c r="Q940" s="116">
        <v>1580.25</v>
      </c>
      <c r="R940">
        <v>243142</v>
      </c>
    </row>
    <row r="941" spans="1:18" x14ac:dyDescent="0.25">
      <c r="A941" s="170">
        <v>43388</v>
      </c>
      <c r="B941" s="116">
        <v>815</v>
      </c>
      <c r="C941" s="116">
        <v>807.25</v>
      </c>
      <c r="D941" s="116">
        <v>791.125</v>
      </c>
      <c r="E941" s="116">
        <v>814.5</v>
      </c>
      <c r="F941" s="116">
        <v>1614.5</v>
      </c>
      <c r="G941">
        <v>17851</v>
      </c>
      <c r="H941" s="116"/>
      <c r="I941" s="116"/>
      <c r="L941" s="170">
        <v>43388</v>
      </c>
      <c r="M941" s="116">
        <v>805.4</v>
      </c>
      <c r="N941" s="116">
        <v>814.95</v>
      </c>
      <c r="O941" s="116">
        <v>792.2</v>
      </c>
      <c r="P941" s="116">
        <v>795</v>
      </c>
      <c r="Q941" s="116">
        <v>1610.8</v>
      </c>
      <c r="R941">
        <v>273288</v>
      </c>
    </row>
    <row r="942" spans="1:18" x14ac:dyDescent="0.25">
      <c r="A942" s="170">
        <v>43389</v>
      </c>
      <c r="B942" s="116">
        <v>821.35</v>
      </c>
      <c r="C942" s="116">
        <v>811.9</v>
      </c>
      <c r="D942" s="116">
        <v>792.5</v>
      </c>
      <c r="E942" s="116">
        <v>809.22500000000002</v>
      </c>
      <c r="F942" s="116">
        <v>1623.8</v>
      </c>
      <c r="G942">
        <v>18372</v>
      </c>
      <c r="H942" s="116"/>
      <c r="I942" s="116"/>
      <c r="L942" s="170">
        <v>43389</v>
      </c>
      <c r="M942" s="116">
        <v>813.15</v>
      </c>
      <c r="N942" s="116">
        <v>821.95</v>
      </c>
      <c r="O942" s="116">
        <v>791</v>
      </c>
      <c r="P942" s="116">
        <v>805.1</v>
      </c>
      <c r="Q942" s="116">
        <v>1626.3</v>
      </c>
      <c r="R942">
        <v>295627</v>
      </c>
    </row>
    <row r="943" spans="1:18" x14ac:dyDescent="0.25">
      <c r="A943" s="170">
        <v>43390</v>
      </c>
      <c r="B943" s="116">
        <v>822</v>
      </c>
      <c r="C943" s="116">
        <v>779.9</v>
      </c>
      <c r="D943" s="116">
        <v>778</v>
      </c>
      <c r="E943" s="116">
        <v>822</v>
      </c>
      <c r="F943" s="116">
        <v>1559.8</v>
      </c>
      <c r="G943">
        <v>9573</v>
      </c>
      <c r="H943" s="116"/>
      <c r="I943" s="116"/>
      <c r="L943" s="170">
        <v>43390</v>
      </c>
      <c r="M943" s="116">
        <v>780.42499999999995</v>
      </c>
      <c r="N943" s="116">
        <v>822.15</v>
      </c>
      <c r="O943" s="116">
        <v>777.35</v>
      </c>
      <c r="P943" s="116">
        <v>815.57500000000005</v>
      </c>
      <c r="Q943" s="116">
        <v>1560.85</v>
      </c>
      <c r="R943">
        <v>195655</v>
      </c>
    </row>
    <row r="944" spans="1:18" x14ac:dyDescent="0.25">
      <c r="A944" s="170">
        <v>43392</v>
      </c>
      <c r="B944" s="116">
        <v>788.47500000000002</v>
      </c>
      <c r="C944" s="116">
        <v>781.67499999999995</v>
      </c>
      <c r="D944" s="116">
        <v>757.95</v>
      </c>
      <c r="E944" s="116">
        <v>778.07500000000005</v>
      </c>
      <c r="F944" s="116">
        <v>1563.35</v>
      </c>
      <c r="G944">
        <v>11697</v>
      </c>
      <c r="H944" s="116"/>
      <c r="I944" s="116"/>
      <c r="L944" s="170">
        <v>43392</v>
      </c>
      <c r="M944" s="116">
        <v>781.4</v>
      </c>
      <c r="N944" s="116">
        <v>789</v>
      </c>
      <c r="O944" s="116">
        <v>755.67499999999995</v>
      </c>
      <c r="P944" s="116">
        <v>779.45</v>
      </c>
      <c r="Q944" s="116">
        <v>1562.8</v>
      </c>
      <c r="R944">
        <v>243809</v>
      </c>
    </row>
    <row r="945" spans="1:18" x14ac:dyDescent="0.25">
      <c r="A945" s="170">
        <v>43395</v>
      </c>
      <c r="B945" s="116">
        <v>809.77499999999998</v>
      </c>
      <c r="C945" s="116">
        <v>797.45</v>
      </c>
      <c r="D945" s="116">
        <v>776.27499999999998</v>
      </c>
      <c r="E945" s="116">
        <v>781.47500000000002</v>
      </c>
      <c r="F945" s="116">
        <v>1594.9</v>
      </c>
      <c r="G945">
        <v>8230</v>
      </c>
      <c r="H945" s="116"/>
      <c r="I945" s="116"/>
      <c r="L945" s="170">
        <v>43395</v>
      </c>
      <c r="M945" s="116">
        <v>799.65</v>
      </c>
      <c r="N945" s="116">
        <v>810.5</v>
      </c>
      <c r="O945" s="116">
        <v>775.02499999999998</v>
      </c>
      <c r="P945" s="116">
        <v>780</v>
      </c>
      <c r="Q945" s="116">
        <v>1599.3</v>
      </c>
      <c r="R945">
        <v>313637</v>
      </c>
    </row>
    <row r="946" spans="1:18" x14ac:dyDescent="0.25">
      <c r="A946" s="170">
        <v>43396</v>
      </c>
      <c r="B946" s="116">
        <v>803.77499999999998</v>
      </c>
      <c r="C946" s="116">
        <v>797.7</v>
      </c>
      <c r="D946" s="116">
        <v>784.4</v>
      </c>
      <c r="E946" s="116">
        <v>796.85</v>
      </c>
      <c r="F946" s="116">
        <v>1595.4</v>
      </c>
      <c r="G946">
        <v>4500</v>
      </c>
      <c r="H946" s="116"/>
      <c r="I946" s="116"/>
      <c r="L946" s="170">
        <v>43396</v>
      </c>
      <c r="M946" s="116">
        <v>797.95</v>
      </c>
      <c r="N946" s="116">
        <v>803.5</v>
      </c>
      <c r="O946" s="116">
        <v>784.5</v>
      </c>
      <c r="P946" s="116">
        <v>798.45</v>
      </c>
      <c r="Q946" s="116">
        <v>1595.9</v>
      </c>
      <c r="R946">
        <v>107391</v>
      </c>
    </row>
    <row r="947" spans="1:18" x14ac:dyDescent="0.25">
      <c r="A947" s="170">
        <v>43397</v>
      </c>
      <c r="B947" s="116">
        <v>810.625</v>
      </c>
      <c r="C947" s="116">
        <v>801.95</v>
      </c>
      <c r="D947" s="116">
        <v>792.75</v>
      </c>
      <c r="E947" s="116">
        <v>797.4</v>
      </c>
      <c r="F947" s="116">
        <v>1603.9</v>
      </c>
      <c r="G947">
        <v>6615</v>
      </c>
      <c r="H947" s="116"/>
      <c r="I947" s="116"/>
      <c r="L947" s="170">
        <v>43397</v>
      </c>
      <c r="M947" s="116">
        <v>800.22500000000002</v>
      </c>
      <c r="N947" s="116">
        <v>812</v>
      </c>
      <c r="O947" s="116">
        <v>791.95</v>
      </c>
      <c r="P947" s="116">
        <v>796</v>
      </c>
      <c r="Q947" s="116">
        <v>1600.45</v>
      </c>
      <c r="R947">
        <v>158573</v>
      </c>
    </row>
    <row r="948" spans="1:18" x14ac:dyDescent="0.25">
      <c r="A948" s="170">
        <v>43398</v>
      </c>
      <c r="B948" s="116">
        <v>810</v>
      </c>
      <c r="C948" s="116">
        <v>793.45</v>
      </c>
      <c r="D948" s="116">
        <v>783.02499999999998</v>
      </c>
      <c r="E948" s="116">
        <v>797.5</v>
      </c>
      <c r="F948" s="116">
        <v>1586.9</v>
      </c>
      <c r="G948">
        <v>3443</v>
      </c>
      <c r="H948" s="116"/>
      <c r="I948" s="116"/>
      <c r="L948" s="170">
        <v>43398</v>
      </c>
      <c r="M948" s="116">
        <v>789.5</v>
      </c>
      <c r="N948" s="116">
        <v>799</v>
      </c>
      <c r="O948" s="116">
        <v>781.02499999999998</v>
      </c>
      <c r="P948" s="116">
        <v>797</v>
      </c>
      <c r="Q948" s="116">
        <v>1579</v>
      </c>
      <c r="R948">
        <v>110046</v>
      </c>
    </row>
    <row r="949" spans="1:18" x14ac:dyDescent="0.25">
      <c r="A949" s="170">
        <v>43399</v>
      </c>
      <c r="B949" s="116">
        <v>826.02499999999998</v>
      </c>
      <c r="C949" s="116">
        <v>809.9</v>
      </c>
      <c r="D949" s="116">
        <v>787.5</v>
      </c>
      <c r="E949" s="116">
        <v>795.95</v>
      </c>
      <c r="F949" s="116">
        <v>1619.8</v>
      </c>
      <c r="G949">
        <v>13282</v>
      </c>
      <c r="H949" s="116"/>
      <c r="I949" s="116"/>
      <c r="L949" s="170">
        <v>43399</v>
      </c>
      <c r="M949" s="116">
        <v>813</v>
      </c>
      <c r="N949" s="116">
        <v>827.5</v>
      </c>
      <c r="O949" s="116">
        <v>786.67499999999995</v>
      </c>
      <c r="P949" s="116">
        <v>794.5</v>
      </c>
      <c r="Q949" s="116">
        <v>1626</v>
      </c>
      <c r="R949">
        <v>216340</v>
      </c>
    </row>
    <row r="950" spans="1:18" x14ac:dyDescent="0.25">
      <c r="A950" s="170">
        <v>43402</v>
      </c>
      <c r="B950" s="116">
        <v>842</v>
      </c>
      <c r="C950" s="116">
        <v>831</v>
      </c>
      <c r="D950" s="116">
        <v>816.9</v>
      </c>
      <c r="E950" s="116">
        <v>821.05</v>
      </c>
      <c r="F950" s="116">
        <v>1662</v>
      </c>
      <c r="G950">
        <v>21273</v>
      </c>
      <c r="H950" s="116"/>
      <c r="I950" s="116"/>
      <c r="L950" s="170">
        <v>43402</v>
      </c>
      <c r="M950" s="116">
        <v>832.125</v>
      </c>
      <c r="N950" s="116">
        <v>842.5</v>
      </c>
      <c r="O950" s="116">
        <v>816</v>
      </c>
      <c r="P950" s="116">
        <v>816</v>
      </c>
      <c r="Q950" s="116">
        <v>1664.25</v>
      </c>
      <c r="R950">
        <v>489391</v>
      </c>
    </row>
    <row r="951" spans="1:18" x14ac:dyDescent="0.25">
      <c r="A951" s="170">
        <v>43403</v>
      </c>
      <c r="B951" s="116">
        <v>836.25</v>
      </c>
      <c r="C951" s="116">
        <v>827.95</v>
      </c>
      <c r="D951" s="116">
        <v>820.875</v>
      </c>
      <c r="E951" s="116">
        <v>834.97500000000002</v>
      </c>
      <c r="F951" s="116">
        <v>1655.9</v>
      </c>
      <c r="G951">
        <v>7515</v>
      </c>
      <c r="H951" s="116"/>
      <c r="I951" s="116"/>
      <c r="L951" s="170">
        <v>43403</v>
      </c>
      <c r="M951" s="116">
        <v>830.22500000000002</v>
      </c>
      <c r="N951" s="116">
        <v>837.57500000000005</v>
      </c>
      <c r="O951" s="116">
        <v>819.82500000000005</v>
      </c>
      <c r="P951" s="116">
        <v>826.52499999999998</v>
      </c>
      <c r="Q951" s="116">
        <v>1660.45</v>
      </c>
      <c r="R951">
        <v>200489</v>
      </c>
    </row>
    <row r="952" spans="1:18" x14ac:dyDescent="0.25">
      <c r="A952" s="170">
        <v>43404</v>
      </c>
      <c r="B952" s="116">
        <v>839</v>
      </c>
      <c r="C952" s="116">
        <v>832.625</v>
      </c>
      <c r="D952" s="116">
        <v>824.875</v>
      </c>
      <c r="E952" s="116">
        <v>835.8</v>
      </c>
      <c r="F952" s="116">
        <v>1665.25</v>
      </c>
      <c r="G952">
        <v>9231</v>
      </c>
      <c r="H952" s="116"/>
      <c r="I952" s="116"/>
      <c r="L952" s="170">
        <v>43404</v>
      </c>
      <c r="M952" s="116">
        <v>833.8</v>
      </c>
      <c r="N952" s="116">
        <v>840.32500000000005</v>
      </c>
      <c r="O952" s="116">
        <v>823.75</v>
      </c>
      <c r="P952" s="116">
        <v>840.32500000000005</v>
      </c>
      <c r="Q952" s="116">
        <v>1667.6</v>
      </c>
      <c r="R952">
        <v>165090</v>
      </c>
    </row>
    <row r="953" spans="1:18" x14ac:dyDescent="0.25">
      <c r="A953" s="170">
        <v>43405</v>
      </c>
      <c r="B953" s="116">
        <v>865.15</v>
      </c>
      <c r="C953" s="116">
        <v>855.72500000000002</v>
      </c>
      <c r="D953" s="116">
        <v>832.05</v>
      </c>
      <c r="E953" s="116">
        <v>842.45</v>
      </c>
      <c r="F953" s="116">
        <v>1711.45</v>
      </c>
      <c r="G953">
        <v>9241</v>
      </c>
      <c r="H953" s="116"/>
      <c r="I953" s="116"/>
      <c r="L953" s="170">
        <v>43405</v>
      </c>
      <c r="M953" s="116">
        <v>856.1</v>
      </c>
      <c r="N953" s="116">
        <v>865</v>
      </c>
      <c r="O953" s="116">
        <v>831.75</v>
      </c>
      <c r="P953" s="116">
        <v>837.47500000000002</v>
      </c>
      <c r="Q953" s="116">
        <v>1712.2</v>
      </c>
      <c r="R953">
        <v>241193</v>
      </c>
    </row>
    <row r="954" spans="1:18" x14ac:dyDescent="0.25">
      <c r="A954" s="170">
        <v>43406</v>
      </c>
      <c r="B954" s="116">
        <v>870</v>
      </c>
      <c r="C954" s="116">
        <v>815.17499999999995</v>
      </c>
      <c r="D954" s="116">
        <v>808.82500000000005</v>
      </c>
      <c r="E954" s="116">
        <v>868.35</v>
      </c>
      <c r="F954" s="116">
        <v>1630.35</v>
      </c>
      <c r="G954">
        <v>11382</v>
      </c>
      <c r="H954" s="116"/>
      <c r="I954" s="116"/>
      <c r="L954" s="170">
        <v>43406</v>
      </c>
      <c r="M954" s="116">
        <v>815.3</v>
      </c>
      <c r="N954" s="116">
        <v>873.72500000000002</v>
      </c>
      <c r="O954" s="116">
        <v>807.52499999999998</v>
      </c>
      <c r="P954" s="116">
        <v>860</v>
      </c>
      <c r="Q954" s="116">
        <v>1630.6</v>
      </c>
      <c r="R954">
        <v>198138</v>
      </c>
    </row>
    <row r="955" spans="1:18" x14ac:dyDescent="0.25">
      <c r="A955" s="170">
        <v>43409</v>
      </c>
      <c r="B955" s="116">
        <v>839.8</v>
      </c>
      <c r="C955" s="116">
        <v>800.75</v>
      </c>
      <c r="D955" s="116">
        <v>787.27499999999998</v>
      </c>
      <c r="E955" s="116">
        <v>839.8</v>
      </c>
      <c r="F955" s="116">
        <v>1601.5</v>
      </c>
      <c r="G955">
        <v>17172</v>
      </c>
      <c r="H955" s="116"/>
      <c r="I955" s="116"/>
      <c r="L955" s="170">
        <v>43409</v>
      </c>
      <c r="M955" s="116">
        <v>798.55</v>
      </c>
      <c r="N955" s="116">
        <v>829</v>
      </c>
      <c r="O955" s="116">
        <v>785.5</v>
      </c>
      <c r="P955" s="116">
        <v>828.5</v>
      </c>
      <c r="Q955" s="116">
        <v>1597.1</v>
      </c>
      <c r="R955">
        <v>497306</v>
      </c>
    </row>
    <row r="956" spans="1:18" x14ac:dyDescent="0.25">
      <c r="A956" s="170">
        <v>43410</v>
      </c>
      <c r="B956" s="116">
        <v>837.1</v>
      </c>
      <c r="C956" s="116">
        <v>831.5</v>
      </c>
      <c r="D956" s="116">
        <v>795.5</v>
      </c>
      <c r="E956" s="116">
        <v>795.5</v>
      </c>
      <c r="F956" s="116">
        <v>1663</v>
      </c>
      <c r="G956">
        <v>15401</v>
      </c>
      <c r="H956" s="116"/>
      <c r="I956" s="116"/>
      <c r="L956" s="170">
        <v>43410</v>
      </c>
      <c r="M956" s="116">
        <v>831.9</v>
      </c>
      <c r="N956" s="116">
        <v>837.5</v>
      </c>
      <c r="O956" s="116">
        <v>792.5</v>
      </c>
      <c r="P956" s="116">
        <v>802</v>
      </c>
      <c r="Q956" s="116">
        <v>1663.8</v>
      </c>
      <c r="R956">
        <v>751820</v>
      </c>
    </row>
    <row r="957" spans="1:18" x14ac:dyDescent="0.25">
      <c r="A957" s="170">
        <v>43411</v>
      </c>
      <c r="B957" s="116">
        <v>842.02499999999998</v>
      </c>
      <c r="C957" s="116">
        <v>834.75</v>
      </c>
      <c r="D957" s="116">
        <v>825</v>
      </c>
      <c r="E957" s="116">
        <v>825</v>
      </c>
      <c r="F957" s="116">
        <v>1669.5</v>
      </c>
      <c r="G957">
        <v>1161</v>
      </c>
      <c r="H957" s="116"/>
      <c r="I957" s="116"/>
      <c r="L957" s="170">
        <v>43411</v>
      </c>
      <c r="M957" s="116">
        <v>833.57500000000005</v>
      </c>
      <c r="N957" s="116">
        <v>844.35</v>
      </c>
      <c r="O957" s="116">
        <v>828.125</v>
      </c>
      <c r="P957" s="116">
        <v>837</v>
      </c>
      <c r="Q957" s="116">
        <v>1667.15</v>
      </c>
      <c r="R957">
        <v>24634</v>
      </c>
    </row>
    <row r="958" spans="1:18" x14ac:dyDescent="0.25">
      <c r="A958" s="170">
        <v>43413</v>
      </c>
      <c r="B958" s="116">
        <v>837.125</v>
      </c>
      <c r="C958" s="116">
        <v>822.55</v>
      </c>
      <c r="D958" s="116">
        <v>816.5</v>
      </c>
      <c r="E958" s="116">
        <v>830</v>
      </c>
      <c r="F958" s="116">
        <v>1645.1</v>
      </c>
      <c r="G958">
        <v>7495</v>
      </c>
      <c r="H958" s="116"/>
      <c r="I958" s="116"/>
      <c r="L958" s="170">
        <v>43413</v>
      </c>
      <c r="M958" s="116">
        <v>821.17499999999995</v>
      </c>
      <c r="N958" s="116">
        <v>837.5</v>
      </c>
      <c r="O958" s="116">
        <v>815.65</v>
      </c>
      <c r="P958" s="116">
        <v>833.97500000000002</v>
      </c>
      <c r="Q958" s="116">
        <v>1642.35</v>
      </c>
      <c r="R958">
        <v>194934</v>
      </c>
    </row>
    <row r="959" spans="1:18" x14ac:dyDescent="0.25">
      <c r="A959" s="170">
        <v>43416</v>
      </c>
      <c r="B959" s="116">
        <v>835.2</v>
      </c>
      <c r="C959" s="116">
        <v>823.77499999999998</v>
      </c>
      <c r="D959" s="116">
        <v>818.5</v>
      </c>
      <c r="E959" s="116">
        <v>826.8</v>
      </c>
      <c r="F959" s="116">
        <v>1647.55</v>
      </c>
      <c r="G959">
        <v>8748</v>
      </c>
      <c r="H959" s="116"/>
      <c r="I959" s="116"/>
      <c r="L959" s="170">
        <v>43416</v>
      </c>
      <c r="M959" s="116">
        <v>822.4</v>
      </c>
      <c r="N959" s="116">
        <v>836</v>
      </c>
      <c r="O959" s="116">
        <v>816.25</v>
      </c>
      <c r="P959" s="116">
        <v>821</v>
      </c>
      <c r="Q959" s="116">
        <v>1644.8</v>
      </c>
      <c r="R959">
        <v>166248</v>
      </c>
    </row>
    <row r="960" spans="1:18" x14ac:dyDescent="0.25">
      <c r="A960" s="170">
        <v>43417</v>
      </c>
      <c r="B960" s="116">
        <v>851.5</v>
      </c>
      <c r="C960" s="116">
        <v>843.72500000000002</v>
      </c>
      <c r="D960" s="116">
        <v>818.55</v>
      </c>
      <c r="E960" s="116">
        <v>819.15</v>
      </c>
      <c r="F960" s="116">
        <v>1687.45</v>
      </c>
      <c r="G960">
        <v>21872</v>
      </c>
      <c r="H960" s="116"/>
      <c r="I960" s="116"/>
      <c r="L960" s="170">
        <v>43417</v>
      </c>
      <c r="M960" s="116">
        <v>845</v>
      </c>
      <c r="N960" s="116">
        <v>851.82500000000005</v>
      </c>
      <c r="O960" s="116">
        <v>819.5</v>
      </c>
      <c r="P960" s="116">
        <v>819.5</v>
      </c>
      <c r="Q960" s="116">
        <v>1690</v>
      </c>
      <c r="R960">
        <v>350966</v>
      </c>
    </row>
    <row r="961" spans="1:18" x14ac:dyDescent="0.25">
      <c r="A961" s="170">
        <v>43418</v>
      </c>
      <c r="B961" s="116">
        <v>846.57500000000005</v>
      </c>
      <c r="C961" s="116">
        <v>823.42499999999995</v>
      </c>
      <c r="D961" s="116">
        <v>820.625</v>
      </c>
      <c r="E961" s="116">
        <v>826.05</v>
      </c>
      <c r="F961" s="116">
        <v>1646.85</v>
      </c>
      <c r="G961">
        <v>7257</v>
      </c>
      <c r="H961" s="116"/>
      <c r="I961" s="116"/>
      <c r="L961" s="170">
        <v>43418</v>
      </c>
      <c r="M961" s="116">
        <v>825.67499999999995</v>
      </c>
      <c r="N961" s="116">
        <v>845</v>
      </c>
      <c r="O961" s="116">
        <v>822</v>
      </c>
      <c r="P961" s="116">
        <v>842.52499999999998</v>
      </c>
      <c r="Q961" s="116">
        <v>1651.35</v>
      </c>
      <c r="R961">
        <v>77782</v>
      </c>
    </row>
    <row r="962" spans="1:18" x14ac:dyDescent="0.25">
      <c r="A962" s="170">
        <v>43419</v>
      </c>
      <c r="B962" s="116">
        <v>839.97500000000002</v>
      </c>
      <c r="C962" s="116">
        <v>836.07500000000005</v>
      </c>
      <c r="D962" s="116">
        <v>823.57500000000005</v>
      </c>
      <c r="E962" s="116">
        <v>823.57500000000005</v>
      </c>
      <c r="F962" s="116">
        <v>1672.15</v>
      </c>
      <c r="G962">
        <v>10833</v>
      </c>
      <c r="H962" s="116"/>
      <c r="I962" s="116"/>
      <c r="L962" s="170">
        <v>43419</v>
      </c>
      <c r="M962" s="116">
        <v>836.27499999999998</v>
      </c>
      <c r="N962" s="116">
        <v>841</v>
      </c>
      <c r="O962" s="116">
        <v>820</v>
      </c>
      <c r="P962" s="116">
        <v>826.5</v>
      </c>
      <c r="Q962" s="116">
        <v>1672.55</v>
      </c>
      <c r="R962">
        <v>99619</v>
      </c>
    </row>
    <row r="963" spans="1:18" x14ac:dyDescent="0.25">
      <c r="A963" s="170">
        <v>43420</v>
      </c>
      <c r="B963" s="116">
        <v>840.57500000000005</v>
      </c>
      <c r="C963" s="116">
        <v>830.32500000000005</v>
      </c>
      <c r="D963" s="116">
        <v>822.02499999999998</v>
      </c>
      <c r="E963" s="116">
        <v>838.375</v>
      </c>
      <c r="F963" s="116">
        <v>1660.65</v>
      </c>
      <c r="G963">
        <v>4352</v>
      </c>
      <c r="H963" s="116"/>
      <c r="I963" s="116"/>
      <c r="L963" s="170">
        <v>43420</v>
      </c>
      <c r="M963" s="116">
        <v>829.55</v>
      </c>
      <c r="N963" s="116">
        <v>841.97500000000002</v>
      </c>
      <c r="O963" s="116">
        <v>822</v>
      </c>
      <c r="P963" s="116">
        <v>841.97500000000002</v>
      </c>
      <c r="Q963" s="116">
        <v>1659.1</v>
      </c>
      <c r="R963">
        <v>149914</v>
      </c>
    </row>
    <row r="964" spans="1:18" x14ac:dyDescent="0.25">
      <c r="A964" s="170">
        <v>43423</v>
      </c>
      <c r="B964" s="116">
        <v>839</v>
      </c>
      <c r="C964" s="116">
        <v>834.57500000000005</v>
      </c>
      <c r="D964" s="116">
        <v>828.27499999999998</v>
      </c>
      <c r="E964" s="116">
        <v>828.3</v>
      </c>
      <c r="F964" s="116">
        <v>1669.15</v>
      </c>
      <c r="G964">
        <v>2088</v>
      </c>
      <c r="H964" s="116"/>
      <c r="I964" s="116"/>
      <c r="L964" s="170">
        <v>43423</v>
      </c>
      <c r="M964" s="116">
        <v>835.7</v>
      </c>
      <c r="N964" s="116">
        <v>840.5</v>
      </c>
      <c r="O964" s="116">
        <v>828.3</v>
      </c>
      <c r="P964" s="116">
        <v>832.5</v>
      </c>
      <c r="Q964" s="116">
        <v>1671.4</v>
      </c>
      <c r="R964">
        <v>64023</v>
      </c>
    </row>
    <row r="965" spans="1:18" x14ac:dyDescent="0.25">
      <c r="A965" s="170">
        <v>43424</v>
      </c>
      <c r="B965" s="116">
        <v>835</v>
      </c>
      <c r="C965" s="116">
        <v>821.77499999999998</v>
      </c>
      <c r="D965" s="116">
        <v>818</v>
      </c>
      <c r="E965" s="116">
        <v>835</v>
      </c>
      <c r="F965" s="116">
        <v>1643.55</v>
      </c>
      <c r="G965">
        <v>2729</v>
      </c>
      <c r="H965" s="116"/>
      <c r="I965" s="116"/>
      <c r="L965" s="170">
        <v>43424</v>
      </c>
      <c r="M965" s="116">
        <v>822.27499999999998</v>
      </c>
      <c r="N965" s="116">
        <v>833.95</v>
      </c>
      <c r="O965" s="116">
        <v>817.72500000000002</v>
      </c>
      <c r="P965" s="116">
        <v>833.95</v>
      </c>
      <c r="Q965" s="116">
        <v>1644.55</v>
      </c>
      <c r="R965">
        <v>135209</v>
      </c>
    </row>
    <row r="966" spans="1:18" x14ac:dyDescent="0.25">
      <c r="A966" s="170">
        <v>43425</v>
      </c>
      <c r="B966" s="116">
        <v>823.52499999999998</v>
      </c>
      <c r="C966" s="116">
        <v>818.4</v>
      </c>
      <c r="D966" s="116">
        <v>810.9</v>
      </c>
      <c r="E966" s="116">
        <v>822.5</v>
      </c>
      <c r="F966" s="116">
        <v>1636.8</v>
      </c>
      <c r="G966">
        <v>2957</v>
      </c>
      <c r="H966" s="116"/>
      <c r="I966" s="116"/>
      <c r="L966" s="170">
        <v>43425</v>
      </c>
      <c r="M966" s="116">
        <v>816.35</v>
      </c>
      <c r="N966" s="116">
        <v>827.4</v>
      </c>
      <c r="O966" s="116">
        <v>809.4</v>
      </c>
      <c r="P966" s="116">
        <v>824.92499999999995</v>
      </c>
      <c r="Q966" s="116">
        <v>1632.7</v>
      </c>
      <c r="R966">
        <v>142201</v>
      </c>
    </row>
    <row r="967" spans="1:18" x14ac:dyDescent="0.25">
      <c r="A967" s="170">
        <v>43426</v>
      </c>
      <c r="B967" s="116">
        <v>837</v>
      </c>
      <c r="C967" s="116">
        <v>821.57500000000005</v>
      </c>
      <c r="D967" s="116">
        <v>811.67499999999995</v>
      </c>
      <c r="E967" s="116">
        <v>837</v>
      </c>
      <c r="F967" s="116">
        <v>1643.15</v>
      </c>
      <c r="G967">
        <v>331804</v>
      </c>
      <c r="H967" s="116"/>
      <c r="I967" s="116"/>
      <c r="L967" s="170">
        <v>43426</v>
      </c>
      <c r="M967" s="116">
        <v>821.32500000000005</v>
      </c>
      <c r="N967" s="116">
        <v>827.65</v>
      </c>
      <c r="O967" s="116">
        <v>811.17499999999995</v>
      </c>
      <c r="P967" s="116">
        <v>817.6</v>
      </c>
      <c r="Q967" s="116">
        <v>1642.65</v>
      </c>
      <c r="R967">
        <v>125894</v>
      </c>
    </row>
    <row r="968" spans="1:18" x14ac:dyDescent="0.25">
      <c r="A968" s="170">
        <v>43430</v>
      </c>
      <c r="B968" s="116">
        <v>849.5</v>
      </c>
      <c r="C968" s="116">
        <v>822.17499999999995</v>
      </c>
      <c r="D968" s="116">
        <v>815</v>
      </c>
      <c r="E968" s="116">
        <v>849.5</v>
      </c>
      <c r="F968" s="116">
        <v>1644.35</v>
      </c>
      <c r="G968">
        <v>9609</v>
      </c>
      <c r="H968" s="116"/>
      <c r="I968" s="116"/>
      <c r="L968" s="170">
        <v>43430</v>
      </c>
      <c r="M968" s="116">
        <v>823.97500000000002</v>
      </c>
      <c r="N968" s="116">
        <v>833.47500000000002</v>
      </c>
      <c r="O968" s="116">
        <v>814.02499999999998</v>
      </c>
      <c r="P968" s="116">
        <v>823.1</v>
      </c>
      <c r="Q968" s="116">
        <v>1647.95</v>
      </c>
      <c r="R968">
        <v>179301</v>
      </c>
    </row>
    <row r="969" spans="1:18" x14ac:dyDescent="0.25">
      <c r="A969" s="170">
        <v>43431</v>
      </c>
      <c r="B969" s="116">
        <v>830.07500000000005</v>
      </c>
      <c r="C969" s="116">
        <v>825.57500000000005</v>
      </c>
      <c r="D969" s="116">
        <v>815.55</v>
      </c>
      <c r="E969" s="116">
        <v>823</v>
      </c>
      <c r="F969" s="116">
        <v>1651.15</v>
      </c>
      <c r="G969">
        <v>4930</v>
      </c>
      <c r="H969" s="116"/>
      <c r="I969" s="116"/>
      <c r="L969" s="170">
        <v>43431</v>
      </c>
      <c r="M969" s="116">
        <v>825.22500000000002</v>
      </c>
      <c r="N969" s="116">
        <v>832.5</v>
      </c>
      <c r="O969" s="116">
        <v>815.02499999999998</v>
      </c>
      <c r="P969" s="116">
        <v>832.5</v>
      </c>
      <c r="Q969" s="116">
        <v>1650.45</v>
      </c>
      <c r="R969">
        <v>111512</v>
      </c>
    </row>
    <row r="970" spans="1:18" x14ac:dyDescent="0.25">
      <c r="A970" s="170">
        <v>43432</v>
      </c>
      <c r="B970" s="116">
        <v>849.5</v>
      </c>
      <c r="C970" s="116">
        <v>847.47500000000002</v>
      </c>
      <c r="D970" s="116">
        <v>817.5</v>
      </c>
      <c r="E970" s="116">
        <v>820.42499999999995</v>
      </c>
      <c r="F970" s="116">
        <v>1694.95</v>
      </c>
      <c r="G970">
        <v>7472</v>
      </c>
      <c r="H970" s="116"/>
      <c r="I970" s="116"/>
      <c r="L970" s="170">
        <v>43432</v>
      </c>
      <c r="M970" s="116">
        <v>847.02499999999998</v>
      </c>
      <c r="N970" s="116">
        <v>850</v>
      </c>
      <c r="O970" s="116">
        <v>817</v>
      </c>
      <c r="P970" s="116">
        <v>827.5</v>
      </c>
      <c r="Q970" s="116">
        <v>1694.05</v>
      </c>
      <c r="R970">
        <v>166582</v>
      </c>
    </row>
    <row r="971" spans="1:18" x14ac:dyDescent="0.25">
      <c r="A971" s="170">
        <v>43433</v>
      </c>
      <c r="B971" s="116">
        <v>860</v>
      </c>
      <c r="C971" s="116">
        <v>853.85</v>
      </c>
      <c r="D971" s="116">
        <v>845.7</v>
      </c>
      <c r="E971" s="116">
        <v>847.5</v>
      </c>
      <c r="F971" s="116">
        <v>1707.7</v>
      </c>
      <c r="G971">
        <v>19153</v>
      </c>
      <c r="H971" s="116"/>
      <c r="I971" s="116"/>
      <c r="L971" s="170">
        <v>43433</v>
      </c>
      <c r="M971" s="116">
        <v>857.3</v>
      </c>
      <c r="N971" s="116">
        <v>862.5</v>
      </c>
      <c r="O971" s="116">
        <v>844</v>
      </c>
      <c r="P971" s="116">
        <v>846</v>
      </c>
      <c r="Q971" s="116">
        <v>1714.6</v>
      </c>
      <c r="R971">
        <v>349391</v>
      </c>
    </row>
    <row r="972" spans="1:18" x14ac:dyDescent="0.25">
      <c r="A972" s="170">
        <v>43434</v>
      </c>
      <c r="B972" s="116">
        <v>887.5</v>
      </c>
      <c r="C972" s="116">
        <v>884.375</v>
      </c>
      <c r="D972" s="116">
        <v>852.17499999999995</v>
      </c>
      <c r="E972" s="116">
        <v>855</v>
      </c>
      <c r="F972" s="116">
        <v>1768.75</v>
      </c>
      <c r="G972">
        <v>25296</v>
      </c>
      <c r="H972" s="116"/>
      <c r="I972" s="116"/>
      <c r="L972" s="170">
        <v>43434</v>
      </c>
      <c r="M972" s="116">
        <v>886.9</v>
      </c>
      <c r="N972" s="116">
        <v>890</v>
      </c>
      <c r="O972" s="116">
        <v>845</v>
      </c>
      <c r="P972" s="116">
        <v>857.3</v>
      </c>
      <c r="Q972" s="116">
        <v>1773.8</v>
      </c>
      <c r="R972">
        <v>380252</v>
      </c>
    </row>
    <row r="973" spans="1:18" x14ac:dyDescent="0.25">
      <c r="A973" s="170">
        <v>43437</v>
      </c>
      <c r="B973" s="116">
        <v>901.7</v>
      </c>
      <c r="C973" s="116">
        <v>880.125</v>
      </c>
      <c r="D973" s="116">
        <v>875</v>
      </c>
      <c r="E973" s="116">
        <v>887.5</v>
      </c>
      <c r="F973" s="116">
        <v>1760.25</v>
      </c>
      <c r="G973">
        <v>13831</v>
      </c>
      <c r="H973" s="116"/>
      <c r="I973" s="116"/>
      <c r="L973" s="170">
        <v>43437</v>
      </c>
      <c r="M973" s="116">
        <v>876.55</v>
      </c>
      <c r="N973" s="116">
        <v>900.95</v>
      </c>
      <c r="O973" s="116">
        <v>871.25</v>
      </c>
      <c r="P973" s="116">
        <v>892.42499999999995</v>
      </c>
      <c r="Q973" s="116">
        <v>1753.1</v>
      </c>
      <c r="R973">
        <v>414965</v>
      </c>
    </row>
    <row r="974" spans="1:18" x14ac:dyDescent="0.25">
      <c r="A974" s="170">
        <v>43438</v>
      </c>
      <c r="B974" s="116">
        <v>890</v>
      </c>
      <c r="C974" s="116">
        <v>870.22500000000002</v>
      </c>
      <c r="D974" s="116">
        <v>866.52499999999998</v>
      </c>
      <c r="E974" s="116">
        <v>880.6</v>
      </c>
      <c r="F974" s="116">
        <v>1740.45</v>
      </c>
      <c r="G974">
        <v>8045</v>
      </c>
      <c r="H974" s="116"/>
      <c r="I974" s="116"/>
      <c r="L974" s="170">
        <v>43438</v>
      </c>
      <c r="M974" s="116">
        <v>870.32500000000005</v>
      </c>
      <c r="N974" s="116">
        <v>890.875</v>
      </c>
      <c r="O974" s="116">
        <v>866.35</v>
      </c>
      <c r="P974" s="116">
        <v>878.8</v>
      </c>
      <c r="Q974" s="116">
        <v>1740.65</v>
      </c>
      <c r="R974">
        <v>204191</v>
      </c>
    </row>
    <row r="975" spans="1:18" x14ac:dyDescent="0.25">
      <c r="A975" s="170">
        <v>43439</v>
      </c>
      <c r="B975" s="116">
        <v>874.05</v>
      </c>
      <c r="C975" s="116">
        <v>861.3</v>
      </c>
      <c r="D975" s="116">
        <v>848.5</v>
      </c>
      <c r="E975" s="116">
        <v>860</v>
      </c>
      <c r="F975" s="116">
        <v>1722.6</v>
      </c>
      <c r="G975">
        <v>4103</v>
      </c>
      <c r="H975" s="116"/>
      <c r="I975" s="116"/>
      <c r="L975" s="170">
        <v>43439</v>
      </c>
      <c r="M975" s="116">
        <v>861.15</v>
      </c>
      <c r="N975" s="116">
        <v>875</v>
      </c>
      <c r="O975" s="116">
        <v>846.45</v>
      </c>
      <c r="P975" s="116">
        <v>866</v>
      </c>
      <c r="Q975" s="116">
        <v>1722.3</v>
      </c>
      <c r="R975">
        <v>120151</v>
      </c>
    </row>
    <row r="976" spans="1:18" x14ac:dyDescent="0.25">
      <c r="A976" s="170">
        <v>43440</v>
      </c>
      <c r="B976" s="116">
        <v>865.05</v>
      </c>
      <c r="C976" s="116">
        <v>845.625</v>
      </c>
      <c r="D976" s="116">
        <v>841</v>
      </c>
      <c r="E976" s="116">
        <v>858.52499999999998</v>
      </c>
      <c r="F976" s="116">
        <v>1691.25</v>
      </c>
      <c r="G976">
        <v>3400</v>
      </c>
      <c r="H976" s="116"/>
      <c r="I976" s="116"/>
      <c r="L976" s="170">
        <v>43440</v>
      </c>
      <c r="M976" s="116">
        <v>846.625</v>
      </c>
      <c r="N976" s="116">
        <v>866.15</v>
      </c>
      <c r="O976" s="116">
        <v>842</v>
      </c>
      <c r="P976" s="116">
        <v>857.5</v>
      </c>
      <c r="Q976" s="116">
        <v>1693.25</v>
      </c>
      <c r="R976">
        <v>102428</v>
      </c>
    </row>
    <row r="977" spans="1:18" x14ac:dyDescent="0.25">
      <c r="A977" s="170">
        <v>43441</v>
      </c>
      <c r="B977" s="116">
        <v>855.47500000000002</v>
      </c>
      <c r="C977" s="116">
        <v>842.125</v>
      </c>
      <c r="D977" s="116">
        <v>837.75</v>
      </c>
      <c r="E977" s="116">
        <v>847.75</v>
      </c>
      <c r="F977" s="116">
        <v>1684.25</v>
      </c>
      <c r="G977">
        <v>3405</v>
      </c>
      <c r="H977" s="116"/>
      <c r="I977" s="116"/>
      <c r="L977" s="170">
        <v>43441</v>
      </c>
      <c r="M977" s="116">
        <v>843.07500000000005</v>
      </c>
      <c r="N977" s="116">
        <v>856.5</v>
      </c>
      <c r="O977" s="116">
        <v>836.72500000000002</v>
      </c>
      <c r="P977" s="116">
        <v>844.95</v>
      </c>
      <c r="Q977" s="116">
        <v>1686.15</v>
      </c>
      <c r="R977">
        <v>95191</v>
      </c>
    </row>
    <row r="978" spans="1:18" x14ac:dyDescent="0.25">
      <c r="A978" s="170">
        <v>43444</v>
      </c>
      <c r="B978" s="116">
        <v>854.95</v>
      </c>
      <c r="C978" s="116">
        <v>846.7</v>
      </c>
      <c r="D978" s="116">
        <v>836.52499999999998</v>
      </c>
      <c r="E978" s="116">
        <v>840</v>
      </c>
      <c r="F978" s="116">
        <v>1693.4</v>
      </c>
      <c r="G978">
        <v>11189</v>
      </c>
      <c r="H978" s="116"/>
      <c r="I978" s="116"/>
      <c r="L978" s="170">
        <v>43444</v>
      </c>
      <c r="M978" s="116">
        <v>843.97500000000002</v>
      </c>
      <c r="N978" s="116">
        <v>856</v>
      </c>
      <c r="O978" s="116">
        <v>835</v>
      </c>
      <c r="P978" s="116">
        <v>842.5</v>
      </c>
      <c r="Q978" s="116">
        <v>1687.95</v>
      </c>
      <c r="R978">
        <v>234142</v>
      </c>
    </row>
    <row r="979" spans="1:18" x14ac:dyDescent="0.25">
      <c r="A979" s="170">
        <v>43445</v>
      </c>
      <c r="B979" s="116">
        <v>860.45</v>
      </c>
      <c r="C979" s="116">
        <v>844.17499999999995</v>
      </c>
      <c r="D979" s="116">
        <v>834.82500000000005</v>
      </c>
      <c r="E979" s="116">
        <v>840.625</v>
      </c>
      <c r="F979" s="116">
        <v>1688.35</v>
      </c>
      <c r="G979">
        <v>7856</v>
      </c>
      <c r="H979" s="116"/>
      <c r="I979" s="116"/>
      <c r="L979" s="170">
        <v>43445</v>
      </c>
      <c r="M979" s="116">
        <v>838.3</v>
      </c>
      <c r="N979" s="116">
        <v>860.22500000000002</v>
      </c>
      <c r="O979" s="116">
        <v>832.625</v>
      </c>
      <c r="P979" s="116">
        <v>838.5</v>
      </c>
      <c r="Q979" s="116">
        <v>1676.6</v>
      </c>
      <c r="R979">
        <v>332056</v>
      </c>
    </row>
    <row r="980" spans="1:18" x14ac:dyDescent="0.25">
      <c r="A980" s="170">
        <v>43446</v>
      </c>
      <c r="B980" s="116">
        <v>886.125</v>
      </c>
      <c r="C980" s="116">
        <v>880.2</v>
      </c>
      <c r="D980" s="116">
        <v>844.8</v>
      </c>
      <c r="E980" s="116">
        <v>847.5</v>
      </c>
      <c r="F980" s="116">
        <v>1760.4</v>
      </c>
      <c r="G980">
        <v>10552</v>
      </c>
      <c r="H980" s="116"/>
      <c r="I980" s="116"/>
      <c r="L980" s="170">
        <v>43446</v>
      </c>
      <c r="M980" s="116">
        <v>881.22500000000002</v>
      </c>
      <c r="N980" s="116">
        <v>886.9</v>
      </c>
      <c r="O980" s="116">
        <v>840.125</v>
      </c>
      <c r="P980" s="116">
        <v>845.47500000000002</v>
      </c>
      <c r="Q980" s="116">
        <v>1762.45</v>
      </c>
      <c r="R980">
        <v>295061</v>
      </c>
    </row>
    <row r="981" spans="1:18" x14ac:dyDescent="0.25">
      <c r="A981" s="170">
        <v>43447</v>
      </c>
      <c r="B981" s="116">
        <v>910.4</v>
      </c>
      <c r="C981" s="116">
        <v>893.27499999999998</v>
      </c>
      <c r="D981" s="116">
        <v>879.75</v>
      </c>
      <c r="E981" s="116">
        <v>879.75</v>
      </c>
      <c r="F981" s="116">
        <v>1786.55</v>
      </c>
      <c r="G981">
        <v>19465</v>
      </c>
      <c r="H981" s="116"/>
      <c r="I981" s="116"/>
      <c r="L981" s="170">
        <v>43447</v>
      </c>
      <c r="M981" s="116">
        <v>892.82500000000005</v>
      </c>
      <c r="N981" s="116">
        <v>911.8</v>
      </c>
      <c r="O981" s="116">
        <v>877.22500000000002</v>
      </c>
      <c r="P981" s="116">
        <v>882.5</v>
      </c>
      <c r="Q981" s="116">
        <v>1785.65</v>
      </c>
      <c r="R981">
        <v>395950</v>
      </c>
    </row>
    <row r="982" spans="1:18" x14ac:dyDescent="0.25">
      <c r="A982" s="170">
        <v>43448</v>
      </c>
      <c r="B982" s="116">
        <v>906.375</v>
      </c>
      <c r="C982" s="116">
        <v>890.125</v>
      </c>
      <c r="D982" s="116">
        <v>881.75</v>
      </c>
      <c r="E982" s="116">
        <v>897.5</v>
      </c>
      <c r="F982" s="116">
        <v>1780.25</v>
      </c>
      <c r="G982">
        <v>7244</v>
      </c>
      <c r="H982" s="116"/>
      <c r="I982" s="116"/>
      <c r="L982" s="170">
        <v>43448</v>
      </c>
      <c r="M982" s="116">
        <v>890.3</v>
      </c>
      <c r="N982" s="116">
        <v>906.375</v>
      </c>
      <c r="O982" s="116">
        <v>881.47500000000002</v>
      </c>
      <c r="P982" s="116">
        <v>889</v>
      </c>
      <c r="Q982" s="116">
        <v>1780.6</v>
      </c>
      <c r="R982">
        <v>311736</v>
      </c>
    </row>
    <row r="983" spans="1:18" x14ac:dyDescent="0.25">
      <c r="A983" s="170">
        <v>43451</v>
      </c>
      <c r="B983" s="116">
        <v>896.5</v>
      </c>
      <c r="C983" s="116">
        <v>885.82500000000005</v>
      </c>
      <c r="D983" s="116">
        <v>881</v>
      </c>
      <c r="E983" s="116">
        <v>896.5</v>
      </c>
      <c r="F983" s="116">
        <v>1771.65</v>
      </c>
      <c r="G983">
        <v>4542</v>
      </c>
      <c r="H983" s="116"/>
      <c r="I983" s="116"/>
      <c r="L983" s="170">
        <v>43451</v>
      </c>
      <c r="M983" s="116">
        <v>884.27499999999998</v>
      </c>
      <c r="N983" s="116">
        <v>897.45</v>
      </c>
      <c r="O983" s="116">
        <v>880</v>
      </c>
      <c r="P983" s="116">
        <v>890.05</v>
      </c>
      <c r="Q983" s="116">
        <v>1768.55</v>
      </c>
      <c r="R983">
        <v>100053</v>
      </c>
    </row>
    <row r="984" spans="1:18" x14ac:dyDescent="0.25">
      <c r="A984" s="170">
        <v>43452</v>
      </c>
      <c r="B984" s="116">
        <v>885</v>
      </c>
      <c r="C984" s="116">
        <v>865.27499999999998</v>
      </c>
      <c r="D984" s="116">
        <v>861.65</v>
      </c>
      <c r="E984" s="116">
        <v>877.52499999999998</v>
      </c>
      <c r="F984" s="116">
        <v>1730.55</v>
      </c>
      <c r="G984">
        <v>6322</v>
      </c>
      <c r="H984" s="116"/>
      <c r="I984" s="116"/>
      <c r="L984" s="170">
        <v>43452</v>
      </c>
      <c r="M984" s="116">
        <v>863.4</v>
      </c>
      <c r="N984" s="116">
        <v>886</v>
      </c>
      <c r="O984" s="116">
        <v>859.02499999999998</v>
      </c>
      <c r="P984" s="116">
        <v>882</v>
      </c>
      <c r="Q984" s="116">
        <v>1726.8</v>
      </c>
      <c r="R984">
        <v>258598</v>
      </c>
    </row>
    <row r="985" spans="1:18" x14ac:dyDescent="0.25">
      <c r="A985" s="170">
        <v>43453</v>
      </c>
      <c r="B985" s="116">
        <v>901</v>
      </c>
      <c r="C985" s="116">
        <v>894.25</v>
      </c>
      <c r="D985" s="116">
        <v>868.2</v>
      </c>
      <c r="E985" s="116">
        <v>870.25</v>
      </c>
      <c r="F985" s="116">
        <v>1788.5</v>
      </c>
      <c r="G985">
        <v>8568</v>
      </c>
      <c r="H985" s="116"/>
      <c r="I985" s="116"/>
      <c r="L985" s="170">
        <v>43453</v>
      </c>
      <c r="M985" s="116">
        <v>895.7</v>
      </c>
      <c r="N985" s="116">
        <v>902.95</v>
      </c>
      <c r="O985" s="116">
        <v>866.27499999999998</v>
      </c>
      <c r="P985" s="116">
        <v>873.75</v>
      </c>
      <c r="Q985" s="116">
        <v>1791.4</v>
      </c>
      <c r="R985">
        <v>215234</v>
      </c>
    </row>
    <row r="986" spans="1:18" x14ac:dyDescent="0.25">
      <c r="A986" s="170">
        <v>43454</v>
      </c>
      <c r="B986" s="116">
        <v>905</v>
      </c>
      <c r="C986" s="116">
        <v>900.7</v>
      </c>
      <c r="D986" s="116">
        <v>880.8</v>
      </c>
      <c r="E986" s="116">
        <v>889.45</v>
      </c>
      <c r="F986" s="116">
        <v>1801.4</v>
      </c>
      <c r="G986">
        <v>6341</v>
      </c>
      <c r="H986" s="116"/>
      <c r="I986" s="116"/>
      <c r="L986" s="170">
        <v>43454</v>
      </c>
      <c r="M986" s="116">
        <v>903.125</v>
      </c>
      <c r="N986" s="116">
        <v>907.5</v>
      </c>
      <c r="O986" s="116">
        <v>880</v>
      </c>
      <c r="P986" s="116">
        <v>891.57500000000005</v>
      </c>
      <c r="Q986" s="116">
        <v>1806.25</v>
      </c>
      <c r="R986">
        <v>162564</v>
      </c>
    </row>
    <row r="987" spans="1:18" x14ac:dyDescent="0.25">
      <c r="A987" s="170">
        <v>43455</v>
      </c>
      <c r="B987" s="116">
        <v>916.45</v>
      </c>
      <c r="C987" s="116">
        <v>889.82500000000005</v>
      </c>
      <c r="D987" s="116">
        <v>885.22500000000002</v>
      </c>
      <c r="E987" s="116">
        <v>906.07500000000005</v>
      </c>
      <c r="F987" s="116">
        <v>1779.65</v>
      </c>
      <c r="G987">
        <v>16586</v>
      </c>
      <c r="H987" s="116"/>
      <c r="I987" s="116"/>
      <c r="L987" s="170">
        <v>43455</v>
      </c>
      <c r="M987" s="116">
        <v>891.95</v>
      </c>
      <c r="N987" s="116">
        <v>917.5</v>
      </c>
      <c r="O987" s="116">
        <v>887.5</v>
      </c>
      <c r="P987" s="116">
        <v>901.97500000000002</v>
      </c>
      <c r="Q987" s="116">
        <v>1783.9</v>
      </c>
      <c r="R987">
        <v>304282</v>
      </c>
    </row>
    <row r="988" spans="1:18" x14ac:dyDescent="0.25">
      <c r="A988" s="170">
        <v>43458</v>
      </c>
      <c r="B988" s="116">
        <v>897.97500000000002</v>
      </c>
      <c r="C988" s="116">
        <v>884.55</v>
      </c>
      <c r="D988" s="116">
        <v>880.42499999999995</v>
      </c>
      <c r="E988" s="116">
        <v>885.77499999999998</v>
      </c>
      <c r="F988" s="116">
        <v>1769.1</v>
      </c>
      <c r="G988">
        <v>3324</v>
      </c>
      <c r="H988" s="116"/>
      <c r="I988" s="116"/>
      <c r="L988" s="170">
        <v>43458</v>
      </c>
      <c r="M988" s="116">
        <v>884.8</v>
      </c>
      <c r="N988" s="116">
        <v>898.5</v>
      </c>
      <c r="O988" s="116">
        <v>880.32500000000005</v>
      </c>
      <c r="P988" s="116">
        <v>887.8</v>
      </c>
      <c r="Q988" s="116">
        <v>1769.6</v>
      </c>
      <c r="R988">
        <v>66751</v>
      </c>
    </row>
    <row r="989" spans="1:18" x14ac:dyDescent="0.25">
      <c r="A989" s="170">
        <v>43460</v>
      </c>
      <c r="B989" s="116">
        <v>884.32500000000005</v>
      </c>
      <c r="C989" s="116">
        <v>877.57500000000005</v>
      </c>
      <c r="D989" s="116">
        <v>859.27499999999998</v>
      </c>
      <c r="E989" s="116">
        <v>878.97500000000002</v>
      </c>
      <c r="F989" s="116">
        <v>1755.15</v>
      </c>
      <c r="G989">
        <v>8449</v>
      </c>
      <c r="H989" s="116"/>
      <c r="I989" s="116"/>
      <c r="L989" s="170">
        <v>43460</v>
      </c>
      <c r="M989" s="116">
        <v>876.625</v>
      </c>
      <c r="N989" s="116">
        <v>883.97500000000002</v>
      </c>
      <c r="O989" s="116">
        <v>859</v>
      </c>
      <c r="P989" s="116">
        <v>877.5</v>
      </c>
      <c r="Q989" s="116">
        <v>1753.25</v>
      </c>
      <c r="R989">
        <v>131513</v>
      </c>
    </row>
    <row r="990" spans="1:18" x14ac:dyDescent="0.25">
      <c r="A990" s="170">
        <v>43461</v>
      </c>
      <c r="B990" s="116">
        <v>885</v>
      </c>
      <c r="C990" s="116">
        <v>870.42499999999995</v>
      </c>
      <c r="D990" s="116">
        <v>864.17499999999995</v>
      </c>
      <c r="E990" s="116">
        <v>881.35</v>
      </c>
      <c r="F990" s="116">
        <v>1740.85</v>
      </c>
      <c r="G990">
        <v>8551</v>
      </c>
      <c r="H990" s="116"/>
      <c r="I990" s="116"/>
      <c r="L990" s="170">
        <v>43461</v>
      </c>
      <c r="M990" s="116">
        <v>869.8</v>
      </c>
      <c r="N990" s="116">
        <v>886.77499999999998</v>
      </c>
      <c r="O990" s="116">
        <v>863.1</v>
      </c>
      <c r="P990" s="116">
        <v>884.95</v>
      </c>
      <c r="Q990" s="116">
        <v>1739.6</v>
      </c>
      <c r="R990">
        <v>122208</v>
      </c>
    </row>
    <row r="991" spans="1:18" x14ac:dyDescent="0.25">
      <c r="A991" s="170">
        <v>43462</v>
      </c>
      <c r="B991" s="116">
        <v>892.5</v>
      </c>
      <c r="C991" s="116">
        <v>889.95</v>
      </c>
      <c r="D991" s="116">
        <v>873.6</v>
      </c>
      <c r="E991" s="116">
        <v>874.27499999999998</v>
      </c>
      <c r="F991" s="116">
        <v>1779.9</v>
      </c>
      <c r="G991">
        <v>9021</v>
      </c>
      <c r="H991" s="116"/>
      <c r="I991" s="116"/>
      <c r="L991" s="170">
        <v>43462</v>
      </c>
      <c r="M991" s="116">
        <v>889.65</v>
      </c>
      <c r="N991" s="116">
        <v>893.57500000000005</v>
      </c>
      <c r="O991" s="116">
        <v>871</v>
      </c>
      <c r="P991" s="116">
        <v>877.45</v>
      </c>
      <c r="Q991" s="116">
        <v>1779.3</v>
      </c>
      <c r="R991">
        <v>152301</v>
      </c>
    </row>
    <row r="992" spans="1:18" x14ac:dyDescent="0.25">
      <c r="A992" s="170">
        <v>43465</v>
      </c>
      <c r="B992" s="116">
        <v>893.7</v>
      </c>
      <c r="C992" s="116">
        <v>885.625</v>
      </c>
      <c r="D992" s="116">
        <v>879.15</v>
      </c>
      <c r="E992" s="116">
        <v>892</v>
      </c>
      <c r="F992" s="116">
        <v>1771.25</v>
      </c>
      <c r="G992">
        <v>8637</v>
      </c>
      <c r="H992" s="116"/>
      <c r="I992" s="116"/>
      <c r="L992" s="170">
        <v>43465</v>
      </c>
      <c r="M992" s="116">
        <v>885.7</v>
      </c>
      <c r="N992" s="116">
        <v>895</v>
      </c>
      <c r="O992" s="116">
        <v>878</v>
      </c>
      <c r="P992" s="116">
        <v>894</v>
      </c>
      <c r="Q992" s="116">
        <v>1771.4</v>
      </c>
      <c r="R992">
        <v>128854</v>
      </c>
    </row>
    <row r="993" spans="1:18" x14ac:dyDescent="0.25">
      <c r="A993" s="170">
        <v>43466</v>
      </c>
      <c r="B993" s="116">
        <v>892.5</v>
      </c>
      <c r="C993" s="116">
        <v>887.05</v>
      </c>
      <c r="D993" s="116">
        <v>883.77499999999998</v>
      </c>
      <c r="E993" s="116">
        <v>886.77499999999998</v>
      </c>
      <c r="F993" s="116">
        <v>1774.1</v>
      </c>
      <c r="G993">
        <v>2547</v>
      </c>
      <c r="H993" s="116"/>
      <c r="I993" s="116"/>
      <c r="L993" s="170">
        <v>43466</v>
      </c>
      <c r="M993" s="116">
        <v>887.77499999999998</v>
      </c>
      <c r="N993" s="116">
        <v>892.47500000000002</v>
      </c>
      <c r="O993" s="116">
        <v>880.8</v>
      </c>
      <c r="P993" s="116">
        <v>891.97500000000002</v>
      </c>
      <c r="Q993" s="116">
        <v>1775.55</v>
      </c>
      <c r="R993">
        <v>40853</v>
      </c>
    </row>
    <row r="994" spans="1:18" x14ac:dyDescent="0.25">
      <c r="A994" s="170">
        <v>43467</v>
      </c>
      <c r="B994" s="116">
        <v>894.15</v>
      </c>
      <c r="C994" s="116">
        <v>885.17499999999995</v>
      </c>
      <c r="D994" s="116">
        <v>874.4</v>
      </c>
      <c r="E994" s="116">
        <v>887.75</v>
      </c>
      <c r="F994" s="116">
        <v>1770.35</v>
      </c>
      <c r="G994">
        <v>5226</v>
      </c>
      <c r="H994" s="116"/>
      <c r="I994" s="116"/>
      <c r="L994" s="170">
        <v>43467</v>
      </c>
      <c r="M994" s="116">
        <v>888.875</v>
      </c>
      <c r="N994" s="116">
        <v>894.5</v>
      </c>
      <c r="O994" s="116">
        <v>873.52499999999998</v>
      </c>
      <c r="P994" s="116">
        <v>883.4</v>
      </c>
      <c r="Q994" s="116">
        <v>1777.75</v>
      </c>
      <c r="R994">
        <v>108547</v>
      </c>
    </row>
    <row r="995" spans="1:18" x14ac:dyDescent="0.25">
      <c r="A995" s="170">
        <v>43468</v>
      </c>
      <c r="B995" s="116">
        <v>910</v>
      </c>
      <c r="C995" s="116">
        <v>902.35</v>
      </c>
      <c r="D995" s="116">
        <v>882.15</v>
      </c>
      <c r="E995" s="116">
        <v>883.65</v>
      </c>
      <c r="F995" s="116">
        <v>1804.7</v>
      </c>
      <c r="G995">
        <v>20320</v>
      </c>
      <c r="H995" s="116"/>
      <c r="I995" s="116"/>
      <c r="L995" s="170">
        <v>43468</v>
      </c>
      <c r="M995" s="116">
        <v>902.77499999999998</v>
      </c>
      <c r="N995" s="116">
        <v>907</v>
      </c>
      <c r="O995" s="116">
        <v>880.8</v>
      </c>
      <c r="P995" s="116">
        <v>885</v>
      </c>
      <c r="Q995" s="116">
        <v>1805.55</v>
      </c>
      <c r="R995">
        <v>341671</v>
      </c>
    </row>
    <row r="996" spans="1:18" x14ac:dyDescent="0.25">
      <c r="A996" s="170">
        <v>43469</v>
      </c>
      <c r="B996" s="116">
        <v>912.5</v>
      </c>
      <c r="C996" s="116">
        <v>906.75</v>
      </c>
      <c r="D996" s="116">
        <v>900</v>
      </c>
      <c r="E996" s="116">
        <v>902.72500000000002</v>
      </c>
      <c r="F996" s="116">
        <v>1813.5</v>
      </c>
      <c r="G996">
        <v>46072</v>
      </c>
      <c r="H996" s="116"/>
      <c r="I996" s="116"/>
      <c r="L996" s="170">
        <v>43469</v>
      </c>
      <c r="M996" s="116">
        <v>908.57500000000005</v>
      </c>
      <c r="N996" s="116">
        <v>913.25</v>
      </c>
      <c r="O996" s="116">
        <v>899.9</v>
      </c>
      <c r="P996" s="116">
        <v>900</v>
      </c>
      <c r="Q996" s="116">
        <v>1817.15</v>
      </c>
      <c r="R996">
        <v>324394</v>
      </c>
    </row>
    <row r="997" spans="1:18" x14ac:dyDescent="0.25">
      <c r="A997" s="170">
        <v>43472</v>
      </c>
      <c r="B997" s="116">
        <v>918.125</v>
      </c>
      <c r="C997" s="116">
        <v>910</v>
      </c>
      <c r="D997" s="116">
        <v>905.65</v>
      </c>
      <c r="E997" s="116">
        <v>910.02499999999998</v>
      </c>
      <c r="F997" s="116">
        <v>1820</v>
      </c>
      <c r="G997">
        <v>11199</v>
      </c>
      <c r="H997" s="116"/>
      <c r="I997" s="116"/>
      <c r="L997" s="170">
        <v>43472</v>
      </c>
      <c r="M997" s="116">
        <v>911.875</v>
      </c>
      <c r="N997" s="116">
        <v>919.85</v>
      </c>
      <c r="O997" s="116">
        <v>907</v>
      </c>
      <c r="P997" s="116">
        <v>914.3</v>
      </c>
      <c r="Q997" s="116">
        <v>1823.75</v>
      </c>
      <c r="R997">
        <v>145441</v>
      </c>
    </row>
    <row r="998" spans="1:18" x14ac:dyDescent="0.25">
      <c r="A998" s="170">
        <v>43473</v>
      </c>
      <c r="B998" s="116">
        <v>911.72500000000002</v>
      </c>
      <c r="C998" s="116">
        <v>907.42499999999995</v>
      </c>
      <c r="D998" s="116">
        <v>902.4</v>
      </c>
      <c r="E998" s="116">
        <v>909.72500000000002</v>
      </c>
      <c r="F998" s="116">
        <v>1814.85</v>
      </c>
      <c r="G998">
        <v>3108</v>
      </c>
      <c r="H998" s="116"/>
      <c r="I998" s="116"/>
      <c r="L998" s="170">
        <v>43473</v>
      </c>
      <c r="M998" s="116">
        <v>908.7</v>
      </c>
      <c r="N998" s="116">
        <v>913.75</v>
      </c>
      <c r="O998" s="116">
        <v>900.27499999999998</v>
      </c>
      <c r="P998" s="116">
        <v>911.875</v>
      </c>
      <c r="Q998" s="116">
        <v>1817.4</v>
      </c>
      <c r="R998">
        <v>201731</v>
      </c>
    </row>
    <row r="999" spans="1:18" x14ac:dyDescent="0.25">
      <c r="A999" s="170">
        <v>43474</v>
      </c>
      <c r="B999" s="116">
        <v>916.5</v>
      </c>
      <c r="C999" s="116">
        <v>911.47500000000002</v>
      </c>
      <c r="D999" s="116">
        <v>909.8</v>
      </c>
      <c r="E999" s="116">
        <v>910</v>
      </c>
      <c r="F999" s="116">
        <v>1822.95</v>
      </c>
      <c r="G999">
        <v>18659</v>
      </c>
      <c r="H999" s="116"/>
      <c r="I999" s="116"/>
      <c r="L999" s="170">
        <v>43474</v>
      </c>
      <c r="M999" s="116">
        <v>915.1</v>
      </c>
      <c r="N999" s="116">
        <v>917.875</v>
      </c>
      <c r="O999" s="116">
        <v>907.6</v>
      </c>
      <c r="P999" s="116">
        <v>910</v>
      </c>
      <c r="Q999" s="116">
        <v>1830.2</v>
      </c>
      <c r="R999">
        <v>211987</v>
      </c>
    </row>
    <row r="1000" spans="1:18" x14ac:dyDescent="0.25">
      <c r="A1000" s="170">
        <v>43475</v>
      </c>
      <c r="B1000" s="116">
        <v>939.95</v>
      </c>
      <c r="C1000" s="116">
        <v>926.72500000000002</v>
      </c>
      <c r="D1000" s="116">
        <v>913.625</v>
      </c>
      <c r="E1000" s="116">
        <v>913.625</v>
      </c>
      <c r="F1000" s="116">
        <v>1853.45</v>
      </c>
      <c r="G1000">
        <v>30826</v>
      </c>
      <c r="H1000" s="116"/>
      <c r="I1000" s="116"/>
      <c r="L1000" s="170">
        <v>43475</v>
      </c>
      <c r="M1000" s="116">
        <v>928.25</v>
      </c>
      <c r="N1000" s="116">
        <v>940.5</v>
      </c>
      <c r="O1000" s="116">
        <v>914.4</v>
      </c>
      <c r="P1000" s="116">
        <v>917.5</v>
      </c>
      <c r="Q1000" s="116">
        <v>1856.5</v>
      </c>
      <c r="R1000">
        <v>595646</v>
      </c>
    </row>
    <row r="1001" spans="1:18" x14ac:dyDescent="0.25">
      <c r="A1001" s="170">
        <v>43476</v>
      </c>
      <c r="B1001" s="116">
        <v>944.97500000000002</v>
      </c>
      <c r="C1001" s="116">
        <v>940.45</v>
      </c>
      <c r="D1001" s="116">
        <v>930</v>
      </c>
      <c r="E1001" s="116">
        <v>930</v>
      </c>
      <c r="F1001" s="116">
        <v>1880.9</v>
      </c>
      <c r="G1001">
        <v>13896</v>
      </c>
      <c r="H1001" s="116"/>
      <c r="I1001" s="116"/>
      <c r="L1001" s="170">
        <v>43476</v>
      </c>
      <c r="M1001" s="116">
        <v>942.85</v>
      </c>
      <c r="N1001" s="116">
        <v>945</v>
      </c>
      <c r="O1001" s="116">
        <v>927.52499999999998</v>
      </c>
      <c r="P1001" s="116">
        <v>930</v>
      </c>
      <c r="Q1001" s="116">
        <v>1885.7</v>
      </c>
      <c r="R1001">
        <v>434542</v>
      </c>
    </row>
    <row r="1002" spans="1:18" x14ac:dyDescent="0.25">
      <c r="A1002" s="170">
        <v>43479</v>
      </c>
      <c r="B1002" s="116">
        <v>947.5</v>
      </c>
      <c r="C1002" s="116">
        <v>941.52499999999998</v>
      </c>
      <c r="D1002" s="116">
        <v>936.3</v>
      </c>
      <c r="E1002" s="116">
        <v>947.47500000000002</v>
      </c>
      <c r="F1002" s="116">
        <v>1883.05</v>
      </c>
      <c r="G1002">
        <v>10408</v>
      </c>
      <c r="H1002" s="116"/>
      <c r="I1002" s="116"/>
      <c r="L1002" s="170">
        <v>43479</v>
      </c>
      <c r="M1002" s="116">
        <v>942.625</v>
      </c>
      <c r="N1002" s="116">
        <v>947</v>
      </c>
      <c r="O1002" s="116">
        <v>936.1</v>
      </c>
      <c r="P1002" s="116">
        <v>945.52499999999998</v>
      </c>
      <c r="Q1002" s="116">
        <v>1885.25</v>
      </c>
      <c r="R1002">
        <v>209469</v>
      </c>
    </row>
    <row r="1003" spans="1:18" x14ac:dyDescent="0.25">
      <c r="A1003" s="170">
        <v>43480</v>
      </c>
      <c r="B1003" s="116">
        <v>955.5</v>
      </c>
      <c r="C1003" s="116">
        <v>945.77499999999998</v>
      </c>
      <c r="D1003" s="116">
        <v>942.5</v>
      </c>
      <c r="E1003" s="116">
        <v>942.5</v>
      </c>
      <c r="F1003" s="116">
        <v>1891.55</v>
      </c>
      <c r="G1003">
        <v>12420</v>
      </c>
      <c r="H1003" s="116"/>
      <c r="I1003" s="116"/>
      <c r="L1003" s="170">
        <v>43480</v>
      </c>
      <c r="M1003" s="116">
        <v>945.85</v>
      </c>
      <c r="N1003" s="116">
        <v>956.47500000000002</v>
      </c>
      <c r="O1003" s="116">
        <v>941.02499999999998</v>
      </c>
      <c r="P1003" s="116">
        <v>946.5</v>
      </c>
      <c r="Q1003" s="116">
        <v>1891.7</v>
      </c>
      <c r="R1003">
        <v>273671</v>
      </c>
    </row>
    <row r="1004" spans="1:18" x14ac:dyDescent="0.25">
      <c r="A1004" s="170">
        <v>43481</v>
      </c>
      <c r="B1004" s="116">
        <v>980</v>
      </c>
      <c r="C1004" s="116">
        <v>972.625</v>
      </c>
      <c r="D1004" s="116">
        <v>945.1</v>
      </c>
      <c r="E1004" s="116">
        <v>946.65</v>
      </c>
      <c r="F1004" s="116">
        <v>1945.25</v>
      </c>
      <c r="G1004">
        <v>16415</v>
      </c>
      <c r="H1004" s="116"/>
      <c r="I1004" s="116"/>
      <c r="L1004" s="170">
        <v>43481</v>
      </c>
      <c r="M1004" s="116">
        <v>973.47500000000002</v>
      </c>
      <c r="N1004" s="116">
        <v>981</v>
      </c>
      <c r="O1004" s="116">
        <v>945.02499999999998</v>
      </c>
      <c r="P1004" s="116">
        <v>949.2</v>
      </c>
      <c r="Q1004" s="116">
        <v>1946.95</v>
      </c>
      <c r="R1004">
        <v>449206</v>
      </c>
    </row>
    <row r="1005" spans="1:18" x14ac:dyDescent="0.25">
      <c r="A1005" s="170">
        <v>43482</v>
      </c>
      <c r="B1005" s="116">
        <v>973.52499999999998</v>
      </c>
      <c r="C1005" s="116">
        <v>943.7</v>
      </c>
      <c r="D1005" s="116">
        <v>940</v>
      </c>
      <c r="E1005" s="116">
        <v>972.6</v>
      </c>
      <c r="F1005" s="116">
        <v>1887.4</v>
      </c>
      <c r="G1005">
        <v>10442</v>
      </c>
      <c r="H1005" s="116"/>
      <c r="I1005" s="116"/>
      <c r="L1005" s="170">
        <v>43482</v>
      </c>
      <c r="M1005" s="116">
        <v>943</v>
      </c>
      <c r="N1005" s="116">
        <v>977.5</v>
      </c>
      <c r="O1005" s="116">
        <v>939.25</v>
      </c>
      <c r="P1005" s="116">
        <v>975.5</v>
      </c>
      <c r="Q1005" s="116">
        <v>1886</v>
      </c>
      <c r="R1005">
        <v>381301</v>
      </c>
    </row>
    <row r="1006" spans="1:18" x14ac:dyDescent="0.25">
      <c r="A1006" s="170">
        <v>43483</v>
      </c>
      <c r="B1006" s="116">
        <v>962.3</v>
      </c>
      <c r="C1006" s="116">
        <v>948.02499999999998</v>
      </c>
      <c r="D1006" s="116">
        <v>943.8</v>
      </c>
      <c r="E1006" s="116">
        <v>944.52499999999998</v>
      </c>
      <c r="F1006" s="116">
        <v>1896.05</v>
      </c>
      <c r="G1006">
        <v>7013</v>
      </c>
      <c r="H1006" s="116"/>
      <c r="I1006" s="116"/>
      <c r="L1006" s="170">
        <v>43483</v>
      </c>
      <c r="M1006" s="116">
        <v>948.875</v>
      </c>
      <c r="N1006" s="116">
        <v>963.72500000000002</v>
      </c>
      <c r="O1006" s="116">
        <v>944</v>
      </c>
      <c r="P1006" s="116">
        <v>949.75</v>
      </c>
      <c r="Q1006" s="116">
        <v>1897.75</v>
      </c>
      <c r="R1006">
        <v>348517</v>
      </c>
    </row>
    <row r="1007" spans="1:18" x14ac:dyDescent="0.25">
      <c r="A1007" s="170">
        <v>43486</v>
      </c>
      <c r="B1007" s="116">
        <v>957.2</v>
      </c>
      <c r="C1007" s="116">
        <v>939.125</v>
      </c>
      <c r="D1007" s="116">
        <v>934.65</v>
      </c>
      <c r="E1007" s="116">
        <v>950</v>
      </c>
      <c r="F1007" s="116">
        <v>1878.25</v>
      </c>
      <c r="G1007">
        <v>8840</v>
      </c>
      <c r="H1007" s="116"/>
      <c r="I1007" s="116"/>
      <c r="L1007" s="170">
        <v>43486</v>
      </c>
      <c r="M1007" s="116">
        <v>937.15</v>
      </c>
      <c r="N1007" s="116">
        <v>958.5</v>
      </c>
      <c r="O1007" s="116">
        <v>932.95</v>
      </c>
      <c r="P1007" s="116">
        <v>949.97500000000002</v>
      </c>
      <c r="Q1007" s="116">
        <v>1874.3</v>
      </c>
      <c r="R1007">
        <v>236667</v>
      </c>
    </row>
    <row r="1008" spans="1:18" x14ac:dyDescent="0.25">
      <c r="A1008" s="170">
        <v>43487</v>
      </c>
      <c r="B1008" s="116">
        <v>964.4</v>
      </c>
      <c r="C1008" s="116">
        <v>956.82500000000005</v>
      </c>
      <c r="D1008" s="116">
        <v>923</v>
      </c>
      <c r="E1008" s="116">
        <v>923</v>
      </c>
      <c r="F1008" s="116">
        <v>1913.65</v>
      </c>
      <c r="G1008">
        <v>12942</v>
      </c>
      <c r="H1008" s="116"/>
      <c r="I1008" s="116"/>
      <c r="L1008" s="170">
        <v>43487</v>
      </c>
      <c r="M1008" s="116">
        <v>958.82500000000005</v>
      </c>
      <c r="N1008" s="116">
        <v>964.85</v>
      </c>
      <c r="O1008" s="116">
        <v>935.67499999999995</v>
      </c>
      <c r="P1008" s="116">
        <v>937.05</v>
      </c>
      <c r="Q1008" s="116">
        <v>1917.65</v>
      </c>
      <c r="R1008">
        <v>252161</v>
      </c>
    </row>
    <row r="1009" spans="1:18" x14ac:dyDescent="0.25">
      <c r="A1009" s="170">
        <v>43488</v>
      </c>
      <c r="B1009" s="116">
        <v>965</v>
      </c>
      <c r="C1009" s="116">
        <v>954.5</v>
      </c>
      <c r="D1009" s="116">
        <v>949.875</v>
      </c>
      <c r="E1009" s="116">
        <v>957.02499999999998</v>
      </c>
      <c r="F1009" s="116">
        <v>1909</v>
      </c>
      <c r="G1009">
        <v>5901</v>
      </c>
      <c r="H1009" s="116"/>
      <c r="I1009" s="116"/>
      <c r="L1009" s="170">
        <v>43488</v>
      </c>
      <c r="M1009" s="116">
        <v>954.6</v>
      </c>
      <c r="N1009" s="116">
        <v>965</v>
      </c>
      <c r="O1009" s="116">
        <v>948.57500000000005</v>
      </c>
      <c r="P1009" s="116">
        <v>960.3</v>
      </c>
      <c r="Q1009" s="116">
        <v>1909.2</v>
      </c>
      <c r="R1009">
        <v>113438</v>
      </c>
    </row>
    <row r="1010" spans="1:18" x14ac:dyDescent="0.25">
      <c r="A1010" s="170">
        <v>43489</v>
      </c>
      <c r="B1010" s="116">
        <v>960.82500000000005</v>
      </c>
      <c r="C1010" s="116">
        <v>944.1</v>
      </c>
      <c r="D1010" s="116">
        <v>937.47500000000002</v>
      </c>
      <c r="E1010" s="116">
        <v>957.85</v>
      </c>
      <c r="F1010" s="116">
        <v>1888.2</v>
      </c>
      <c r="G1010">
        <v>8426</v>
      </c>
      <c r="H1010" s="116"/>
      <c r="I1010" s="116"/>
      <c r="L1010" s="170">
        <v>43489</v>
      </c>
      <c r="M1010" s="116">
        <v>944.52499999999998</v>
      </c>
      <c r="N1010" s="116">
        <v>961.92499999999995</v>
      </c>
      <c r="O1010" s="116">
        <v>939.5</v>
      </c>
      <c r="P1010" s="116">
        <v>956</v>
      </c>
      <c r="Q1010" s="116">
        <v>1889.05</v>
      </c>
      <c r="R1010">
        <v>176527</v>
      </c>
    </row>
    <row r="1011" spans="1:18" x14ac:dyDescent="0.25">
      <c r="A1011" s="170">
        <v>43490</v>
      </c>
      <c r="B1011" s="116">
        <v>948.97500000000002</v>
      </c>
      <c r="C1011" s="116">
        <v>930.1</v>
      </c>
      <c r="D1011" s="116">
        <v>928</v>
      </c>
      <c r="E1011" s="116">
        <v>944</v>
      </c>
      <c r="F1011" s="116">
        <v>1860.2</v>
      </c>
      <c r="G1011">
        <v>10256</v>
      </c>
      <c r="H1011" s="116"/>
      <c r="I1011" s="116"/>
      <c r="L1011" s="170">
        <v>43490</v>
      </c>
      <c r="M1011" s="116">
        <v>930.82500000000005</v>
      </c>
      <c r="N1011" s="116">
        <v>950.5</v>
      </c>
      <c r="O1011" s="116">
        <v>927.92499999999995</v>
      </c>
      <c r="P1011" s="116">
        <v>950.5</v>
      </c>
      <c r="Q1011" s="116">
        <v>1861.65</v>
      </c>
      <c r="R1011">
        <v>156709</v>
      </c>
    </row>
    <row r="1012" spans="1:18" x14ac:dyDescent="0.25">
      <c r="A1012" s="170">
        <v>43493</v>
      </c>
      <c r="B1012" s="116">
        <v>932.5</v>
      </c>
      <c r="C1012" s="116">
        <v>924.07500000000005</v>
      </c>
      <c r="D1012" s="116">
        <v>909.375</v>
      </c>
      <c r="E1012" s="116">
        <v>930</v>
      </c>
      <c r="F1012" s="116">
        <v>1848.15</v>
      </c>
      <c r="G1012">
        <v>10856</v>
      </c>
      <c r="H1012" s="116"/>
      <c r="I1012" s="116"/>
      <c r="L1012" s="170">
        <v>43493</v>
      </c>
      <c r="M1012" s="116">
        <v>923.4</v>
      </c>
      <c r="N1012" s="116">
        <v>934.17499999999995</v>
      </c>
      <c r="O1012" s="116">
        <v>910</v>
      </c>
      <c r="P1012" s="116">
        <v>934</v>
      </c>
      <c r="Q1012" s="116">
        <v>1846.8</v>
      </c>
      <c r="R1012">
        <v>73752</v>
      </c>
    </row>
    <row r="1013" spans="1:18" x14ac:dyDescent="0.25">
      <c r="A1013" s="170">
        <v>43494</v>
      </c>
      <c r="B1013" s="116">
        <v>945</v>
      </c>
      <c r="C1013" s="116">
        <v>937.82500000000005</v>
      </c>
      <c r="D1013" s="116">
        <v>918.45</v>
      </c>
      <c r="E1013" s="116">
        <v>918.45</v>
      </c>
      <c r="F1013" s="116">
        <v>1875.65</v>
      </c>
      <c r="G1013">
        <v>12906</v>
      </c>
      <c r="H1013" s="116"/>
      <c r="I1013" s="116"/>
      <c r="L1013" s="170">
        <v>43494</v>
      </c>
      <c r="M1013" s="116">
        <v>938.02499999999998</v>
      </c>
      <c r="N1013" s="116">
        <v>943.47500000000002</v>
      </c>
      <c r="O1013" s="116">
        <v>918</v>
      </c>
      <c r="P1013" s="116">
        <v>920.52499999999998</v>
      </c>
      <c r="Q1013" s="116">
        <v>1876.05</v>
      </c>
      <c r="R1013">
        <v>124106</v>
      </c>
    </row>
    <row r="1014" spans="1:18" x14ac:dyDescent="0.25">
      <c r="A1014" s="170">
        <v>43495</v>
      </c>
      <c r="B1014" s="116">
        <v>941.95</v>
      </c>
      <c r="C1014" s="116">
        <v>925.77499999999998</v>
      </c>
      <c r="D1014" s="116">
        <v>920.52499999999998</v>
      </c>
      <c r="E1014" s="116">
        <v>941.95</v>
      </c>
      <c r="F1014" s="116">
        <v>1851.55</v>
      </c>
      <c r="G1014">
        <v>6963</v>
      </c>
      <c r="H1014" s="116"/>
      <c r="I1014" s="116"/>
      <c r="L1014" s="170">
        <v>43495</v>
      </c>
      <c r="M1014" s="116">
        <v>925.02499999999998</v>
      </c>
      <c r="N1014" s="116">
        <v>940</v>
      </c>
      <c r="O1014" s="116">
        <v>920.22500000000002</v>
      </c>
      <c r="P1014" s="116">
        <v>937.52499999999998</v>
      </c>
      <c r="Q1014" s="116">
        <v>1850.05</v>
      </c>
      <c r="R1014">
        <v>112962</v>
      </c>
    </row>
    <row r="1015" spans="1:18" x14ac:dyDescent="0.25">
      <c r="A1015" s="170">
        <v>43496</v>
      </c>
      <c r="B1015" s="116">
        <v>948.75</v>
      </c>
      <c r="C1015" s="116">
        <v>908.55</v>
      </c>
      <c r="D1015" s="116">
        <v>902.47500000000002</v>
      </c>
      <c r="E1015" s="116">
        <v>948.75</v>
      </c>
      <c r="F1015" s="116">
        <v>1817.1</v>
      </c>
      <c r="G1015">
        <v>26828</v>
      </c>
      <c r="H1015" s="116"/>
      <c r="I1015" s="116"/>
      <c r="L1015" s="170">
        <v>43496</v>
      </c>
      <c r="M1015" s="116">
        <v>909.4</v>
      </c>
      <c r="N1015" s="116">
        <v>947</v>
      </c>
      <c r="O1015" s="116">
        <v>898.27499999999998</v>
      </c>
      <c r="P1015" s="116">
        <v>945</v>
      </c>
      <c r="Q1015" s="116">
        <v>1818.8</v>
      </c>
      <c r="R1015">
        <v>777787</v>
      </c>
    </row>
    <row r="1016" spans="1:18" x14ac:dyDescent="0.25">
      <c r="A1016" s="170">
        <v>43497</v>
      </c>
      <c r="B1016" s="116">
        <v>918</v>
      </c>
      <c r="C1016" s="116">
        <v>902.52499999999998</v>
      </c>
      <c r="D1016" s="116">
        <v>892.97500000000002</v>
      </c>
      <c r="E1016" s="116">
        <v>918</v>
      </c>
      <c r="F1016" s="116">
        <v>1805.05</v>
      </c>
      <c r="G1016">
        <v>10981</v>
      </c>
      <c r="H1016" s="116"/>
      <c r="I1016" s="116"/>
      <c r="L1016" s="170">
        <v>43497</v>
      </c>
      <c r="M1016" s="116">
        <v>899.35</v>
      </c>
      <c r="N1016" s="116">
        <v>916.97500000000002</v>
      </c>
      <c r="O1016" s="116">
        <v>890.625</v>
      </c>
      <c r="P1016" s="116">
        <v>916.85</v>
      </c>
      <c r="Q1016" s="116">
        <v>1798.7</v>
      </c>
      <c r="R1016">
        <v>245242</v>
      </c>
    </row>
    <row r="1017" spans="1:18" x14ac:dyDescent="0.25">
      <c r="A1017" s="170">
        <v>43500</v>
      </c>
      <c r="B1017" s="116">
        <v>923.55</v>
      </c>
      <c r="C1017" s="116">
        <v>917.72500000000002</v>
      </c>
      <c r="D1017" s="116">
        <v>895.625</v>
      </c>
      <c r="E1017" s="116">
        <v>905</v>
      </c>
      <c r="F1017" s="116">
        <v>1835.45</v>
      </c>
      <c r="G1017">
        <v>7457</v>
      </c>
      <c r="H1017" s="116"/>
      <c r="I1017" s="116"/>
      <c r="L1017" s="170">
        <v>43500</v>
      </c>
      <c r="M1017" s="116">
        <v>919.52499999999998</v>
      </c>
      <c r="N1017" s="116">
        <v>924.7</v>
      </c>
      <c r="O1017" s="116">
        <v>894.02499999999998</v>
      </c>
      <c r="P1017" s="116">
        <v>894.02499999999998</v>
      </c>
      <c r="Q1017" s="116">
        <v>1839.05</v>
      </c>
      <c r="R1017">
        <v>352471</v>
      </c>
    </row>
    <row r="1018" spans="1:18" x14ac:dyDescent="0.25">
      <c r="A1018" s="170">
        <v>43501</v>
      </c>
      <c r="B1018" s="116">
        <v>929.72500000000002</v>
      </c>
      <c r="C1018" s="116">
        <v>909.45</v>
      </c>
      <c r="D1018" s="116">
        <v>903.9</v>
      </c>
      <c r="E1018" s="116">
        <v>925.17499999999995</v>
      </c>
      <c r="F1018" s="116">
        <v>1818.9</v>
      </c>
      <c r="G1018">
        <v>9374</v>
      </c>
      <c r="H1018" s="116"/>
      <c r="I1018" s="116"/>
      <c r="L1018" s="170">
        <v>43501</v>
      </c>
      <c r="M1018" s="116">
        <v>912</v>
      </c>
      <c r="N1018" s="116">
        <v>929.95</v>
      </c>
      <c r="O1018" s="116">
        <v>905.92499999999995</v>
      </c>
      <c r="P1018" s="116">
        <v>916.3</v>
      </c>
      <c r="Q1018" s="116">
        <v>1824</v>
      </c>
      <c r="R1018">
        <v>222019</v>
      </c>
    </row>
    <row r="1019" spans="1:18" x14ac:dyDescent="0.25">
      <c r="A1019" s="170">
        <v>43502</v>
      </c>
      <c r="B1019" s="116">
        <v>930</v>
      </c>
      <c r="C1019" s="116">
        <v>900.97500000000002</v>
      </c>
      <c r="D1019" s="116">
        <v>890</v>
      </c>
      <c r="E1019" s="116">
        <v>930</v>
      </c>
      <c r="F1019" s="116">
        <v>1801.95</v>
      </c>
      <c r="G1019">
        <v>8199</v>
      </c>
      <c r="H1019" s="116"/>
      <c r="I1019" s="116"/>
      <c r="L1019" s="170">
        <v>43502</v>
      </c>
      <c r="M1019" s="116">
        <v>899.25</v>
      </c>
      <c r="N1019" s="116">
        <v>913.52499999999998</v>
      </c>
      <c r="O1019" s="116">
        <v>889.27499999999998</v>
      </c>
      <c r="P1019" s="116">
        <v>913.5</v>
      </c>
      <c r="Q1019" s="116">
        <v>1798.5</v>
      </c>
      <c r="R1019">
        <v>302738</v>
      </c>
    </row>
    <row r="1020" spans="1:18" x14ac:dyDescent="0.25">
      <c r="A1020" s="170">
        <v>43503</v>
      </c>
      <c r="B1020" s="116">
        <v>914</v>
      </c>
      <c r="C1020" s="116">
        <v>902.22500000000002</v>
      </c>
      <c r="D1020" s="116">
        <v>898.47500000000002</v>
      </c>
      <c r="E1020" s="116">
        <v>898.47500000000002</v>
      </c>
      <c r="F1020" s="116">
        <v>1804.45</v>
      </c>
      <c r="G1020">
        <v>5253</v>
      </c>
      <c r="H1020" s="116"/>
      <c r="I1020" s="116"/>
      <c r="L1020" s="170">
        <v>43503</v>
      </c>
      <c r="M1020" s="116">
        <v>902.7</v>
      </c>
      <c r="N1020" s="116">
        <v>915.15</v>
      </c>
      <c r="O1020" s="116">
        <v>893</v>
      </c>
      <c r="P1020" s="116">
        <v>893</v>
      </c>
      <c r="Q1020" s="116">
        <v>1805.4</v>
      </c>
      <c r="R1020">
        <v>140575</v>
      </c>
    </row>
    <row r="1021" spans="1:18" x14ac:dyDescent="0.25">
      <c r="A1021" s="170">
        <v>43504</v>
      </c>
      <c r="B1021" s="116">
        <v>902.47500000000002</v>
      </c>
      <c r="C1021" s="116">
        <v>896.22500000000002</v>
      </c>
      <c r="D1021" s="116">
        <v>883.95</v>
      </c>
      <c r="E1021" s="116">
        <v>898.55</v>
      </c>
      <c r="F1021" s="116">
        <v>1792.45</v>
      </c>
      <c r="G1021">
        <v>6310</v>
      </c>
      <c r="H1021" s="116"/>
      <c r="I1021" s="116"/>
      <c r="L1021" s="170">
        <v>43504</v>
      </c>
      <c r="M1021" s="116">
        <v>898.77499999999998</v>
      </c>
      <c r="N1021" s="116">
        <v>903.97500000000002</v>
      </c>
      <c r="O1021" s="116">
        <v>883.05</v>
      </c>
      <c r="P1021" s="116">
        <v>903.97500000000002</v>
      </c>
      <c r="Q1021" s="116">
        <v>1797.55</v>
      </c>
      <c r="R1021">
        <v>190286</v>
      </c>
    </row>
    <row r="1022" spans="1:18" x14ac:dyDescent="0.25">
      <c r="A1022" s="170">
        <v>43507</v>
      </c>
      <c r="B1022" s="116">
        <v>902.55</v>
      </c>
      <c r="C1022" s="116">
        <v>899.32500000000005</v>
      </c>
      <c r="D1022" s="116">
        <v>888</v>
      </c>
      <c r="E1022" s="116">
        <v>896.22500000000002</v>
      </c>
      <c r="F1022" s="116">
        <v>1798.65</v>
      </c>
      <c r="G1022">
        <v>3309</v>
      </c>
      <c r="H1022" s="116"/>
      <c r="I1022" s="116"/>
      <c r="L1022" s="170">
        <v>43507</v>
      </c>
      <c r="M1022" s="116">
        <v>899.45</v>
      </c>
      <c r="N1022" s="116">
        <v>907.25</v>
      </c>
      <c r="O1022" s="116">
        <v>887.27499999999998</v>
      </c>
      <c r="P1022" s="116">
        <v>898.32500000000005</v>
      </c>
      <c r="Q1022" s="116">
        <v>1798.9</v>
      </c>
      <c r="R1022">
        <v>142796</v>
      </c>
    </row>
    <row r="1023" spans="1:18" x14ac:dyDescent="0.25">
      <c r="A1023" s="170">
        <v>43508</v>
      </c>
      <c r="B1023" s="116">
        <v>907.07500000000005</v>
      </c>
      <c r="C1023" s="116">
        <v>900.375</v>
      </c>
      <c r="D1023" s="116">
        <v>895</v>
      </c>
      <c r="E1023" s="116">
        <v>895</v>
      </c>
      <c r="F1023" s="116">
        <v>1800.75</v>
      </c>
      <c r="G1023">
        <v>2440</v>
      </c>
      <c r="H1023" s="116"/>
      <c r="I1023" s="116"/>
      <c r="L1023" s="170">
        <v>43508</v>
      </c>
      <c r="M1023" s="116">
        <v>899.47500000000002</v>
      </c>
      <c r="N1023" s="116">
        <v>907.5</v>
      </c>
      <c r="O1023" s="116">
        <v>894</v>
      </c>
      <c r="P1023" s="116">
        <v>901.95</v>
      </c>
      <c r="Q1023" s="116">
        <v>1798.95</v>
      </c>
      <c r="R1023">
        <v>80129</v>
      </c>
    </row>
    <row r="1024" spans="1:18" x14ac:dyDescent="0.25">
      <c r="A1024" s="170">
        <v>43509</v>
      </c>
      <c r="B1024" s="116">
        <v>899</v>
      </c>
      <c r="C1024" s="116">
        <v>894.7</v>
      </c>
      <c r="D1024" s="116">
        <v>889.5</v>
      </c>
      <c r="E1024" s="116">
        <v>894</v>
      </c>
      <c r="F1024" s="116">
        <v>1789.4</v>
      </c>
      <c r="G1024">
        <v>1114</v>
      </c>
      <c r="H1024" s="116"/>
      <c r="I1024" s="116"/>
      <c r="L1024" s="170">
        <v>43509</v>
      </c>
      <c r="M1024" s="116">
        <v>896</v>
      </c>
      <c r="N1024" s="116">
        <v>906.67499999999995</v>
      </c>
      <c r="O1024" s="116">
        <v>889.5</v>
      </c>
      <c r="P1024" s="116">
        <v>906.67499999999995</v>
      </c>
      <c r="Q1024" s="116">
        <v>1792</v>
      </c>
      <c r="R1024">
        <v>135554</v>
      </c>
    </row>
    <row r="1025" spans="1:18" x14ac:dyDescent="0.25">
      <c r="A1025" s="170">
        <v>43510</v>
      </c>
      <c r="B1025" s="116">
        <v>896.125</v>
      </c>
      <c r="C1025" s="116">
        <v>885.55</v>
      </c>
      <c r="D1025" s="116">
        <v>882.55</v>
      </c>
      <c r="E1025" s="116">
        <v>892.1</v>
      </c>
      <c r="F1025" s="116">
        <v>1771.1</v>
      </c>
      <c r="G1025">
        <v>2515</v>
      </c>
      <c r="H1025" s="116"/>
      <c r="I1025" s="116"/>
      <c r="L1025" s="170">
        <v>43510</v>
      </c>
      <c r="M1025" s="116">
        <v>885.65</v>
      </c>
      <c r="N1025" s="116">
        <v>896.25</v>
      </c>
      <c r="O1025" s="116">
        <v>882.92499999999995</v>
      </c>
      <c r="P1025" s="116">
        <v>895</v>
      </c>
      <c r="Q1025" s="116">
        <v>1771.3</v>
      </c>
      <c r="R1025">
        <v>118549</v>
      </c>
    </row>
    <row r="1026" spans="1:18" x14ac:dyDescent="0.25">
      <c r="A1026" s="170">
        <v>43511</v>
      </c>
      <c r="B1026" s="116">
        <v>894.85</v>
      </c>
      <c r="C1026" s="116">
        <v>888.27499999999998</v>
      </c>
      <c r="D1026" s="116">
        <v>872.27499999999998</v>
      </c>
      <c r="E1026" s="116">
        <v>885.52499999999998</v>
      </c>
      <c r="F1026" s="116">
        <v>1776.55</v>
      </c>
      <c r="G1026">
        <v>8335</v>
      </c>
      <c r="H1026" s="116"/>
      <c r="I1026" s="116"/>
      <c r="L1026" s="170">
        <v>43511</v>
      </c>
      <c r="M1026" s="116">
        <v>887.85</v>
      </c>
      <c r="N1026" s="116">
        <v>895</v>
      </c>
      <c r="O1026" s="116">
        <v>873.22500000000002</v>
      </c>
      <c r="P1026" s="116">
        <v>883.5</v>
      </c>
      <c r="Q1026" s="116">
        <v>1775.7</v>
      </c>
      <c r="R1026">
        <v>294949</v>
      </c>
    </row>
    <row r="1027" spans="1:18" x14ac:dyDescent="0.25">
      <c r="A1027" s="170">
        <v>43514</v>
      </c>
      <c r="B1027" s="116">
        <v>891.5</v>
      </c>
      <c r="C1027" s="116">
        <v>879.5</v>
      </c>
      <c r="D1027" s="116">
        <v>876</v>
      </c>
      <c r="E1027" s="116">
        <v>888.65</v>
      </c>
      <c r="F1027" s="116">
        <v>1759</v>
      </c>
      <c r="G1027">
        <v>5281</v>
      </c>
      <c r="H1027" s="116"/>
      <c r="I1027" s="116"/>
      <c r="L1027" s="170">
        <v>43514</v>
      </c>
      <c r="M1027" s="116">
        <v>881.75</v>
      </c>
      <c r="N1027" s="116">
        <v>891.07500000000005</v>
      </c>
      <c r="O1027" s="116">
        <v>875.6</v>
      </c>
      <c r="P1027" s="116">
        <v>885.5</v>
      </c>
      <c r="Q1027" s="116">
        <v>1763.5</v>
      </c>
      <c r="R1027">
        <v>84515</v>
      </c>
    </row>
    <row r="1028" spans="1:18" x14ac:dyDescent="0.25">
      <c r="A1028" s="170">
        <v>43515</v>
      </c>
      <c r="B1028" s="116">
        <v>888.6</v>
      </c>
      <c r="C1028" s="116">
        <v>882.57500000000005</v>
      </c>
      <c r="D1028" s="116">
        <v>878.67499999999995</v>
      </c>
      <c r="E1028" s="116">
        <v>879.125</v>
      </c>
      <c r="F1028" s="116">
        <v>1765.15</v>
      </c>
      <c r="G1028">
        <v>4236</v>
      </c>
      <c r="H1028" s="116"/>
      <c r="I1028" s="116"/>
      <c r="L1028" s="170">
        <v>43515</v>
      </c>
      <c r="M1028" s="116">
        <v>881.67499999999995</v>
      </c>
      <c r="N1028" s="116">
        <v>888.6</v>
      </c>
      <c r="O1028" s="116">
        <v>877.85</v>
      </c>
      <c r="P1028" s="116">
        <v>879</v>
      </c>
      <c r="Q1028" s="116">
        <v>1763.35</v>
      </c>
      <c r="R1028">
        <v>80143</v>
      </c>
    </row>
    <row r="1029" spans="1:18" x14ac:dyDescent="0.25">
      <c r="A1029" s="170">
        <v>43516</v>
      </c>
      <c r="B1029" s="116">
        <v>885.67499999999995</v>
      </c>
      <c r="C1029" s="116">
        <v>883.07500000000005</v>
      </c>
      <c r="D1029" s="116">
        <v>872.5</v>
      </c>
      <c r="E1029" s="116">
        <v>880.15</v>
      </c>
      <c r="F1029" s="116">
        <v>1766.15</v>
      </c>
      <c r="G1029">
        <v>3892</v>
      </c>
      <c r="H1029" s="116"/>
      <c r="I1029" s="116"/>
      <c r="L1029" s="170">
        <v>43516</v>
      </c>
      <c r="M1029" s="116">
        <v>884.375</v>
      </c>
      <c r="N1029" s="116">
        <v>885.5</v>
      </c>
      <c r="O1029" s="116">
        <v>871.55</v>
      </c>
      <c r="P1029" s="116">
        <v>878.5</v>
      </c>
      <c r="Q1029" s="116">
        <v>1768.75</v>
      </c>
      <c r="R1029">
        <v>99807</v>
      </c>
    </row>
    <row r="1030" spans="1:18" x14ac:dyDescent="0.25">
      <c r="A1030" s="170">
        <v>43517</v>
      </c>
      <c r="B1030" s="116">
        <v>886.8</v>
      </c>
      <c r="C1030" s="116">
        <v>883.97500000000002</v>
      </c>
      <c r="D1030" s="116">
        <v>881.5</v>
      </c>
      <c r="E1030" s="116">
        <v>881.82500000000005</v>
      </c>
      <c r="F1030" s="116">
        <v>1767.95</v>
      </c>
      <c r="G1030">
        <v>1578</v>
      </c>
      <c r="H1030" s="116"/>
      <c r="I1030" s="116"/>
      <c r="L1030" s="170">
        <v>43517</v>
      </c>
      <c r="M1030" s="116">
        <v>884.15</v>
      </c>
      <c r="N1030" s="116">
        <v>888.6</v>
      </c>
      <c r="O1030" s="116">
        <v>880.57500000000005</v>
      </c>
      <c r="P1030" s="116">
        <v>881.6</v>
      </c>
      <c r="Q1030" s="116">
        <v>1768.3</v>
      </c>
      <c r="R1030">
        <v>92686</v>
      </c>
    </row>
    <row r="1031" spans="1:18" x14ac:dyDescent="0.25">
      <c r="A1031" s="170">
        <v>43518</v>
      </c>
      <c r="B1031" s="116">
        <v>887.35</v>
      </c>
      <c r="C1031" s="116">
        <v>882.375</v>
      </c>
      <c r="D1031" s="116">
        <v>878.875</v>
      </c>
      <c r="E1031" s="116">
        <v>886.1</v>
      </c>
      <c r="F1031" s="116">
        <v>1764.75</v>
      </c>
      <c r="G1031">
        <v>1568</v>
      </c>
      <c r="H1031" s="116"/>
      <c r="I1031" s="116"/>
      <c r="L1031" s="170">
        <v>43518</v>
      </c>
      <c r="M1031" s="116">
        <v>882.75</v>
      </c>
      <c r="N1031" s="116">
        <v>887.45</v>
      </c>
      <c r="O1031" s="116">
        <v>878</v>
      </c>
      <c r="P1031" s="116">
        <v>882.02499999999998</v>
      </c>
      <c r="Q1031" s="116">
        <v>1765.5</v>
      </c>
      <c r="R1031">
        <v>155546</v>
      </c>
    </row>
    <row r="1032" spans="1:18" x14ac:dyDescent="0.25">
      <c r="A1032" s="170">
        <v>43521</v>
      </c>
      <c r="B1032" s="116">
        <v>909</v>
      </c>
      <c r="C1032" s="116">
        <v>902.52499999999998</v>
      </c>
      <c r="D1032" s="116">
        <v>861.05</v>
      </c>
      <c r="E1032" s="116">
        <v>885.92499999999995</v>
      </c>
      <c r="F1032" s="116">
        <v>1805.05</v>
      </c>
      <c r="G1032">
        <v>11310</v>
      </c>
      <c r="H1032" s="116"/>
      <c r="I1032" s="116"/>
      <c r="L1032" s="170">
        <v>43521</v>
      </c>
      <c r="M1032" s="116">
        <v>902.8</v>
      </c>
      <c r="N1032" s="116">
        <v>910.5</v>
      </c>
      <c r="O1032" s="116">
        <v>883</v>
      </c>
      <c r="P1032" s="116">
        <v>884.9</v>
      </c>
      <c r="Q1032" s="116">
        <v>1805.6</v>
      </c>
      <c r="R1032">
        <v>200602</v>
      </c>
    </row>
    <row r="1033" spans="1:18" x14ac:dyDescent="0.25">
      <c r="A1033" s="170">
        <v>43522</v>
      </c>
      <c r="B1033" s="116">
        <v>916.82500000000005</v>
      </c>
      <c r="C1033" s="116">
        <v>905.85</v>
      </c>
      <c r="D1033" s="116">
        <v>875</v>
      </c>
      <c r="E1033" s="116">
        <v>896</v>
      </c>
      <c r="F1033" s="116">
        <v>1811.7</v>
      </c>
      <c r="G1033">
        <v>6835</v>
      </c>
      <c r="H1033" s="116"/>
      <c r="I1033" s="116"/>
      <c r="L1033" s="170">
        <v>43522</v>
      </c>
      <c r="M1033" s="116">
        <v>906.07500000000005</v>
      </c>
      <c r="N1033" s="116">
        <v>916.95</v>
      </c>
      <c r="O1033" s="116">
        <v>882.65</v>
      </c>
      <c r="P1033" s="116">
        <v>906</v>
      </c>
      <c r="Q1033" s="116">
        <v>1812.15</v>
      </c>
      <c r="R1033">
        <v>235898</v>
      </c>
    </row>
    <row r="1034" spans="1:18" x14ac:dyDescent="0.25">
      <c r="A1034" s="170">
        <v>43523</v>
      </c>
      <c r="B1034" s="116">
        <v>919</v>
      </c>
      <c r="C1034" s="116">
        <v>905.65</v>
      </c>
      <c r="D1034" s="116">
        <v>902.5</v>
      </c>
      <c r="E1034" s="116">
        <v>907.32500000000005</v>
      </c>
      <c r="F1034" s="116">
        <v>1811.3</v>
      </c>
      <c r="G1034">
        <v>4673</v>
      </c>
      <c r="H1034" s="116"/>
      <c r="I1034" s="116"/>
      <c r="L1034" s="170">
        <v>43523</v>
      </c>
      <c r="M1034" s="116">
        <v>906.55</v>
      </c>
      <c r="N1034" s="116">
        <v>919.95</v>
      </c>
      <c r="O1034" s="116">
        <v>901.2</v>
      </c>
      <c r="P1034" s="116">
        <v>905.5</v>
      </c>
      <c r="Q1034" s="116">
        <v>1813.1</v>
      </c>
      <c r="R1034">
        <v>213976</v>
      </c>
    </row>
    <row r="1035" spans="1:18" x14ac:dyDescent="0.25">
      <c r="A1035" s="170">
        <v>43524</v>
      </c>
      <c r="B1035" s="116">
        <v>916.07500000000005</v>
      </c>
      <c r="C1035" s="116">
        <v>902.82500000000005</v>
      </c>
      <c r="D1035" s="116">
        <v>896.1</v>
      </c>
      <c r="E1035" s="116">
        <v>909</v>
      </c>
      <c r="F1035" s="116">
        <v>1805.65</v>
      </c>
      <c r="G1035">
        <v>4618</v>
      </c>
      <c r="H1035" s="116"/>
      <c r="I1035" s="116"/>
      <c r="L1035" s="170">
        <v>43524</v>
      </c>
      <c r="M1035" s="116">
        <v>900.97500000000002</v>
      </c>
      <c r="N1035" s="116">
        <v>918</v>
      </c>
      <c r="O1035" s="116">
        <v>895</v>
      </c>
      <c r="P1035" s="116">
        <v>909</v>
      </c>
      <c r="Q1035" s="116">
        <v>1801.95</v>
      </c>
      <c r="R1035">
        <v>215030</v>
      </c>
    </row>
    <row r="1036" spans="1:18" x14ac:dyDescent="0.25">
      <c r="A1036" s="170">
        <v>43525</v>
      </c>
      <c r="B1036" s="116">
        <v>903.45</v>
      </c>
      <c r="C1036" s="116">
        <v>892.57500000000005</v>
      </c>
      <c r="D1036" s="116">
        <v>886.4</v>
      </c>
      <c r="E1036" s="116">
        <v>901.17499999999995</v>
      </c>
      <c r="F1036" s="116">
        <v>1785.15</v>
      </c>
      <c r="G1036">
        <v>4713</v>
      </c>
      <c r="H1036" s="116"/>
      <c r="I1036" s="116"/>
      <c r="L1036" s="170">
        <v>43525</v>
      </c>
      <c r="M1036" s="116">
        <v>892.9</v>
      </c>
      <c r="N1036" s="116">
        <v>904.75</v>
      </c>
      <c r="O1036" s="116">
        <v>887.5</v>
      </c>
      <c r="P1036" s="116">
        <v>899</v>
      </c>
      <c r="Q1036" s="116">
        <v>1785.8</v>
      </c>
      <c r="R1036">
        <v>269906</v>
      </c>
    </row>
    <row r="1037" spans="1:18" x14ac:dyDescent="0.25">
      <c r="A1037" s="170">
        <v>43529</v>
      </c>
      <c r="B1037" s="116">
        <v>894.52499999999998</v>
      </c>
      <c r="C1037" s="116">
        <v>887.1</v>
      </c>
      <c r="D1037" s="116">
        <v>883.52499999999998</v>
      </c>
      <c r="E1037" s="116">
        <v>893</v>
      </c>
      <c r="F1037" s="116">
        <v>1774.2</v>
      </c>
      <c r="G1037">
        <v>5598</v>
      </c>
      <c r="H1037" s="116"/>
      <c r="I1037" s="116"/>
      <c r="L1037" s="170">
        <v>43529</v>
      </c>
      <c r="M1037" s="116">
        <v>886.375</v>
      </c>
      <c r="N1037" s="116">
        <v>894</v>
      </c>
      <c r="O1037" s="116">
        <v>881.625</v>
      </c>
      <c r="P1037" s="116">
        <v>891.5</v>
      </c>
      <c r="Q1037" s="116">
        <v>1772.75</v>
      </c>
      <c r="R1037">
        <v>187581</v>
      </c>
    </row>
    <row r="1038" spans="1:18" x14ac:dyDescent="0.25">
      <c r="A1038" s="170">
        <v>43530</v>
      </c>
      <c r="B1038" s="116">
        <v>909</v>
      </c>
      <c r="C1038" s="116">
        <v>900.22500000000002</v>
      </c>
      <c r="D1038" s="116">
        <v>884.17499999999995</v>
      </c>
      <c r="E1038" s="116">
        <v>892.4</v>
      </c>
      <c r="F1038" s="116">
        <v>1800.45</v>
      </c>
      <c r="G1038">
        <v>9250</v>
      </c>
      <c r="H1038" s="116"/>
      <c r="I1038" s="116"/>
      <c r="L1038" s="170">
        <v>43530</v>
      </c>
      <c r="M1038" s="116">
        <v>900.25</v>
      </c>
      <c r="N1038" s="116">
        <v>909.25</v>
      </c>
      <c r="O1038" s="116">
        <v>882.5</v>
      </c>
      <c r="P1038" s="116">
        <v>885.4</v>
      </c>
      <c r="Q1038" s="116">
        <v>1800.5</v>
      </c>
      <c r="R1038">
        <v>451134</v>
      </c>
    </row>
    <row r="1039" spans="1:18" x14ac:dyDescent="0.25">
      <c r="A1039" s="170">
        <v>43531</v>
      </c>
      <c r="B1039" s="116">
        <v>899.5</v>
      </c>
      <c r="C1039" s="116">
        <v>887.9</v>
      </c>
      <c r="D1039" s="116">
        <v>885.5</v>
      </c>
      <c r="E1039" s="116">
        <v>899.15</v>
      </c>
      <c r="F1039" s="116">
        <v>1775.8</v>
      </c>
      <c r="G1039">
        <v>3075</v>
      </c>
      <c r="H1039" s="116"/>
      <c r="I1039" s="116"/>
      <c r="L1039" s="170">
        <v>43531</v>
      </c>
      <c r="M1039" s="116">
        <v>887.7</v>
      </c>
      <c r="N1039" s="116">
        <v>908</v>
      </c>
      <c r="O1039" s="116">
        <v>885</v>
      </c>
      <c r="P1039" s="116">
        <v>908</v>
      </c>
      <c r="Q1039" s="116">
        <v>1775.4</v>
      </c>
      <c r="R1039">
        <v>131809</v>
      </c>
    </row>
    <row r="1040" spans="1:18" x14ac:dyDescent="0.25">
      <c r="A1040" s="170">
        <v>43532</v>
      </c>
      <c r="B1040" s="116">
        <v>892.5</v>
      </c>
      <c r="C1040" s="116">
        <v>891.1</v>
      </c>
      <c r="D1040" s="116">
        <v>879</v>
      </c>
      <c r="E1040" s="116">
        <v>886.97500000000002</v>
      </c>
      <c r="F1040" s="116">
        <v>1782.2</v>
      </c>
      <c r="G1040">
        <v>6611</v>
      </c>
      <c r="H1040" s="116"/>
      <c r="I1040" s="116"/>
      <c r="L1040" s="170">
        <v>43532</v>
      </c>
      <c r="M1040" s="116">
        <v>891.1</v>
      </c>
      <c r="N1040" s="116">
        <v>893.5</v>
      </c>
      <c r="O1040" s="116">
        <v>879.25</v>
      </c>
      <c r="P1040" s="116">
        <v>884.95</v>
      </c>
      <c r="Q1040" s="116">
        <v>1782.2</v>
      </c>
      <c r="R1040">
        <v>210024</v>
      </c>
    </row>
    <row r="1041" spans="1:18" x14ac:dyDescent="0.25">
      <c r="A1041" s="170">
        <v>43535</v>
      </c>
      <c r="B1041" s="116">
        <v>899.02499999999998</v>
      </c>
      <c r="C1041" s="116">
        <v>895.5</v>
      </c>
      <c r="D1041" s="116">
        <v>886.42499999999995</v>
      </c>
      <c r="E1041" s="116">
        <v>898.17499999999995</v>
      </c>
      <c r="F1041" s="116">
        <v>1791</v>
      </c>
      <c r="G1041">
        <v>2967</v>
      </c>
      <c r="H1041" s="116"/>
      <c r="I1041" s="116"/>
      <c r="L1041" s="170">
        <v>43535</v>
      </c>
      <c r="M1041" s="116">
        <v>894.92499999999995</v>
      </c>
      <c r="N1041" s="116">
        <v>898.22500000000002</v>
      </c>
      <c r="O1041" s="116">
        <v>885.65</v>
      </c>
      <c r="P1041" s="116">
        <v>891.15</v>
      </c>
      <c r="Q1041" s="116">
        <v>1789.85</v>
      </c>
      <c r="R1041">
        <v>130542</v>
      </c>
    </row>
    <row r="1042" spans="1:18" x14ac:dyDescent="0.25">
      <c r="A1042" s="170">
        <v>43536</v>
      </c>
      <c r="B1042" s="116">
        <v>927.75</v>
      </c>
      <c r="C1042" s="116">
        <v>922.8</v>
      </c>
      <c r="D1042" s="116">
        <v>894.65</v>
      </c>
      <c r="E1042" s="116">
        <v>897.45</v>
      </c>
      <c r="F1042" s="116">
        <v>1845.6</v>
      </c>
      <c r="G1042">
        <v>16211</v>
      </c>
      <c r="H1042" s="116"/>
      <c r="I1042" s="116"/>
      <c r="L1042" s="170">
        <v>43536</v>
      </c>
      <c r="M1042" s="116">
        <v>920.95</v>
      </c>
      <c r="N1042" s="116">
        <v>927.3</v>
      </c>
      <c r="O1042" s="116">
        <v>896</v>
      </c>
      <c r="P1042" s="116">
        <v>896</v>
      </c>
      <c r="Q1042" s="116">
        <v>1841.9</v>
      </c>
      <c r="R1042">
        <v>382303</v>
      </c>
    </row>
    <row r="1043" spans="1:18" x14ac:dyDescent="0.25">
      <c r="A1043" s="170">
        <v>43537</v>
      </c>
      <c r="B1043" s="116">
        <v>939.25</v>
      </c>
      <c r="C1043" s="116">
        <v>908.45</v>
      </c>
      <c r="D1043" s="116">
        <v>903.27499999999998</v>
      </c>
      <c r="E1043" s="116">
        <v>931.45</v>
      </c>
      <c r="F1043" s="116">
        <v>1816.9</v>
      </c>
      <c r="G1043">
        <v>17980</v>
      </c>
      <c r="H1043" s="116"/>
      <c r="I1043" s="116"/>
      <c r="L1043" s="170">
        <v>43537</v>
      </c>
      <c r="M1043" s="116">
        <v>907.6</v>
      </c>
      <c r="N1043" s="116">
        <v>939.07500000000005</v>
      </c>
      <c r="O1043" s="116">
        <v>902.625</v>
      </c>
      <c r="P1043" s="116">
        <v>925.05</v>
      </c>
      <c r="Q1043" s="116">
        <v>1815.2</v>
      </c>
      <c r="R1043">
        <v>358554</v>
      </c>
    </row>
    <row r="1044" spans="1:18" x14ac:dyDescent="0.25">
      <c r="A1044" s="170">
        <v>43538</v>
      </c>
      <c r="B1044" s="116">
        <v>920.3</v>
      </c>
      <c r="C1044" s="116">
        <v>917.7</v>
      </c>
      <c r="D1044" s="116">
        <v>910</v>
      </c>
      <c r="E1044" s="116">
        <v>915</v>
      </c>
      <c r="F1044" s="116">
        <v>1835.4</v>
      </c>
      <c r="G1044">
        <v>3752</v>
      </c>
      <c r="H1044" s="116"/>
      <c r="I1044" s="116"/>
      <c r="L1044" s="170">
        <v>43538</v>
      </c>
      <c r="M1044" s="116">
        <v>920.47500000000002</v>
      </c>
      <c r="N1044" s="116">
        <v>923.35</v>
      </c>
      <c r="O1044" s="116">
        <v>910.07500000000005</v>
      </c>
      <c r="P1044" s="116">
        <v>915</v>
      </c>
      <c r="Q1044" s="116">
        <v>1840.95</v>
      </c>
      <c r="R1044">
        <v>176098</v>
      </c>
    </row>
    <row r="1045" spans="1:18" x14ac:dyDescent="0.25">
      <c r="A1045" s="170">
        <v>43539</v>
      </c>
      <c r="B1045" s="116">
        <v>934.02499999999998</v>
      </c>
      <c r="C1045" s="116">
        <v>929.1</v>
      </c>
      <c r="D1045" s="116">
        <v>912.75</v>
      </c>
      <c r="E1045" s="116">
        <v>920.9</v>
      </c>
      <c r="F1045" s="116">
        <v>1858.2</v>
      </c>
      <c r="G1045">
        <v>8669</v>
      </c>
      <c r="H1045" s="116"/>
      <c r="I1045" s="116"/>
      <c r="L1045" s="170">
        <v>43539</v>
      </c>
      <c r="M1045" s="116">
        <v>928.07500000000005</v>
      </c>
      <c r="N1045" s="116">
        <v>932.67499999999995</v>
      </c>
      <c r="O1045" s="116">
        <v>911.25</v>
      </c>
      <c r="P1045" s="116">
        <v>919.95</v>
      </c>
      <c r="Q1045" s="116">
        <v>1856.15</v>
      </c>
      <c r="R1045">
        <v>179119</v>
      </c>
    </row>
    <row r="1046" spans="1:18" x14ac:dyDescent="0.25">
      <c r="A1046" s="170">
        <v>43542</v>
      </c>
      <c r="B1046" s="116">
        <v>936.375</v>
      </c>
      <c r="C1046" s="116">
        <v>924.6</v>
      </c>
      <c r="D1046" s="116">
        <v>920.65</v>
      </c>
      <c r="E1046" s="116">
        <v>929</v>
      </c>
      <c r="F1046" s="116">
        <v>1849.2</v>
      </c>
      <c r="G1046">
        <v>4006</v>
      </c>
      <c r="H1046" s="116"/>
      <c r="I1046" s="116"/>
      <c r="L1046" s="170">
        <v>43542</v>
      </c>
      <c r="M1046" s="116">
        <v>925.77499999999998</v>
      </c>
      <c r="N1046" s="116">
        <v>936.67499999999995</v>
      </c>
      <c r="O1046" s="116">
        <v>920.55</v>
      </c>
      <c r="P1046" s="116">
        <v>928</v>
      </c>
      <c r="Q1046" s="116">
        <v>1851.55</v>
      </c>
      <c r="R1046">
        <v>149856</v>
      </c>
    </row>
    <row r="1047" spans="1:18" x14ac:dyDescent="0.25">
      <c r="A1047" s="170">
        <v>43543</v>
      </c>
      <c r="B1047" s="116">
        <v>942.4</v>
      </c>
      <c r="C1047" s="116">
        <v>935.47500000000002</v>
      </c>
      <c r="D1047" s="116">
        <v>927.45</v>
      </c>
      <c r="E1047" s="116">
        <v>938.25</v>
      </c>
      <c r="F1047" s="116">
        <v>1870.95</v>
      </c>
      <c r="G1047">
        <v>12646</v>
      </c>
      <c r="H1047" s="116"/>
      <c r="I1047" s="116"/>
      <c r="L1047" s="170">
        <v>43543</v>
      </c>
      <c r="M1047" s="116">
        <v>931.45</v>
      </c>
      <c r="N1047" s="116">
        <v>942.5</v>
      </c>
      <c r="O1047" s="116">
        <v>926.52499999999998</v>
      </c>
      <c r="P1047" s="116">
        <v>926.92499999999995</v>
      </c>
      <c r="Q1047" s="116">
        <v>1862.9</v>
      </c>
      <c r="R1047">
        <v>166834</v>
      </c>
    </row>
    <row r="1048" spans="1:18" x14ac:dyDescent="0.25">
      <c r="A1048" s="170">
        <v>43544</v>
      </c>
      <c r="B1048" s="116">
        <v>941.375</v>
      </c>
      <c r="C1048" s="116">
        <v>934.65</v>
      </c>
      <c r="D1048" s="116">
        <v>930.25</v>
      </c>
      <c r="E1048" s="116">
        <v>933.8</v>
      </c>
      <c r="F1048" s="116">
        <v>1869.3</v>
      </c>
      <c r="G1048">
        <v>5379</v>
      </c>
      <c r="H1048" s="116"/>
      <c r="I1048" s="116"/>
      <c r="L1048" s="170">
        <v>43544</v>
      </c>
      <c r="M1048" s="116">
        <v>933.95</v>
      </c>
      <c r="N1048" s="116">
        <v>940</v>
      </c>
      <c r="O1048" s="116">
        <v>927.625</v>
      </c>
      <c r="P1048" s="116">
        <v>936.92499999999995</v>
      </c>
      <c r="Q1048" s="116">
        <v>1867.9</v>
      </c>
      <c r="R1048">
        <v>77457</v>
      </c>
    </row>
    <row r="1049" spans="1:18" x14ac:dyDescent="0.25">
      <c r="A1049" s="170">
        <v>43546</v>
      </c>
      <c r="B1049" s="116">
        <v>939.77499999999998</v>
      </c>
      <c r="C1049" s="116">
        <v>933.625</v>
      </c>
      <c r="D1049" s="116">
        <v>931.07500000000005</v>
      </c>
      <c r="E1049" s="116">
        <v>939.77499999999998</v>
      </c>
      <c r="F1049" s="116">
        <v>1867.25</v>
      </c>
      <c r="G1049">
        <v>2219</v>
      </c>
      <c r="H1049" s="116"/>
      <c r="I1049" s="116"/>
      <c r="L1049" s="170">
        <v>43546</v>
      </c>
      <c r="M1049" s="116">
        <v>934.875</v>
      </c>
      <c r="N1049" s="116">
        <v>938.22500000000002</v>
      </c>
      <c r="O1049" s="116">
        <v>930.5</v>
      </c>
      <c r="P1049" s="116">
        <v>934.97500000000002</v>
      </c>
      <c r="Q1049" s="116">
        <v>1869.75</v>
      </c>
      <c r="R1049">
        <v>70245</v>
      </c>
    </row>
    <row r="1050" spans="1:18" x14ac:dyDescent="0.25">
      <c r="A1050" s="170">
        <v>43549</v>
      </c>
      <c r="B1050" s="116">
        <v>938.3</v>
      </c>
      <c r="C1050" s="116">
        <v>931.75</v>
      </c>
      <c r="D1050" s="116">
        <v>925.47500000000002</v>
      </c>
      <c r="E1050" s="116">
        <v>930</v>
      </c>
      <c r="F1050" s="116">
        <v>1863.5</v>
      </c>
      <c r="G1050">
        <v>1993</v>
      </c>
      <c r="H1050" s="116"/>
      <c r="I1050" s="116"/>
      <c r="L1050" s="170">
        <v>43549</v>
      </c>
      <c r="M1050" s="116">
        <v>933.15</v>
      </c>
      <c r="N1050" s="116">
        <v>939.75</v>
      </c>
      <c r="O1050" s="116">
        <v>922.6</v>
      </c>
      <c r="P1050" s="116">
        <v>925.5</v>
      </c>
      <c r="Q1050" s="116">
        <v>1866.3</v>
      </c>
      <c r="R1050">
        <v>98498</v>
      </c>
    </row>
    <row r="1051" spans="1:18" x14ac:dyDescent="0.25">
      <c r="A1051" s="170">
        <v>43550</v>
      </c>
      <c r="B1051" s="116">
        <v>949.77499999999998</v>
      </c>
      <c r="C1051" s="116">
        <v>941.82500000000005</v>
      </c>
      <c r="D1051" s="116">
        <v>936</v>
      </c>
      <c r="E1051" s="116">
        <v>936</v>
      </c>
      <c r="F1051" s="116">
        <v>1883.65</v>
      </c>
      <c r="G1051">
        <v>7517</v>
      </c>
      <c r="H1051" s="116"/>
      <c r="I1051" s="116"/>
      <c r="L1051" s="170">
        <v>43550</v>
      </c>
      <c r="M1051" s="116">
        <v>941.97500000000002</v>
      </c>
      <c r="N1051" s="116">
        <v>948.75</v>
      </c>
      <c r="O1051" s="116">
        <v>930</v>
      </c>
      <c r="P1051" s="116">
        <v>932.47500000000002</v>
      </c>
      <c r="Q1051" s="116">
        <v>1883.95</v>
      </c>
      <c r="R1051">
        <v>160958</v>
      </c>
    </row>
    <row r="1052" spans="1:18" x14ac:dyDescent="0.25">
      <c r="A1052" s="170">
        <v>43551</v>
      </c>
      <c r="B1052" s="116">
        <v>957.92499999999995</v>
      </c>
      <c r="C1052" s="116">
        <v>942.75</v>
      </c>
      <c r="D1052" s="116">
        <v>936</v>
      </c>
      <c r="E1052" s="116">
        <v>946.72500000000002</v>
      </c>
      <c r="F1052" s="116">
        <v>1885.5</v>
      </c>
      <c r="G1052">
        <v>13282</v>
      </c>
      <c r="H1052" s="116"/>
      <c r="I1052" s="116"/>
      <c r="L1052" s="170">
        <v>43551</v>
      </c>
      <c r="M1052" s="116">
        <v>943.52499999999998</v>
      </c>
      <c r="N1052" s="116">
        <v>959.25</v>
      </c>
      <c r="O1052" s="116">
        <v>936.02499999999998</v>
      </c>
      <c r="P1052" s="116">
        <v>943.5</v>
      </c>
      <c r="Q1052" s="116">
        <v>1887.05</v>
      </c>
      <c r="R1052">
        <v>320339</v>
      </c>
    </row>
    <row r="1053" spans="1:18" x14ac:dyDescent="0.25">
      <c r="A1053" s="170">
        <v>43552</v>
      </c>
      <c r="B1053" s="116">
        <v>968.625</v>
      </c>
      <c r="C1053" s="116">
        <v>967.45</v>
      </c>
      <c r="D1053" s="116">
        <v>947</v>
      </c>
      <c r="E1053" s="116">
        <v>947.72500000000002</v>
      </c>
      <c r="F1053" s="116">
        <v>1934.9</v>
      </c>
      <c r="G1053">
        <v>8210</v>
      </c>
      <c r="H1053" s="116"/>
      <c r="I1053" s="116"/>
      <c r="L1053" s="170">
        <v>43552</v>
      </c>
      <c r="M1053" s="116">
        <v>966.72500000000002</v>
      </c>
      <c r="N1053" s="116">
        <v>969.875</v>
      </c>
      <c r="O1053" s="116">
        <v>942.5</v>
      </c>
      <c r="P1053" s="116">
        <v>942.5</v>
      </c>
      <c r="Q1053" s="116">
        <v>1933.45</v>
      </c>
      <c r="R1053">
        <v>200397</v>
      </c>
    </row>
    <row r="1054" spans="1:18" x14ac:dyDescent="0.25">
      <c r="A1054" s="170">
        <v>43553</v>
      </c>
      <c r="B1054" s="116">
        <v>982</v>
      </c>
      <c r="C1054" s="116">
        <v>976.1</v>
      </c>
      <c r="D1054" s="116">
        <v>966.02499999999998</v>
      </c>
      <c r="E1054" s="116">
        <v>967.25</v>
      </c>
      <c r="F1054" s="116">
        <v>1952.2</v>
      </c>
      <c r="G1054">
        <v>7108</v>
      </c>
      <c r="H1054" s="116"/>
      <c r="I1054" s="116"/>
      <c r="L1054" s="170">
        <v>43553</v>
      </c>
      <c r="M1054" s="116">
        <v>974.875</v>
      </c>
      <c r="N1054" s="116">
        <v>981</v>
      </c>
      <c r="O1054" s="116">
        <v>965.35</v>
      </c>
      <c r="P1054" s="116">
        <v>968.5</v>
      </c>
      <c r="Q1054" s="116">
        <v>1949.75</v>
      </c>
      <c r="R1054">
        <v>186886</v>
      </c>
    </row>
    <row r="1055" spans="1:18" x14ac:dyDescent="0.25">
      <c r="A1055" s="170">
        <v>43556</v>
      </c>
      <c r="B1055" s="116">
        <v>976</v>
      </c>
      <c r="C1055" s="116">
        <v>949.75</v>
      </c>
      <c r="D1055" s="116">
        <v>947.5</v>
      </c>
      <c r="E1055" s="116">
        <v>976</v>
      </c>
      <c r="F1055" s="116">
        <v>1899.5</v>
      </c>
      <c r="G1055">
        <v>11836</v>
      </c>
      <c r="H1055" s="116"/>
      <c r="I1055" s="116"/>
      <c r="L1055" s="170">
        <v>43556</v>
      </c>
      <c r="M1055" s="116">
        <v>949.97500000000002</v>
      </c>
      <c r="N1055" s="116">
        <v>975</v>
      </c>
      <c r="O1055" s="116">
        <v>945</v>
      </c>
      <c r="P1055" s="116">
        <v>975</v>
      </c>
      <c r="Q1055" s="116">
        <v>1899.95</v>
      </c>
      <c r="R1055">
        <v>373438</v>
      </c>
    </row>
    <row r="1056" spans="1:18" x14ac:dyDescent="0.25">
      <c r="A1056" s="170">
        <v>43557</v>
      </c>
      <c r="B1056" s="116">
        <v>964.97500000000002</v>
      </c>
      <c r="C1056" s="116">
        <v>944.7</v>
      </c>
      <c r="D1056" s="116">
        <v>942.52499999999998</v>
      </c>
      <c r="E1056" s="116">
        <v>964.97500000000002</v>
      </c>
      <c r="F1056" s="116">
        <v>1889.4</v>
      </c>
      <c r="G1056">
        <v>9750</v>
      </c>
      <c r="H1056" s="116"/>
      <c r="I1056" s="116"/>
      <c r="L1056" s="170">
        <v>43557</v>
      </c>
      <c r="M1056" s="116">
        <v>945.17499999999995</v>
      </c>
      <c r="N1056" s="116">
        <v>957.5</v>
      </c>
      <c r="O1056" s="116">
        <v>944</v>
      </c>
      <c r="P1056" s="116">
        <v>950</v>
      </c>
      <c r="Q1056" s="116">
        <v>1890.35</v>
      </c>
      <c r="R1056">
        <v>498392</v>
      </c>
    </row>
    <row r="1057" spans="1:18" x14ac:dyDescent="0.25">
      <c r="A1057" s="170">
        <v>43558</v>
      </c>
      <c r="B1057" s="116">
        <v>954.5</v>
      </c>
      <c r="C1057" s="116">
        <v>949.875</v>
      </c>
      <c r="D1057" s="116">
        <v>945.67499999999995</v>
      </c>
      <c r="E1057" s="116">
        <v>945.67499999999995</v>
      </c>
      <c r="F1057" s="116">
        <v>1899.75</v>
      </c>
      <c r="G1057">
        <v>5259</v>
      </c>
      <c r="H1057" s="116"/>
      <c r="I1057" s="116"/>
      <c r="L1057" s="170">
        <v>43558</v>
      </c>
      <c r="M1057" s="116">
        <v>951.92499999999995</v>
      </c>
      <c r="N1057" s="116">
        <v>955.97500000000002</v>
      </c>
      <c r="O1057" s="116">
        <v>945.5</v>
      </c>
      <c r="P1057" s="116">
        <v>945.5</v>
      </c>
      <c r="Q1057" s="116">
        <v>1903.85</v>
      </c>
      <c r="R1057">
        <v>153128</v>
      </c>
    </row>
    <row r="1058" spans="1:18" x14ac:dyDescent="0.25">
      <c r="A1058" s="170">
        <v>43559</v>
      </c>
      <c r="B1058" s="116">
        <v>961.07500000000005</v>
      </c>
      <c r="C1058" s="116">
        <v>951.1</v>
      </c>
      <c r="D1058" s="116">
        <v>947.72500000000002</v>
      </c>
      <c r="E1058" s="116">
        <v>955.25</v>
      </c>
      <c r="F1058" s="116">
        <v>1902.2</v>
      </c>
      <c r="G1058">
        <v>4178</v>
      </c>
      <c r="H1058" s="116"/>
      <c r="I1058" s="116"/>
      <c r="L1058" s="170">
        <v>43559</v>
      </c>
      <c r="M1058" s="116">
        <v>950.05</v>
      </c>
      <c r="N1058" s="116">
        <v>961.7</v>
      </c>
      <c r="O1058" s="116">
        <v>947.55</v>
      </c>
      <c r="P1058" s="116">
        <v>950</v>
      </c>
      <c r="Q1058" s="116">
        <v>1900.1</v>
      </c>
      <c r="R1058">
        <v>275610</v>
      </c>
    </row>
    <row r="1059" spans="1:18" x14ac:dyDescent="0.25">
      <c r="A1059" s="170">
        <v>43560</v>
      </c>
      <c r="B1059" s="116">
        <v>955.82500000000005</v>
      </c>
      <c r="C1059" s="116">
        <v>921.07500000000005</v>
      </c>
      <c r="D1059" s="116">
        <v>916.42499999999995</v>
      </c>
      <c r="E1059" s="116">
        <v>955.82500000000005</v>
      </c>
      <c r="F1059" s="116">
        <v>1842.15</v>
      </c>
      <c r="G1059">
        <v>18284</v>
      </c>
      <c r="H1059" s="116"/>
      <c r="I1059" s="116"/>
      <c r="L1059" s="170">
        <v>43560</v>
      </c>
      <c r="M1059" s="116">
        <v>920.82500000000005</v>
      </c>
      <c r="N1059" s="116">
        <v>957.47500000000002</v>
      </c>
      <c r="O1059" s="116">
        <v>916</v>
      </c>
      <c r="P1059" s="116">
        <v>952.5</v>
      </c>
      <c r="Q1059" s="116">
        <v>1841.65</v>
      </c>
      <c r="R1059">
        <v>541566</v>
      </c>
    </row>
    <row r="1060" spans="1:18" x14ac:dyDescent="0.25">
      <c r="A1060" s="170">
        <v>43563</v>
      </c>
      <c r="B1060" s="116">
        <v>926.2</v>
      </c>
      <c r="C1060" s="116">
        <v>896.75</v>
      </c>
      <c r="D1060" s="116">
        <v>893</v>
      </c>
      <c r="E1060" s="116">
        <v>922</v>
      </c>
      <c r="F1060" s="116">
        <v>1793.5</v>
      </c>
      <c r="G1060">
        <v>15569</v>
      </c>
      <c r="H1060" s="116"/>
      <c r="I1060" s="116"/>
      <c r="L1060" s="170">
        <v>43563</v>
      </c>
      <c r="M1060" s="116">
        <v>897.45</v>
      </c>
      <c r="N1060" s="116">
        <v>920</v>
      </c>
      <c r="O1060" s="116">
        <v>893</v>
      </c>
      <c r="P1060" s="116">
        <v>920</v>
      </c>
      <c r="Q1060" s="116">
        <v>1794.9</v>
      </c>
      <c r="R1060">
        <v>577164</v>
      </c>
    </row>
    <row r="1061" spans="1:18" x14ac:dyDescent="0.25">
      <c r="A1061" s="170">
        <v>43564</v>
      </c>
      <c r="B1061" s="116">
        <v>936.02499999999998</v>
      </c>
      <c r="C1061" s="116">
        <v>932.5</v>
      </c>
      <c r="D1061" s="116">
        <v>900</v>
      </c>
      <c r="E1061" s="116">
        <v>900</v>
      </c>
      <c r="F1061" s="116">
        <v>1865</v>
      </c>
      <c r="G1061">
        <v>21027</v>
      </c>
      <c r="H1061" s="116"/>
      <c r="I1061" s="116"/>
      <c r="L1061" s="170">
        <v>43564</v>
      </c>
      <c r="M1061" s="116">
        <v>933.42499999999995</v>
      </c>
      <c r="N1061" s="116">
        <v>937.02499999999998</v>
      </c>
      <c r="O1061" s="116">
        <v>895.02499999999998</v>
      </c>
      <c r="P1061" s="116">
        <v>897.5</v>
      </c>
      <c r="Q1061" s="116">
        <v>1866.85</v>
      </c>
      <c r="R1061">
        <v>649105</v>
      </c>
    </row>
    <row r="1062" spans="1:18" x14ac:dyDescent="0.25">
      <c r="A1062" s="170">
        <v>43565</v>
      </c>
      <c r="B1062" s="116">
        <v>935.5</v>
      </c>
      <c r="C1062" s="116">
        <v>929.625</v>
      </c>
      <c r="D1062" s="116">
        <v>919.7</v>
      </c>
      <c r="E1062" s="116">
        <v>927</v>
      </c>
      <c r="F1062" s="116">
        <v>1859.25</v>
      </c>
      <c r="G1062">
        <v>7336</v>
      </c>
      <c r="H1062" s="116"/>
      <c r="I1062" s="116"/>
      <c r="L1062" s="170">
        <v>43565</v>
      </c>
      <c r="M1062" s="116">
        <v>930.92499999999995</v>
      </c>
      <c r="N1062" s="116">
        <v>936</v>
      </c>
      <c r="O1062" s="116">
        <v>918.42499999999995</v>
      </c>
      <c r="P1062" s="116">
        <v>933</v>
      </c>
      <c r="Q1062" s="116">
        <v>1861.85</v>
      </c>
      <c r="R1062">
        <v>317317</v>
      </c>
    </row>
    <row r="1063" spans="1:18" x14ac:dyDescent="0.25">
      <c r="A1063" s="170">
        <v>43566</v>
      </c>
      <c r="B1063" s="116">
        <v>931.45</v>
      </c>
      <c r="C1063" s="116">
        <v>917.15</v>
      </c>
      <c r="D1063" s="116">
        <v>908.35</v>
      </c>
      <c r="E1063" s="116">
        <v>931.45</v>
      </c>
      <c r="F1063" s="116">
        <v>1834.3</v>
      </c>
      <c r="G1063">
        <v>8070</v>
      </c>
      <c r="H1063" s="116"/>
      <c r="I1063" s="116"/>
      <c r="L1063" s="170">
        <v>43566</v>
      </c>
      <c r="M1063" s="116">
        <v>917.75</v>
      </c>
      <c r="N1063" s="116">
        <v>936.5</v>
      </c>
      <c r="O1063" s="116">
        <v>905.4</v>
      </c>
      <c r="P1063" s="116">
        <v>936.5</v>
      </c>
      <c r="Q1063" s="116">
        <v>1835.5</v>
      </c>
      <c r="R1063">
        <v>254650</v>
      </c>
    </row>
    <row r="1064" spans="1:18" x14ac:dyDescent="0.25">
      <c r="A1064" s="170">
        <v>43567</v>
      </c>
      <c r="B1064" s="116">
        <v>922.42499999999995</v>
      </c>
      <c r="C1064" s="116">
        <v>919.47500000000002</v>
      </c>
      <c r="D1064" s="116">
        <v>911.7</v>
      </c>
      <c r="E1064" s="116">
        <v>913.77499999999998</v>
      </c>
      <c r="F1064" s="116">
        <v>1838.95</v>
      </c>
      <c r="G1064">
        <v>2742</v>
      </c>
      <c r="H1064" s="116"/>
      <c r="I1064" s="116"/>
      <c r="L1064" s="170">
        <v>43567</v>
      </c>
      <c r="M1064" s="116">
        <v>917</v>
      </c>
      <c r="N1064" s="116">
        <v>924</v>
      </c>
      <c r="O1064" s="116">
        <v>911.27499999999998</v>
      </c>
      <c r="P1064" s="116">
        <v>917.4</v>
      </c>
      <c r="Q1064" s="116">
        <v>1834</v>
      </c>
      <c r="R1064">
        <v>110022</v>
      </c>
    </row>
    <row r="1065" spans="1:18" x14ac:dyDescent="0.25">
      <c r="A1065" s="170">
        <v>43570</v>
      </c>
      <c r="B1065" s="116">
        <v>919.6</v>
      </c>
      <c r="C1065" s="116">
        <v>911.82500000000005</v>
      </c>
      <c r="D1065" s="116">
        <v>908.07500000000005</v>
      </c>
      <c r="E1065" s="116">
        <v>916.47500000000002</v>
      </c>
      <c r="F1065" s="116">
        <v>1823.65</v>
      </c>
      <c r="G1065">
        <v>4105</v>
      </c>
      <c r="H1065" s="116"/>
      <c r="I1065" s="116"/>
      <c r="L1065" s="170">
        <v>43570</v>
      </c>
      <c r="M1065" s="116">
        <v>913.15</v>
      </c>
      <c r="N1065" s="116">
        <v>920.55</v>
      </c>
      <c r="O1065" s="116">
        <v>907.5</v>
      </c>
      <c r="P1065" s="116">
        <v>917.625</v>
      </c>
      <c r="Q1065" s="116">
        <v>1826.3</v>
      </c>
      <c r="R1065">
        <v>79171</v>
      </c>
    </row>
    <row r="1066" spans="1:18" x14ac:dyDescent="0.25">
      <c r="A1066" s="170">
        <v>43571</v>
      </c>
      <c r="B1066" s="116">
        <v>921.52499999999998</v>
      </c>
      <c r="C1066" s="116">
        <v>918.5</v>
      </c>
      <c r="D1066" s="116">
        <v>911.65</v>
      </c>
      <c r="E1066" s="116">
        <v>915</v>
      </c>
      <c r="F1066" s="116">
        <v>1837</v>
      </c>
      <c r="G1066">
        <v>4767</v>
      </c>
      <c r="H1066" s="116"/>
      <c r="I1066" s="116"/>
      <c r="L1066" s="170">
        <v>43571</v>
      </c>
      <c r="M1066" s="116">
        <v>919.55</v>
      </c>
      <c r="N1066" s="116">
        <v>921.75</v>
      </c>
      <c r="O1066" s="116">
        <v>910.75</v>
      </c>
      <c r="P1066" s="116">
        <v>913.15</v>
      </c>
      <c r="Q1066" s="116">
        <v>1839.1</v>
      </c>
      <c r="R1066">
        <v>91273</v>
      </c>
    </row>
    <row r="1067" spans="1:18" x14ac:dyDescent="0.25">
      <c r="A1067" s="170">
        <v>43573</v>
      </c>
      <c r="B1067" s="116">
        <v>917.05</v>
      </c>
      <c r="C1067" s="116">
        <v>914.57500000000005</v>
      </c>
      <c r="D1067" s="116">
        <v>907.55</v>
      </c>
      <c r="E1067" s="116">
        <v>916.5</v>
      </c>
      <c r="F1067" s="116">
        <v>1829.15</v>
      </c>
      <c r="G1067">
        <v>3817</v>
      </c>
      <c r="H1067" s="116"/>
      <c r="I1067" s="116"/>
      <c r="L1067" s="170">
        <v>43573</v>
      </c>
      <c r="M1067" s="116">
        <v>918.3</v>
      </c>
      <c r="N1067" s="116">
        <v>924.375</v>
      </c>
      <c r="O1067" s="116">
        <v>907</v>
      </c>
      <c r="P1067" s="116">
        <v>919.57500000000005</v>
      </c>
      <c r="Q1067" s="116">
        <v>1836.6</v>
      </c>
      <c r="R1067">
        <v>260138</v>
      </c>
    </row>
    <row r="1068" spans="1:18" x14ac:dyDescent="0.25">
      <c r="A1068" s="170">
        <v>43577</v>
      </c>
      <c r="B1068" s="116">
        <v>910.52499999999998</v>
      </c>
      <c r="C1068" s="116">
        <v>907.02499999999998</v>
      </c>
      <c r="D1068" s="116">
        <v>897.52499999999998</v>
      </c>
      <c r="E1068" s="116">
        <v>905</v>
      </c>
      <c r="F1068" s="116">
        <v>1814.05</v>
      </c>
      <c r="G1068">
        <v>4235</v>
      </c>
      <c r="H1068" s="116"/>
      <c r="I1068" s="116"/>
      <c r="L1068" s="170">
        <v>43577</v>
      </c>
      <c r="M1068" s="116">
        <v>905.95</v>
      </c>
      <c r="N1068" s="116">
        <v>916</v>
      </c>
      <c r="O1068" s="116">
        <v>897.5</v>
      </c>
      <c r="P1068" s="116">
        <v>915</v>
      </c>
      <c r="Q1068" s="116">
        <v>1811.9</v>
      </c>
      <c r="R1068">
        <v>127603</v>
      </c>
    </row>
    <row r="1069" spans="1:18" x14ac:dyDescent="0.25">
      <c r="A1069" s="170">
        <v>43578</v>
      </c>
      <c r="B1069" s="116">
        <v>911.625</v>
      </c>
      <c r="C1069" s="116">
        <v>904.95</v>
      </c>
      <c r="D1069" s="116">
        <v>900.75</v>
      </c>
      <c r="E1069" s="116">
        <v>907.5</v>
      </c>
      <c r="F1069" s="116">
        <v>1809.9</v>
      </c>
      <c r="G1069">
        <v>4869</v>
      </c>
      <c r="H1069" s="116"/>
      <c r="I1069" s="116"/>
      <c r="L1069" s="170">
        <v>43578</v>
      </c>
      <c r="M1069" s="116">
        <v>903.07500000000005</v>
      </c>
      <c r="N1069" s="116">
        <v>914.875</v>
      </c>
      <c r="O1069" s="116">
        <v>897.85</v>
      </c>
      <c r="P1069" s="116">
        <v>910</v>
      </c>
      <c r="Q1069" s="116">
        <v>1806.15</v>
      </c>
      <c r="R1069">
        <v>71946</v>
      </c>
    </row>
    <row r="1070" spans="1:18" x14ac:dyDescent="0.25">
      <c r="A1070" s="170">
        <v>43579</v>
      </c>
      <c r="B1070" s="116">
        <v>899.55</v>
      </c>
      <c r="C1070" s="116">
        <v>889.35</v>
      </c>
      <c r="D1070" s="116">
        <v>886.75</v>
      </c>
      <c r="E1070" s="116">
        <v>898.82500000000005</v>
      </c>
      <c r="F1070" s="116">
        <v>1778.7</v>
      </c>
      <c r="G1070">
        <v>4924</v>
      </c>
      <c r="H1070" s="116"/>
      <c r="I1070" s="116"/>
      <c r="L1070" s="170">
        <v>43579</v>
      </c>
      <c r="M1070" s="116">
        <v>889.92499999999995</v>
      </c>
      <c r="N1070" s="116">
        <v>900</v>
      </c>
      <c r="O1070" s="116">
        <v>886.5</v>
      </c>
      <c r="P1070" s="116">
        <v>900</v>
      </c>
      <c r="Q1070" s="116">
        <v>1779.85</v>
      </c>
      <c r="R1070">
        <v>158186</v>
      </c>
    </row>
    <row r="1071" spans="1:18" x14ac:dyDescent="0.25">
      <c r="A1071" s="170">
        <v>43580</v>
      </c>
      <c r="B1071" s="116">
        <v>900</v>
      </c>
      <c r="C1071" s="116">
        <v>863.95</v>
      </c>
      <c r="D1071" s="116">
        <v>860</v>
      </c>
      <c r="E1071" s="116">
        <v>900</v>
      </c>
      <c r="F1071" s="116">
        <v>1727.9</v>
      </c>
      <c r="G1071">
        <v>41942</v>
      </c>
      <c r="H1071" s="116"/>
      <c r="I1071" s="116"/>
      <c r="L1071" s="170">
        <v>43580</v>
      </c>
      <c r="M1071" s="116">
        <v>864.2</v>
      </c>
      <c r="N1071" s="116">
        <v>895</v>
      </c>
      <c r="O1071" s="116">
        <v>860.1</v>
      </c>
      <c r="P1071" s="116">
        <v>894.72500000000002</v>
      </c>
      <c r="Q1071" s="116">
        <v>1728.4</v>
      </c>
      <c r="R1071">
        <v>733347</v>
      </c>
    </row>
    <row r="1072" spans="1:18" x14ac:dyDescent="0.25">
      <c r="A1072" s="170">
        <v>43581</v>
      </c>
      <c r="B1072" s="116">
        <v>886.125</v>
      </c>
      <c r="C1072" s="116">
        <v>879.92499999999995</v>
      </c>
      <c r="D1072" s="116">
        <v>861.5</v>
      </c>
      <c r="E1072" s="116">
        <v>861.625</v>
      </c>
      <c r="F1072" s="116">
        <v>1759.85</v>
      </c>
      <c r="G1072">
        <v>14842</v>
      </c>
      <c r="H1072" s="116"/>
      <c r="I1072" s="116"/>
      <c r="L1072" s="170">
        <v>43581</v>
      </c>
      <c r="M1072" s="116">
        <v>876.875</v>
      </c>
      <c r="N1072" s="116">
        <v>887.5</v>
      </c>
      <c r="O1072" s="116">
        <v>862.07500000000005</v>
      </c>
      <c r="P1072" s="116">
        <v>862.07500000000005</v>
      </c>
      <c r="Q1072" s="116">
        <v>1753.75</v>
      </c>
      <c r="R1072">
        <v>428694</v>
      </c>
    </row>
    <row r="1073" spans="1:18" x14ac:dyDescent="0.25">
      <c r="A1073" s="170">
        <v>43585</v>
      </c>
      <c r="B1073" s="116">
        <v>898</v>
      </c>
      <c r="C1073" s="116">
        <v>896.07500000000005</v>
      </c>
      <c r="D1073" s="116">
        <v>858.5</v>
      </c>
      <c r="E1073" s="116">
        <v>876</v>
      </c>
      <c r="F1073" s="116">
        <v>1792.15</v>
      </c>
      <c r="G1073">
        <v>10761</v>
      </c>
      <c r="H1073" s="116"/>
      <c r="I1073" s="116"/>
      <c r="L1073" s="170">
        <v>43585</v>
      </c>
      <c r="M1073" s="116">
        <v>895.95</v>
      </c>
      <c r="N1073" s="116">
        <v>899.95</v>
      </c>
      <c r="O1073" s="116">
        <v>857.85</v>
      </c>
      <c r="P1073" s="116">
        <v>872.125</v>
      </c>
      <c r="Q1073" s="116">
        <v>1791.9</v>
      </c>
      <c r="R1073">
        <v>383080</v>
      </c>
    </row>
    <row r="1074" spans="1:18" x14ac:dyDescent="0.25">
      <c r="A1074" s="170">
        <v>43587</v>
      </c>
      <c r="B1074" s="116">
        <v>900</v>
      </c>
      <c r="C1074" s="116">
        <v>882.875</v>
      </c>
      <c r="D1074" s="116">
        <v>873.95</v>
      </c>
      <c r="E1074" s="116">
        <v>886.07500000000005</v>
      </c>
      <c r="F1074" s="116">
        <v>1765.75</v>
      </c>
      <c r="G1074">
        <v>10091</v>
      </c>
      <c r="H1074" s="116"/>
      <c r="I1074" s="116"/>
      <c r="L1074" s="170">
        <v>43587</v>
      </c>
      <c r="M1074" s="116">
        <v>884.45</v>
      </c>
      <c r="N1074" s="116">
        <v>900.5</v>
      </c>
      <c r="O1074" s="116">
        <v>873.67499999999995</v>
      </c>
      <c r="P1074" s="116">
        <v>897.45</v>
      </c>
      <c r="Q1074" s="116">
        <v>1768.9</v>
      </c>
      <c r="R1074">
        <v>233813</v>
      </c>
    </row>
    <row r="1075" spans="1:18" x14ac:dyDescent="0.25">
      <c r="A1075" s="170">
        <v>43588</v>
      </c>
      <c r="B1075" s="116">
        <v>893.42499999999995</v>
      </c>
      <c r="C1075" s="116">
        <v>877.67499999999995</v>
      </c>
      <c r="D1075" s="116">
        <v>851.4</v>
      </c>
      <c r="E1075" s="116">
        <v>879</v>
      </c>
      <c r="F1075" s="116">
        <v>1755.35</v>
      </c>
      <c r="G1075">
        <v>16736</v>
      </c>
      <c r="H1075" s="116"/>
      <c r="I1075" s="116"/>
      <c r="L1075" s="170">
        <v>43588</v>
      </c>
      <c r="M1075" s="116">
        <v>875.07500000000005</v>
      </c>
      <c r="N1075" s="116">
        <v>892.02499999999998</v>
      </c>
      <c r="O1075" s="116">
        <v>860.75</v>
      </c>
      <c r="P1075" s="116">
        <v>880</v>
      </c>
      <c r="Q1075" s="116">
        <v>1750.15</v>
      </c>
      <c r="R1075">
        <v>145452</v>
      </c>
    </row>
    <row r="1076" spans="1:18" x14ac:dyDescent="0.25">
      <c r="A1076" s="170">
        <v>43591</v>
      </c>
      <c r="B1076" s="116">
        <v>872.47500000000002</v>
      </c>
      <c r="C1076" s="116">
        <v>860.35</v>
      </c>
      <c r="D1076" s="116">
        <v>856.52499999999998</v>
      </c>
      <c r="E1076" s="116">
        <v>872.47500000000002</v>
      </c>
      <c r="F1076" s="116">
        <v>1720.7</v>
      </c>
      <c r="G1076">
        <v>3569</v>
      </c>
      <c r="H1076" s="116"/>
      <c r="I1076" s="116"/>
      <c r="L1076" s="170">
        <v>43591</v>
      </c>
      <c r="M1076" s="116">
        <v>862.67499999999995</v>
      </c>
      <c r="N1076" s="116">
        <v>868</v>
      </c>
      <c r="O1076" s="116">
        <v>855.2</v>
      </c>
      <c r="P1076" s="116">
        <v>865.125</v>
      </c>
      <c r="Q1076" s="116">
        <v>1725.35</v>
      </c>
      <c r="R1076">
        <v>278670</v>
      </c>
    </row>
    <row r="1077" spans="1:18" x14ac:dyDescent="0.25">
      <c r="A1077" s="170">
        <v>43592</v>
      </c>
      <c r="B1077" s="116">
        <v>865.67499999999995</v>
      </c>
      <c r="C1077" s="116">
        <v>851.82500000000005</v>
      </c>
      <c r="D1077" s="116">
        <v>847.17499999999995</v>
      </c>
      <c r="E1077" s="116">
        <v>858.25</v>
      </c>
      <c r="F1077" s="116">
        <v>1703.65</v>
      </c>
      <c r="G1077">
        <v>4243</v>
      </c>
      <c r="H1077" s="116"/>
      <c r="I1077" s="116"/>
      <c r="L1077" s="170">
        <v>43592</v>
      </c>
      <c r="M1077" s="116">
        <v>850.625</v>
      </c>
      <c r="N1077" s="116">
        <v>867.05</v>
      </c>
      <c r="O1077" s="116">
        <v>845.97500000000002</v>
      </c>
      <c r="P1077" s="116">
        <v>860.95</v>
      </c>
      <c r="Q1077" s="116">
        <v>1701.25</v>
      </c>
      <c r="R1077">
        <v>324082</v>
      </c>
    </row>
    <row r="1078" spans="1:18" x14ac:dyDescent="0.25">
      <c r="A1078" s="170">
        <v>43593</v>
      </c>
      <c r="B1078" s="116">
        <v>859.875</v>
      </c>
      <c r="C1078" s="116">
        <v>847.4</v>
      </c>
      <c r="D1078" s="116">
        <v>841.05</v>
      </c>
      <c r="E1078" s="116">
        <v>852.5</v>
      </c>
      <c r="F1078" s="116">
        <v>1694.8</v>
      </c>
      <c r="G1078">
        <v>3979</v>
      </c>
      <c r="H1078" s="116"/>
      <c r="I1078" s="116"/>
      <c r="L1078" s="170">
        <v>43593</v>
      </c>
      <c r="M1078" s="116">
        <v>846.97500000000002</v>
      </c>
      <c r="N1078" s="116">
        <v>860.5</v>
      </c>
      <c r="O1078" s="116">
        <v>841</v>
      </c>
      <c r="P1078" s="116">
        <v>846.1</v>
      </c>
      <c r="Q1078" s="116">
        <v>1693.95</v>
      </c>
      <c r="R1078">
        <v>93600</v>
      </c>
    </row>
    <row r="1079" spans="1:18" x14ac:dyDescent="0.25">
      <c r="A1079" s="170">
        <v>43594</v>
      </c>
      <c r="B1079" s="116">
        <v>853.5</v>
      </c>
      <c r="C1079" s="116">
        <v>835.65</v>
      </c>
      <c r="D1079" s="116">
        <v>831.8</v>
      </c>
      <c r="E1079" s="116">
        <v>853.5</v>
      </c>
      <c r="F1079" s="116">
        <v>1671.3</v>
      </c>
      <c r="G1079">
        <v>3843</v>
      </c>
      <c r="H1079" s="116"/>
      <c r="I1079" s="116"/>
      <c r="L1079" s="170">
        <v>43594</v>
      </c>
      <c r="M1079" s="116">
        <v>834.95</v>
      </c>
      <c r="N1079" s="116">
        <v>854.97500000000002</v>
      </c>
      <c r="O1079" s="116">
        <v>831</v>
      </c>
      <c r="P1079" s="116">
        <v>848.47500000000002</v>
      </c>
      <c r="Q1079" s="116">
        <v>1669.9</v>
      </c>
      <c r="R1079">
        <v>239381</v>
      </c>
    </row>
    <row r="1080" spans="1:18" x14ac:dyDescent="0.25">
      <c r="A1080" s="170">
        <v>43595</v>
      </c>
      <c r="B1080" s="116">
        <v>848</v>
      </c>
      <c r="C1080" s="116">
        <v>843.45</v>
      </c>
      <c r="D1080" s="116">
        <v>829.2</v>
      </c>
      <c r="E1080" s="116">
        <v>836.82500000000005</v>
      </c>
      <c r="F1080" s="116">
        <v>1686.9</v>
      </c>
      <c r="G1080">
        <v>30354</v>
      </c>
      <c r="H1080" s="116"/>
      <c r="I1080" s="116"/>
      <c r="L1080" s="170">
        <v>43595</v>
      </c>
      <c r="M1080" s="116">
        <v>841.22500000000002</v>
      </c>
      <c r="N1080" s="116">
        <v>848</v>
      </c>
      <c r="O1080" s="116">
        <v>827.5</v>
      </c>
      <c r="P1080" s="116">
        <v>834.875</v>
      </c>
      <c r="Q1080" s="116">
        <v>1682.45</v>
      </c>
      <c r="R1080">
        <v>265645</v>
      </c>
    </row>
    <row r="1081" spans="1:18" x14ac:dyDescent="0.25">
      <c r="A1081" s="170">
        <v>43598</v>
      </c>
      <c r="B1081" s="116">
        <v>849.5</v>
      </c>
      <c r="C1081" s="116">
        <v>824.375</v>
      </c>
      <c r="D1081" s="116">
        <v>819</v>
      </c>
      <c r="E1081" s="116">
        <v>849.5</v>
      </c>
      <c r="F1081" s="116">
        <v>1648.75</v>
      </c>
      <c r="G1081">
        <v>4110</v>
      </c>
      <c r="H1081" s="116"/>
      <c r="I1081" s="116"/>
      <c r="L1081" s="170">
        <v>43598</v>
      </c>
      <c r="M1081" s="116">
        <v>824.42499999999995</v>
      </c>
      <c r="N1081" s="116">
        <v>837.05</v>
      </c>
      <c r="O1081" s="116">
        <v>817.875</v>
      </c>
      <c r="P1081" s="116">
        <v>826.07500000000005</v>
      </c>
      <c r="Q1081" s="116">
        <v>1648.85</v>
      </c>
      <c r="R1081">
        <v>350893</v>
      </c>
    </row>
    <row r="1082" spans="1:18" x14ac:dyDescent="0.25">
      <c r="A1082" s="170">
        <v>43599</v>
      </c>
      <c r="B1082" s="116">
        <v>830.375</v>
      </c>
      <c r="C1082" s="116">
        <v>824.67499999999995</v>
      </c>
      <c r="D1082" s="116">
        <v>813.65</v>
      </c>
      <c r="E1082" s="116">
        <v>825.52499999999998</v>
      </c>
      <c r="F1082" s="116">
        <v>1649.35</v>
      </c>
      <c r="G1082">
        <v>5753</v>
      </c>
      <c r="H1082" s="116"/>
      <c r="I1082" s="116"/>
      <c r="L1082" s="170">
        <v>43599</v>
      </c>
      <c r="M1082" s="116">
        <v>824.7</v>
      </c>
      <c r="N1082" s="116">
        <v>830.97500000000002</v>
      </c>
      <c r="O1082" s="116">
        <v>811.25</v>
      </c>
      <c r="P1082" s="116">
        <v>811.25</v>
      </c>
      <c r="Q1082" s="116">
        <v>1649.4</v>
      </c>
      <c r="R1082">
        <v>405433</v>
      </c>
    </row>
    <row r="1083" spans="1:18" x14ac:dyDescent="0.25">
      <c r="A1083" s="170">
        <v>43600</v>
      </c>
      <c r="B1083" s="116">
        <v>828.32500000000005</v>
      </c>
      <c r="C1083" s="116">
        <v>816.35</v>
      </c>
      <c r="D1083" s="116">
        <v>809.07500000000005</v>
      </c>
      <c r="E1083" s="116">
        <v>826.55</v>
      </c>
      <c r="F1083" s="116">
        <v>1632.7</v>
      </c>
      <c r="G1083">
        <v>4841</v>
      </c>
      <c r="H1083" s="116"/>
      <c r="I1083" s="116"/>
      <c r="L1083" s="170">
        <v>43600</v>
      </c>
      <c r="M1083" s="116">
        <v>815.77499999999998</v>
      </c>
      <c r="N1083" s="116">
        <v>829.82500000000005</v>
      </c>
      <c r="O1083" s="116">
        <v>807.65</v>
      </c>
      <c r="P1083" s="116">
        <v>824.75</v>
      </c>
      <c r="Q1083" s="116">
        <v>1631.55</v>
      </c>
      <c r="R1083">
        <v>264178</v>
      </c>
    </row>
    <row r="1084" spans="1:18" x14ac:dyDescent="0.25">
      <c r="A1084" s="170">
        <v>43601</v>
      </c>
      <c r="B1084" s="116">
        <v>837.55</v>
      </c>
      <c r="C1084" s="116">
        <v>831.07500000000005</v>
      </c>
      <c r="D1084" s="116">
        <v>806.05</v>
      </c>
      <c r="E1084" s="116">
        <v>809.4</v>
      </c>
      <c r="F1084" s="116">
        <v>1662.15</v>
      </c>
      <c r="G1084">
        <v>12349</v>
      </c>
      <c r="H1084" s="116"/>
      <c r="I1084" s="116"/>
      <c r="L1084" s="170">
        <v>43601</v>
      </c>
      <c r="M1084" s="116">
        <v>830.82500000000005</v>
      </c>
      <c r="N1084" s="116">
        <v>834.95</v>
      </c>
      <c r="O1084" s="116">
        <v>805.875</v>
      </c>
      <c r="P1084" s="116">
        <v>820.02499999999998</v>
      </c>
      <c r="Q1084" s="116">
        <v>1661.65</v>
      </c>
      <c r="R1084">
        <v>354217</v>
      </c>
    </row>
    <row r="1085" spans="1:18" x14ac:dyDescent="0.25">
      <c r="A1085" s="170">
        <v>43602</v>
      </c>
      <c r="B1085" s="116">
        <v>837.9</v>
      </c>
      <c r="C1085" s="116">
        <v>823.47500000000002</v>
      </c>
      <c r="D1085" s="116">
        <v>818.57500000000005</v>
      </c>
      <c r="E1085" s="116">
        <v>833.55</v>
      </c>
      <c r="F1085" s="116">
        <v>1646.95</v>
      </c>
      <c r="G1085">
        <v>5034</v>
      </c>
      <c r="H1085" s="116"/>
      <c r="I1085" s="116"/>
      <c r="L1085" s="170">
        <v>43602</v>
      </c>
      <c r="M1085" s="116">
        <v>823.92499999999995</v>
      </c>
      <c r="N1085" s="116">
        <v>837.45</v>
      </c>
      <c r="O1085" s="116">
        <v>817.875</v>
      </c>
      <c r="P1085" s="116">
        <v>832.5</v>
      </c>
      <c r="Q1085" s="116">
        <v>1647.85</v>
      </c>
      <c r="R1085">
        <v>210604</v>
      </c>
    </row>
    <row r="1086" spans="1:18" x14ac:dyDescent="0.25">
      <c r="A1086" s="170">
        <v>43605</v>
      </c>
      <c r="B1086" s="116">
        <v>840.8</v>
      </c>
      <c r="C1086" s="116">
        <v>827.85</v>
      </c>
      <c r="D1086" s="116">
        <v>824.02499999999998</v>
      </c>
      <c r="E1086" s="116">
        <v>840.8</v>
      </c>
      <c r="F1086" s="116">
        <v>1655.7</v>
      </c>
      <c r="G1086">
        <v>6008</v>
      </c>
      <c r="H1086" s="116"/>
      <c r="I1086" s="116"/>
      <c r="L1086" s="170">
        <v>43605</v>
      </c>
      <c r="M1086" s="116">
        <v>827.2</v>
      </c>
      <c r="N1086" s="116">
        <v>844.57500000000005</v>
      </c>
      <c r="O1086" s="116">
        <v>822.47500000000002</v>
      </c>
      <c r="P1086" s="116">
        <v>830.02499999999998</v>
      </c>
      <c r="Q1086" s="116">
        <v>1654.4</v>
      </c>
      <c r="R1086">
        <v>119474</v>
      </c>
    </row>
    <row r="1087" spans="1:18" x14ac:dyDescent="0.25">
      <c r="A1087" s="170">
        <v>43606</v>
      </c>
      <c r="B1087" s="116">
        <v>817.45</v>
      </c>
      <c r="C1087" s="116">
        <v>800.52499999999998</v>
      </c>
      <c r="D1087" s="116">
        <v>762.6</v>
      </c>
      <c r="E1087" s="116">
        <v>817.45</v>
      </c>
      <c r="F1087" s="116">
        <v>1601.05</v>
      </c>
      <c r="G1087">
        <v>78420</v>
      </c>
      <c r="H1087" s="116"/>
      <c r="I1087" s="116"/>
      <c r="L1087" s="170">
        <v>43606</v>
      </c>
      <c r="M1087" s="116">
        <v>800.75</v>
      </c>
      <c r="N1087" s="116">
        <v>809.5</v>
      </c>
      <c r="O1087" s="116">
        <v>762.67499999999995</v>
      </c>
      <c r="P1087" s="116">
        <v>809.5</v>
      </c>
      <c r="Q1087" s="116">
        <v>1601.5</v>
      </c>
      <c r="R1087">
        <v>1675815</v>
      </c>
    </row>
    <row r="1088" spans="1:18" x14ac:dyDescent="0.25">
      <c r="A1088" s="170">
        <v>43607</v>
      </c>
      <c r="B1088" s="116">
        <v>798.67499999999995</v>
      </c>
      <c r="C1088" s="116">
        <v>779.6</v>
      </c>
      <c r="D1088" s="116">
        <v>769.02499999999998</v>
      </c>
      <c r="E1088" s="116">
        <v>795.05</v>
      </c>
      <c r="F1088" s="116">
        <v>1559.2</v>
      </c>
      <c r="G1088">
        <v>16014</v>
      </c>
      <c r="H1088" s="116"/>
      <c r="I1088" s="116"/>
      <c r="L1088" s="170">
        <v>43607</v>
      </c>
      <c r="M1088" s="116">
        <v>779.75</v>
      </c>
      <c r="N1088" s="116">
        <v>800.72500000000002</v>
      </c>
      <c r="O1088" s="116">
        <v>768.57500000000005</v>
      </c>
      <c r="P1088" s="116">
        <v>800.72500000000002</v>
      </c>
      <c r="Q1088" s="116">
        <v>1559.5</v>
      </c>
      <c r="R1088">
        <v>408485</v>
      </c>
    </row>
    <row r="1089" spans="1:18" x14ac:dyDescent="0.25">
      <c r="A1089" s="170">
        <v>43608</v>
      </c>
      <c r="B1089" s="116">
        <v>793.5</v>
      </c>
      <c r="C1089" s="116">
        <v>776.32500000000005</v>
      </c>
      <c r="D1089" s="116">
        <v>771.17499999999995</v>
      </c>
      <c r="E1089" s="116">
        <v>789.95</v>
      </c>
      <c r="F1089" s="116">
        <v>1552.65</v>
      </c>
      <c r="G1089">
        <v>11647</v>
      </c>
      <c r="H1089" s="116"/>
      <c r="I1089" s="116"/>
      <c r="L1089" s="170">
        <v>43608</v>
      </c>
      <c r="M1089" s="116">
        <v>776.1</v>
      </c>
      <c r="N1089" s="116">
        <v>793.97500000000002</v>
      </c>
      <c r="O1089" s="116">
        <v>770.92499999999995</v>
      </c>
      <c r="P1089" s="116">
        <v>780.5</v>
      </c>
      <c r="Q1089" s="116">
        <v>1552.2</v>
      </c>
      <c r="R1089">
        <v>296363</v>
      </c>
    </row>
    <row r="1090" spans="1:18" x14ac:dyDescent="0.25">
      <c r="A1090" s="170">
        <v>43609</v>
      </c>
      <c r="B1090" s="116">
        <v>784</v>
      </c>
      <c r="C1090" s="116">
        <v>763.77499999999998</v>
      </c>
      <c r="D1090" s="116">
        <v>755.77499999999998</v>
      </c>
      <c r="E1090" s="116">
        <v>778.17499999999995</v>
      </c>
      <c r="F1090" s="116">
        <v>1527.55</v>
      </c>
      <c r="G1090">
        <v>11196</v>
      </c>
      <c r="H1090" s="116"/>
      <c r="I1090" s="116"/>
      <c r="L1090" s="170">
        <v>43609</v>
      </c>
      <c r="M1090" s="116">
        <v>764.22500000000002</v>
      </c>
      <c r="N1090" s="116">
        <v>783.45</v>
      </c>
      <c r="O1090" s="116">
        <v>755.6</v>
      </c>
      <c r="P1090" s="116">
        <v>777.4</v>
      </c>
      <c r="Q1090" s="116">
        <v>1528.45</v>
      </c>
      <c r="R1090">
        <v>326421</v>
      </c>
    </row>
    <row r="1091" spans="1:18" x14ac:dyDescent="0.25">
      <c r="A1091" s="170">
        <v>43612</v>
      </c>
      <c r="B1091" s="116">
        <v>765</v>
      </c>
      <c r="C1091" s="116">
        <v>754.67499999999995</v>
      </c>
      <c r="D1091" s="116">
        <v>752.5</v>
      </c>
      <c r="E1091" s="116">
        <v>765</v>
      </c>
      <c r="F1091" s="116">
        <v>1509.35</v>
      </c>
      <c r="G1091">
        <v>29938</v>
      </c>
      <c r="H1091" s="116"/>
      <c r="I1091" s="116"/>
      <c r="L1091" s="170">
        <v>43612</v>
      </c>
      <c r="M1091" s="116">
        <v>755.5</v>
      </c>
      <c r="N1091" s="116">
        <v>763.57500000000005</v>
      </c>
      <c r="O1091" s="116">
        <v>752.52499999999998</v>
      </c>
      <c r="P1091" s="116">
        <v>757.75</v>
      </c>
      <c r="Q1091" s="116">
        <v>1511</v>
      </c>
      <c r="R1091">
        <v>249882</v>
      </c>
    </row>
    <row r="1092" spans="1:18" x14ac:dyDescent="0.25">
      <c r="A1092" s="170">
        <v>43613</v>
      </c>
      <c r="B1092" s="116">
        <v>771.5</v>
      </c>
      <c r="C1092" s="116">
        <v>763.15</v>
      </c>
      <c r="D1092" s="116">
        <v>754</v>
      </c>
      <c r="E1092" s="116">
        <v>754</v>
      </c>
      <c r="F1092" s="116">
        <v>1526.3</v>
      </c>
      <c r="G1092">
        <v>11936</v>
      </c>
      <c r="H1092" s="116"/>
      <c r="I1092" s="116"/>
      <c r="L1092" s="170">
        <v>43613</v>
      </c>
      <c r="M1092" s="116">
        <v>761.75</v>
      </c>
      <c r="N1092" s="116">
        <v>772</v>
      </c>
      <c r="O1092" s="116">
        <v>753.5</v>
      </c>
      <c r="P1092" s="116">
        <v>753.52499999999998</v>
      </c>
      <c r="Q1092" s="116">
        <v>1523.5</v>
      </c>
      <c r="R1092">
        <v>175281</v>
      </c>
    </row>
    <row r="1093" spans="1:18" x14ac:dyDescent="0.25">
      <c r="A1093" s="170">
        <v>43614</v>
      </c>
      <c r="B1093" s="116">
        <v>770.7</v>
      </c>
      <c r="C1093" s="116">
        <v>755.4</v>
      </c>
      <c r="D1093" s="116">
        <v>754</v>
      </c>
      <c r="E1093" s="116">
        <v>763.5</v>
      </c>
      <c r="F1093" s="116">
        <v>1510.8</v>
      </c>
      <c r="G1093">
        <v>7087</v>
      </c>
      <c r="H1093" s="116"/>
      <c r="I1093" s="116"/>
      <c r="L1093" s="170">
        <v>43614</v>
      </c>
      <c r="M1093" s="116">
        <v>755.47500000000002</v>
      </c>
      <c r="N1093" s="116">
        <v>771.5</v>
      </c>
      <c r="O1093" s="116">
        <v>754.05</v>
      </c>
      <c r="P1093" s="116">
        <v>766.47500000000002</v>
      </c>
      <c r="Q1093" s="116">
        <v>1510.95</v>
      </c>
      <c r="R1093">
        <v>180825</v>
      </c>
    </row>
    <row r="1094" spans="1:18" x14ac:dyDescent="0.25">
      <c r="A1094" s="170">
        <v>43615</v>
      </c>
      <c r="B1094" s="116">
        <v>787.57500000000005</v>
      </c>
      <c r="C1094" s="116">
        <v>779.875</v>
      </c>
      <c r="D1094" s="116">
        <v>755.4</v>
      </c>
      <c r="E1094" s="116">
        <v>755.4</v>
      </c>
      <c r="F1094" s="116">
        <v>1559.75</v>
      </c>
      <c r="G1094">
        <v>22419</v>
      </c>
      <c r="H1094" s="116"/>
      <c r="I1094" s="116"/>
      <c r="L1094" s="170">
        <v>43615</v>
      </c>
      <c r="M1094" s="116">
        <v>781.5</v>
      </c>
      <c r="N1094" s="116">
        <v>788.375</v>
      </c>
      <c r="O1094" s="116">
        <v>756.6</v>
      </c>
      <c r="P1094" s="116">
        <v>763</v>
      </c>
      <c r="Q1094" s="116">
        <v>1563</v>
      </c>
      <c r="R1094">
        <v>622757</v>
      </c>
    </row>
    <row r="1095" spans="1:18" x14ac:dyDescent="0.25">
      <c r="A1095" s="170">
        <v>43616</v>
      </c>
      <c r="B1095" s="116">
        <v>789.5</v>
      </c>
      <c r="C1095" s="116">
        <v>781.42499999999995</v>
      </c>
      <c r="D1095" s="116">
        <v>771.77499999999998</v>
      </c>
      <c r="E1095" s="116">
        <v>784.1</v>
      </c>
      <c r="F1095" s="116">
        <v>1562.85</v>
      </c>
      <c r="G1095">
        <v>8229</v>
      </c>
      <c r="H1095" s="116"/>
      <c r="I1095" s="116"/>
      <c r="L1095" s="170">
        <v>43616</v>
      </c>
      <c r="M1095" s="116">
        <v>782.42499999999995</v>
      </c>
      <c r="N1095" s="116">
        <v>790.5</v>
      </c>
      <c r="O1095" s="116">
        <v>777.5</v>
      </c>
      <c r="P1095" s="116">
        <v>786</v>
      </c>
      <c r="Q1095" s="116">
        <v>1564.85</v>
      </c>
      <c r="R1095">
        <v>230632</v>
      </c>
    </row>
    <row r="1096" spans="1:18" x14ac:dyDescent="0.25">
      <c r="A1096" s="170">
        <v>43619</v>
      </c>
      <c r="B1096" s="116">
        <v>786.52499999999998</v>
      </c>
      <c r="C1096" s="116">
        <v>765.125</v>
      </c>
      <c r="D1096" s="116">
        <v>755.65</v>
      </c>
      <c r="E1096" s="116">
        <v>776.75</v>
      </c>
      <c r="F1096" s="116">
        <v>1530.25</v>
      </c>
      <c r="G1096">
        <v>32248</v>
      </c>
      <c r="H1096" s="116"/>
      <c r="I1096" s="116"/>
      <c r="L1096" s="170">
        <v>43619</v>
      </c>
      <c r="M1096" s="116">
        <v>768.9</v>
      </c>
      <c r="N1096" s="116">
        <v>786.92499999999995</v>
      </c>
      <c r="O1096" s="116">
        <v>765.3</v>
      </c>
      <c r="P1096" s="116">
        <v>784</v>
      </c>
      <c r="Q1096" s="116">
        <v>1537.8</v>
      </c>
      <c r="R1096">
        <v>179196</v>
      </c>
    </row>
    <row r="1097" spans="1:18" x14ac:dyDescent="0.25">
      <c r="A1097" s="170">
        <v>43620</v>
      </c>
      <c r="B1097" s="116">
        <v>779.35</v>
      </c>
      <c r="C1097" s="116">
        <v>765.67499999999995</v>
      </c>
      <c r="D1097" s="116">
        <v>762.125</v>
      </c>
      <c r="E1097" s="116">
        <v>773.15</v>
      </c>
      <c r="F1097" s="116">
        <v>1531.35</v>
      </c>
      <c r="G1097">
        <v>5654</v>
      </c>
      <c r="H1097" s="116"/>
      <c r="I1097" s="116"/>
      <c r="L1097" s="170">
        <v>43620</v>
      </c>
      <c r="M1097" s="116">
        <v>766.67499999999995</v>
      </c>
      <c r="N1097" s="116">
        <v>778.85</v>
      </c>
      <c r="O1097" s="116">
        <v>761.72500000000002</v>
      </c>
      <c r="P1097" s="116">
        <v>771.5</v>
      </c>
      <c r="Q1097" s="116">
        <v>1533.35</v>
      </c>
      <c r="R1097">
        <v>118779</v>
      </c>
    </row>
    <row r="1098" spans="1:18" x14ac:dyDescent="0.25">
      <c r="A1098" s="170">
        <v>43622</v>
      </c>
      <c r="B1098" s="116">
        <v>777.5</v>
      </c>
      <c r="C1098" s="116">
        <v>759.8</v>
      </c>
      <c r="D1098" s="116">
        <v>757.5</v>
      </c>
      <c r="E1098" s="116">
        <v>764.05</v>
      </c>
      <c r="F1098" s="116">
        <v>1519.6</v>
      </c>
      <c r="G1098">
        <v>4060</v>
      </c>
      <c r="H1098" s="116"/>
      <c r="I1098" s="116"/>
      <c r="L1098" s="170">
        <v>43622</v>
      </c>
      <c r="M1098" s="116">
        <v>759.55</v>
      </c>
      <c r="N1098" s="116">
        <v>778.5</v>
      </c>
      <c r="O1098" s="116">
        <v>756.95</v>
      </c>
      <c r="P1098" s="116">
        <v>769</v>
      </c>
      <c r="Q1098" s="116">
        <v>1519.1</v>
      </c>
      <c r="R1098">
        <v>127916</v>
      </c>
    </row>
    <row r="1099" spans="1:18" x14ac:dyDescent="0.25">
      <c r="A1099" s="170">
        <v>43623</v>
      </c>
      <c r="B1099" s="116">
        <v>768</v>
      </c>
      <c r="C1099" s="116">
        <v>762.625</v>
      </c>
      <c r="D1099" s="116">
        <v>747.95</v>
      </c>
      <c r="E1099" s="116">
        <v>761.02499999999998</v>
      </c>
      <c r="F1099" s="116">
        <v>1525.25</v>
      </c>
      <c r="G1099">
        <v>5630</v>
      </c>
      <c r="H1099" s="116"/>
      <c r="I1099" s="116"/>
      <c r="L1099" s="170">
        <v>43623</v>
      </c>
      <c r="M1099" s="116">
        <v>761.8</v>
      </c>
      <c r="N1099" s="116">
        <v>769.42499999999995</v>
      </c>
      <c r="O1099" s="116">
        <v>747.65</v>
      </c>
      <c r="P1099" s="116">
        <v>764</v>
      </c>
      <c r="Q1099" s="116">
        <v>1523.6</v>
      </c>
      <c r="R1099">
        <v>106488</v>
      </c>
    </row>
    <row r="1100" spans="1:18" x14ac:dyDescent="0.25">
      <c r="A1100" s="170">
        <v>43626</v>
      </c>
      <c r="B1100" s="116">
        <v>771.47500000000002</v>
      </c>
      <c r="C1100" s="116">
        <v>757.15</v>
      </c>
      <c r="D1100" s="116">
        <v>752.97500000000002</v>
      </c>
      <c r="E1100" s="116">
        <v>765.02499999999998</v>
      </c>
      <c r="F1100" s="116">
        <v>1514.3</v>
      </c>
      <c r="G1100">
        <v>3201</v>
      </c>
      <c r="H1100" s="116"/>
      <c r="I1100" s="116"/>
      <c r="L1100" s="170">
        <v>43626</v>
      </c>
      <c r="M1100" s="116">
        <v>760.77499999999998</v>
      </c>
      <c r="N1100" s="116">
        <v>770.52499999999998</v>
      </c>
      <c r="O1100" s="116">
        <v>752</v>
      </c>
      <c r="P1100" s="116">
        <v>762.02499999999998</v>
      </c>
      <c r="Q1100" s="116">
        <v>1521.55</v>
      </c>
      <c r="R1100">
        <v>126892</v>
      </c>
    </row>
    <row r="1101" spans="1:18" x14ac:dyDescent="0.25">
      <c r="A1101" s="170">
        <v>43627</v>
      </c>
      <c r="B1101" s="116">
        <v>769.47500000000002</v>
      </c>
      <c r="C1101" s="116">
        <v>767.75</v>
      </c>
      <c r="D1101" s="116">
        <v>756.5</v>
      </c>
      <c r="E1101" s="116">
        <v>756.82500000000005</v>
      </c>
      <c r="F1101" s="116">
        <v>1535.5</v>
      </c>
      <c r="G1101">
        <v>2613</v>
      </c>
      <c r="H1101" s="116"/>
      <c r="I1101" s="116"/>
      <c r="L1101" s="170">
        <v>43627</v>
      </c>
      <c r="M1101" s="116">
        <v>767.32500000000005</v>
      </c>
      <c r="N1101" s="116">
        <v>769.5</v>
      </c>
      <c r="O1101" s="116">
        <v>755.82500000000005</v>
      </c>
      <c r="P1101" s="116">
        <v>757.5</v>
      </c>
      <c r="Q1101" s="116">
        <v>1534.65</v>
      </c>
      <c r="R1101">
        <v>91084</v>
      </c>
    </row>
    <row r="1102" spans="1:18" x14ac:dyDescent="0.25">
      <c r="A1102" s="170">
        <v>43628</v>
      </c>
      <c r="B1102" s="116">
        <v>784</v>
      </c>
      <c r="C1102" s="116">
        <v>774.45</v>
      </c>
      <c r="D1102" s="116">
        <v>769.15</v>
      </c>
      <c r="E1102" s="116">
        <v>770.1</v>
      </c>
      <c r="F1102" s="116">
        <v>1548.9</v>
      </c>
      <c r="G1102">
        <v>36580</v>
      </c>
      <c r="H1102" s="116"/>
      <c r="I1102" s="116"/>
      <c r="L1102" s="170">
        <v>43628</v>
      </c>
      <c r="M1102" s="116">
        <v>771.85</v>
      </c>
      <c r="N1102" s="116">
        <v>784.9</v>
      </c>
      <c r="O1102" s="116">
        <v>764.25</v>
      </c>
      <c r="P1102" s="116">
        <v>770.97500000000002</v>
      </c>
      <c r="Q1102" s="116">
        <v>1543.7</v>
      </c>
      <c r="R1102">
        <v>701749</v>
      </c>
    </row>
    <row r="1103" spans="1:18" x14ac:dyDescent="0.25">
      <c r="A1103" s="170">
        <v>43629</v>
      </c>
      <c r="B1103" s="116">
        <v>775.9</v>
      </c>
      <c r="C1103" s="116">
        <v>768.65</v>
      </c>
      <c r="D1103" s="116">
        <v>764.57500000000005</v>
      </c>
      <c r="E1103" s="116">
        <v>767.25</v>
      </c>
      <c r="F1103" s="116">
        <v>1537.3</v>
      </c>
      <c r="G1103">
        <v>9990</v>
      </c>
      <c r="H1103" s="116"/>
      <c r="I1103" s="116"/>
      <c r="L1103" s="170">
        <v>43629</v>
      </c>
      <c r="M1103" s="116">
        <v>768.3</v>
      </c>
      <c r="N1103" s="116">
        <v>776.25</v>
      </c>
      <c r="O1103" s="116">
        <v>763.6</v>
      </c>
      <c r="P1103" s="116">
        <v>773.25</v>
      </c>
      <c r="Q1103" s="116">
        <v>1536.6</v>
      </c>
      <c r="R1103">
        <v>186503</v>
      </c>
    </row>
    <row r="1104" spans="1:18" x14ac:dyDescent="0.25">
      <c r="A1104" s="170">
        <v>43630</v>
      </c>
      <c r="B1104" s="116">
        <v>769.52499999999998</v>
      </c>
      <c r="C1104" s="116">
        <v>746.22500000000002</v>
      </c>
      <c r="D1104" s="116">
        <v>742</v>
      </c>
      <c r="E1104" s="116">
        <v>766.25</v>
      </c>
      <c r="F1104" s="116">
        <v>1492.45</v>
      </c>
      <c r="G1104">
        <v>11384</v>
      </c>
      <c r="H1104" s="116"/>
      <c r="I1104" s="116"/>
      <c r="L1104" s="170">
        <v>43630</v>
      </c>
      <c r="M1104" s="116">
        <v>747.82500000000005</v>
      </c>
      <c r="N1104" s="116">
        <v>771.97500000000002</v>
      </c>
      <c r="O1104" s="116">
        <v>740.02499999999998</v>
      </c>
      <c r="P1104" s="116">
        <v>765.15</v>
      </c>
      <c r="Q1104" s="116">
        <v>1495.65</v>
      </c>
      <c r="R1104">
        <v>285601</v>
      </c>
    </row>
    <row r="1105" spans="1:18" x14ac:dyDescent="0.25">
      <c r="A1105" s="170">
        <v>43633</v>
      </c>
      <c r="B1105" s="116">
        <v>752.25</v>
      </c>
      <c r="C1105" s="116">
        <v>748.8</v>
      </c>
      <c r="D1105" s="116">
        <v>732.375</v>
      </c>
      <c r="E1105" s="116">
        <v>745</v>
      </c>
      <c r="F1105" s="116">
        <v>1497.6</v>
      </c>
      <c r="G1105">
        <v>7813</v>
      </c>
      <c r="H1105" s="116"/>
      <c r="I1105" s="116"/>
      <c r="L1105" s="170">
        <v>43633</v>
      </c>
      <c r="M1105" s="116">
        <v>749.02499999999998</v>
      </c>
      <c r="N1105" s="116">
        <v>752.6</v>
      </c>
      <c r="O1105" s="116">
        <v>731.3</v>
      </c>
      <c r="P1105" s="116">
        <v>743.17499999999995</v>
      </c>
      <c r="Q1105" s="116">
        <v>1498.05</v>
      </c>
      <c r="R1105">
        <v>158145</v>
      </c>
    </row>
    <row r="1106" spans="1:18" x14ac:dyDescent="0.25">
      <c r="A1106" s="170">
        <v>43634</v>
      </c>
      <c r="B1106" s="116">
        <v>757.5</v>
      </c>
      <c r="C1106" s="116">
        <v>756.07500000000005</v>
      </c>
      <c r="D1106" s="116">
        <v>737.65</v>
      </c>
      <c r="E1106" s="116">
        <v>741</v>
      </c>
      <c r="F1106" s="116">
        <v>1512.15</v>
      </c>
      <c r="G1106">
        <v>5031</v>
      </c>
      <c r="H1106" s="116"/>
      <c r="I1106" s="116"/>
      <c r="L1106" s="170">
        <v>43634</v>
      </c>
      <c r="M1106" s="116">
        <v>755.77499999999998</v>
      </c>
      <c r="N1106" s="116">
        <v>757.45</v>
      </c>
      <c r="O1106" s="116">
        <v>738.02499999999998</v>
      </c>
      <c r="P1106" s="116">
        <v>747.5</v>
      </c>
      <c r="Q1106" s="116">
        <v>1511.55</v>
      </c>
      <c r="R1106">
        <v>177135</v>
      </c>
    </row>
    <row r="1107" spans="1:18" x14ac:dyDescent="0.25">
      <c r="A1107" s="170">
        <v>43635</v>
      </c>
      <c r="B1107" s="116">
        <v>761.9</v>
      </c>
      <c r="C1107" s="116">
        <v>748.5</v>
      </c>
      <c r="D1107" s="116">
        <v>739.67499999999995</v>
      </c>
      <c r="E1107" s="116">
        <v>760.625</v>
      </c>
      <c r="F1107" s="116">
        <v>1497</v>
      </c>
      <c r="G1107">
        <v>14229</v>
      </c>
      <c r="H1107" s="116"/>
      <c r="I1107" s="116"/>
      <c r="L1107" s="170">
        <v>43635</v>
      </c>
      <c r="M1107" s="116">
        <v>749.07500000000005</v>
      </c>
      <c r="N1107" s="116">
        <v>763.9</v>
      </c>
      <c r="O1107" s="116">
        <v>738.8</v>
      </c>
      <c r="P1107" s="116">
        <v>763.9</v>
      </c>
      <c r="Q1107" s="116">
        <v>1498.15</v>
      </c>
      <c r="R1107">
        <v>352338</v>
      </c>
    </row>
    <row r="1108" spans="1:18" x14ac:dyDescent="0.25">
      <c r="A1108" s="170">
        <v>43636</v>
      </c>
      <c r="B1108" s="116">
        <v>756.25</v>
      </c>
      <c r="C1108" s="116">
        <v>751.125</v>
      </c>
      <c r="D1108" s="116">
        <v>744.05</v>
      </c>
      <c r="E1108" s="116">
        <v>746.85</v>
      </c>
      <c r="F1108" s="116">
        <v>1502.25</v>
      </c>
      <c r="G1108">
        <v>26931</v>
      </c>
      <c r="H1108" s="116"/>
      <c r="I1108" s="116"/>
      <c r="L1108" s="170">
        <v>43636</v>
      </c>
      <c r="M1108" s="116">
        <v>751.7</v>
      </c>
      <c r="N1108" s="116">
        <v>756.72500000000002</v>
      </c>
      <c r="O1108" s="116">
        <v>743.57500000000005</v>
      </c>
      <c r="P1108" s="116">
        <v>746.5</v>
      </c>
      <c r="Q1108" s="116">
        <v>1503.4</v>
      </c>
      <c r="R1108">
        <v>118422</v>
      </c>
    </row>
    <row r="1109" spans="1:18" x14ac:dyDescent="0.25">
      <c r="A1109" s="170">
        <v>43637</v>
      </c>
      <c r="B1109" s="116">
        <v>759.3</v>
      </c>
      <c r="C1109" s="116">
        <v>749.82500000000005</v>
      </c>
      <c r="D1109" s="116">
        <v>748</v>
      </c>
      <c r="E1109" s="116">
        <v>755.67499999999995</v>
      </c>
      <c r="F1109" s="116">
        <v>1499.65</v>
      </c>
      <c r="G1109">
        <v>5102</v>
      </c>
      <c r="H1109" s="116"/>
      <c r="I1109" s="116"/>
      <c r="L1109" s="170">
        <v>43637</v>
      </c>
      <c r="M1109" s="116">
        <v>750.25</v>
      </c>
      <c r="N1109" s="116">
        <v>759.95</v>
      </c>
      <c r="O1109" s="116">
        <v>748.27499999999998</v>
      </c>
      <c r="P1109" s="116">
        <v>755</v>
      </c>
      <c r="Q1109" s="116">
        <v>1500.5</v>
      </c>
      <c r="R1109">
        <v>249895</v>
      </c>
    </row>
    <row r="1110" spans="1:18" x14ac:dyDescent="0.25">
      <c r="A1110" s="170">
        <v>43640</v>
      </c>
      <c r="B1110" s="116">
        <v>757.45</v>
      </c>
      <c r="C1110" s="116">
        <v>755.72500000000002</v>
      </c>
      <c r="D1110" s="116">
        <v>740.1</v>
      </c>
      <c r="E1110" s="116">
        <v>740.1</v>
      </c>
      <c r="F1110" s="116">
        <v>1511.45</v>
      </c>
      <c r="G1110">
        <v>2540</v>
      </c>
      <c r="H1110" s="116"/>
      <c r="I1110" s="116"/>
      <c r="L1110" s="170">
        <v>43640</v>
      </c>
      <c r="M1110" s="116">
        <v>756.05</v>
      </c>
      <c r="N1110" s="116">
        <v>758</v>
      </c>
      <c r="O1110" s="116">
        <v>747</v>
      </c>
      <c r="P1110" s="116">
        <v>752</v>
      </c>
      <c r="Q1110" s="116">
        <v>1512.1</v>
      </c>
      <c r="R1110">
        <v>99794</v>
      </c>
    </row>
    <row r="1111" spans="1:18" x14ac:dyDescent="0.25">
      <c r="A1111" s="170">
        <v>43641</v>
      </c>
      <c r="B1111" s="116">
        <v>776.22500000000002</v>
      </c>
      <c r="C1111" s="116">
        <v>773.07500000000005</v>
      </c>
      <c r="D1111" s="116">
        <v>752.125</v>
      </c>
      <c r="E1111" s="116">
        <v>753.57500000000005</v>
      </c>
      <c r="F1111" s="116">
        <v>1546.15</v>
      </c>
      <c r="G1111">
        <v>8734</v>
      </c>
      <c r="H1111" s="116"/>
      <c r="I1111" s="116"/>
      <c r="L1111" s="170">
        <v>43641</v>
      </c>
      <c r="M1111" s="116">
        <v>773.17499999999995</v>
      </c>
      <c r="N1111" s="116">
        <v>776.5</v>
      </c>
      <c r="O1111" s="116">
        <v>750.25</v>
      </c>
      <c r="P1111" s="116">
        <v>755.6</v>
      </c>
      <c r="Q1111" s="116">
        <v>1546.35</v>
      </c>
      <c r="R1111">
        <v>289131</v>
      </c>
    </row>
    <row r="1112" spans="1:18" x14ac:dyDescent="0.25">
      <c r="A1112" s="170">
        <v>43642</v>
      </c>
      <c r="B1112" s="116">
        <v>780.3</v>
      </c>
      <c r="C1112" s="116">
        <v>772.875</v>
      </c>
      <c r="D1112" s="116">
        <v>762.5</v>
      </c>
      <c r="E1112" s="116">
        <v>762.5</v>
      </c>
      <c r="F1112" s="116">
        <v>1545.75</v>
      </c>
      <c r="G1112">
        <v>33364</v>
      </c>
      <c r="H1112" s="116"/>
      <c r="I1112" s="116"/>
      <c r="L1112" s="170">
        <v>43642</v>
      </c>
      <c r="M1112" s="116">
        <v>772.95</v>
      </c>
      <c r="N1112" s="116">
        <v>780.35</v>
      </c>
      <c r="O1112" s="116">
        <v>766.5</v>
      </c>
      <c r="P1112" s="116">
        <v>774</v>
      </c>
      <c r="Q1112" s="116">
        <v>1545.9</v>
      </c>
      <c r="R1112">
        <v>246903</v>
      </c>
    </row>
    <row r="1113" spans="1:18" x14ac:dyDescent="0.25">
      <c r="A1113" s="170">
        <v>43643</v>
      </c>
      <c r="B1113" s="116">
        <v>775.6</v>
      </c>
      <c r="C1113" s="116">
        <v>764.75</v>
      </c>
      <c r="D1113" s="116">
        <v>759.82500000000005</v>
      </c>
      <c r="E1113" s="116">
        <v>772.875</v>
      </c>
      <c r="F1113" s="116">
        <v>1529.5</v>
      </c>
      <c r="G1113">
        <v>9968</v>
      </c>
      <c r="H1113" s="116"/>
      <c r="I1113" s="116"/>
      <c r="L1113" s="170">
        <v>43643</v>
      </c>
      <c r="M1113" s="116">
        <v>764.67499999999995</v>
      </c>
      <c r="N1113" s="116">
        <v>776.8</v>
      </c>
      <c r="O1113" s="116">
        <v>759</v>
      </c>
      <c r="P1113" s="116">
        <v>770.52499999999998</v>
      </c>
      <c r="Q1113" s="116">
        <v>1529.35</v>
      </c>
      <c r="R1113">
        <v>209916</v>
      </c>
    </row>
    <row r="1114" spans="1:18" x14ac:dyDescent="0.25">
      <c r="A1114" s="170">
        <v>43644</v>
      </c>
      <c r="B1114" s="116">
        <v>777.25</v>
      </c>
      <c r="C1114" s="116">
        <v>774.4</v>
      </c>
      <c r="D1114" s="116">
        <v>762</v>
      </c>
      <c r="E1114" s="116">
        <v>771.85</v>
      </c>
      <c r="F1114" s="116">
        <v>1548.8</v>
      </c>
      <c r="G1114">
        <v>6540</v>
      </c>
      <c r="H1114" s="116"/>
      <c r="I1114" s="116"/>
      <c r="L1114" s="170">
        <v>43644</v>
      </c>
      <c r="M1114" s="116">
        <v>773.65</v>
      </c>
      <c r="N1114" s="116">
        <v>776</v>
      </c>
      <c r="O1114" s="116">
        <v>762.07500000000005</v>
      </c>
      <c r="P1114" s="116">
        <v>769.25</v>
      </c>
      <c r="Q1114" s="116">
        <v>1547.3</v>
      </c>
      <c r="R1114">
        <v>158610</v>
      </c>
    </row>
    <row r="1115" spans="1:18" x14ac:dyDescent="0.25">
      <c r="A1115" s="170">
        <v>43647</v>
      </c>
      <c r="B1115" s="116">
        <v>788</v>
      </c>
      <c r="C1115" s="116">
        <v>775.55</v>
      </c>
      <c r="D1115" s="116">
        <v>771.5</v>
      </c>
      <c r="E1115" s="116">
        <v>777.97500000000002</v>
      </c>
      <c r="F1115" s="116">
        <v>1551.1</v>
      </c>
      <c r="G1115">
        <v>9661</v>
      </c>
      <c r="H1115" s="116"/>
      <c r="I1115" s="116"/>
      <c r="L1115" s="170">
        <v>43647</v>
      </c>
      <c r="M1115" s="116">
        <v>776.2</v>
      </c>
      <c r="N1115" s="116">
        <v>788.4</v>
      </c>
      <c r="O1115" s="116">
        <v>771.2</v>
      </c>
      <c r="P1115" s="116">
        <v>779</v>
      </c>
      <c r="Q1115" s="116">
        <v>1552.4</v>
      </c>
      <c r="R1115">
        <v>273021</v>
      </c>
    </row>
    <row r="1116" spans="1:18" x14ac:dyDescent="0.25">
      <c r="A1116" s="170">
        <v>43648</v>
      </c>
      <c r="B1116" s="116">
        <v>781.47500000000002</v>
      </c>
      <c r="C1116" s="116">
        <v>774.77499999999998</v>
      </c>
      <c r="D1116" s="116">
        <v>767.2</v>
      </c>
      <c r="E1116" s="116">
        <v>775.65</v>
      </c>
      <c r="F1116" s="116">
        <v>1549.55</v>
      </c>
      <c r="G1116">
        <v>2542</v>
      </c>
      <c r="H1116" s="116"/>
      <c r="I1116" s="116"/>
      <c r="L1116" s="170">
        <v>43648</v>
      </c>
      <c r="M1116" s="116">
        <v>776.1</v>
      </c>
      <c r="N1116" s="116">
        <v>781.95</v>
      </c>
      <c r="O1116" s="116">
        <v>766.35</v>
      </c>
      <c r="P1116" s="116">
        <v>779.3</v>
      </c>
      <c r="Q1116" s="116">
        <v>1552.2</v>
      </c>
      <c r="R1116">
        <v>118081</v>
      </c>
    </row>
    <row r="1117" spans="1:18" x14ac:dyDescent="0.25">
      <c r="A1117" s="170">
        <v>43649</v>
      </c>
      <c r="B1117" s="116">
        <v>776.97500000000002</v>
      </c>
      <c r="C1117" s="116">
        <v>775.5</v>
      </c>
      <c r="D1117" s="116">
        <v>766.27499999999998</v>
      </c>
      <c r="E1117" s="116">
        <v>773.625</v>
      </c>
      <c r="F1117" s="116">
        <v>1551</v>
      </c>
      <c r="G1117">
        <v>139887</v>
      </c>
      <c r="H1117" s="116"/>
      <c r="I1117" s="116"/>
      <c r="L1117" s="170">
        <v>43649</v>
      </c>
      <c r="M1117" s="116">
        <v>776.42499999999995</v>
      </c>
      <c r="N1117" s="116">
        <v>778.95</v>
      </c>
      <c r="O1117" s="116">
        <v>766.52499999999998</v>
      </c>
      <c r="P1117" s="116">
        <v>776.1</v>
      </c>
      <c r="Q1117" s="116">
        <v>1552.85</v>
      </c>
      <c r="R1117">
        <v>86060</v>
      </c>
    </row>
    <row r="1118" spans="1:18" x14ac:dyDescent="0.25">
      <c r="A1118" s="170">
        <v>43650</v>
      </c>
      <c r="B1118" s="116">
        <v>791.97500000000002</v>
      </c>
      <c r="C1118" s="116">
        <v>771.65</v>
      </c>
      <c r="D1118" s="116">
        <v>768.45</v>
      </c>
      <c r="E1118" s="116">
        <v>791.97500000000002</v>
      </c>
      <c r="F1118" s="116">
        <v>1543.3</v>
      </c>
      <c r="G1118">
        <v>8809</v>
      </c>
      <c r="H1118" s="116"/>
      <c r="I1118" s="116"/>
      <c r="L1118" s="170">
        <v>43650</v>
      </c>
      <c r="M1118" s="116">
        <v>772.57500000000005</v>
      </c>
      <c r="N1118" s="116">
        <v>778.3</v>
      </c>
      <c r="O1118" s="116">
        <v>767.52499999999998</v>
      </c>
      <c r="P1118" s="116">
        <v>777</v>
      </c>
      <c r="Q1118" s="116">
        <v>1545.15</v>
      </c>
      <c r="R1118">
        <v>165531</v>
      </c>
    </row>
    <row r="1119" spans="1:18" x14ac:dyDescent="0.25">
      <c r="A1119" s="170">
        <v>43651</v>
      </c>
      <c r="B1119" s="116">
        <v>772.875</v>
      </c>
      <c r="C1119" s="116">
        <v>762.02499999999998</v>
      </c>
      <c r="D1119" s="116">
        <v>758.125</v>
      </c>
      <c r="E1119" s="116">
        <v>769.875</v>
      </c>
      <c r="F1119" s="116">
        <v>1524.05</v>
      </c>
      <c r="G1119">
        <v>4998</v>
      </c>
      <c r="H1119" s="116"/>
      <c r="I1119" s="116"/>
      <c r="L1119" s="170">
        <v>43651</v>
      </c>
      <c r="M1119" s="116">
        <v>762.57500000000005</v>
      </c>
      <c r="N1119" s="116">
        <v>775</v>
      </c>
      <c r="O1119" s="116">
        <v>755.07500000000005</v>
      </c>
      <c r="P1119" s="116">
        <v>775</v>
      </c>
      <c r="Q1119" s="116">
        <v>1525.15</v>
      </c>
      <c r="R1119">
        <v>503188</v>
      </c>
    </row>
    <row r="1120" spans="1:18" x14ac:dyDescent="0.25">
      <c r="A1120" s="170">
        <v>43654</v>
      </c>
      <c r="B1120" s="116">
        <v>768.95</v>
      </c>
      <c r="C1120" s="116">
        <v>763.9</v>
      </c>
      <c r="D1120" s="116">
        <v>750</v>
      </c>
      <c r="E1120" s="116">
        <v>761.97500000000002</v>
      </c>
      <c r="F1120" s="116">
        <v>1527.8</v>
      </c>
      <c r="G1120">
        <v>4303</v>
      </c>
      <c r="H1120" s="116"/>
      <c r="I1120" s="116"/>
      <c r="L1120" s="170">
        <v>43654</v>
      </c>
      <c r="M1120" s="116">
        <v>763.97500000000002</v>
      </c>
      <c r="N1120" s="116">
        <v>769.5</v>
      </c>
      <c r="O1120" s="116">
        <v>748.15</v>
      </c>
      <c r="P1120" s="116">
        <v>756.5</v>
      </c>
      <c r="Q1120" s="116">
        <v>1527.95</v>
      </c>
      <c r="R1120">
        <v>145638</v>
      </c>
    </row>
    <row r="1121" spans="1:18" x14ac:dyDescent="0.25">
      <c r="A1121" s="170">
        <v>43655</v>
      </c>
      <c r="B1121" s="116">
        <v>779.5</v>
      </c>
      <c r="C1121" s="116">
        <v>773.22500000000002</v>
      </c>
      <c r="D1121" s="116">
        <v>759.55</v>
      </c>
      <c r="E1121" s="116">
        <v>776</v>
      </c>
      <c r="F1121" s="116">
        <v>1546.45</v>
      </c>
      <c r="G1121">
        <v>6072</v>
      </c>
      <c r="H1121" s="116"/>
      <c r="I1121" s="116"/>
      <c r="L1121" s="170">
        <v>43655</v>
      </c>
      <c r="M1121" s="116">
        <v>773.125</v>
      </c>
      <c r="N1121" s="116">
        <v>780.22500000000002</v>
      </c>
      <c r="O1121" s="116">
        <v>758.5</v>
      </c>
      <c r="P1121" s="116">
        <v>763.95</v>
      </c>
      <c r="Q1121" s="116">
        <v>1546.25</v>
      </c>
      <c r="R1121">
        <v>128721</v>
      </c>
    </row>
    <row r="1122" spans="1:18" x14ac:dyDescent="0.25">
      <c r="A1122" s="170">
        <v>43656</v>
      </c>
      <c r="B1122" s="116">
        <v>779.42499999999995</v>
      </c>
      <c r="C1122" s="116">
        <v>774.9</v>
      </c>
      <c r="D1122" s="116">
        <v>767.17499999999995</v>
      </c>
      <c r="E1122" s="116">
        <v>772.9</v>
      </c>
      <c r="F1122" s="116">
        <v>1549.8</v>
      </c>
      <c r="G1122">
        <v>5680</v>
      </c>
      <c r="H1122" s="116"/>
      <c r="I1122" s="116"/>
      <c r="L1122" s="170">
        <v>43656</v>
      </c>
      <c r="M1122" s="116">
        <v>774.7</v>
      </c>
      <c r="N1122" s="116">
        <v>780</v>
      </c>
      <c r="O1122" s="116">
        <v>767.02499999999998</v>
      </c>
      <c r="P1122" s="116">
        <v>774.4</v>
      </c>
      <c r="Q1122" s="116">
        <v>1549.4</v>
      </c>
      <c r="R1122">
        <v>143464</v>
      </c>
    </row>
    <row r="1123" spans="1:18" x14ac:dyDescent="0.25">
      <c r="A1123" s="170">
        <v>43657</v>
      </c>
      <c r="B1123" s="116">
        <v>788.57500000000005</v>
      </c>
      <c r="C1123" s="116">
        <v>774.65</v>
      </c>
      <c r="D1123" s="116">
        <v>765.65</v>
      </c>
      <c r="E1123" s="116">
        <v>774.9</v>
      </c>
      <c r="F1123" s="116">
        <v>1549.3</v>
      </c>
      <c r="G1123">
        <v>18168</v>
      </c>
      <c r="H1123" s="116"/>
      <c r="I1123" s="116"/>
      <c r="L1123" s="170">
        <v>43657</v>
      </c>
      <c r="M1123" s="116">
        <v>774.625</v>
      </c>
      <c r="N1123" s="116">
        <v>789</v>
      </c>
      <c r="O1123" s="116">
        <v>765.55</v>
      </c>
      <c r="P1123" s="116">
        <v>777.42499999999995</v>
      </c>
      <c r="Q1123" s="116">
        <v>1549.25</v>
      </c>
      <c r="R1123">
        <v>405073</v>
      </c>
    </row>
    <row r="1124" spans="1:18" x14ac:dyDescent="0.25">
      <c r="A1124" s="170">
        <v>43658</v>
      </c>
      <c r="B1124" s="116">
        <v>782.1</v>
      </c>
      <c r="C1124" s="116">
        <v>778.75</v>
      </c>
      <c r="D1124" s="116">
        <v>769.8</v>
      </c>
      <c r="E1124" s="116">
        <v>778.02499999999998</v>
      </c>
      <c r="F1124" s="116">
        <v>1557.5</v>
      </c>
      <c r="G1124">
        <v>3652</v>
      </c>
      <c r="H1124" s="116"/>
      <c r="I1124" s="116"/>
      <c r="L1124" s="170">
        <v>43658</v>
      </c>
      <c r="M1124" s="116">
        <v>778.25</v>
      </c>
      <c r="N1124" s="116">
        <v>782.5</v>
      </c>
      <c r="O1124" s="116">
        <v>769.55</v>
      </c>
      <c r="P1124" s="116">
        <v>781.4</v>
      </c>
      <c r="Q1124" s="116">
        <v>1556.5</v>
      </c>
      <c r="R1124">
        <v>102322</v>
      </c>
    </row>
    <row r="1125" spans="1:18" x14ac:dyDescent="0.25">
      <c r="A1125" s="170">
        <v>43661</v>
      </c>
      <c r="B1125" s="116">
        <v>780.65</v>
      </c>
      <c r="C1125" s="116">
        <v>776.22500000000002</v>
      </c>
      <c r="D1125" s="116">
        <v>770.45</v>
      </c>
      <c r="E1125" s="116">
        <v>778.625</v>
      </c>
      <c r="F1125" s="116">
        <v>1552.45</v>
      </c>
      <c r="G1125">
        <v>11702</v>
      </c>
      <c r="H1125" s="116"/>
      <c r="I1125" s="116"/>
      <c r="L1125" s="170">
        <v>43661</v>
      </c>
      <c r="M1125" s="116">
        <v>775.2</v>
      </c>
      <c r="N1125" s="116">
        <v>781.5</v>
      </c>
      <c r="O1125" s="116">
        <v>770.05</v>
      </c>
      <c r="P1125" s="116">
        <v>775.75</v>
      </c>
      <c r="Q1125" s="116">
        <v>1550.4</v>
      </c>
      <c r="R1125">
        <v>85389</v>
      </c>
    </row>
    <row r="1126" spans="1:18" x14ac:dyDescent="0.25">
      <c r="A1126" s="170">
        <v>43662</v>
      </c>
      <c r="B1126" s="116">
        <v>807.92499999999995</v>
      </c>
      <c r="C1126" s="116">
        <v>803.05</v>
      </c>
      <c r="D1126" s="116">
        <v>775.77499999999998</v>
      </c>
      <c r="E1126" s="116">
        <v>775.77499999999998</v>
      </c>
      <c r="F1126" s="116">
        <v>1606.1</v>
      </c>
      <c r="G1126">
        <v>29378</v>
      </c>
      <c r="H1126" s="116"/>
      <c r="I1126" s="116"/>
      <c r="L1126" s="170">
        <v>43662</v>
      </c>
      <c r="M1126" s="116">
        <v>802.72500000000002</v>
      </c>
      <c r="N1126" s="116">
        <v>808.5</v>
      </c>
      <c r="O1126" s="116">
        <v>775.2</v>
      </c>
      <c r="P1126" s="116">
        <v>775.2</v>
      </c>
      <c r="Q1126" s="116">
        <v>1605.45</v>
      </c>
      <c r="R1126">
        <v>684710</v>
      </c>
    </row>
    <row r="1127" spans="1:18" x14ac:dyDescent="0.25">
      <c r="A1127" s="170">
        <v>43663</v>
      </c>
      <c r="B1127" s="116">
        <v>810</v>
      </c>
      <c r="C1127" s="116">
        <v>792.3</v>
      </c>
      <c r="D1127" s="116">
        <v>788.05</v>
      </c>
      <c r="E1127" s="116">
        <v>809.1</v>
      </c>
      <c r="F1127" s="116">
        <v>1584.6</v>
      </c>
      <c r="G1127">
        <v>18479</v>
      </c>
      <c r="H1127" s="116"/>
      <c r="I1127" s="116"/>
      <c r="L1127" s="170">
        <v>43663</v>
      </c>
      <c r="M1127" s="116">
        <v>792.85</v>
      </c>
      <c r="N1127" s="116">
        <v>814.1</v>
      </c>
      <c r="O1127" s="116">
        <v>787.52499999999998</v>
      </c>
      <c r="P1127" s="116">
        <v>808</v>
      </c>
      <c r="Q1127" s="116">
        <v>1585.7</v>
      </c>
      <c r="R1127">
        <v>354807</v>
      </c>
    </row>
    <row r="1128" spans="1:18" x14ac:dyDescent="0.25">
      <c r="A1128" s="170">
        <v>43664</v>
      </c>
      <c r="B1128" s="116">
        <v>779.95</v>
      </c>
      <c r="C1128" s="116">
        <v>772.52499999999998</v>
      </c>
      <c r="D1128" s="116">
        <v>743.72500000000002</v>
      </c>
      <c r="E1128" s="116">
        <v>779.95</v>
      </c>
      <c r="F1128" s="116">
        <v>1545.05</v>
      </c>
      <c r="G1128">
        <v>275635</v>
      </c>
      <c r="H1128" s="116"/>
      <c r="I1128" s="116"/>
      <c r="L1128" s="170">
        <v>43664</v>
      </c>
      <c r="M1128" s="116">
        <v>772.6</v>
      </c>
      <c r="N1128" s="116">
        <v>779.95</v>
      </c>
      <c r="O1128" s="116">
        <v>742.7</v>
      </c>
      <c r="P1128" s="116">
        <v>773.5</v>
      </c>
      <c r="Q1128" s="116">
        <v>1545.2</v>
      </c>
      <c r="R1128">
        <v>1327620</v>
      </c>
    </row>
    <row r="1129" spans="1:18" x14ac:dyDescent="0.25">
      <c r="A1129" s="170">
        <v>43665</v>
      </c>
      <c r="B1129" s="116">
        <v>782.6</v>
      </c>
      <c r="C1129" s="116">
        <v>757.85</v>
      </c>
      <c r="D1129" s="116">
        <v>743.5</v>
      </c>
      <c r="E1129" s="116">
        <v>778.7</v>
      </c>
      <c r="F1129" s="116">
        <v>1515.7</v>
      </c>
      <c r="G1129">
        <v>40598</v>
      </c>
      <c r="H1129" s="116"/>
      <c r="I1129" s="116"/>
      <c r="L1129" s="170">
        <v>43665</v>
      </c>
      <c r="M1129" s="116">
        <v>757.72500000000002</v>
      </c>
      <c r="N1129" s="116">
        <v>783.57500000000005</v>
      </c>
      <c r="O1129" s="116">
        <v>742.55</v>
      </c>
      <c r="P1129" s="116">
        <v>779.5</v>
      </c>
      <c r="Q1129" s="116">
        <v>1515.45</v>
      </c>
      <c r="R1129">
        <v>390415</v>
      </c>
    </row>
    <row r="1130" spans="1:18" x14ac:dyDescent="0.25">
      <c r="A1130" s="170">
        <v>43668</v>
      </c>
      <c r="B1130" s="116">
        <v>762.5</v>
      </c>
      <c r="C1130" s="116">
        <v>750.1</v>
      </c>
      <c r="D1130" s="116">
        <v>736.97500000000002</v>
      </c>
      <c r="E1130" s="116">
        <v>754</v>
      </c>
      <c r="F1130" s="116">
        <v>1500.2</v>
      </c>
      <c r="G1130">
        <v>16327</v>
      </c>
      <c r="H1130" s="116"/>
      <c r="I1130" s="116"/>
      <c r="L1130" s="170">
        <v>43668</v>
      </c>
      <c r="M1130" s="116">
        <v>750.42499999999995</v>
      </c>
      <c r="N1130" s="116">
        <v>763.57500000000005</v>
      </c>
      <c r="O1130" s="116">
        <v>736.25</v>
      </c>
      <c r="P1130" s="116">
        <v>755.3</v>
      </c>
      <c r="Q1130" s="116">
        <v>1500.85</v>
      </c>
      <c r="R1130">
        <v>266811</v>
      </c>
    </row>
    <row r="1131" spans="1:18" x14ac:dyDescent="0.25">
      <c r="A1131" s="170">
        <v>43669</v>
      </c>
      <c r="B1131" s="116">
        <v>749.02499999999998</v>
      </c>
      <c r="C1131" s="116">
        <v>734.3</v>
      </c>
      <c r="D1131" s="116">
        <v>726.5</v>
      </c>
      <c r="E1131" s="116">
        <v>747.55</v>
      </c>
      <c r="F1131" s="116">
        <v>1468.6</v>
      </c>
      <c r="G1131">
        <v>16789</v>
      </c>
      <c r="H1131" s="116"/>
      <c r="I1131" s="116"/>
      <c r="L1131" s="170">
        <v>43669</v>
      </c>
      <c r="M1131" s="116">
        <v>733.9</v>
      </c>
      <c r="N1131" s="116">
        <v>750</v>
      </c>
      <c r="O1131" s="116">
        <v>726</v>
      </c>
      <c r="P1131" s="116">
        <v>746.6</v>
      </c>
      <c r="Q1131" s="116">
        <v>1467.8</v>
      </c>
      <c r="R1131">
        <v>380102</v>
      </c>
    </row>
    <row r="1132" spans="1:18" x14ac:dyDescent="0.25">
      <c r="A1132" s="170">
        <v>43670</v>
      </c>
      <c r="B1132" s="116">
        <v>811.97500000000002</v>
      </c>
      <c r="C1132" s="116">
        <v>803.3</v>
      </c>
      <c r="D1132" s="116">
        <v>742.52499999999998</v>
      </c>
      <c r="E1132" s="116">
        <v>742.52499999999998</v>
      </c>
      <c r="F1132" s="116">
        <v>1606.6</v>
      </c>
      <c r="G1132">
        <v>171380</v>
      </c>
      <c r="H1132" s="116"/>
      <c r="I1132" s="116"/>
      <c r="L1132" s="170">
        <v>43670</v>
      </c>
      <c r="M1132" s="116">
        <v>803.5</v>
      </c>
      <c r="N1132" s="116">
        <v>812.45</v>
      </c>
      <c r="O1132" s="116">
        <v>745</v>
      </c>
      <c r="P1132" s="116">
        <v>745</v>
      </c>
      <c r="Q1132" s="116">
        <v>1607</v>
      </c>
      <c r="R1132">
        <v>2752509</v>
      </c>
    </row>
    <row r="1133" spans="1:18" x14ac:dyDescent="0.25">
      <c r="A1133" s="170">
        <v>43671</v>
      </c>
      <c r="B1133" s="116">
        <v>817.8</v>
      </c>
      <c r="C1133" s="116">
        <v>812.3</v>
      </c>
      <c r="D1133" s="116">
        <v>786.6</v>
      </c>
      <c r="E1133" s="116">
        <v>802.45</v>
      </c>
      <c r="F1133" s="116">
        <v>1624.6</v>
      </c>
      <c r="G1133">
        <v>52488</v>
      </c>
      <c r="H1133" s="116"/>
      <c r="I1133" s="116"/>
      <c r="L1133" s="170">
        <v>43671</v>
      </c>
      <c r="M1133" s="116">
        <v>812.1</v>
      </c>
      <c r="N1133" s="116">
        <v>817.5</v>
      </c>
      <c r="O1133" s="116">
        <v>786.2</v>
      </c>
      <c r="P1133" s="116">
        <v>796.85</v>
      </c>
      <c r="Q1133" s="116">
        <v>1624.2</v>
      </c>
      <c r="R1133">
        <v>967919</v>
      </c>
    </row>
    <row r="1134" spans="1:18" x14ac:dyDescent="0.25">
      <c r="A1134" s="170">
        <v>43672</v>
      </c>
      <c r="B1134" s="116">
        <v>840.77499999999998</v>
      </c>
      <c r="C1134" s="116">
        <v>837.125</v>
      </c>
      <c r="D1134" s="116">
        <v>805</v>
      </c>
      <c r="E1134" s="116">
        <v>812.5</v>
      </c>
      <c r="F1134" s="116">
        <v>1674.25</v>
      </c>
      <c r="G1134">
        <v>33698</v>
      </c>
      <c r="H1134" s="116"/>
      <c r="I1134" s="116"/>
      <c r="L1134" s="170">
        <v>43672</v>
      </c>
      <c r="M1134" s="116">
        <v>836.875</v>
      </c>
      <c r="N1134" s="116">
        <v>841.67499999999995</v>
      </c>
      <c r="O1134" s="116">
        <v>804.1</v>
      </c>
      <c r="P1134" s="116">
        <v>808.5</v>
      </c>
      <c r="Q1134" s="116">
        <v>1673.75</v>
      </c>
      <c r="R1134">
        <v>618068</v>
      </c>
    </row>
    <row r="1135" spans="1:18" x14ac:dyDescent="0.25">
      <c r="A1135" s="170">
        <v>43675</v>
      </c>
      <c r="B1135" s="116">
        <v>837.5</v>
      </c>
      <c r="C1135" s="116">
        <v>826.22500000000002</v>
      </c>
      <c r="D1135" s="116">
        <v>813.4</v>
      </c>
      <c r="E1135" s="116">
        <v>837.5</v>
      </c>
      <c r="F1135" s="116">
        <v>1652.45</v>
      </c>
      <c r="G1135">
        <v>13278</v>
      </c>
      <c r="H1135" s="116"/>
      <c r="I1135" s="116"/>
      <c r="L1135" s="170">
        <v>43675</v>
      </c>
      <c r="M1135" s="116">
        <v>825.7</v>
      </c>
      <c r="N1135" s="116">
        <v>835</v>
      </c>
      <c r="O1135" s="116">
        <v>813.5</v>
      </c>
      <c r="P1135" s="116">
        <v>833.57500000000005</v>
      </c>
      <c r="Q1135" s="116">
        <v>1651.4</v>
      </c>
      <c r="R1135">
        <v>246330</v>
      </c>
    </row>
    <row r="1136" spans="1:18" x14ac:dyDescent="0.25">
      <c r="A1136" s="170">
        <v>43676</v>
      </c>
      <c r="B1136" s="116">
        <v>845</v>
      </c>
      <c r="C1136" s="116">
        <v>826.3</v>
      </c>
      <c r="D1136" s="116">
        <v>824.85</v>
      </c>
      <c r="E1136" s="116">
        <v>828</v>
      </c>
      <c r="F1136" s="116">
        <v>1652.6</v>
      </c>
      <c r="G1136">
        <v>18371</v>
      </c>
      <c r="H1136" s="116"/>
      <c r="I1136" s="116"/>
      <c r="L1136" s="170">
        <v>43676</v>
      </c>
      <c r="M1136" s="116">
        <v>826.72500000000002</v>
      </c>
      <c r="N1136" s="116">
        <v>845</v>
      </c>
      <c r="O1136" s="116">
        <v>822.7</v>
      </c>
      <c r="P1136" s="116">
        <v>826.75</v>
      </c>
      <c r="Q1136" s="116">
        <v>1653.45</v>
      </c>
      <c r="R1136">
        <v>389103</v>
      </c>
    </row>
    <row r="1137" spans="1:18" x14ac:dyDescent="0.25">
      <c r="A1137" s="170">
        <v>43677</v>
      </c>
      <c r="B1137" s="116">
        <v>839.82500000000005</v>
      </c>
      <c r="C1137" s="116">
        <v>834.625</v>
      </c>
      <c r="D1137" s="116">
        <v>815.875</v>
      </c>
      <c r="E1137" s="116">
        <v>820</v>
      </c>
      <c r="F1137" s="116">
        <v>1669.25</v>
      </c>
      <c r="G1137">
        <v>9299</v>
      </c>
      <c r="H1137" s="116"/>
      <c r="I1137" s="116"/>
      <c r="L1137" s="170">
        <v>43677</v>
      </c>
      <c r="M1137" s="116">
        <v>835.42499999999995</v>
      </c>
      <c r="N1137" s="116">
        <v>840</v>
      </c>
      <c r="O1137" s="116">
        <v>817</v>
      </c>
      <c r="P1137" s="116">
        <v>821.5</v>
      </c>
      <c r="Q1137" s="116">
        <v>1670.85</v>
      </c>
      <c r="R1137">
        <v>238511</v>
      </c>
    </row>
    <row r="1138" spans="1:18" x14ac:dyDescent="0.25">
      <c r="A1138" s="170">
        <v>43678</v>
      </c>
      <c r="B1138" s="116">
        <v>840</v>
      </c>
      <c r="C1138" s="116">
        <v>834.72500000000002</v>
      </c>
      <c r="D1138" s="116">
        <v>827</v>
      </c>
      <c r="E1138" s="116">
        <v>835</v>
      </c>
      <c r="F1138" s="116">
        <v>1669.45</v>
      </c>
      <c r="G1138">
        <v>8015</v>
      </c>
      <c r="H1138" s="116"/>
      <c r="I1138" s="116"/>
      <c r="L1138" s="170">
        <v>43678</v>
      </c>
      <c r="M1138" s="116">
        <v>833.95</v>
      </c>
      <c r="N1138" s="116">
        <v>840.82500000000005</v>
      </c>
      <c r="O1138" s="116">
        <v>826.55</v>
      </c>
      <c r="P1138" s="116">
        <v>838</v>
      </c>
      <c r="Q1138" s="116">
        <v>1667.9</v>
      </c>
      <c r="R1138">
        <v>227702</v>
      </c>
    </row>
    <row r="1139" spans="1:18" x14ac:dyDescent="0.25">
      <c r="A1139" s="170">
        <v>43679</v>
      </c>
      <c r="B1139" s="116">
        <v>844.35</v>
      </c>
      <c r="C1139" s="116">
        <v>836.55</v>
      </c>
      <c r="D1139" s="116">
        <v>825.55</v>
      </c>
      <c r="E1139" s="116">
        <v>834.05</v>
      </c>
      <c r="F1139" s="116">
        <v>1673.1</v>
      </c>
      <c r="G1139">
        <v>11133</v>
      </c>
      <c r="H1139" s="116"/>
      <c r="I1139" s="116"/>
      <c r="L1139" s="170">
        <v>43679</v>
      </c>
      <c r="M1139" s="116">
        <v>836.625</v>
      </c>
      <c r="N1139" s="116">
        <v>844.65</v>
      </c>
      <c r="O1139" s="116">
        <v>825.57500000000005</v>
      </c>
      <c r="P1139" s="116">
        <v>836.5</v>
      </c>
      <c r="Q1139" s="116">
        <v>1673.25</v>
      </c>
      <c r="R1139">
        <v>270084</v>
      </c>
    </row>
    <row r="1140" spans="1:18" x14ac:dyDescent="0.25">
      <c r="A1140" s="170">
        <v>43682</v>
      </c>
      <c r="B1140" s="116">
        <v>839.65</v>
      </c>
      <c r="C1140" s="116">
        <v>834.77499999999998</v>
      </c>
      <c r="D1140" s="116">
        <v>820.32500000000005</v>
      </c>
      <c r="E1140" s="116">
        <v>838.5</v>
      </c>
      <c r="F1140" s="116">
        <v>1669.55</v>
      </c>
      <c r="G1140">
        <v>12912</v>
      </c>
      <c r="H1140" s="116"/>
      <c r="I1140" s="116"/>
      <c r="L1140" s="170">
        <v>43682</v>
      </c>
      <c r="M1140" s="116">
        <v>834.35</v>
      </c>
      <c r="N1140" s="116">
        <v>841.375</v>
      </c>
      <c r="O1140" s="116">
        <v>828.25</v>
      </c>
      <c r="P1140" s="116">
        <v>830</v>
      </c>
      <c r="Q1140" s="116">
        <v>1668.7</v>
      </c>
      <c r="R1140">
        <v>154667</v>
      </c>
    </row>
    <row r="1141" spans="1:18" x14ac:dyDescent="0.25">
      <c r="A1141" s="170">
        <v>43683</v>
      </c>
      <c r="B1141" s="116">
        <v>839</v>
      </c>
      <c r="C1141" s="116">
        <v>837.125</v>
      </c>
      <c r="D1141" s="116">
        <v>827.5</v>
      </c>
      <c r="E1141" s="116">
        <v>834.1</v>
      </c>
      <c r="F1141" s="116">
        <v>1674.25</v>
      </c>
      <c r="G1141">
        <v>36820</v>
      </c>
      <c r="H1141" s="116"/>
      <c r="I1141" s="116"/>
      <c r="L1141" s="170">
        <v>43683</v>
      </c>
      <c r="M1141" s="116">
        <v>836.15</v>
      </c>
      <c r="N1141" s="116">
        <v>839.35</v>
      </c>
      <c r="O1141" s="116">
        <v>827.125</v>
      </c>
      <c r="P1141" s="116">
        <v>831</v>
      </c>
      <c r="Q1141" s="116">
        <v>1672.3</v>
      </c>
      <c r="R1141">
        <v>206219</v>
      </c>
    </row>
    <row r="1142" spans="1:18" x14ac:dyDescent="0.25">
      <c r="A1142" s="170">
        <v>43684</v>
      </c>
      <c r="B1142" s="116">
        <v>858.97500000000002</v>
      </c>
      <c r="C1142" s="116">
        <v>850.27499999999998</v>
      </c>
      <c r="D1142" s="116">
        <v>836</v>
      </c>
      <c r="E1142" s="116">
        <v>836</v>
      </c>
      <c r="F1142" s="116">
        <v>1700.55</v>
      </c>
      <c r="G1142">
        <v>25707</v>
      </c>
      <c r="H1142" s="116"/>
      <c r="I1142" s="116"/>
      <c r="L1142" s="170">
        <v>43684</v>
      </c>
      <c r="M1142" s="116">
        <v>851.45</v>
      </c>
      <c r="N1142" s="116">
        <v>858.92499999999995</v>
      </c>
      <c r="O1142" s="116">
        <v>835.05</v>
      </c>
      <c r="P1142" s="116">
        <v>837.47500000000002</v>
      </c>
      <c r="Q1142" s="116">
        <v>1702.9</v>
      </c>
      <c r="R1142">
        <v>331274</v>
      </c>
    </row>
    <row r="1143" spans="1:18" x14ac:dyDescent="0.25">
      <c r="A1143" s="170">
        <v>43685</v>
      </c>
      <c r="B1143" s="116">
        <v>859.22500000000002</v>
      </c>
      <c r="C1143" s="116">
        <v>855.92499999999995</v>
      </c>
      <c r="D1143" s="116">
        <v>846.05</v>
      </c>
      <c r="E1143" s="116">
        <v>853.5</v>
      </c>
      <c r="F1143" s="116">
        <v>1711.85</v>
      </c>
      <c r="G1143">
        <v>12692</v>
      </c>
      <c r="H1143" s="116"/>
      <c r="I1143" s="116"/>
      <c r="L1143" s="170">
        <v>43685</v>
      </c>
      <c r="M1143" s="116">
        <v>855.2</v>
      </c>
      <c r="N1143" s="116">
        <v>859.22500000000002</v>
      </c>
      <c r="O1143" s="116">
        <v>845.5</v>
      </c>
      <c r="P1143" s="116">
        <v>853.5</v>
      </c>
      <c r="Q1143" s="116">
        <v>1710.4</v>
      </c>
      <c r="R1143">
        <v>209273</v>
      </c>
    </row>
    <row r="1144" spans="1:18" x14ac:dyDescent="0.25">
      <c r="A1144" s="170">
        <v>43686</v>
      </c>
      <c r="B1144" s="116">
        <v>851.22500000000002</v>
      </c>
      <c r="C1144" s="116">
        <v>836.82500000000005</v>
      </c>
      <c r="D1144" s="116">
        <v>835.27499999999998</v>
      </c>
      <c r="E1144" s="116">
        <v>850.5</v>
      </c>
      <c r="F1144" s="116">
        <v>1673.65</v>
      </c>
      <c r="G1144">
        <v>13224</v>
      </c>
      <c r="H1144" s="116"/>
      <c r="I1144" s="116"/>
      <c r="L1144" s="170">
        <v>43686</v>
      </c>
      <c r="M1144" s="116">
        <v>837.27499999999998</v>
      </c>
      <c r="N1144" s="116">
        <v>853.45</v>
      </c>
      <c r="O1144" s="116">
        <v>835.52499999999998</v>
      </c>
      <c r="P1144" s="116">
        <v>850.6</v>
      </c>
      <c r="Q1144" s="116">
        <v>1674.55</v>
      </c>
      <c r="R1144">
        <v>342651</v>
      </c>
    </row>
    <row r="1145" spans="1:18" x14ac:dyDescent="0.25">
      <c r="A1145" s="170">
        <v>43690</v>
      </c>
      <c r="B1145" s="116">
        <v>832.5</v>
      </c>
      <c r="C1145" s="116">
        <v>827.35</v>
      </c>
      <c r="D1145" s="116">
        <v>796.07500000000005</v>
      </c>
      <c r="E1145" s="116">
        <v>832.5</v>
      </c>
      <c r="F1145" s="116">
        <v>1654.7</v>
      </c>
      <c r="G1145">
        <v>30015</v>
      </c>
      <c r="H1145" s="116"/>
      <c r="I1145" s="116"/>
      <c r="L1145" s="170">
        <v>43690</v>
      </c>
      <c r="M1145" s="116">
        <v>826.97500000000002</v>
      </c>
      <c r="N1145" s="116">
        <v>831.55</v>
      </c>
      <c r="O1145" s="116">
        <v>797.5</v>
      </c>
      <c r="P1145" s="116">
        <v>815</v>
      </c>
      <c r="Q1145" s="116">
        <v>1653.95</v>
      </c>
      <c r="R1145">
        <v>477303</v>
      </c>
    </row>
    <row r="1146" spans="1:18" x14ac:dyDescent="0.25">
      <c r="A1146" s="170">
        <v>43691</v>
      </c>
      <c r="B1146" s="116">
        <v>848.35</v>
      </c>
      <c r="C1146" s="116">
        <v>845.9</v>
      </c>
      <c r="D1146" s="116">
        <v>816.125</v>
      </c>
      <c r="E1146" s="116">
        <v>835.625</v>
      </c>
      <c r="F1146" s="116">
        <v>1691.8</v>
      </c>
      <c r="G1146">
        <v>13632</v>
      </c>
      <c r="H1146" s="116"/>
      <c r="I1146" s="116"/>
      <c r="L1146" s="170">
        <v>43691</v>
      </c>
      <c r="M1146" s="116">
        <v>843.05</v>
      </c>
      <c r="N1146" s="116">
        <v>848.1</v>
      </c>
      <c r="O1146" s="116">
        <v>815.7</v>
      </c>
      <c r="P1146" s="116">
        <v>834.97500000000002</v>
      </c>
      <c r="Q1146" s="116">
        <v>1686.1</v>
      </c>
      <c r="R1146">
        <v>324797</v>
      </c>
    </row>
    <row r="1147" spans="1:18" x14ac:dyDescent="0.25">
      <c r="A1147" s="170">
        <v>43693</v>
      </c>
      <c r="B1147" s="116">
        <v>842.5</v>
      </c>
      <c r="C1147" s="116">
        <v>823.6</v>
      </c>
      <c r="D1147" s="116">
        <v>821.42499999999995</v>
      </c>
      <c r="E1147" s="116">
        <v>840.82500000000005</v>
      </c>
      <c r="F1147" s="116">
        <v>1647.2</v>
      </c>
      <c r="G1147">
        <v>6956</v>
      </c>
      <c r="H1147" s="116"/>
      <c r="I1147" s="116"/>
      <c r="L1147" s="170">
        <v>43693</v>
      </c>
      <c r="M1147" s="116">
        <v>823.9</v>
      </c>
      <c r="N1147" s="116">
        <v>847.45</v>
      </c>
      <c r="O1147" s="116">
        <v>820.55</v>
      </c>
      <c r="P1147" s="116">
        <v>847.45</v>
      </c>
      <c r="Q1147" s="116">
        <v>1647.8</v>
      </c>
      <c r="R1147">
        <v>180534</v>
      </c>
    </row>
    <row r="1148" spans="1:18" x14ac:dyDescent="0.25">
      <c r="A1148" s="170">
        <v>43696</v>
      </c>
      <c r="B1148" s="116">
        <v>839</v>
      </c>
      <c r="C1148" s="116">
        <v>827.75</v>
      </c>
      <c r="D1148" s="116">
        <v>825</v>
      </c>
      <c r="E1148" s="116">
        <v>825</v>
      </c>
      <c r="F1148" s="116">
        <v>1655.5</v>
      </c>
      <c r="G1148">
        <v>8081</v>
      </c>
      <c r="H1148" s="116"/>
      <c r="I1148" s="116"/>
      <c r="L1148" s="170">
        <v>43696</v>
      </c>
      <c r="M1148" s="116">
        <v>827.55</v>
      </c>
      <c r="N1148" s="116">
        <v>875</v>
      </c>
      <c r="O1148" s="116">
        <v>823.9</v>
      </c>
      <c r="P1148" s="116">
        <v>823.9</v>
      </c>
      <c r="Q1148" s="116">
        <v>1655.1</v>
      </c>
      <c r="R1148">
        <v>129085</v>
      </c>
    </row>
    <row r="1149" spans="1:18" x14ac:dyDescent="0.25">
      <c r="A1149" s="170">
        <v>43697</v>
      </c>
      <c r="B1149" s="116">
        <v>833.5</v>
      </c>
      <c r="C1149" s="116">
        <v>829.67499999999995</v>
      </c>
      <c r="D1149" s="116">
        <v>815.82500000000005</v>
      </c>
      <c r="E1149" s="116">
        <v>823.07500000000005</v>
      </c>
      <c r="F1149" s="116">
        <v>1659.35</v>
      </c>
      <c r="G1149">
        <v>6376</v>
      </c>
      <c r="H1149" s="116"/>
      <c r="I1149" s="116"/>
      <c r="L1149" s="170">
        <v>43697</v>
      </c>
      <c r="M1149" s="116">
        <v>829.57500000000005</v>
      </c>
      <c r="N1149" s="116">
        <v>834.35</v>
      </c>
      <c r="O1149" s="116">
        <v>813.77499999999998</v>
      </c>
      <c r="P1149" s="116">
        <v>832.7</v>
      </c>
      <c r="Q1149" s="116">
        <v>1659.15</v>
      </c>
      <c r="R1149">
        <v>170004</v>
      </c>
    </row>
    <row r="1150" spans="1:18" x14ac:dyDescent="0.25">
      <c r="A1150" s="170">
        <v>43698</v>
      </c>
      <c r="B1150" s="116">
        <v>838.82500000000005</v>
      </c>
      <c r="C1150" s="116">
        <v>835.42499999999995</v>
      </c>
      <c r="D1150" s="116">
        <v>824</v>
      </c>
      <c r="E1150" s="116">
        <v>829.2</v>
      </c>
      <c r="F1150" s="116">
        <v>1670.85</v>
      </c>
      <c r="G1150">
        <v>7883</v>
      </c>
      <c r="H1150" s="116"/>
      <c r="I1150" s="116"/>
      <c r="L1150" s="170">
        <v>43698</v>
      </c>
      <c r="M1150" s="116">
        <v>835.1</v>
      </c>
      <c r="N1150" s="116">
        <v>839.1</v>
      </c>
      <c r="O1150" s="116">
        <v>823.75</v>
      </c>
      <c r="P1150" s="116">
        <v>827.5</v>
      </c>
      <c r="Q1150" s="116">
        <v>1670.2</v>
      </c>
      <c r="R1150">
        <v>274524</v>
      </c>
    </row>
    <row r="1151" spans="1:18" x14ac:dyDescent="0.25">
      <c r="A1151" s="170">
        <v>43699</v>
      </c>
      <c r="B1151" s="116">
        <v>840.5</v>
      </c>
      <c r="C1151" s="116">
        <v>836.65</v>
      </c>
      <c r="D1151" s="116">
        <v>826.25</v>
      </c>
      <c r="E1151" s="116">
        <v>834</v>
      </c>
      <c r="F1151" s="116">
        <v>1673.3</v>
      </c>
      <c r="G1151">
        <v>5746</v>
      </c>
      <c r="H1151" s="116"/>
      <c r="I1151" s="116"/>
      <c r="L1151" s="170">
        <v>43699</v>
      </c>
      <c r="M1151" s="116">
        <v>837.42499999999995</v>
      </c>
      <c r="N1151" s="116">
        <v>841</v>
      </c>
      <c r="O1151" s="116">
        <v>825.27499999999998</v>
      </c>
      <c r="P1151" s="116">
        <v>839.22500000000002</v>
      </c>
      <c r="Q1151" s="116">
        <v>1674.85</v>
      </c>
      <c r="R1151">
        <v>230779</v>
      </c>
    </row>
    <row r="1152" spans="1:18" x14ac:dyDescent="0.25">
      <c r="A1152" s="170">
        <v>43700</v>
      </c>
      <c r="B1152" s="116">
        <v>840.55</v>
      </c>
      <c r="C1152" s="116">
        <v>829.8</v>
      </c>
      <c r="D1152" s="116">
        <v>813.17499999999995</v>
      </c>
      <c r="E1152" s="116">
        <v>833.7</v>
      </c>
      <c r="F1152" s="116">
        <v>1659.6</v>
      </c>
      <c r="G1152">
        <v>8914</v>
      </c>
      <c r="H1152" s="116"/>
      <c r="I1152" s="116"/>
      <c r="L1152" s="170">
        <v>43700</v>
      </c>
      <c r="M1152" s="116">
        <v>829.8</v>
      </c>
      <c r="N1152" s="116">
        <v>842.375</v>
      </c>
      <c r="O1152" s="116">
        <v>814.1</v>
      </c>
      <c r="P1152" s="116">
        <v>836.85</v>
      </c>
      <c r="Q1152" s="116">
        <v>1659.6</v>
      </c>
      <c r="R1152">
        <v>249479</v>
      </c>
    </row>
    <row r="1153" spans="1:18" x14ac:dyDescent="0.25">
      <c r="A1153" s="170">
        <v>43703</v>
      </c>
      <c r="B1153" s="116">
        <v>848.57500000000005</v>
      </c>
      <c r="C1153" s="116">
        <v>838.57500000000005</v>
      </c>
      <c r="D1153" s="116">
        <v>827.5</v>
      </c>
      <c r="E1153" s="116">
        <v>830</v>
      </c>
      <c r="F1153" s="116">
        <v>1677.15</v>
      </c>
      <c r="G1153">
        <v>5764</v>
      </c>
      <c r="H1153" s="116"/>
      <c r="I1153" s="116"/>
      <c r="L1153" s="170">
        <v>43703</v>
      </c>
      <c r="M1153" s="116">
        <v>838.97500000000002</v>
      </c>
      <c r="N1153" s="116">
        <v>848.95</v>
      </c>
      <c r="O1153" s="116">
        <v>826.95</v>
      </c>
      <c r="P1153" s="116">
        <v>837.42499999999995</v>
      </c>
      <c r="Q1153" s="116">
        <v>1677.95</v>
      </c>
      <c r="R1153">
        <v>166518</v>
      </c>
    </row>
    <row r="1154" spans="1:18" x14ac:dyDescent="0.25">
      <c r="A1154" s="170">
        <v>43704</v>
      </c>
      <c r="B1154" s="116">
        <v>851.47500000000002</v>
      </c>
      <c r="C1154" s="116">
        <v>841.27499999999998</v>
      </c>
      <c r="D1154" s="116">
        <v>838.95</v>
      </c>
      <c r="E1154" s="116">
        <v>838.95</v>
      </c>
      <c r="F1154" s="116">
        <v>1682.55</v>
      </c>
      <c r="G1154">
        <v>4817</v>
      </c>
      <c r="H1154" s="116"/>
      <c r="I1154" s="116"/>
      <c r="L1154" s="170">
        <v>43704</v>
      </c>
      <c r="M1154" s="116">
        <v>842.25</v>
      </c>
      <c r="N1154" s="116">
        <v>852</v>
      </c>
      <c r="O1154" s="116">
        <v>837.4</v>
      </c>
      <c r="P1154" s="116">
        <v>840</v>
      </c>
      <c r="Q1154" s="116">
        <v>1684.5</v>
      </c>
      <c r="R1154">
        <v>139948</v>
      </c>
    </row>
    <row r="1155" spans="1:18" x14ac:dyDescent="0.25">
      <c r="A1155" s="170">
        <v>43705</v>
      </c>
      <c r="B1155" s="116">
        <v>847.75</v>
      </c>
      <c r="C1155" s="116">
        <v>834.3</v>
      </c>
      <c r="D1155" s="116">
        <v>830.7</v>
      </c>
      <c r="E1155" s="116">
        <v>843.85</v>
      </c>
      <c r="F1155" s="116">
        <v>1668.6</v>
      </c>
      <c r="G1155">
        <v>6754</v>
      </c>
      <c r="H1155" s="116"/>
      <c r="I1155" s="116"/>
      <c r="L1155" s="170">
        <v>43705</v>
      </c>
      <c r="M1155" s="116">
        <v>834.4</v>
      </c>
      <c r="N1155" s="116">
        <v>848.65</v>
      </c>
      <c r="O1155" s="116">
        <v>830.52499999999998</v>
      </c>
      <c r="P1155" s="116">
        <v>842.25</v>
      </c>
      <c r="Q1155" s="116">
        <v>1668.8</v>
      </c>
      <c r="R1155">
        <v>183948</v>
      </c>
    </row>
    <row r="1156" spans="1:18" x14ac:dyDescent="0.25">
      <c r="A1156" s="170">
        <v>43706</v>
      </c>
      <c r="B1156" s="116">
        <v>846.17499999999995</v>
      </c>
      <c r="C1156" s="116">
        <v>841.27499999999998</v>
      </c>
      <c r="D1156" s="116">
        <v>830</v>
      </c>
      <c r="E1156" s="116">
        <v>837.47500000000002</v>
      </c>
      <c r="F1156" s="116">
        <v>1682.55</v>
      </c>
      <c r="G1156">
        <v>4222</v>
      </c>
      <c r="H1156" s="116"/>
      <c r="I1156" s="116"/>
      <c r="L1156" s="170">
        <v>43706</v>
      </c>
      <c r="M1156" s="116">
        <v>837.47500000000002</v>
      </c>
      <c r="N1156" s="116">
        <v>847</v>
      </c>
      <c r="O1156" s="116">
        <v>828.97500000000002</v>
      </c>
      <c r="P1156" s="116">
        <v>836</v>
      </c>
      <c r="Q1156" s="116">
        <v>1674.95</v>
      </c>
      <c r="R1156">
        <v>115576</v>
      </c>
    </row>
    <row r="1157" spans="1:18" x14ac:dyDescent="0.25">
      <c r="A1157" s="170">
        <v>43707</v>
      </c>
      <c r="B1157" s="116">
        <v>859.42499999999995</v>
      </c>
      <c r="C1157" s="116">
        <v>853.77499999999998</v>
      </c>
      <c r="D1157" s="116">
        <v>842.8</v>
      </c>
      <c r="E1157" s="116">
        <v>844.32500000000005</v>
      </c>
      <c r="F1157" s="116">
        <v>1707.55</v>
      </c>
      <c r="G1157">
        <v>34149</v>
      </c>
      <c r="H1157" s="116"/>
      <c r="I1157" s="116"/>
      <c r="L1157" s="170">
        <v>43707</v>
      </c>
      <c r="M1157" s="116">
        <v>853.8</v>
      </c>
      <c r="N1157" s="116">
        <v>860</v>
      </c>
      <c r="O1157" s="116">
        <v>842</v>
      </c>
      <c r="P1157" s="116">
        <v>842</v>
      </c>
      <c r="Q1157" s="116">
        <v>1707.6</v>
      </c>
      <c r="R1157">
        <v>427101</v>
      </c>
    </row>
    <row r="1158" spans="1:18" x14ac:dyDescent="0.25">
      <c r="A1158" s="170">
        <v>43711</v>
      </c>
      <c r="B1158" s="116">
        <v>865</v>
      </c>
      <c r="C1158" s="116">
        <v>857.22500000000002</v>
      </c>
      <c r="D1158" s="116">
        <v>848.65</v>
      </c>
      <c r="E1158" s="116">
        <v>854.5</v>
      </c>
      <c r="F1158" s="116">
        <v>1714.45</v>
      </c>
      <c r="G1158">
        <v>9593</v>
      </c>
      <c r="H1158" s="116"/>
      <c r="I1158" s="116"/>
      <c r="L1158" s="170">
        <v>43711</v>
      </c>
      <c r="M1158" s="116">
        <v>856.7</v>
      </c>
      <c r="N1158" s="116">
        <v>865</v>
      </c>
      <c r="O1158" s="116">
        <v>845</v>
      </c>
      <c r="P1158" s="116">
        <v>852.95</v>
      </c>
      <c r="Q1158" s="116">
        <v>1713.4</v>
      </c>
      <c r="R1158">
        <v>251539</v>
      </c>
    </row>
    <row r="1159" spans="1:18" x14ac:dyDescent="0.25">
      <c r="A1159" s="170">
        <v>43712</v>
      </c>
      <c r="B1159" s="116">
        <v>872.5</v>
      </c>
      <c r="C1159" s="116">
        <v>845.3</v>
      </c>
      <c r="D1159" s="116">
        <v>842.72500000000002</v>
      </c>
      <c r="E1159" s="116">
        <v>872.5</v>
      </c>
      <c r="F1159" s="116">
        <v>1690.6</v>
      </c>
      <c r="G1159">
        <v>12118</v>
      </c>
      <c r="H1159" s="116"/>
      <c r="I1159" s="116"/>
      <c r="L1159" s="170">
        <v>43712</v>
      </c>
      <c r="M1159" s="116">
        <v>845.3</v>
      </c>
      <c r="N1159" s="116">
        <v>862.05</v>
      </c>
      <c r="O1159" s="116">
        <v>842.85</v>
      </c>
      <c r="P1159" s="116">
        <v>860.5</v>
      </c>
      <c r="Q1159" s="116">
        <v>1690.6</v>
      </c>
      <c r="R1159">
        <v>149460</v>
      </c>
    </row>
    <row r="1160" spans="1:18" x14ac:dyDescent="0.25">
      <c r="A1160" s="170">
        <v>43713</v>
      </c>
      <c r="B1160" s="116">
        <v>866.15</v>
      </c>
      <c r="C1160" s="116">
        <v>856.8</v>
      </c>
      <c r="D1160" s="116">
        <v>846.45</v>
      </c>
      <c r="E1160" s="116">
        <v>849.85</v>
      </c>
      <c r="F1160" s="116">
        <v>1713.6</v>
      </c>
      <c r="G1160">
        <v>6187</v>
      </c>
      <c r="H1160" s="116"/>
      <c r="I1160" s="116"/>
      <c r="L1160" s="170">
        <v>43713</v>
      </c>
      <c r="M1160" s="116">
        <v>855.875</v>
      </c>
      <c r="N1160" s="116">
        <v>866.5</v>
      </c>
      <c r="O1160" s="116">
        <v>845.52499999999998</v>
      </c>
      <c r="P1160" s="116">
        <v>845.52499999999998</v>
      </c>
      <c r="Q1160" s="116">
        <v>1711.75</v>
      </c>
      <c r="R1160">
        <v>128252</v>
      </c>
    </row>
    <row r="1161" spans="1:18" x14ac:dyDescent="0.25">
      <c r="A1161" s="170">
        <v>43714</v>
      </c>
      <c r="B1161" s="116">
        <v>874.125</v>
      </c>
      <c r="C1161" s="116">
        <v>869.5</v>
      </c>
      <c r="D1161" s="116">
        <v>857.625</v>
      </c>
      <c r="E1161" s="116">
        <v>857.65</v>
      </c>
      <c r="F1161" s="116">
        <v>1739</v>
      </c>
      <c r="G1161">
        <v>6254</v>
      </c>
      <c r="H1161" s="116"/>
      <c r="I1161" s="116"/>
      <c r="L1161" s="170">
        <v>43714</v>
      </c>
      <c r="M1161" s="116">
        <v>869.57500000000005</v>
      </c>
      <c r="N1161" s="116">
        <v>874.82500000000005</v>
      </c>
      <c r="O1161" s="116">
        <v>857</v>
      </c>
      <c r="P1161" s="116">
        <v>857</v>
      </c>
      <c r="Q1161" s="116">
        <v>1739.15</v>
      </c>
      <c r="R1161">
        <v>215030</v>
      </c>
    </row>
    <row r="1162" spans="1:18" x14ac:dyDescent="0.25">
      <c r="A1162" s="170">
        <v>43717</v>
      </c>
      <c r="B1162" s="116">
        <v>871</v>
      </c>
      <c r="C1162" s="116">
        <v>858.3</v>
      </c>
      <c r="D1162" s="116">
        <v>850.47500000000002</v>
      </c>
      <c r="E1162" s="116">
        <v>867.15</v>
      </c>
      <c r="F1162" s="116">
        <v>1716.6</v>
      </c>
      <c r="G1162">
        <v>6146</v>
      </c>
      <c r="H1162" s="116"/>
      <c r="I1162" s="116"/>
      <c r="L1162" s="170">
        <v>43717</v>
      </c>
      <c r="M1162" s="116">
        <v>858.55</v>
      </c>
      <c r="N1162" s="116">
        <v>873.27499999999998</v>
      </c>
      <c r="O1162" s="116">
        <v>850</v>
      </c>
      <c r="P1162" s="116">
        <v>864.7</v>
      </c>
      <c r="Q1162" s="116">
        <v>1717.1</v>
      </c>
      <c r="R1162">
        <v>166323</v>
      </c>
    </row>
    <row r="1163" spans="1:18" x14ac:dyDescent="0.25">
      <c r="A1163" s="170">
        <v>43719</v>
      </c>
      <c r="B1163" s="116">
        <v>865.7</v>
      </c>
      <c r="C1163" s="116">
        <v>848.97500000000002</v>
      </c>
      <c r="D1163" s="116">
        <v>846.5</v>
      </c>
      <c r="E1163" s="116">
        <v>858.5</v>
      </c>
      <c r="F1163" s="116">
        <v>1697.95</v>
      </c>
      <c r="G1163">
        <v>2927</v>
      </c>
      <c r="H1163" s="116"/>
      <c r="I1163" s="116"/>
      <c r="L1163" s="170">
        <v>43719</v>
      </c>
      <c r="M1163" s="116">
        <v>849.15</v>
      </c>
      <c r="N1163" s="116">
        <v>866.85</v>
      </c>
      <c r="O1163" s="116">
        <v>846</v>
      </c>
      <c r="P1163" s="116">
        <v>861.75</v>
      </c>
      <c r="Q1163" s="116">
        <v>1698.3</v>
      </c>
      <c r="R1163">
        <v>144358</v>
      </c>
    </row>
    <row r="1164" spans="1:18" x14ac:dyDescent="0.25">
      <c r="A1164" s="170">
        <v>43720</v>
      </c>
      <c r="B1164" s="116">
        <v>862</v>
      </c>
      <c r="C1164" s="116">
        <v>854.5</v>
      </c>
      <c r="D1164" s="116">
        <v>848.97500000000002</v>
      </c>
      <c r="E1164" s="116">
        <v>849.72500000000002</v>
      </c>
      <c r="F1164" s="116">
        <v>1709</v>
      </c>
      <c r="G1164">
        <v>2639</v>
      </c>
      <c r="H1164" s="116"/>
      <c r="I1164" s="116"/>
      <c r="L1164" s="170">
        <v>43720</v>
      </c>
      <c r="M1164" s="116">
        <v>854.65</v>
      </c>
      <c r="N1164" s="116">
        <v>861.8</v>
      </c>
      <c r="O1164" s="116">
        <v>847.5</v>
      </c>
      <c r="P1164" s="116">
        <v>849</v>
      </c>
      <c r="Q1164" s="116">
        <v>1709.3</v>
      </c>
      <c r="R1164">
        <v>93474</v>
      </c>
    </row>
    <row r="1165" spans="1:18" x14ac:dyDescent="0.25">
      <c r="A1165" s="170">
        <v>43721</v>
      </c>
      <c r="B1165" s="116">
        <v>863</v>
      </c>
      <c r="C1165" s="116">
        <v>861.1</v>
      </c>
      <c r="D1165" s="116">
        <v>847.95</v>
      </c>
      <c r="E1165" s="116">
        <v>854.52499999999998</v>
      </c>
      <c r="F1165" s="116">
        <v>1722.2</v>
      </c>
      <c r="G1165">
        <v>3381</v>
      </c>
      <c r="H1165" s="116"/>
      <c r="I1165" s="116"/>
      <c r="L1165" s="170">
        <v>43721</v>
      </c>
      <c r="M1165" s="116">
        <v>860.625</v>
      </c>
      <c r="N1165" s="116">
        <v>863.5</v>
      </c>
      <c r="O1165" s="116">
        <v>848</v>
      </c>
      <c r="P1165" s="116">
        <v>855.57500000000005</v>
      </c>
      <c r="Q1165" s="116">
        <v>1721.25</v>
      </c>
      <c r="R1165">
        <v>73763</v>
      </c>
    </row>
    <row r="1166" spans="1:18" x14ac:dyDescent="0.25">
      <c r="A1166" s="170">
        <v>43724</v>
      </c>
      <c r="B1166" s="116">
        <v>872.22500000000002</v>
      </c>
      <c r="C1166" s="116">
        <v>854.8</v>
      </c>
      <c r="D1166" s="116">
        <v>853.05</v>
      </c>
      <c r="E1166" s="116">
        <v>861.5</v>
      </c>
      <c r="F1166" s="116">
        <v>1709.6</v>
      </c>
      <c r="G1166">
        <v>5518</v>
      </c>
      <c r="H1166" s="116"/>
      <c r="I1166" s="116"/>
      <c r="L1166" s="170">
        <v>43724</v>
      </c>
      <c r="M1166" s="116">
        <v>854.82500000000005</v>
      </c>
      <c r="N1166" s="116">
        <v>871.4</v>
      </c>
      <c r="O1166" s="116">
        <v>852.82500000000005</v>
      </c>
      <c r="P1166" s="116">
        <v>861</v>
      </c>
      <c r="Q1166" s="116">
        <v>1709.65</v>
      </c>
      <c r="R1166">
        <v>148668</v>
      </c>
    </row>
    <row r="1167" spans="1:18" x14ac:dyDescent="0.25">
      <c r="A1167" s="170">
        <v>43725</v>
      </c>
      <c r="B1167" s="116">
        <v>858.05</v>
      </c>
      <c r="C1167" s="116">
        <v>843.07500000000005</v>
      </c>
      <c r="D1167" s="116">
        <v>840.5</v>
      </c>
      <c r="E1167" s="116">
        <v>853.8</v>
      </c>
      <c r="F1167" s="116">
        <v>1686.15</v>
      </c>
      <c r="G1167">
        <v>2027</v>
      </c>
      <c r="H1167" s="116"/>
      <c r="I1167" s="116"/>
      <c r="L1167" s="170">
        <v>43725</v>
      </c>
      <c r="M1167" s="116">
        <v>843.35</v>
      </c>
      <c r="N1167" s="116">
        <v>858.92499999999995</v>
      </c>
      <c r="O1167" s="116">
        <v>840.07500000000005</v>
      </c>
      <c r="P1167" s="116">
        <v>850.6</v>
      </c>
      <c r="Q1167" s="116">
        <v>1686.7</v>
      </c>
      <c r="R1167">
        <v>77956</v>
      </c>
    </row>
    <row r="1168" spans="1:18" x14ac:dyDescent="0.25">
      <c r="A1168" s="170">
        <v>43726</v>
      </c>
      <c r="B1168" s="116">
        <v>859.5</v>
      </c>
      <c r="C1168" s="116">
        <v>835.2</v>
      </c>
      <c r="D1168" s="116">
        <v>834.3</v>
      </c>
      <c r="E1168" s="116">
        <v>859.5</v>
      </c>
      <c r="F1168" s="116">
        <v>1670.4</v>
      </c>
      <c r="G1168">
        <v>1762</v>
      </c>
      <c r="H1168" s="116"/>
      <c r="I1168" s="116"/>
      <c r="L1168" s="170">
        <v>43726</v>
      </c>
      <c r="M1168" s="116">
        <v>835.47500000000002</v>
      </c>
      <c r="N1168" s="116">
        <v>855</v>
      </c>
      <c r="O1168" s="116">
        <v>833.9</v>
      </c>
      <c r="P1168" s="116">
        <v>855</v>
      </c>
      <c r="Q1168" s="116">
        <v>1670.95</v>
      </c>
      <c r="R1168">
        <v>76614</v>
      </c>
    </row>
    <row r="1169" spans="1:18" x14ac:dyDescent="0.25">
      <c r="A1169" s="170">
        <v>43727</v>
      </c>
      <c r="B1169" s="116">
        <v>856.6</v>
      </c>
      <c r="C1169" s="116">
        <v>850.625</v>
      </c>
      <c r="D1169" s="116">
        <v>836.72500000000002</v>
      </c>
      <c r="E1169" s="116">
        <v>839.47500000000002</v>
      </c>
      <c r="F1169" s="116">
        <v>1701.25</v>
      </c>
      <c r="G1169">
        <v>3692</v>
      </c>
      <c r="H1169" s="116"/>
      <c r="I1169" s="116"/>
      <c r="L1169" s="170">
        <v>43727</v>
      </c>
      <c r="M1169" s="116">
        <v>851.05</v>
      </c>
      <c r="N1169" s="116">
        <v>857.1</v>
      </c>
      <c r="O1169" s="116">
        <v>834.02499999999998</v>
      </c>
      <c r="P1169" s="116">
        <v>838</v>
      </c>
      <c r="Q1169" s="116">
        <v>1702.1</v>
      </c>
      <c r="R1169">
        <v>211798</v>
      </c>
    </row>
    <row r="1170" spans="1:18" x14ac:dyDescent="0.25">
      <c r="A1170" s="170">
        <v>43728</v>
      </c>
      <c r="B1170" s="116">
        <v>878.42499999999995</v>
      </c>
      <c r="C1170" s="116">
        <v>863.625</v>
      </c>
      <c r="D1170" s="116">
        <v>849.07500000000005</v>
      </c>
      <c r="E1170" s="116">
        <v>850.77499999999998</v>
      </c>
      <c r="F1170" s="116">
        <v>1727.25</v>
      </c>
      <c r="G1170">
        <v>9999</v>
      </c>
      <c r="H1170" s="116"/>
      <c r="I1170" s="116"/>
      <c r="L1170" s="170">
        <v>43728</v>
      </c>
      <c r="M1170" s="116">
        <v>863.6</v>
      </c>
      <c r="N1170" s="116">
        <v>878.65</v>
      </c>
      <c r="O1170" s="116">
        <v>848.27499999999998</v>
      </c>
      <c r="P1170" s="116">
        <v>853.25</v>
      </c>
      <c r="Q1170" s="116">
        <v>1727.2</v>
      </c>
      <c r="R1170">
        <v>398247</v>
      </c>
    </row>
    <row r="1171" spans="1:18" x14ac:dyDescent="0.25">
      <c r="A1171" s="170">
        <v>43731</v>
      </c>
      <c r="B1171" s="116">
        <v>885.65</v>
      </c>
      <c r="C1171" s="116">
        <v>857.52499999999998</v>
      </c>
      <c r="D1171" s="116">
        <v>845.1</v>
      </c>
      <c r="E1171" s="116">
        <v>863.65</v>
      </c>
      <c r="F1171" s="116">
        <v>1715.05</v>
      </c>
      <c r="G1171">
        <v>17710</v>
      </c>
      <c r="H1171" s="116"/>
      <c r="I1171" s="116"/>
      <c r="L1171" s="170">
        <v>43731</v>
      </c>
      <c r="M1171" s="116">
        <v>856.5</v>
      </c>
      <c r="N1171" s="116">
        <v>887.5</v>
      </c>
      <c r="O1171" s="116">
        <v>845.55</v>
      </c>
      <c r="P1171" s="116">
        <v>860</v>
      </c>
      <c r="Q1171" s="116">
        <v>1713</v>
      </c>
      <c r="R1171">
        <v>306828</v>
      </c>
    </row>
    <row r="1172" spans="1:18" x14ac:dyDescent="0.25">
      <c r="A1172" s="170">
        <v>43732</v>
      </c>
      <c r="B1172" s="116">
        <v>863.35</v>
      </c>
      <c r="C1172" s="116">
        <v>847.625</v>
      </c>
      <c r="D1172" s="116">
        <v>842.6</v>
      </c>
      <c r="E1172" s="116">
        <v>855.57500000000005</v>
      </c>
      <c r="F1172" s="116">
        <v>1695.25</v>
      </c>
      <c r="G1172">
        <v>2793</v>
      </c>
      <c r="H1172" s="116"/>
      <c r="I1172" s="116"/>
      <c r="L1172" s="170">
        <v>43732</v>
      </c>
      <c r="M1172" s="116">
        <v>848.97500000000002</v>
      </c>
      <c r="N1172" s="116">
        <v>863.8</v>
      </c>
      <c r="O1172" s="116">
        <v>840.6</v>
      </c>
      <c r="P1172" s="116">
        <v>853.5</v>
      </c>
      <c r="Q1172" s="116">
        <v>1697.95</v>
      </c>
      <c r="R1172">
        <v>292557</v>
      </c>
    </row>
    <row r="1173" spans="1:18" x14ac:dyDescent="0.25">
      <c r="A1173" s="170">
        <v>43733</v>
      </c>
      <c r="B1173" s="116">
        <v>857.57500000000005</v>
      </c>
      <c r="C1173" s="116">
        <v>851.35</v>
      </c>
      <c r="D1173" s="116">
        <v>842.77499999999998</v>
      </c>
      <c r="E1173" s="116">
        <v>844.57500000000005</v>
      </c>
      <c r="F1173" s="116">
        <v>1702.7</v>
      </c>
      <c r="G1173">
        <v>3089</v>
      </c>
      <c r="H1173" s="116"/>
      <c r="I1173" s="116"/>
      <c r="L1173" s="170">
        <v>43733</v>
      </c>
      <c r="M1173" s="116">
        <v>851.55</v>
      </c>
      <c r="N1173" s="116">
        <v>857.5</v>
      </c>
      <c r="O1173" s="116">
        <v>842.5</v>
      </c>
      <c r="P1173" s="116">
        <v>848.97500000000002</v>
      </c>
      <c r="Q1173" s="116">
        <v>1703.1</v>
      </c>
      <c r="R1173">
        <v>155370</v>
      </c>
    </row>
    <row r="1174" spans="1:18" x14ac:dyDescent="0.25">
      <c r="A1174" s="170">
        <v>43734</v>
      </c>
      <c r="B1174" s="116">
        <v>865</v>
      </c>
      <c r="C1174" s="116">
        <v>850.65</v>
      </c>
      <c r="D1174" s="116">
        <v>846.55</v>
      </c>
      <c r="E1174" s="116">
        <v>856.875</v>
      </c>
      <c r="F1174" s="116">
        <v>1701.3</v>
      </c>
      <c r="G1174">
        <v>3911</v>
      </c>
      <c r="H1174" s="116"/>
      <c r="I1174" s="116"/>
      <c r="L1174" s="170">
        <v>43734</v>
      </c>
      <c r="M1174" s="116">
        <v>849.92499999999995</v>
      </c>
      <c r="N1174" s="116">
        <v>864.95</v>
      </c>
      <c r="O1174" s="116">
        <v>845.75</v>
      </c>
      <c r="P1174" s="116">
        <v>853.95</v>
      </c>
      <c r="Q1174" s="116">
        <v>1699.85</v>
      </c>
      <c r="R1174">
        <v>213353</v>
      </c>
    </row>
    <row r="1175" spans="1:18" x14ac:dyDescent="0.25">
      <c r="A1175" s="170">
        <v>43735</v>
      </c>
      <c r="B1175" s="116">
        <v>850.8</v>
      </c>
      <c r="C1175" s="116">
        <v>845.35</v>
      </c>
      <c r="D1175" s="116">
        <v>839.2</v>
      </c>
      <c r="E1175" s="116">
        <v>845.25</v>
      </c>
      <c r="F1175" s="116">
        <v>1690.7</v>
      </c>
      <c r="G1175">
        <v>1821</v>
      </c>
      <c r="H1175" s="116"/>
      <c r="I1175" s="116"/>
      <c r="L1175" s="170">
        <v>43735</v>
      </c>
      <c r="M1175" s="116">
        <v>846.57500000000005</v>
      </c>
      <c r="N1175" s="116">
        <v>851.4</v>
      </c>
      <c r="O1175" s="116">
        <v>838.05</v>
      </c>
      <c r="P1175" s="116">
        <v>849.92499999999995</v>
      </c>
      <c r="Q1175" s="116">
        <v>1693.15</v>
      </c>
      <c r="R1175">
        <v>87667</v>
      </c>
    </row>
    <row r="1176" spans="1:18" x14ac:dyDescent="0.25">
      <c r="A1176" s="170">
        <v>43738</v>
      </c>
      <c r="B1176" s="116">
        <v>846.85</v>
      </c>
      <c r="C1176" s="116">
        <v>833.2</v>
      </c>
      <c r="D1176" s="116">
        <v>823.22500000000002</v>
      </c>
      <c r="E1176" s="116">
        <v>846.85</v>
      </c>
      <c r="F1176" s="116">
        <v>1666.4</v>
      </c>
      <c r="G1176">
        <v>6682</v>
      </c>
      <c r="H1176" s="116"/>
      <c r="I1176" s="116"/>
      <c r="L1176" s="170">
        <v>43738</v>
      </c>
      <c r="M1176" s="116">
        <v>833.7</v>
      </c>
      <c r="N1176" s="116">
        <v>848.72500000000002</v>
      </c>
      <c r="O1176" s="116">
        <v>822.42499999999995</v>
      </c>
      <c r="P1176" s="116">
        <v>846.57500000000005</v>
      </c>
      <c r="Q1176" s="116">
        <v>1667.4</v>
      </c>
      <c r="R1176">
        <v>221051</v>
      </c>
    </row>
    <row r="1177" spans="1:18" x14ac:dyDescent="0.25">
      <c r="A1177" s="170">
        <v>43739</v>
      </c>
      <c r="B1177" s="116">
        <v>835</v>
      </c>
      <c r="C1177" s="116">
        <v>809.02499999999998</v>
      </c>
      <c r="D1177" s="116">
        <v>805</v>
      </c>
      <c r="E1177" s="116">
        <v>835</v>
      </c>
      <c r="F1177" s="116">
        <v>1618.05</v>
      </c>
      <c r="G1177">
        <v>3632</v>
      </c>
      <c r="H1177" s="116"/>
      <c r="I1177" s="116"/>
      <c r="L1177" s="170">
        <v>43739</v>
      </c>
      <c r="M1177" s="116">
        <v>808.125</v>
      </c>
      <c r="N1177" s="116">
        <v>835</v>
      </c>
      <c r="O1177" s="116">
        <v>803.8</v>
      </c>
      <c r="P1177" s="116">
        <v>834.82500000000005</v>
      </c>
      <c r="Q1177" s="116">
        <v>1616.25</v>
      </c>
      <c r="R1177">
        <v>178754</v>
      </c>
    </row>
    <row r="1178" spans="1:18" x14ac:dyDescent="0.25">
      <c r="A1178" s="170">
        <v>43741</v>
      </c>
      <c r="B1178" s="116">
        <v>814</v>
      </c>
      <c r="C1178" s="116">
        <v>798.65</v>
      </c>
      <c r="D1178" s="116">
        <v>789.25</v>
      </c>
      <c r="E1178" s="116">
        <v>814</v>
      </c>
      <c r="F1178" s="116">
        <v>1597.3</v>
      </c>
      <c r="G1178">
        <v>22410</v>
      </c>
      <c r="H1178" s="116"/>
      <c r="I1178" s="116"/>
      <c r="L1178" s="170">
        <v>43741</v>
      </c>
      <c r="M1178" s="116">
        <v>799.42499999999995</v>
      </c>
      <c r="N1178" s="116">
        <v>806.42499999999995</v>
      </c>
      <c r="O1178" s="116">
        <v>789</v>
      </c>
      <c r="P1178" s="116">
        <v>802.875</v>
      </c>
      <c r="Q1178" s="116">
        <v>1598.85</v>
      </c>
      <c r="R1178">
        <v>234100</v>
      </c>
    </row>
    <row r="1179" spans="1:18" x14ac:dyDescent="0.25">
      <c r="A1179" s="170">
        <v>43742</v>
      </c>
      <c r="B1179" s="116">
        <v>829.07500000000005</v>
      </c>
      <c r="C1179" s="116">
        <v>815.125</v>
      </c>
      <c r="D1179" s="116">
        <v>801.55</v>
      </c>
      <c r="E1179" s="116">
        <v>801.55</v>
      </c>
      <c r="F1179" s="116">
        <v>1630.25</v>
      </c>
      <c r="G1179">
        <v>4826</v>
      </c>
      <c r="H1179" s="116"/>
      <c r="I1179" s="116"/>
      <c r="L1179" s="170">
        <v>43742</v>
      </c>
      <c r="M1179" s="116">
        <v>815.27499999999998</v>
      </c>
      <c r="N1179" s="116">
        <v>829.22500000000002</v>
      </c>
      <c r="O1179" s="116">
        <v>799.02499999999998</v>
      </c>
      <c r="P1179" s="116">
        <v>799.02499999999998</v>
      </c>
      <c r="Q1179" s="116">
        <v>1630.55</v>
      </c>
      <c r="R1179">
        <v>250120</v>
      </c>
    </row>
    <row r="1180" spans="1:18" x14ac:dyDescent="0.25">
      <c r="A1180" s="170">
        <v>43745</v>
      </c>
      <c r="B1180" s="116">
        <v>822.05</v>
      </c>
      <c r="C1180" s="116">
        <v>806.8</v>
      </c>
      <c r="D1180" s="116">
        <v>791.02499999999998</v>
      </c>
      <c r="E1180" s="116">
        <v>812.5</v>
      </c>
      <c r="F1180" s="116">
        <v>1613.6</v>
      </c>
      <c r="G1180">
        <v>13182</v>
      </c>
      <c r="H1180" s="116"/>
      <c r="I1180" s="116"/>
      <c r="L1180" s="170">
        <v>43745</v>
      </c>
      <c r="M1180" s="116">
        <v>806.82500000000005</v>
      </c>
      <c r="N1180" s="116">
        <v>822.5</v>
      </c>
      <c r="O1180" s="116">
        <v>790.82500000000005</v>
      </c>
      <c r="P1180" s="116">
        <v>812.375</v>
      </c>
      <c r="Q1180" s="116">
        <v>1613.65</v>
      </c>
      <c r="R1180">
        <v>242688</v>
      </c>
    </row>
    <row r="1181" spans="1:18" x14ac:dyDescent="0.25">
      <c r="A1181" s="170">
        <v>43747</v>
      </c>
      <c r="B1181" s="116">
        <v>835.17499999999995</v>
      </c>
      <c r="C1181" s="116">
        <v>833.07500000000005</v>
      </c>
      <c r="D1181" s="116">
        <v>804.5</v>
      </c>
      <c r="E1181" s="116">
        <v>804.5</v>
      </c>
      <c r="F1181" s="116">
        <v>1666.15</v>
      </c>
      <c r="G1181">
        <v>3672</v>
      </c>
      <c r="H1181" s="116"/>
      <c r="I1181" s="116"/>
      <c r="L1181" s="170">
        <v>43747</v>
      </c>
      <c r="M1181" s="116">
        <v>833.1</v>
      </c>
      <c r="N1181" s="116">
        <v>835.5</v>
      </c>
      <c r="O1181" s="116">
        <v>804.15</v>
      </c>
      <c r="P1181" s="116">
        <v>804.15</v>
      </c>
      <c r="Q1181" s="116">
        <v>1666.2</v>
      </c>
      <c r="R1181">
        <v>110485</v>
      </c>
    </row>
    <row r="1182" spans="1:18" x14ac:dyDescent="0.25">
      <c r="A1182" s="170">
        <v>43748</v>
      </c>
      <c r="B1182" s="116">
        <v>854.47500000000002</v>
      </c>
      <c r="C1182" s="116">
        <v>845.05</v>
      </c>
      <c r="D1182" s="116">
        <v>777.32500000000005</v>
      </c>
      <c r="E1182" s="116">
        <v>790</v>
      </c>
      <c r="F1182" s="116">
        <v>1690.1</v>
      </c>
      <c r="G1182">
        <v>77195</v>
      </c>
      <c r="H1182" s="116"/>
      <c r="I1182" s="116"/>
      <c r="L1182" s="170">
        <v>43748</v>
      </c>
      <c r="M1182" s="116">
        <v>844.125</v>
      </c>
      <c r="N1182" s="116">
        <v>852.52499999999998</v>
      </c>
      <c r="O1182" s="116">
        <v>777.5</v>
      </c>
      <c r="P1182" s="116">
        <v>782.5</v>
      </c>
      <c r="Q1182" s="116">
        <v>1688.25</v>
      </c>
      <c r="R1182">
        <v>1783778</v>
      </c>
    </row>
    <row r="1183" spans="1:18" x14ac:dyDescent="0.25">
      <c r="A1183" s="170">
        <v>43749</v>
      </c>
      <c r="B1183" s="116">
        <v>845.05</v>
      </c>
      <c r="C1183" s="116">
        <v>821.85</v>
      </c>
      <c r="D1183" s="116">
        <v>819.22500000000002</v>
      </c>
      <c r="E1183" s="116">
        <v>845.05</v>
      </c>
      <c r="F1183" s="116">
        <v>1643.7</v>
      </c>
      <c r="G1183">
        <v>8191</v>
      </c>
      <c r="H1183" s="116"/>
      <c r="I1183" s="116"/>
      <c r="L1183" s="170">
        <v>43749</v>
      </c>
      <c r="M1183" s="116">
        <v>822.17499999999995</v>
      </c>
      <c r="N1183" s="116">
        <v>844.95</v>
      </c>
      <c r="O1183" s="116">
        <v>818.5</v>
      </c>
      <c r="P1183" s="116">
        <v>844.95</v>
      </c>
      <c r="Q1183" s="116">
        <v>1644.35</v>
      </c>
      <c r="R1183">
        <v>330198</v>
      </c>
    </row>
    <row r="1184" spans="1:18" x14ac:dyDescent="0.25">
      <c r="A1184" s="170">
        <v>43752</v>
      </c>
      <c r="B1184" s="116">
        <v>852.125</v>
      </c>
      <c r="C1184" s="116">
        <v>849.1</v>
      </c>
      <c r="D1184" s="116">
        <v>819.1</v>
      </c>
      <c r="E1184" s="116">
        <v>819.1</v>
      </c>
      <c r="F1184" s="116">
        <v>1698.2</v>
      </c>
      <c r="G1184">
        <v>5574</v>
      </c>
      <c r="H1184" s="116"/>
      <c r="I1184" s="116"/>
      <c r="L1184" s="170">
        <v>43752</v>
      </c>
      <c r="M1184" s="116">
        <v>848.97500000000002</v>
      </c>
      <c r="N1184" s="116">
        <v>852.05</v>
      </c>
      <c r="O1184" s="116">
        <v>815.8</v>
      </c>
      <c r="P1184" s="116">
        <v>815.8</v>
      </c>
      <c r="Q1184" s="116">
        <v>1697.95</v>
      </c>
      <c r="R1184">
        <v>366908</v>
      </c>
    </row>
    <row r="1185" spans="1:18" x14ac:dyDescent="0.25">
      <c r="A1185" s="170">
        <v>43753</v>
      </c>
      <c r="B1185" s="116">
        <v>870.5</v>
      </c>
      <c r="C1185" s="116">
        <v>849.6</v>
      </c>
      <c r="D1185" s="116">
        <v>840.625</v>
      </c>
      <c r="E1185" s="116">
        <v>851</v>
      </c>
      <c r="F1185" s="116">
        <v>1699.2</v>
      </c>
      <c r="G1185">
        <v>12010</v>
      </c>
      <c r="H1185" s="116"/>
      <c r="I1185" s="116"/>
      <c r="L1185" s="170">
        <v>43753</v>
      </c>
      <c r="M1185" s="116">
        <v>849.92499999999995</v>
      </c>
      <c r="N1185" s="116">
        <v>870.97500000000002</v>
      </c>
      <c r="O1185" s="116">
        <v>840</v>
      </c>
      <c r="P1185" s="116">
        <v>847.77499999999998</v>
      </c>
      <c r="Q1185" s="116">
        <v>1699.85</v>
      </c>
      <c r="R1185">
        <v>505473</v>
      </c>
    </row>
    <row r="1186" spans="1:18" x14ac:dyDescent="0.25">
      <c r="A1186" s="170">
        <v>43754</v>
      </c>
      <c r="B1186" s="116">
        <v>843.875</v>
      </c>
      <c r="C1186" s="116">
        <v>820.97500000000002</v>
      </c>
      <c r="D1186" s="116">
        <v>816.1</v>
      </c>
      <c r="E1186" s="116">
        <v>830.07500000000005</v>
      </c>
      <c r="F1186" s="116">
        <v>1641.95</v>
      </c>
      <c r="G1186">
        <v>16856</v>
      </c>
      <c r="H1186" s="116"/>
      <c r="I1186" s="116"/>
      <c r="L1186" s="170">
        <v>43754</v>
      </c>
      <c r="M1186" s="116">
        <v>821.02499999999998</v>
      </c>
      <c r="N1186" s="116">
        <v>844.92499999999995</v>
      </c>
      <c r="O1186" s="116">
        <v>816</v>
      </c>
      <c r="P1186" s="116">
        <v>834.85</v>
      </c>
      <c r="Q1186" s="116">
        <v>1642.05</v>
      </c>
      <c r="R1186">
        <v>637820</v>
      </c>
    </row>
    <row r="1187" spans="1:18" x14ac:dyDescent="0.25">
      <c r="A1187" s="170">
        <v>43755</v>
      </c>
      <c r="B1187" s="116">
        <v>849.5</v>
      </c>
      <c r="C1187" s="116">
        <v>847.7</v>
      </c>
      <c r="D1187" s="116">
        <v>815.9</v>
      </c>
      <c r="E1187" s="116">
        <v>817.8</v>
      </c>
      <c r="F1187" s="116">
        <v>1695.4</v>
      </c>
      <c r="G1187">
        <v>5779</v>
      </c>
      <c r="H1187" s="116"/>
      <c r="I1187" s="116"/>
      <c r="L1187" s="170">
        <v>43755</v>
      </c>
      <c r="M1187" s="116">
        <v>847.25</v>
      </c>
      <c r="N1187" s="116">
        <v>849.57500000000005</v>
      </c>
      <c r="O1187" s="116">
        <v>813.65</v>
      </c>
      <c r="P1187" s="116">
        <v>817.5</v>
      </c>
      <c r="Q1187" s="116">
        <v>1694.5</v>
      </c>
      <c r="R1187">
        <v>316291</v>
      </c>
    </row>
    <row r="1188" spans="1:18" x14ac:dyDescent="0.25">
      <c r="A1188" s="170">
        <v>43756</v>
      </c>
      <c r="B1188" s="116">
        <v>860.85</v>
      </c>
      <c r="C1188" s="116">
        <v>841.125</v>
      </c>
      <c r="D1188" s="116">
        <v>830.75</v>
      </c>
      <c r="E1188" s="116">
        <v>830.75</v>
      </c>
      <c r="F1188" s="116">
        <v>1682.25</v>
      </c>
      <c r="G1188">
        <v>10085</v>
      </c>
      <c r="H1188" s="116"/>
      <c r="I1188" s="116"/>
      <c r="L1188" s="170">
        <v>43756</v>
      </c>
      <c r="M1188" s="116">
        <v>842.32500000000005</v>
      </c>
      <c r="N1188" s="116">
        <v>847.52499999999998</v>
      </c>
      <c r="O1188" s="116">
        <v>833</v>
      </c>
      <c r="P1188" s="116">
        <v>838.7</v>
      </c>
      <c r="Q1188" s="116">
        <v>1684.65</v>
      </c>
      <c r="R1188">
        <v>544212</v>
      </c>
    </row>
    <row r="1189" spans="1:18" x14ac:dyDescent="0.25">
      <c r="A1189" s="170">
        <v>43760</v>
      </c>
      <c r="B1189" s="116">
        <v>843.55</v>
      </c>
      <c r="C1189" s="116">
        <v>834.55</v>
      </c>
      <c r="D1189" s="116">
        <v>820.45</v>
      </c>
      <c r="E1189" s="116">
        <v>830</v>
      </c>
      <c r="F1189" s="116">
        <v>1669.1</v>
      </c>
      <c r="G1189">
        <v>7278</v>
      </c>
      <c r="H1189" s="116"/>
      <c r="I1189" s="116"/>
      <c r="L1189" s="170">
        <v>43760</v>
      </c>
      <c r="M1189" s="116">
        <v>835</v>
      </c>
      <c r="N1189" s="116">
        <v>844.5</v>
      </c>
      <c r="O1189" s="116">
        <v>819</v>
      </c>
      <c r="P1189" s="116">
        <v>819</v>
      </c>
      <c r="Q1189" s="116">
        <v>1670</v>
      </c>
      <c r="R1189">
        <v>377383</v>
      </c>
    </row>
    <row r="1190" spans="1:18" x14ac:dyDescent="0.25">
      <c r="A1190" s="170">
        <v>43761</v>
      </c>
      <c r="B1190" s="116">
        <v>842.95</v>
      </c>
      <c r="C1190" s="116">
        <v>840.35</v>
      </c>
      <c r="D1190" s="116">
        <v>824.97500000000002</v>
      </c>
      <c r="E1190" s="116">
        <v>841.5</v>
      </c>
      <c r="F1190" s="116">
        <v>1680.7</v>
      </c>
      <c r="G1190">
        <v>3690</v>
      </c>
      <c r="H1190" s="116"/>
      <c r="I1190" s="116"/>
      <c r="L1190" s="170">
        <v>43761</v>
      </c>
      <c r="M1190" s="116">
        <v>840.125</v>
      </c>
      <c r="N1190" s="116">
        <v>845.72500000000002</v>
      </c>
      <c r="O1190" s="116">
        <v>824.52499999999998</v>
      </c>
      <c r="P1190" s="116">
        <v>840.22500000000002</v>
      </c>
      <c r="Q1190" s="116">
        <v>1680.25</v>
      </c>
      <c r="R1190">
        <v>241823</v>
      </c>
    </row>
    <row r="1191" spans="1:18" x14ac:dyDescent="0.25">
      <c r="A1191" s="170">
        <v>43762</v>
      </c>
      <c r="B1191" s="116">
        <v>898.5</v>
      </c>
      <c r="C1191" s="116">
        <v>883.47500000000002</v>
      </c>
      <c r="D1191" s="116">
        <v>842.52499999999998</v>
      </c>
      <c r="E1191" s="116">
        <v>842.52499999999998</v>
      </c>
      <c r="F1191" s="116">
        <v>1766.95</v>
      </c>
      <c r="G1191">
        <v>55965</v>
      </c>
      <c r="H1191" s="116"/>
      <c r="I1191" s="116"/>
      <c r="L1191" s="170">
        <v>43762</v>
      </c>
      <c r="M1191" s="116">
        <v>883.875</v>
      </c>
      <c r="N1191" s="116">
        <v>891</v>
      </c>
      <c r="O1191" s="116">
        <v>843.7</v>
      </c>
      <c r="P1191" s="116">
        <v>845.375</v>
      </c>
      <c r="Q1191" s="116">
        <v>1767.75</v>
      </c>
      <c r="R1191">
        <v>1106617</v>
      </c>
    </row>
    <row r="1192" spans="1:18" x14ac:dyDescent="0.25">
      <c r="A1192" s="170">
        <v>43763</v>
      </c>
      <c r="B1192" s="116">
        <v>883.5</v>
      </c>
      <c r="C1192" s="116">
        <v>871.07500000000005</v>
      </c>
      <c r="D1192" s="116">
        <v>867.42499999999995</v>
      </c>
      <c r="E1192" s="116">
        <v>883</v>
      </c>
      <c r="F1192" s="116">
        <v>1742.15</v>
      </c>
      <c r="G1192">
        <v>8461</v>
      </c>
      <c r="H1192" s="116"/>
      <c r="I1192" s="116"/>
      <c r="L1192" s="170">
        <v>43763</v>
      </c>
      <c r="M1192" s="116">
        <v>871.9</v>
      </c>
      <c r="N1192" s="116">
        <v>883.875</v>
      </c>
      <c r="O1192" s="116">
        <v>866.97500000000002</v>
      </c>
      <c r="P1192" s="116">
        <v>883.875</v>
      </c>
      <c r="Q1192" s="116">
        <v>1743.8</v>
      </c>
      <c r="R1192">
        <v>209890</v>
      </c>
    </row>
    <row r="1193" spans="1:18" x14ac:dyDescent="0.25">
      <c r="A1193" s="170">
        <v>43765</v>
      </c>
      <c r="B1193" s="116">
        <v>877.2</v>
      </c>
      <c r="C1193" s="116">
        <v>871.2</v>
      </c>
      <c r="D1193" s="116">
        <v>868.55</v>
      </c>
      <c r="E1193" s="116">
        <v>876.1</v>
      </c>
      <c r="F1193" s="116">
        <v>1742.4</v>
      </c>
      <c r="G1193">
        <v>723</v>
      </c>
      <c r="H1193" s="116"/>
      <c r="I1193" s="116"/>
      <c r="L1193" s="170">
        <v>43765</v>
      </c>
      <c r="M1193" s="116">
        <v>871.67499999999995</v>
      </c>
      <c r="N1193" s="116">
        <v>884</v>
      </c>
      <c r="O1193" s="116">
        <v>867.5</v>
      </c>
      <c r="P1193" s="116">
        <v>872.5</v>
      </c>
      <c r="Q1193" s="116">
        <v>1743.35</v>
      </c>
      <c r="R1193">
        <v>19686</v>
      </c>
    </row>
    <row r="1194" spans="1:18" x14ac:dyDescent="0.25">
      <c r="A1194" s="170">
        <v>43767</v>
      </c>
      <c r="B1194" s="116">
        <v>903.75</v>
      </c>
      <c r="C1194" s="116">
        <v>897.5</v>
      </c>
      <c r="D1194" s="116">
        <v>865.07500000000005</v>
      </c>
      <c r="E1194" s="116">
        <v>870.22500000000002</v>
      </c>
      <c r="F1194" s="116">
        <v>1795</v>
      </c>
      <c r="G1194">
        <v>7845</v>
      </c>
      <c r="H1194" s="116"/>
      <c r="I1194" s="116"/>
      <c r="L1194" s="170">
        <v>43767</v>
      </c>
      <c r="M1194" s="116">
        <v>899.42499999999995</v>
      </c>
      <c r="N1194" s="116">
        <v>903</v>
      </c>
      <c r="O1194" s="116">
        <v>861.65</v>
      </c>
      <c r="P1194" s="116">
        <v>870</v>
      </c>
      <c r="Q1194" s="116">
        <v>1798.85</v>
      </c>
      <c r="R1194">
        <v>307105</v>
      </c>
    </row>
    <row r="1195" spans="1:18" x14ac:dyDescent="0.25">
      <c r="A1195" s="170">
        <v>43768</v>
      </c>
      <c r="B1195" s="116">
        <v>907.5</v>
      </c>
      <c r="C1195" s="116">
        <v>882.5</v>
      </c>
      <c r="D1195" s="116">
        <v>876.85</v>
      </c>
      <c r="E1195" s="116">
        <v>907.5</v>
      </c>
      <c r="F1195" s="116">
        <v>1765</v>
      </c>
      <c r="G1195">
        <v>4081</v>
      </c>
      <c r="H1195" s="116"/>
      <c r="I1195" s="116"/>
      <c r="L1195" s="170">
        <v>43768</v>
      </c>
      <c r="M1195" s="116">
        <v>882.7</v>
      </c>
      <c r="N1195" s="116">
        <v>904.92499999999995</v>
      </c>
      <c r="O1195" s="116">
        <v>876.25</v>
      </c>
      <c r="P1195" s="116">
        <v>896</v>
      </c>
      <c r="Q1195" s="116">
        <v>1765.4</v>
      </c>
      <c r="R1195">
        <v>197325</v>
      </c>
    </row>
    <row r="1196" spans="1:18" x14ac:dyDescent="0.25">
      <c r="A1196" s="170">
        <v>43769</v>
      </c>
      <c r="B1196" s="116">
        <v>898.8</v>
      </c>
      <c r="C1196" s="116">
        <v>887.5</v>
      </c>
      <c r="D1196" s="116">
        <v>881.5</v>
      </c>
      <c r="E1196" s="116">
        <v>888.5</v>
      </c>
      <c r="F1196" s="116">
        <v>1775</v>
      </c>
      <c r="G1196">
        <v>3070</v>
      </c>
      <c r="H1196" s="116"/>
      <c r="I1196" s="116"/>
      <c r="L1196" s="170">
        <v>43769</v>
      </c>
      <c r="M1196" s="116">
        <v>888.15</v>
      </c>
      <c r="N1196" s="116">
        <v>899</v>
      </c>
      <c r="O1196" s="116">
        <v>881.05</v>
      </c>
      <c r="P1196" s="116">
        <v>881.05</v>
      </c>
      <c r="Q1196" s="116">
        <v>1776.3</v>
      </c>
      <c r="R1196">
        <v>212376</v>
      </c>
    </row>
    <row r="1197" spans="1:18" x14ac:dyDescent="0.25">
      <c r="A1197" s="170">
        <v>43770</v>
      </c>
      <c r="B1197" s="116">
        <v>908.9</v>
      </c>
      <c r="C1197" s="116">
        <v>900.45</v>
      </c>
      <c r="D1197" s="116">
        <v>888.5</v>
      </c>
      <c r="E1197" s="116">
        <v>888.5</v>
      </c>
      <c r="F1197" s="116">
        <v>1800.9</v>
      </c>
      <c r="G1197">
        <v>3235</v>
      </c>
      <c r="H1197" s="116"/>
      <c r="I1197" s="116"/>
      <c r="L1197" s="170">
        <v>43770</v>
      </c>
      <c r="M1197" s="116">
        <v>900.95</v>
      </c>
      <c r="N1197" s="116">
        <v>909.45</v>
      </c>
      <c r="O1197" s="116">
        <v>889</v>
      </c>
      <c r="P1197" s="116">
        <v>893</v>
      </c>
      <c r="Q1197" s="116">
        <v>1801.9</v>
      </c>
      <c r="R1197">
        <v>189695</v>
      </c>
    </row>
    <row r="1198" spans="1:18" x14ac:dyDescent="0.25">
      <c r="A1198" s="170">
        <v>43773</v>
      </c>
      <c r="B1198" s="116">
        <v>916.05</v>
      </c>
      <c r="C1198" s="116">
        <v>904.57500000000005</v>
      </c>
      <c r="D1198" s="116">
        <v>899.92499999999995</v>
      </c>
      <c r="E1198" s="116">
        <v>902.5</v>
      </c>
      <c r="F1198" s="116">
        <v>1809.15</v>
      </c>
      <c r="G1198">
        <v>5595</v>
      </c>
      <c r="H1198" s="116"/>
      <c r="I1198" s="116"/>
      <c r="L1198" s="170">
        <v>43773</v>
      </c>
      <c r="M1198" s="116">
        <v>905.35</v>
      </c>
      <c r="N1198" s="116">
        <v>916.75</v>
      </c>
      <c r="O1198" s="116">
        <v>899.42499999999995</v>
      </c>
      <c r="P1198" s="116">
        <v>900.92499999999995</v>
      </c>
      <c r="Q1198" s="116">
        <v>1810.7</v>
      </c>
      <c r="R1198">
        <v>189016</v>
      </c>
    </row>
    <row r="1199" spans="1:18" x14ac:dyDescent="0.25">
      <c r="A1199" s="170">
        <v>43774</v>
      </c>
      <c r="B1199" s="116">
        <v>914.5</v>
      </c>
      <c r="C1199" s="116">
        <v>895.72500000000002</v>
      </c>
      <c r="D1199" s="116">
        <v>894</v>
      </c>
      <c r="E1199" s="116">
        <v>909</v>
      </c>
      <c r="F1199" s="116">
        <v>1791.45</v>
      </c>
      <c r="G1199">
        <v>1984</v>
      </c>
      <c r="H1199" s="116"/>
      <c r="I1199" s="116"/>
      <c r="L1199" s="170">
        <v>43774</v>
      </c>
      <c r="M1199" s="116">
        <v>895.82500000000005</v>
      </c>
      <c r="N1199" s="116">
        <v>914.95</v>
      </c>
      <c r="O1199" s="116">
        <v>893.75</v>
      </c>
      <c r="P1199" s="116">
        <v>909</v>
      </c>
      <c r="Q1199" s="116">
        <v>1791.65</v>
      </c>
      <c r="R1199">
        <v>121289</v>
      </c>
    </row>
    <row r="1200" spans="1:18" x14ac:dyDescent="0.25">
      <c r="A1200" s="170">
        <v>43775</v>
      </c>
      <c r="B1200" s="116">
        <v>912.27499999999998</v>
      </c>
      <c r="C1200" s="116">
        <v>907.25</v>
      </c>
      <c r="D1200" s="116">
        <v>899.5</v>
      </c>
      <c r="E1200" s="116">
        <v>899.5</v>
      </c>
      <c r="F1200" s="116">
        <v>1814.5</v>
      </c>
      <c r="G1200">
        <v>5366</v>
      </c>
      <c r="H1200" s="116"/>
      <c r="I1200" s="116"/>
      <c r="L1200" s="170">
        <v>43775</v>
      </c>
      <c r="M1200" s="116">
        <v>907.9</v>
      </c>
      <c r="N1200" s="116">
        <v>917.5</v>
      </c>
      <c r="O1200" s="116">
        <v>901</v>
      </c>
      <c r="P1200" s="116">
        <v>901.4</v>
      </c>
      <c r="Q1200" s="116">
        <v>1815.8</v>
      </c>
      <c r="R1200">
        <v>106179</v>
      </c>
    </row>
    <row r="1201" spans="1:18" x14ac:dyDescent="0.25">
      <c r="A1201" s="170">
        <v>43776</v>
      </c>
      <c r="B1201" s="116">
        <v>912.5</v>
      </c>
      <c r="C1201" s="116">
        <v>909.52499999999998</v>
      </c>
      <c r="D1201" s="116">
        <v>902.2</v>
      </c>
      <c r="E1201" s="116">
        <v>908</v>
      </c>
      <c r="F1201" s="116">
        <v>1819.05</v>
      </c>
      <c r="G1201">
        <v>2638</v>
      </c>
      <c r="H1201" s="116"/>
      <c r="I1201" s="116"/>
      <c r="L1201" s="170">
        <v>43776</v>
      </c>
      <c r="M1201" s="116">
        <v>909.65</v>
      </c>
      <c r="N1201" s="116">
        <v>912.5</v>
      </c>
      <c r="O1201" s="116">
        <v>902.3</v>
      </c>
      <c r="P1201" s="116">
        <v>910</v>
      </c>
      <c r="Q1201" s="116">
        <v>1819.3</v>
      </c>
      <c r="R1201">
        <v>55977</v>
      </c>
    </row>
    <row r="1202" spans="1:18" x14ac:dyDescent="0.25">
      <c r="A1202" s="170">
        <v>43777</v>
      </c>
      <c r="B1202" s="116">
        <v>917.375</v>
      </c>
      <c r="C1202" s="116">
        <v>907.47500000000002</v>
      </c>
      <c r="D1202" s="116">
        <v>904</v>
      </c>
      <c r="E1202" s="116">
        <v>909</v>
      </c>
      <c r="F1202" s="116">
        <v>1814.95</v>
      </c>
      <c r="G1202">
        <v>2050</v>
      </c>
      <c r="H1202" s="116"/>
      <c r="I1202" s="116"/>
      <c r="L1202" s="170">
        <v>43777</v>
      </c>
      <c r="M1202" s="116">
        <v>907.32500000000005</v>
      </c>
      <c r="N1202" s="116">
        <v>917.45</v>
      </c>
      <c r="O1202" s="116">
        <v>900</v>
      </c>
      <c r="P1202" s="116">
        <v>909.95</v>
      </c>
      <c r="Q1202" s="116">
        <v>1814.65</v>
      </c>
      <c r="R1202">
        <v>62630</v>
      </c>
    </row>
    <row r="1203" spans="1:18" x14ac:dyDescent="0.25">
      <c r="A1203" s="170">
        <v>43780</v>
      </c>
      <c r="B1203" s="116">
        <v>908.15</v>
      </c>
      <c r="C1203" s="116">
        <v>901.35</v>
      </c>
      <c r="D1203" s="116">
        <v>895.47500000000002</v>
      </c>
      <c r="E1203" s="116">
        <v>907</v>
      </c>
      <c r="F1203" s="116">
        <v>1802.7</v>
      </c>
      <c r="G1203">
        <v>4152</v>
      </c>
      <c r="H1203" s="116"/>
      <c r="I1203" s="116"/>
      <c r="L1203" s="170">
        <v>43780</v>
      </c>
      <c r="M1203" s="116">
        <v>901.72500000000002</v>
      </c>
      <c r="N1203" s="116">
        <v>909.97500000000002</v>
      </c>
      <c r="O1203" s="116">
        <v>894.52499999999998</v>
      </c>
      <c r="P1203" s="116">
        <v>907.5</v>
      </c>
      <c r="Q1203" s="116">
        <v>1803.45</v>
      </c>
      <c r="R1203">
        <v>53088</v>
      </c>
    </row>
    <row r="1204" spans="1:18" x14ac:dyDescent="0.25">
      <c r="A1204" s="170">
        <v>43782</v>
      </c>
      <c r="B1204" s="116">
        <v>906.8</v>
      </c>
      <c r="C1204" s="116">
        <v>885.92499999999995</v>
      </c>
      <c r="D1204" s="116">
        <v>884.1</v>
      </c>
      <c r="E1204" s="116">
        <v>900</v>
      </c>
      <c r="F1204" s="116">
        <v>1771.85</v>
      </c>
      <c r="G1204">
        <v>2195</v>
      </c>
      <c r="H1204" s="116"/>
      <c r="I1204" s="116"/>
      <c r="L1204" s="170">
        <v>43782</v>
      </c>
      <c r="M1204" s="116">
        <v>886.25</v>
      </c>
      <c r="N1204" s="116">
        <v>907</v>
      </c>
      <c r="O1204" s="116">
        <v>882.57500000000005</v>
      </c>
      <c r="P1204" s="116">
        <v>901.55</v>
      </c>
      <c r="Q1204" s="116">
        <v>1772.5</v>
      </c>
      <c r="R1204">
        <v>67585</v>
      </c>
    </row>
    <row r="1205" spans="1:18" x14ac:dyDescent="0.25">
      <c r="A1205" s="170">
        <v>43783</v>
      </c>
      <c r="B1205" s="116">
        <v>893.1</v>
      </c>
      <c r="C1205" s="116">
        <v>885.07500000000005</v>
      </c>
      <c r="D1205" s="116">
        <v>878.625</v>
      </c>
      <c r="E1205" s="116">
        <v>886</v>
      </c>
      <c r="F1205" s="116">
        <v>1770.15</v>
      </c>
      <c r="G1205">
        <v>2518</v>
      </c>
      <c r="H1205" s="116"/>
      <c r="I1205" s="116"/>
      <c r="L1205" s="170">
        <v>43783</v>
      </c>
      <c r="M1205" s="116">
        <v>885.77499999999998</v>
      </c>
      <c r="N1205" s="116">
        <v>893.72500000000002</v>
      </c>
      <c r="O1205" s="116">
        <v>878</v>
      </c>
      <c r="P1205" s="116">
        <v>878</v>
      </c>
      <c r="Q1205" s="116">
        <v>1771.55</v>
      </c>
      <c r="R1205">
        <v>70054</v>
      </c>
    </row>
    <row r="1206" spans="1:18" x14ac:dyDescent="0.25">
      <c r="A1206" s="170">
        <v>43784</v>
      </c>
      <c r="B1206" s="116">
        <v>898.05</v>
      </c>
      <c r="C1206" s="116">
        <v>891.05</v>
      </c>
      <c r="D1206" s="116">
        <v>882.5</v>
      </c>
      <c r="E1206" s="116">
        <v>885.5</v>
      </c>
      <c r="F1206" s="116">
        <v>1782.1</v>
      </c>
      <c r="G1206">
        <v>2402</v>
      </c>
      <c r="H1206" s="116"/>
      <c r="I1206" s="116"/>
      <c r="L1206" s="170">
        <v>43784</v>
      </c>
      <c r="M1206" s="116">
        <v>891.07500000000005</v>
      </c>
      <c r="N1206" s="116">
        <v>898.8</v>
      </c>
      <c r="O1206" s="116">
        <v>882.07500000000005</v>
      </c>
      <c r="P1206" s="116">
        <v>887.1</v>
      </c>
      <c r="Q1206" s="116">
        <v>1782.15</v>
      </c>
      <c r="R1206">
        <v>100024</v>
      </c>
    </row>
    <row r="1207" spans="1:18" x14ac:dyDescent="0.25">
      <c r="A1207" s="170">
        <v>43787</v>
      </c>
      <c r="B1207" s="116">
        <v>902.4</v>
      </c>
      <c r="C1207" s="116">
        <v>889.3</v>
      </c>
      <c r="D1207" s="116">
        <v>886.75</v>
      </c>
      <c r="E1207" s="116">
        <v>893.47500000000002</v>
      </c>
      <c r="F1207" s="116">
        <v>1778.6</v>
      </c>
      <c r="G1207">
        <v>11076</v>
      </c>
      <c r="H1207" s="116"/>
      <c r="I1207" s="116"/>
      <c r="L1207" s="170">
        <v>43787</v>
      </c>
      <c r="M1207" s="116">
        <v>889.6</v>
      </c>
      <c r="N1207" s="116">
        <v>902.4</v>
      </c>
      <c r="O1207" s="116">
        <v>886.02499999999998</v>
      </c>
      <c r="P1207" s="116">
        <v>891.1</v>
      </c>
      <c r="Q1207" s="116">
        <v>1779.2</v>
      </c>
      <c r="R1207">
        <v>112195</v>
      </c>
    </row>
    <row r="1208" spans="1:18" x14ac:dyDescent="0.25">
      <c r="A1208" s="170">
        <v>43788</v>
      </c>
      <c r="B1208" s="116">
        <v>897.2</v>
      </c>
      <c r="C1208" s="116">
        <v>879.45</v>
      </c>
      <c r="D1208" s="116">
        <v>877.72500000000002</v>
      </c>
      <c r="E1208" s="116">
        <v>893.5</v>
      </c>
      <c r="F1208" s="116">
        <v>1758.9</v>
      </c>
      <c r="G1208">
        <v>1146</v>
      </c>
      <c r="H1208" s="116"/>
      <c r="I1208" s="116"/>
      <c r="L1208" s="170">
        <v>43788</v>
      </c>
      <c r="M1208" s="116">
        <v>879.52499999999998</v>
      </c>
      <c r="N1208" s="116">
        <v>901.32500000000005</v>
      </c>
      <c r="O1208" s="116">
        <v>877.5</v>
      </c>
      <c r="P1208" s="116">
        <v>889.6</v>
      </c>
      <c r="Q1208" s="116">
        <v>1759.05</v>
      </c>
      <c r="R1208">
        <v>95951</v>
      </c>
    </row>
    <row r="1209" spans="1:18" x14ac:dyDescent="0.25">
      <c r="A1209" s="170">
        <v>43789</v>
      </c>
      <c r="B1209" s="116">
        <v>888.125</v>
      </c>
      <c r="C1209" s="116">
        <v>870.72500000000002</v>
      </c>
      <c r="D1209" s="116">
        <v>860.65</v>
      </c>
      <c r="E1209" s="116">
        <v>877.5</v>
      </c>
      <c r="F1209" s="116">
        <v>1741.45</v>
      </c>
      <c r="G1209">
        <v>13703</v>
      </c>
      <c r="H1209" s="116"/>
      <c r="I1209" s="116"/>
      <c r="L1209" s="170">
        <v>43789</v>
      </c>
      <c r="M1209" s="116">
        <v>871.1</v>
      </c>
      <c r="N1209" s="116">
        <v>889.125</v>
      </c>
      <c r="O1209" s="116">
        <v>859.7</v>
      </c>
      <c r="P1209" s="116">
        <v>883.25</v>
      </c>
      <c r="Q1209" s="116">
        <v>1742.2</v>
      </c>
      <c r="R1209">
        <v>329981</v>
      </c>
    </row>
    <row r="1210" spans="1:18" x14ac:dyDescent="0.25">
      <c r="A1210" s="170">
        <v>43790</v>
      </c>
      <c r="B1210" s="116">
        <v>881.625</v>
      </c>
      <c r="C1210" s="116">
        <v>869.27499999999998</v>
      </c>
      <c r="D1210" s="116">
        <v>864.5</v>
      </c>
      <c r="E1210" s="116">
        <v>873.5</v>
      </c>
      <c r="F1210" s="116">
        <v>1738.55</v>
      </c>
      <c r="G1210">
        <v>1574</v>
      </c>
      <c r="H1210" s="116"/>
      <c r="I1210" s="116"/>
      <c r="L1210" s="170">
        <v>43790</v>
      </c>
      <c r="M1210" s="116">
        <v>869.45</v>
      </c>
      <c r="N1210" s="116">
        <v>882.05</v>
      </c>
      <c r="O1210" s="116">
        <v>863.72500000000002</v>
      </c>
      <c r="P1210" s="116">
        <v>870</v>
      </c>
      <c r="Q1210" s="116">
        <v>1738.9</v>
      </c>
      <c r="R1210">
        <v>145988</v>
      </c>
    </row>
    <row r="1211" spans="1:18" x14ac:dyDescent="0.25">
      <c r="A1211" s="170">
        <v>43791</v>
      </c>
      <c r="B1211" s="116">
        <v>891.22500000000002</v>
      </c>
      <c r="C1211" s="116">
        <v>855.97500000000002</v>
      </c>
      <c r="D1211" s="116">
        <v>852</v>
      </c>
      <c r="E1211" s="116">
        <v>873.5</v>
      </c>
      <c r="F1211" s="116">
        <v>1711.95</v>
      </c>
      <c r="G1211">
        <v>6446</v>
      </c>
      <c r="H1211" s="116"/>
      <c r="I1211" s="116"/>
      <c r="L1211" s="170">
        <v>43791</v>
      </c>
      <c r="M1211" s="116">
        <v>855.92499999999995</v>
      </c>
      <c r="N1211" s="116">
        <v>891.32500000000005</v>
      </c>
      <c r="O1211" s="116">
        <v>851.97500000000002</v>
      </c>
      <c r="P1211" s="116">
        <v>870.27499999999998</v>
      </c>
      <c r="Q1211" s="116">
        <v>1711.85</v>
      </c>
      <c r="R1211">
        <v>278087</v>
      </c>
    </row>
    <row r="1212" spans="1:18" x14ac:dyDescent="0.25">
      <c r="A1212" s="170">
        <v>43794</v>
      </c>
      <c r="B1212" s="116">
        <v>882</v>
      </c>
      <c r="C1212" s="116">
        <v>879.75</v>
      </c>
      <c r="D1212" s="116">
        <v>845.65</v>
      </c>
      <c r="E1212" s="116">
        <v>850.5</v>
      </c>
      <c r="F1212" s="116">
        <v>1759.5</v>
      </c>
      <c r="G1212">
        <v>8031</v>
      </c>
      <c r="H1212" s="116"/>
      <c r="I1212" s="116"/>
      <c r="L1212" s="170">
        <v>43794</v>
      </c>
      <c r="M1212" s="116">
        <v>880.05</v>
      </c>
      <c r="N1212" s="116">
        <v>882.625</v>
      </c>
      <c r="O1212" s="116">
        <v>844.55</v>
      </c>
      <c r="P1212" s="116">
        <v>853</v>
      </c>
      <c r="Q1212" s="116">
        <v>1760.1</v>
      </c>
      <c r="R1212">
        <v>322483</v>
      </c>
    </row>
    <row r="1213" spans="1:18" x14ac:dyDescent="0.25">
      <c r="A1213" s="170">
        <v>43795</v>
      </c>
      <c r="B1213" s="116">
        <v>899.97500000000002</v>
      </c>
      <c r="C1213" s="116">
        <v>894.27499999999998</v>
      </c>
      <c r="D1213" s="116">
        <v>870.57500000000005</v>
      </c>
      <c r="E1213" s="116">
        <v>880.45</v>
      </c>
      <c r="F1213" s="116">
        <v>1788.55</v>
      </c>
      <c r="G1213">
        <v>10159</v>
      </c>
      <c r="H1213" s="116"/>
      <c r="I1213" s="116"/>
      <c r="L1213" s="170">
        <v>43795</v>
      </c>
      <c r="M1213" s="116">
        <v>894.05</v>
      </c>
      <c r="N1213" s="116">
        <v>900</v>
      </c>
      <c r="O1213" s="116">
        <v>870.57500000000005</v>
      </c>
      <c r="P1213" s="116">
        <v>882.5</v>
      </c>
      <c r="Q1213" s="116">
        <v>1788.1</v>
      </c>
      <c r="R1213">
        <v>308346</v>
      </c>
    </row>
    <row r="1214" spans="1:18" x14ac:dyDescent="0.25">
      <c r="A1214" s="170">
        <v>43796</v>
      </c>
      <c r="B1214" s="116">
        <v>941.22500000000002</v>
      </c>
      <c r="C1214" s="116">
        <v>937.5</v>
      </c>
      <c r="D1214" s="116">
        <v>896.17499999999995</v>
      </c>
      <c r="E1214" s="116">
        <v>900</v>
      </c>
      <c r="F1214" s="116">
        <v>1875</v>
      </c>
      <c r="G1214">
        <v>17336</v>
      </c>
      <c r="H1214" s="116"/>
      <c r="I1214" s="116"/>
      <c r="L1214" s="170">
        <v>43796</v>
      </c>
      <c r="M1214" s="116">
        <v>937.125</v>
      </c>
      <c r="N1214" s="116">
        <v>949.9</v>
      </c>
      <c r="O1214" s="116">
        <v>895</v>
      </c>
      <c r="P1214" s="116">
        <v>900</v>
      </c>
      <c r="Q1214" s="116">
        <v>1874.25</v>
      </c>
      <c r="R1214">
        <v>621791</v>
      </c>
    </row>
    <row r="1215" spans="1:18" x14ac:dyDescent="0.25">
      <c r="A1215" s="170">
        <v>43797</v>
      </c>
      <c r="B1215" s="116">
        <v>946.5</v>
      </c>
      <c r="C1215" s="116">
        <v>941.7</v>
      </c>
      <c r="D1215" s="116">
        <v>926.27499999999998</v>
      </c>
      <c r="E1215" s="116">
        <v>937.5</v>
      </c>
      <c r="F1215" s="116">
        <v>1883.4</v>
      </c>
      <c r="G1215">
        <v>5566</v>
      </c>
      <c r="H1215" s="116"/>
      <c r="I1215" s="116"/>
      <c r="L1215" s="170">
        <v>43797</v>
      </c>
      <c r="M1215" s="116">
        <v>941.92499999999995</v>
      </c>
      <c r="N1215" s="116">
        <v>947.5</v>
      </c>
      <c r="O1215" s="116">
        <v>925.4</v>
      </c>
      <c r="P1215" s="116">
        <v>935</v>
      </c>
      <c r="Q1215" s="116">
        <v>1883.85</v>
      </c>
      <c r="R1215">
        <v>288801</v>
      </c>
    </row>
    <row r="1216" spans="1:18" x14ac:dyDescent="0.25">
      <c r="A1216" s="170">
        <v>43798</v>
      </c>
      <c r="B1216" s="116">
        <v>960</v>
      </c>
      <c r="C1216" s="116">
        <v>948.45</v>
      </c>
      <c r="D1216" s="116">
        <v>932.5</v>
      </c>
      <c r="E1216" s="116">
        <v>932.5</v>
      </c>
      <c r="F1216" s="116">
        <v>1896.9</v>
      </c>
      <c r="G1216">
        <v>6126</v>
      </c>
      <c r="H1216" s="116"/>
      <c r="I1216" s="116"/>
      <c r="L1216" s="170">
        <v>43798</v>
      </c>
      <c r="M1216" s="116">
        <v>949.3</v>
      </c>
      <c r="N1216" s="116">
        <v>960.25</v>
      </c>
      <c r="O1216" s="116">
        <v>932.52499999999998</v>
      </c>
      <c r="P1216" s="116">
        <v>936.6</v>
      </c>
      <c r="Q1216" s="116">
        <v>1898.6</v>
      </c>
      <c r="R1216">
        <v>313325</v>
      </c>
    </row>
    <row r="1217" spans="1:18" x14ac:dyDescent="0.25">
      <c r="A1217" s="170">
        <v>43801</v>
      </c>
      <c r="B1217" s="116">
        <v>961.15</v>
      </c>
      <c r="C1217" s="116">
        <v>944.95</v>
      </c>
      <c r="D1217" s="116">
        <v>941.5</v>
      </c>
      <c r="E1217" s="116">
        <v>945.05</v>
      </c>
      <c r="F1217" s="116">
        <v>1889.9</v>
      </c>
      <c r="G1217">
        <v>4138</v>
      </c>
      <c r="H1217" s="116"/>
      <c r="I1217" s="116"/>
      <c r="L1217" s="170">
        <v>43801</v>
      </c>
      <c r="M1217" s="116">
        <v>945.25</v>
      </c>
      <c r="N1217" s="116">
        <v>962</v>
      </c>
      <c r="O1217" s="116">
        <v>940.65</v>
      </c>
      <c r="P1217" s="116">
        <v>942.5</v>
      </c>
      <c r="Q1217" s="116">
        <v>1890.5</v>
      </c>
      <c r="R1217">
        <v>158484</v>
      </c>
    </row>
    <row r="1218" spans="1:18" x14ac:dyDescent="0.25">
      <c r="A1218" s="170">
        <v>43802</v>
      </c>
      <c r="B1218" s="116">
        <v>969.97500000000002</v>
      </c>
      <c r="C1218" s="116">
        <v>967.125</v>
      </c>
      <c r="D1218" s="116">
        <v>940.97500000000002</v>
      </c>
      <c r="E1218" s="116">
        <v>943</v>
      </c>
      <c r="F1218" s="116">
        <v>1934.25</v>
      </c>
      <c r="G1218">
        <v>8554</v>
      </c>
      <c r="H1218" s="116"/>
      <c r="I1218" s="116"/>
      <c r="L1218" s="170">
        <v>43802</v>
      </c>
      <c r="M1218" s="116">
        <v>966.82500000000005</v>
      </c>
      <c r="N1218" s="116">
        <v>970.5</v>
      </c>
      <c r="O1218" s="116">
        <v>937.55</v>
      </c>
      <c r="P1218" s="116">
        <v>941.02499999999998</v>
      </c>
      <c r="Q1218" s="116">
        <v>1933.65</v>
      </c>
      <c r="R1218">
        <v>357129</v>
      </c>
    </row>
    <row r="1219" spans="1:18" x14ac:dyDescent="0.25">
      <c r="A1219" s="170">
        <v>43803</v>
      </c>
      <c r="B1219" s="116">
        <v>962.5</v>
      </c>
      <c r="C1219" s="116">
        <v>937.47500000000002</v>
      </c>
      <c r="D1219" s="116">
        <v>927.85</v>
      </c>
      <c r="E1219" s="116">
        <v>962.5</v>
      </c>
      <c r="F1219" s="116">
        <v>1874.95</v>
      </c>
      <c r="G1219">
        <v>10773</v>
      </c>
      <c r="H1219" s="116"/>
      <c r="I1219" s="116"/>
      <c r="L1219" s="170">
        <v>43803</v>
      </c>
      <c r="M1219" s="116">
        <v>937.17499999999995</v>
      </c>
      <c r="N1219" s="116">
        <v>960.05</v>
      </c>
      <c r="O1219" s="116">
        <v>928</v>
      </c>
      <c r="P1219" s="116">
        <v>960.05</v>
      </c>
      <c r="Q1219" s="116">
        <v>1874.35</v>
      </c>
      <c r="R1219">
        <v>355672</v>
      </c>
    </row>
    <row r="1220" spans="1:18" x14ac:dyDescent="0.25">
      <c r="A1220" s="170">
        <v>43804</v>
      </c>
      <c r="B1220" s="116">
        <v>957</v>
      </c>
      <c r="C1220" s="116">
        <v>937.05</v>
      </c>
      <c r="D1220" s="116">
        <v>932.5</v>
      </c>
      <c r="E1220" s="116">
        <v>957</v>
      </c>
      <c r="F1220" s="116">
        <v>1874.1</v>
      </c>
      <c r="G1220">
        <v>10950</v>
      </c>
      <c r="H1220" s="116"/>
      <c r="I1220" s="116"/>
      <c r="L1220" s="170">
        <v>43804</v>
      </c>
      <c r="M1220" s="116">
        <v>936.97500000000002</v>
      </c>
      <c r="N1220" s="116">
        <v>945.82500000000005</v>
      </c>
      <c r="O1220" s="116">
        <v>931.5</v>
      </c>
      <c r="P1220" s="116">
        <v>942.5</v>
      </c>
      <c r="Q1220" s="116">
        <v>1873.95</v>
      </c>
      <c r="R1220">
        <v>62749</v>
      </c>
    </row>
    <row r="1221" spans="1:18" x14ac:dyDescent="0.25">
      <c r="A1221" s="170">
        <v>43805</v>
      </c>
      <c r="B1221" s="116">
        <v>942.05</v>
      </c>
      <c r="C1221" s="116">
        <v>925.25</v>
      </c>
      <c r="D1221" s="116">
        <v>921</v>
      </c>
      <c r="E1221" s="116">
        <v>939.9</v>
      </c>
      <c r="F1221" s="116">
        <v>1850.5</v>
      </c>
      <c r="G1221">
        <v>4734</v>
      </c>
      <c r="H1221" s="116"/>
      <c r="I1221" s="116"/>
      <c r="L1221" s="170">
        <v>43805</v>
      </c>
      <c r="M1221" s="116">
        <v>925.72500000000002</v>
      </c>
      <c r="N1221" s="116">
        <v>943</v>
      </c>
      <c r="O1221" s="116">
        <v>921</v>
      </c>
      <c r="P1221" s="116">
        <v>937.5</v>
      </c>
      <c r="Q1221" s="116">
        <v>1851.45</v>
      </c>
      <c r="R1221">
        <v>203835</v>
      </c>
    </row>
    <row r="1222" spans="1:18" x14ac:dyDescent="0.25">
      <c r="A1222" s="170">
        <v>43808</v>
      </c>
      <c r="B1222" s="116">
        <v>941.02499999999998</v>
      </c>
      <c r="C1222" s="116">
        <v>933.97500000000002</v>
      </c>
      <c r="D1222" s="116">
        <v>925.3</v>
      </c>
      <c r="E1222" s="116">
        <v>926.2</v>
      </c>
      <c r="F1222" s="116">
        <v>1867.95</v>
      </c>
      <c r="G1222">
        <v>2170</v>
      </c>
      <c r="H1222" s="116"/>
      <c r="I1222" s="116"/>
      <c r="L1222" s="170">
        <v>43808</v>
      </c>
      <c r="M1222" s="116">
        <v>933.35</v>
      </c>
      <c r="N1222" s="116">
        <v>940.95</v>
      </c>
      <c r="O1222" s="116">
        <v>923.625</v>
      </c>
      <c r="P1222" s="116">
        <v>928.4</v>
      </c>
      <c r="Q1222" s="116">
        <v>1866.7</v>
      </c>
      <c r="R1222">
        <v>281434</v>
      </c>
    </row>
    <row r="1223" spans="1:18" x14ac:dyDescent="0.25">
      <c r="A1223" s="170">
        <v>43809</v>
      </c>
      <c r="B1223" s="116">
        <v>932.75</v>
      </c>
      <c r="C1223" s="116">
        <v>912.15</v>
      </c>
      <c r="D1223" s="116">
        <v>911</v>
      </c>
      <c r="E1223" s="116">
        <v>932.7</v>
      </c>
      <c r="F1223" s="116">
        <v>1824.3</v>
      </c>
      <c r="G1223">
        <v>4218</v>
      </c>
      <c r="H1223" s="116"/>
      <c r="I1223" s="116"/>
      <c r="L1223" s="170">
        <v>43809</v>
      </c>
      <c r="M1223" s="116">
        <v>912.47500000000002</v>
      </c>
      <c r="N1223" s="116">
        <v>936.05</v>
      </c>
      <c r="O1223" s="116">
        <v>911.2</v>
      </c>
      <c r="P1223" s="116">
        <v>933.35</v>
      </c>
      <c r="Q1223" s="116">
        <v>1824.95</v>
      </c>
      <c r="R1223">
        <v>136832</v>
      </c>
    </row>
    <row r="1224" spans="1:18" x14ac:dyDescent="0.25">
      <c r="A1224" s="170">
        <v>43810</v>
      </c>
      <c r="B1224" s="116">
        <v>935.5</v>
      </c>
      <c r="C1224" s="116">
        <v>930.72500000000002</v>
      </c>
      <c r="D1224" s="116">
        <v>914.05</v>
      </c>
      <c r="E1224" s="116">
        <v>919</v>
      </c>
      <c r="F1224" s="116">
        <v>1861.45</v>
      </c>
      <c r="G1224">
        <v>3523</v>
      </c>
      <c r="H1224" s="116"/>
      <c r="I1224" s="116"/>
      <c r="L1224" s="170">
        <v>43810</v>
      </c>
      <c r="M1224" s="116">
        <v>930.47500000000002</v>
      </c>
      <c r="N1224" s="116">
        <v>935.25</v>
      </c>
      <c r="O1224" s="116">
        <v>913.52499999999998</v>
      </c>
      <c r="P1224" s="116">
        <v>913.52499999999998</v>
      </c>
      <c r="Q1224" s="116">
        <v>1860.95</v>
      </c>
      <c r="R1224">
        <v>123185</v>
      </c>
    </row>
    <row r="1225" spans="1:18" x14ac:dyDescent="0.25">
      <c r="A1225" s="170">
        <v>43811</v>
      </c>
      <c r="B1225" s="116">
        <v>939</v>
      </c>
      <c r="C1225" s="116">
        <v>929.125</v>
      </c>
      <c r="D1225" s="116">
        <v>922.82500000000005</v>
      </c>
      <c r="E1225" s="116">
        <v>931</v>
      </c>
      <c r="F1225" s="116">
        <v>1858.25</v>
      </c>
      <c r="G1225">
        <v>3721</v>
      </c>
      <c r="H1225" s="116"/>
      <c r="I1225" s="116"/>
      <c r="L1225" s="170">
        <v>43811</v>
      </c>
      <c r="M1225" s="116">
        <v>928.8</v>
      </c>
      <c r="N1225" s="116">
        <v>940</v>
      </c>
      <c r="O1225" s="116">
        <v>921.52499999999998</v>
      </c>
      <c r="P1225" s="116">
        <v>934.65</v>
      </c>
      <c r="Q1225" s="116">
        <v>1857.6</v>
      </c>
      <c r="R1225">
        <v>113617</v>
      </c>
    </row>
    <row r="1226" spans="1:18" x14ac:dyDescent="0.25">
      <c r="A1226" s="170">
        <v>43812</v>
      </c>
      <c r="B1226" s="116">
        <v>936.4</v>
      </c>
      <c r="C1226" s="116">
        <v>932.95</v>
      </c>
      <c r="D1226" s="116">
        <v>917.5</v>
      </c>
      <c r="E1226" s="116">
        <v>934</v>
      </c>
      <c r="F1226" s="116">
        <v>1865.9</v>
      </c>
      <c r="G1226">
        <v>3093</v>
      </c>
      <c r="H1226" s="116"/>
      <c r="I1226" s="116"/>
      <c r="L1226" s="170">
        <v>43812</v>
      </c>
      <c r="M1226" s="116">
        <v>932.8</v>
      </c>
      <c r="N1226" s="116">
        <v>937.45</v>
      </c>
      <c r="O1226" s="116">
        <v>916.2</v>
      </c>
      <c r="P1226" s="116">
        <v>930.05</v>
      </c>
      <c r="Q1226" s="116">
        <v>1865.6</v>
      </c>
      <c r="R1226">
        <v>165343</v>
      </c>
    </row>
    <row r="1227" spans="1:18" x14ac:dyDescent="0.25">
      <c r="A1227" s="170">
        <v>43815</v>
      </c>
      <c r="B1227" s="116">
        <v>942.75</v>
      </c>
      <c r="C1227" s="116">
        <v>936.47500000000002</v>
      </c>
      <c r="D1227" s="116">
        <v>930.7</v>
      </c>
      <c r="E1227" s="116">
        <v>934</v>
      </c>
      <c r="F1227" s="116">
        <v>1872.95</v>
      </c>
      <c r="G1227">
        <v>2243</v>
      </c>
      <c r="H1227" s="116"/>
      <c r="I1227" s="116"/>
      <c r="L1227" s="170">
        <v>43815</v>
      </c>
      <c r="M1227" s="116">
        <v>936.2</v>
      </c>
      <c r="N1227" s="116">
        <v>943.7</v>
      </c>
      <c r="O1227" s="116">
        <v>929.27499999999998</v>
      </c>
      <c r="P1227" s="116">
        <v>937.5</v>
      </c>
      <c r="Q1227" s="116">
        <v>1872.4</v>
      </c>
      <c r="R1227">
        <v>178610</v>
      </c>
    </row>
    <row r="1228" spans="1:18" x14ac:dyDescent="0.25">
      <c r="A1228" s="170">
        <v>43816</v>
      </c>
      <c r="B1228" s="116">
        <v>934.77499999999998</v>
      </c>
      <c r="C1228" s="116">
        <v>916.85</v>
      </c>
      <c r="D1228" s="116">
        <v>915.75</v>
      </c>
      <c r="E1228" s="116">
        <v>917.77499999999998</v>
      </c>
      <c r="F1228" s="116">
        <v>1833.7</v>
      </c>
      <c r="G1228">
        <v>4192</v>
      </c>
      <c r="H1228" s="116"/>
      <c r="I1228" s="116"/>
      <c r="L1228" s="170">
        <v>43816</v>
      </c>
      <c r="M1228" s="116">
        <v>917.15</v>
      </c>
      <c r="N1228" s="116">
        <v>935</v>
      </c>
      <c r="O1228" s="116">
        <v>915.57500000000005</v>
      </c>
      <c r="P1228" s="116">
        <v>932.52499999999998</v>
      </c>
      <c r="Q1228" s="116">
        <v>1834.3</v>
      </c>
      <c r="R1228">
        <v>177158</v>
      </c>
    </row>
    <row r="1229" spans="1:18" x14ac:dyDescent="0.25">
      <c r="A1229" s="170">
        <v>43817</v>
      </c>
      <c r="B1229" s="116">
        <v>922.3</v>
      </c>
      <c r="C1229" s="116">
        <v>908.625</v>
      </c>
      <c r="D1229" s="116">
        <v>907.05</v>
      </c>
      <c r="E1229" s="116">
        <v>920.97500000000002</v>
      </c>
      <c r="F1229" s="116">
        <v>1817.25</v>
      </c>
      <c r="G1229">
        <v>7520</v>
      </c>
      <c r="H1229" s="116"/>
      <c r="I1229" s="116"/>
      <c r="L1229" s="170">
        <v>43817</v>
      </c>
      <c r="M1229" s="116">
        <v>909.6</v>
      </c>
      <c r="N1229" s="116">
        <v>923.5</v>
      </c>
      <c r="O1229" s="116">
        <v>906.55</v>
      </c>
      <c r="P1229" s="116">
        <v>915.52499999999998</v>
      </c>
      <c r="Q1229" s="116">
        <v>1819.2</v>
      </c>
      <c r="R1229">
        <v>190406</v>
      </c>
    </row>
    <row r="1230" spans="1:18" x14ac:dyDescent="0.25">
      <c r="A1230" s="170">
        <v>43818</v>
      </c>
      <c r="B1230" s="116">
        <v>917.5</v>
      </c>
      <c r="C1230" s="116">
        <v>909.82500000000005</v>
      </c>
      <c r="D1230" s="116">
        <v>905</v>
      </c>
      <c r="E1230" s="116">
        <v>910.85</v>
      </c>
      <c r="F1230" s="116">
        <v>1819.65</v>
      </c>
      <c r="G1230">
        <v>2245</v>
      </c>
      <c r="H1230" s="116"/>
      <c r="I1230" s="116"/>
      <c r="L1230" s="170">
        <v>43818</v>
      </c>
      <c r="M1230" s="116">
        <v>909.17499999999995</v>
      </c>
      <c r="N1230" s="116">
        <v>918</v>
      </c>
      <c r="O1230" s="116">
        <v>904.02499999999998</v>
      </c>
      <c r="P1230" s="116">
        <v>912.8</v>
      </c>
      <c r="Q1230" s="116">
        <v>1818.35</v>
      </c>
      <c r="R1230">
        <v>108928</v>
      </c>
    </row>
    <row r="1231" spans="1:18" x14ac:dyDescent="0.25">
      <c r="A1231" s="170">
        <v>43819</v>
      </c>
      <c r="B1231" s="116">
        <v>921.9</v>
      </c>
      <c r="C1231" s="116">
        <v>917.17499999999995</v>
      </c>
      <c r="D1231" s="116">
        <v>910.52499999999998</v>
      </c>
      <c r="E1231" s="116">
        <v>911.02499999999998</v>
      </c>
      <c r="F1231" s="116">
        <v>1834.35</v>
      </c>
      <c r="G1231">
        <v>4623</v>
      </c>
      <c r="H1231" s="116"/>
      <c r="I1231" s="116"/>
      <c r="L1231" s="170">
        <v>43819</v>
      </c>
      <c r="M1231" s="116">
        <v>918.7</v>
      </c>
      <c r="N1231" s="116">
        <v>922.35</v>
      </c>
      <c r="O1231" s="116">
        <v>910.52499999999998</v>
      </c>
      <c r="P1231" s="116">
        <v>912.3</v>
      </c>
      <c r="Q1231" s="116">
        <v>1837.4</v>
      </c>
      <c r="R1231">
        <v>232536</v>
      </c>
    </row>
    <row r="1232" spans="1:18" x14ac:dyDescent="0.25">
      <c r="A1232" s="170">
        <v>43822</v>
      </c>
      <c r="B1232" s="116">
        <v>941.4</v>
      </c>
      <c r="C1232" s="116">
        <v>933.45</v>
      </c>
      <c r="D1232" s="116">
        <v>918</v>
      </c>
      <c r="E1232" s="116">
        <v>918.4</v>
      </c>
      <c r="F1232" s="116">
        <v>1866.9</v>
      </c>
      <c r="G1232">
        <v>6029</v>
      </c>
      <c r="H1232" s="116"/>
      <c r="I1232" s="116"/>
      <c r="L1232" s="170">
        <v>43822</v>
      </c>
      <c r="M1232" s="116">
        <v>933.75</v>
      </c>
      <c r="N1232" s="116">
        <v>941.625</v>
      </c>
      <c r="O1232" s="116">
        <v>912.92499999999995</v>
      </c>
      <c r="P1232" s="116">
        <v>917.97500000000002</v>
      </c>
      <c r="Q1232" s="116">
        <v>1867.5</v>
      </c>
      <c r="R1232">
        <v>316041</v>
      </c>
    </row>
    <row r="1233" spans="1:18" x14ac:dyDescent="0.25">
      <c r="A1233" s="170">
        <v>43823</v>
      </c>
      <c r="B1233" s="116">
        <v>937.92499999999995</v>
      </c>
      <c r="C1233" s="116">
        <v>928.22500000000002</v>
      </c>
      <c r="D1233" s="116">
        <v>926.45</v>
      </c>
      <c r="E1233" s="116">
        <v>937.22500000000002</v>
      </c>
      <c r="F1233" s="116">
        <v>1856.45</v>
      </c>
      <c r="G1233">
        <v>2926</v>
      </c>
      <c r="H1233" s="116"/>
      <c r="I1233" s="116"/>
      <c r="L1233" s="170">
        <v>43823</v>
      </c>
      <c r="M1233" s="116">
        <v>928.55</v>
      </c>
      <c r="N1233" s="116">
        <v>940.57500000000005</v>
      </c>
      <c r="O1233" s="116">
        <v>926.5</v>
      </c>
      <c r="P1233" s="116">
        <v>936</v>
      </c>
      <c r="Q1233" s="116">
        <v>1857.1</v>
      </c>
      <c r="R1233">
        <v>119048</v>
      </c>
    </row>
    <row r="1234" spans="1:18" x14ac:dyDescent="0.25">
      <c r="A1234" s="170">
        <v>43825</v>
      </c>
      <c r="B1234" s="116">
        <v>928.67499999999995</v>
      </c>
      <c r="C1234" s="116">
        <v>922.47500000000002</v>
      </c>
      <c r="D1234" s="116">
        <v>915.75</v>
      </c>
      <c r="E1234" s="116">
        <v>928.67499999999995</v>
      </c>
      <c r="F1234" s="116">
        <v>1844.95</v>
      </c>
      <c r="G1234">
        <v>3212</v>
      </c>
      <c r="H1234" s="116"/>
      <c r="I1234" s="116"/>
      <c r="L1234" s="170">
        <v>43825</v>
      </c>
      <c r="M1234" s="116">
        <v>922.375</v>
      </c>
      <c r="N1234" s="116">
        <v>930.75</v>
      </c>
      <c r="O1234" s="116">
        <v>915</v>
      </c>
      <c r="P1234" s="116">
        <v>930.75</v>
      </c>
      <c r="Q1234" s="116">
        <v>1844.75</v>
      </c>
      <c r="R1234">
        <v>111322</v>
      </c>
    </row>
    <row r="1235" spans="1:18" x14ac:dyDescent="0.25">
      <c r="A1235" s="170">
        <v>43826</v>
      </c>
      <c r="B1235" s="116">
        <v>939.02499999999998</v>
      </c>
      <c r="C1235" s="116">
        <v>930.47500000000002</v>
      </c>
      <c r="D1235" s="116">
        <v>925</v>
      </c>
      <c r="E1235" s="116">
        <v>925</v>
      </c>
      <c r="F1235" s="116">
        <v>1860.95</v>
      </c>
      <c r="G1235">
        <v>2178</v>
      </c>
      <c r="H1235" s="116"/>
      <c r="I1235" s="116"/>
      <c r="L1235" s="170">
        <v>43826</v>
      </c>
      <c r="M1235" s="116">
        <v>931.92499999999995</v>
      </c>
      <c r="N1235" s="116">
        <v>939.8</v>
      </c>
      <c r="O1235" s="116">
        <v>921.05</v>
      </c>
      <c r="P1235" s="116">
        <v>921.05</v>
      </c>
      <c r="Q1235" s="116">
        <v>1863.85</v>
      </c>
      <c r="R1235">
        <v>161689</v>
      </c>
    </row>
    <row r="1236" spans="1:18" x14ac:dyDescent="0.25">
      <c r="A1236" s="170">
        <v>43829</v>
      </c>
      <c r="B1236" s="116">
        <v>937.5</v>
      </c>
      <c r="C1236" s="116">
        <v>927.82500000000005</v>
      </c>
      <c r="D1236" s="116">
        <v>924.7</v>
      </c>
      <c r="E1236" s="116">
        <v>932.32500000000005</v>
      </c>
      <c r="F1236" s="116">
        <v>1855.65</v>
      </c>
      <c r="G1236">
        <v>2782</v>
      </c>
      <c r="H1236" s="116"/>
      <c r="I1236" s="116"/>
      <c r="L1236" s="170">
        <v>43829</v>
      </c>
      <c r="M1236" s="116">
        <v>927.97500000000002</v>
      </c>
      <c r="N1236" s="116">
        <v>938.4</v>
      </c>
      <c r="O1236" s="116">
        <v>924.17499999999995</v>
      </c>
      <c r="P1236" s="116">
        <v>931.92499999999995</v>
      </c>
      <c r="Q1236" s="116">
        <v>1855.95</v>
      </c>
      <c r="R1236">
        <v>106966</v>
      </c>
    </row>
    <row r="1237" spans="1:18" x14ac:dyDescent="0.25">
      <c r="A1237" s="170">
        <v>43830</v>
      </c>
      <c r="B1237" s="116">
        <v>935</v>
      </c>
      <c r="C1237" s="116">
        <v>923.47500000000002</v>
      </c>
      <c r="D1237" s="116">
        <v>921.4</v>
      </c>
      <c r="E1237" s="116">
        <v>929.05</v>
      </c>
      <c r="F1237" s="116">
        <v>1846.95</v>
      </c>
      <c r="G1237">
        <v>946</v>
      </c>
      <c r="H1237" s="116"/>
      <c r="I1237" s="116"/>
      <c r="L1237" s="170">
        <v>43830</v>
      </c>
      <c r="M1237" s="116">
        <v>924.52499999999998</v>
      </c>
      <c r="N1237" s="116">
        <v>935.77499999999998</v>
      </c>
      <c r="O1237" s="116">
        <v>921.05</v>
      </c>
      <c r="P1237" s="116">
        <v>932.45</v>
      </c>
      <c r="Q1237" s="116">
        <v>1849.05</v>
      </c>
      <c r="R1237">
        <v>81386</v>
      </c>
    </row>
    <row r="1238" spans="1:18" x14ac:dyDescent="0.25">
      <c r="A1238" s="170">
        <v>43831</v>
      </c>
      <c r="B1238" s="116">
        <v>929.35</v>
      </c>
      <c r="C1238" s="116">
        <v>922.6</v>
      </c>
      <c r="D1238" s="116">
        <v>920.55</v>
      </c>
      <c r="E1238" s="116">
        <v>929.35</v>
      </c>
      <c r="F1238" s="116">
        <v>1845.2</v>
      </c>
      <c r="G1238">
        <v>558</v>
      </c>
      <c r="H1238" s="116"/>
      <c r="I1238" s="116"/>
      <c r="L1238" s="170">
        <v>43831</v>
      </c>
      <c r="M1238" s="116">
        <v>921.85</v>
      </c>
      <c r="N1238" s="116">
        <v>930</v>
      </c>
      <c r="O1238" s="116">
        <v>920.02499999999998</v>
      </c>
      <c r="P1238" s="116">
        <v>927.45</v>
      </c>
      <c r="Q1238" s="116">
        <v>1843.7</v>
      </c>
      <c r="R1238">
        <v>22477</v>
      </c>
    </row>
    <row r="1239" spans="1:18" x14ac:dyDescent="0.25">
      <c r="A1239" s="170">
        <v>43832</v>
      </c>
      <c r="B1239" s="116">
        <v>935.57500000000005</v>
      </c>
      <c r="C1239" s="116">
        <v>932.15</v>
      </c>
      <c r="D1239" s="116">
        <v>922.5</v>
      </c>
      <c r="E1239" s="116">
        <v>926.6</v>
      </c>
      <c r="F1239" s="116">
        <v>1864.3</v>
      </c>
      <c r="G1239">
        <v>2036</v>
      </c>
      <c r="H1239" s="116"/>
      <c r="I1239" s="116"/>
      <c r="L1239" s="170">
        <v>43832</v>
      </c>
      <c r="M1239" s="116">
        <v>932.82500000000005</v>
      </c>
      <c r="N1239" s="116">
        <v>936</v>
      </c>
      <c r="O1239" s="116">
        <v>922.02499999999998</v>
      </c>
      <c r="P1239" s="116">
        <v>922.02499999999998</v>
      </c>
      <c r="Q1239" s="116">
        <v>1865.65</v>
      </c>
      <c r="R1239">
        <v>86530</v>
      </c>
    </row>
    <row r="1240" spans="1:18" x14ac:dyDescent="0.25">
      <c r="A1240" s="170">
        <v>43833</v>
      </c>
      <c r="B1240" s="116">
        <v>959.5</v>
      </c>
      <c r="C1240" s="116">
        <v>951.25</v>
      </c>
      <c r="D1240" s="116">
        <v>932.3</v>
      </c>
      <c r="E1240" s="116">
        <v>933.47500000000002</v>
      </c>
      <c r="F1240" s="116">
        <v>1902.5</v>
      </c>
      <c r="G1240">
        <v>14921</v>
      </c>
      <c r="H1240" s="116"/>
      <c r="I1240" s="116"/>
      <c r="L1240" s="170">
        <v>43833</v>
      </c>
      <c r="M1240" s="116">
        <v>950.05</v>
      </c>
      <c r="N1240" s="116">
        <v>959.9</v>
      </c>
      <c r="O1240" s="116">
        <v>930.52499999999998</v>
      </c>
      <c r="P1240" s="116">
        <v>935</v>
      </c>
      <c r="Q1240" s="116">
        <v>1900.1</v>
      </c>
      <c r="R1240">
        <v>504421</v>
      </c>
    </row>
    <row r="1241" spans="1:18" x14ac:dyDescent="0.25">
      <c r="A1241" s="170">
        <v>43836</v>
      </c>
      <c r="B1241" s="116">
        <v>950.32500000000005</v>
      </c>
      <c r="C1241" s="116">
        <v>942.72500000000002</v>
      </c>
      <c r="D1241" s="116">
        <v>928.77499999999998</v>
      </c>
      <c r="E1241" s="116">
        <v>949</v>
      </c>
      <c r="F1241" s="116">
        <v>1885.45</v>
      </c>
      <c r="G1241">
        <v>6509</v>
      </c>
      <c r="H1241" s="116"/>
      <c r="I1241" s="116"/>
      <c r="L1241" s="170">
        <v>43836</v>
      </c>
      <c r="M1241" s="116">
        <v>943.1</v>
      </c>
      <c r="N1241" s="116">
        <v>953.05</v>
      </c>
      <c r="O1241" s="116">
        <v>928.47500000000002</v>
      </c>
      <c r="P1241" s="116">
        <v>952.5</v>
      </c>
      <c r="Q1241" s="116">
        <v>1886.2</v>
      </c>
      <c r="R1241">
        <v>165433</v>
      </c>
    </row>
    <row r="1242" spans="1:18" x14ac:dyDescent="0.25">
      <c r="A1242" s="170">
        <v>43837</v>
      </c>
      <c r="B1242" s="116">
        <v>954.375</v>
      </c>
      <c r="C1242" s="116">
        <v>935.65</v>
      </c>
      <c r="D1242" s="116">
        <v>933.05</v>
      </c>
      <c r="E1242" s="116">
        <v>946.07500000000005</v>
      </c>
      <c r="F1242" s="116">
        <v>1871.3</v>
      </c>
      <c r="G1242">
        <v>2816</v>
      </c>
      <c r="H1242" s="116"/>
      <c r="I1242" s="116"/>
      <c r="L1242" s="170">
        <v>43837</v>
      </c>
      <c r="M1242" s="116">
        <v>936.375</v>
      </c>
      <c r="N1242" s="116">
        <v>955</v>
      </c>
      <c r="O1242" s="116">
        <v>932.95</v>
      </c>
      <c r="P1242" s="116">
        <v>942.75</v>
      </c>
      <c r="Q1242" s="116">
        <v>1872.75</v>
      </c>
      <c r="R1242">
        <v>133465</v>
      </c>
    </row>
    <row r="1243" spans="1:18" x14ac:dyDescent="0.25">
      <c r="A1243" s="170">
        <v>43838</v>
      </c>
      <c r="B1243" s="116">
        <v>945</v>
      </c>
      <c r="C1243" s="116">
        <v>932.375</v>
      </c>
      <c r="D1243" s="116">
        <v>928.6</v>
      </c>
      <c r="E1243" s="116">
        <v>945</v>
      </c>
      <c r="F1243" s="116">
        <v>1864.75</v>
      </c>
      <c r="G1243">
        <v>3848</v>
      </c>
      <c r="H1243" s="116"/>
      <c r="I1243" s="116"/>
      <c r="L1243" s="170">
        <v>43838</v>
      </c>
      <c r="M1243" s="116">
        <v>933.17499999999995</v>
      </c>
      <c r="N1243" s="116">
        <v>943.77499999999998</v>
      </c>
      <c r="O1243" s="116">
        <v>926.8</v>
      </c>
      <c r="P1243" s="116">
        <v>932.5</v>
      </c>
      <c r="Q1243" s="116">
        <v>1866.35</v>
      </c>
      <c r="R1243">
        <v>112361</v>
      </c>
    </row>
    <row r="1244" spans="1:18" x14ac:dyDescent="0.25">
      <c r="A1244" s="170">
        <v>43839</v>
      </c>
      <c r="B1244" s="116">
        <v>947</v>
      </c>
      <c r="C1244" s="116">
        <v>939.17499999999995</v>
      </c>
      <c r="D1244" s="116">
        <v>933.5</v>
      </c>
      <c r="E1244" s="116">
        <v>945.82500000000005</v>
      </c>
      <c r="F1244" s="116">
        <v>1878.35</v>
      </c>
      <c r="G1244">
        <v>5363</v>
      </c>
      <c r="H1244" s="116"/>
      <c r="I1244" s="116"/>
      <c r="L1244" s="170">
        <v>43839</v>
      </c>
      <c r="M1244" s="116">
        <v>939.4</v>
      </c>
      <c r="N1244" s="116">
        <v>948.15</v>
      </c>
      <c r="O1244" s="116">
        <v>933.05</v>
      </c>
      <c r="P1244" s="116">
        <v>936</v>
      </c>
      <c r="Q1244" s="116">
        <v>1878.8</v>
      </c>
      <c r="R1244">
        <v>98122</v>
      </c>
    </row>
    <row r="1245" spans="1:18" x14ac:dyDescent="0.25">
      <c r="A1245" s="170">
        <v>43840</v>
      </c>
      <c r="B1245" s="116">
        <v>955.27499999999998</v>
      </c>
      <c r="C1245" s="116">
        <v>949.47500000000002</v>
      </c>
      <c r="D1245" s="116">
        <v>941.25</v>
      </c>
      <c r="E1245" s="116">
        <v>945</v>
      </c>
      <c r="F1245" s="116">
        <v>1898.95</v>
      </c>
      <c r="G1245">
        <v>4171</v>
      </c>
      <c r="H1245" s="116"/>
      <c r="I1245" s="116"/>
      <c r="L1245" s="170">
        <v>43840</v>
      </c>
      <c r="M1245" s="116">
        <v>949.52499999999998</v>
      </c>
      <c r="N1245" s="116">
        <v>956</v>
      </c>
      <c r="O1245" s="116">
        <v>940</v>
      </c>
      <c r="P1245" s="116">
        <v>950.6</v>
      </c>
      <c r="Q1245" s="116">
        <v>1899.05</v>
      </c>
      <c r="R1245">
        <v>188808</v>
      </c>
    </row>
    <row r="1246" spans="1:18" x14ac:dyDescent="0.25">
      <c r="A1246" s="170">
        <v>43843</v>
      </c>
      <c r="B1246" s="116">
        <v>954.85</v>
      </c>
      <c r="C1246" s="116">
        <v>949.375</v>
      </c>
      <c r="D1246" s="116">
        <v>944.42499999999995</v>
      </c>
      <c r="E1246" s="116">
        <v>954.27499999999998</v>
      </c>
      <c r="F1246" s="116">
        <v>1898.75</v>
      </c>
      <c r="G1246">
        <v>3972</v>
      </c>
      <c r="H1246" s="116"/>
      <c r="I1246" s="116"/>
      <c r="L1246" s="170">
        <v>43843</v>
      </c>
      <c r="M1246" s="116">
        <v>949.7</v>
      </c>
      <c r="N1246" s="116">
        <v>954.25</v>
      </c>
      <c r="O1246" s="116">
        <v>944</v>
      </c>
      <c r="P1246" s="116">
        <v>953.5</v>
      </c>
      <c r="Q1246" s="116">
        <v>1899.4</v>
      </c>
      <c r="R1246">
        <v>129004</v>
      </c>
    </row>
    <row r="1247" spans="1:18" x14ac:dyDescent="0.25">
      <c r="A1247" s="170">
        <v>43844</v>
      </c>
      <c r="B1247" s="116">
        <v>953.4</v>
      </c>
      <c r="C1247" s="116">
        <v>942.55</v>
      </c>
      <c r="D1247" s="116">
        <v>940.8</v>
      </c>
      <c r="E1247" s="116">
        <v>949.15</v>
      </c>
      <c r="F1247" s="116">
        <v>1885.1</v>
      </c>
      <c r="G1247">
        <v>949</v>
      </c>
      <c r="H1247" s="116"/>
      <c r="I1247" s="116"/>
      <c r="L1247" s="170">
        <v>43844</v>
      </c>
      <c r="M1247" s="116">
        <v>942.65</v>
      </c>
      <c r="N1247" s="116">
        <v>954</v>
      </c>
      <c r="O1247" s="116">
        <v>940.65</v>
      </c>
      <c r="P1247" s="116">
        <v>950</v>
      </c>
      <c r="Q1247" s="116">
        <v>1885.3</v>
      </c>
      <c r="R1247">
        <v>49543</v>
      </c>
    </row>
    <row r="1248" spans="1:18" x14ac:dyDescent="0.25">
      <c r="A1248" s="170">
        <v>43845</v>
      </c>
      <c r="B1248" s="116">
        <v>950.8</v>
      </c>
      <c r="C1248" s="116">
        <v>949.17499999999995</v>
      </c>
      <c r="D1248" s="116">
        <v>935.02499999999998</v>
      </c>
      <c r="E1248" s="116">
        <v>942.5</v>
      </c>
      <c r="F1248" s="116">
        <v>1898.35</v>
      </c>
      <c r="G1248">
        <v>2476</v>
      </c>
      <c r="H1248" s="116"/>
      <c r="I1248" s="116"/>
      <c r="L1248" s="170">
        <v>43845</v>
      </c>
      <c r="M1248" s="116">
        <v>949.1</v>
      </c>
      <c r="N1248" s="116">
        <v>951.15</v>
      </c>
      <c r="O1248" s="116">
        <v>935.125</v>
      </c>
      <c r="P1248" s="116">
        <v>942.55</v>
      </c>
      <c r="Q1248" s="116">
        <v>1898.2</v>
      </c>
      <c r="R1248">
        <v>109225</v>
      </c>
    </row>
    <row r="1249" spans="1:18" x14ac:dyDescent="0.25">
      <c r="A1249" s="170">
        <v>43846</v>
      </c>
      <c r="B1249" s="116">
        <v>984.72500000000002</v>
      </c>
      <c r="C1249" s="116">
        <v>962.27499999999998</v>
      </c>
      <c r="D1249" s="116">
        <v>952.05</v>
      </c>
      <c r="E1249" s="116">
        <v>954.47500000000002</v>
      </c>
      <c r="F1249" s="116">
        <v>1924.55</v>
      </c>
      <c r="G1249">
        <v>51592</v>
      </c>
      <c r="H1249" s="116"/>
      <c r="I1249" s="116"/>
      <c r="L1249" s="170">
        <v>43846</v>
      </c>
      <c r="M1249" s="116">
        <v>962.2</v>
      </c>
      <c r="N1249" s="116">
        <v>983.97500000000002</v>
      </c>
      <c r="O1249" s="116">
        <v>951.5</v>
      </c>
      <c r="P1249" s="116">
        <v>953</v>
      </c>
      <c r="Q1249" s="116">
        <v>1924.4</v>
      </c>
      <c r="R1249">
        <v>555491</v>
      </c>
    </row>
    <row r="1250" spans="1:18" x14ac:dyDescent="0.25">
      <c r="A1250" s="170">
        <v>43847</v>
      </c>
      <c r="B1250" s="116">
        <v>1014</v>
      </c>
      <c r="C1250" s="116">
        <v>1003.3</v>
      </c>
      <c r="D1250" s="116">
        <v>965.875</v>
      </c>
      <c r="E1250" s="116">
        <v>973</v>
      </c>
      <c r="F1250" s="116">
        <v>2006.6</v>
      </c>
      <c r="G1250">
        <v>26843</v>
      </c>
      <c r="H1250" s="116"/>
      <c r="I1250" s="116"/>
      <c r="L1250" s="170">
        <v>43847</v>
      </c>
      <c r="M1250" s="116">
        <v>1003.175</v>
      </c>
      <c r="N1250" s="116">
        <v>1014</v>
      </c>
      <c r="O1250" s="116">
        <v>964.35</v>
      </c>
      <c r="P1250" s="116">
        <v>968.2</v>
      </c>
      <c r="Q1250" s="116">
        <v>2006.35</v>
      </c>
      <c r="R1250">
        <v>1119022</v>
      </c>
    </row>
    <row r="1251" spans="1:18" x14ac:dyDescent="0.25">
      <c r="A1251" s="170">
        <v>43850</v>
      </c>
      <c r="B1251" s="116">
        <v>1036.3</v>
      </c>
      <c r="C1251" s="116">
        <v>1014.1</v>
      </c>
      <c r="D1251" s="116">
        <v>994.42499999999995</v>
      </c>
      <c r="E1251" s="116">
        <v>1003.5</v>
      </c>
      <c r="F1251" s="116">
        <v>2028.2</v>
      </c>
      <c r="G1251">
        <v>16573</v>
      </c>
      <c r="H1251" s="116"/>
      <c r="I1251" s="116"/>
      <c r="L1251" s="170">
        <v>43850</v>
      </c>
      <c r="M1251" s="116">
        <v>1013.85</v>
      </c>
      <c r="N1251" s="116">
        <v>1036.825</v>
      </c>
      <c r="O1251" s="116">
        <v>992.77499999999998</v>
      </c>
      <c r="P1251" s="116">
        <v>1003.175</v>
      </c>
      <c r="Q1251" s="116">
        <v>2027.7</v>
      </c>
      <c r="R1251">
        <v>889864</v>
      </c>
    </row>
    <row r="1252" spans="1:18" x14ac:dyDescent="0.25">
      <c r="A1252" s="170">
        <v>43851</v>
      </c>
      <c r="B1252" s="116">
        <v>1028.5</v>
      </c>
      <c r="C1252" s="116">
        <v>1009.975</v>
      </c>
      <c r="D1252" s="116">
        <v>1004.775</v>
      </c>
      <c r="E1252" s="116">
        <v>1015.425</v>
      </c>
      <c r="F1252" s="116">
        <v>2019.95</v>
      </c>
      <c r="G1252">
        <v>9460</v>
      </c>
      <c r="H1252" s="116"/>
      <c r="I1252" s="116"/>
      <c r="L1252" s="170">
        <v>43851</v>
      </c>
      <c r="M1252" s="116">
        <v>1010.075</v>
      </c>
      <c r="N1252" s="116">
        <v>1028.425</v>
      </c>
      <c r="O1252" s="116">
        <v>996</v>
      </c>
      <c r="P1252" s="116">
        <v>1012.5</v>
      </c>
      <c r="Q1252" s="116">
        <v>2020.15</v>
      </c>
      <c r="R1252">
        <v>520403</v>
      </c>
    </row>
    <row r="1253" spans="1:18" x14ac:dyDescent="0.25">
      <c r="A1253" s="170">
        <v>43852</v>
      </c>
      <c r="B1253" s="116">
        <v>1021.675</v>
      </c>
      <c r="C1253" s="116">
        <v>999.47500000000002</v>
      </c>
      <c r="D1253" s="116">
        <v>997.5</v>
      </c>
      <c r="E1253" s="116">
        <v>1018</v>
      </c>
      <c r="F1253" s="116">
        <v>1998.95</v>
      </c>
      <c r="G1253">
        <v>5616</v>
      </c>
      <c r="H1253" s="116"/>
      <c r="I1253" s="116"/>
      <c r="L1253" s="170">
        <v>43852</v>
      </c>
      <c r="M1253" s="116">
        <v>1000.475</v>
      </c>
      <c r="N1253" s="116">
        <v>1022.475</v>
      </c>
      <c r="O1253" s="116">
        <v>996.05</v>
      </c>
      <c r="P1253" s="116">
        <v>1015</v>
      </c>
      <c r="Q1253" s="116">
        <v>2000.95</v>
      </c>
      <c r="R1253">
        <v>416190</v>
      </c>
    </row>
    <row r="1254" spans="1:18" x14ac:dyDescent="0.25">
      <c r="A1254" s="170">
        <v>43853</v>
      </c>
      <c r="B1254" s="116">
        <v>1017.5</v>
      </c>
      <c r="C1254" s="116">
        <v>1010.875</v>
      </c>
      <c r="D1254" s="116">
        <v>1000.95</v>
      </c>
      <c r="E1254" s="116">
        <v>1005</v>
      </c>
      <c r="F1254" s="116">
        <v>2021.75</v>
      </c>
      <c r="G1254">
        <v>6101</v>
      </c>
      <c r="H1254" s="116"/>
      <c r="I1254" s="116"/>
      <c r="L1254" s="170">
        <v>43853</v>
      </c>
      <c r="M1254" s="116">
        <v>1010.25</v>
      </c>
      <c r="N1254" s="116">
        <v>1017.775</v>
      </c>
      <c r="O1254" s="116">
        <v>1000.5</v>
      </c>
      <c r="P1254" s="116">
        <v>1001.975</v>
      </c>
      <c r="Q1254" s="116">
        <v>2020.5</v>
      </c>
      <c r="R1254">
        <v>176247</v>
      </c>
    </row>
    <row r="1255" spans="1:18" x14ac:dyDescent="0.25">
      <c r="A1255" s="170">
        <v>43854</v>
      </c>
      <c r="B1255" s="116">
        <v>1030.5250000000001</v>
      </c>
      <c r="C1255" s="116">
        <v>1018.45</v>
      </c>
      <c r="D1255" s="116">
        <v>1012.5</v>
      </c>
      <c r="E1255" s="116">
        <v>1012.5</v>
      </c>
      <c r="F1255" s="116">
        <v>2036.9</v>
      </c>
      <c r="G1255">
        <v>7701</v>
      </c>
      <c r="H1255" s="116"/>
      <c r="I1255" s="116"/>
      <c r="L1255" s="170">
        <v>43854</v>
      </c>
      <c r="M1255" s="116">
        <v>1018.475</v>
      </c>
      <c r="N1255" s="116">
        <v>1031</v>
      </c>
      <c r="O1255" s="116">
        <v>1012.5</v>
      </c>
      <c r="P1255" s="116">
        <v>1014.5</v>
      </c>
      <c r="Q1255" s="116">
        <v>2036.95</v>
      </c>
      <c r="R1255">
        <v>269834</v>
      </c>
    </row>
    <row r="1256" spans="1:18" x14ac:dyDescent="0.25">
      <c r="A1256" s="170">
        <v>43857</v>
      </c>
      <c r="B1256" s="116">
        <v>1028.0250000000001</v>
      </c>
      <c r="C1256" s="116">
        <v>1013.425</v>
      </c>
      <c r="D1256" s="116">
        <v>1003.9</v>
      </c>
      <c r="E1256" s="116">
        <v>1015</v>
      </c>
      <c r="F1256" s="116">
        <v>2026.85</v>
      </c>
      <c r="G1256">
        <v>10051</v>
      </c>
      <c r="H1256" s="116"/>
      <c r="I1256" s="116"/>
      <c r="L1256" s="170">
        <v>43857</v>
      </c>
      <c r="M1256" s="116">
        <v>1013.575</v>
      </c>
      <c r="N1256" s="116">
        <v>1027.9749999999999</v>
      </c>
      <c r="O1256" s="116">
        <v>1002.75</v>
      </c>
      <c r="P1256" s="116">
        <v>1018.475</v>
      </c>
      <c r="Q1256" s="116">
        <v>2027.15</v>
      </c>
      <c r="R1256">
        <v>243544</v>
      </c>
    </row>
    <row r="1257" spans="1:18" x14ac:dyDescent="0.25">
      <c r="A1257" s="170">
        <v>43858</v>
      </c>
      <c r="B1257" s="116">
        <v>1011</v>
      </c>
      <c r="C1257" s="116">
        <v>956.625</v>
      </c>
      <c r="D1257" s="116">
        <v>947.125</v>
      </c>
      <c r="E1257" s="116">
        <v>1011</v>
      </c>
      <c r="F1257" s="116">
        <v>1913.25</v>
      </c>
      <c r="G1257">
        <v>38064</v>
      </c>
      <c r="H1257" s="116"/>
      <c r="I1257" s="116"/>
      <c r="L1257" s="170">
        <v>43858</v>
      </c>
      <c r="M1257" s="116">
        <v>958.2</v>
      </c>
      <c r="N1257" s="116">
        <v>1000</v>
      </c>
      <c r="O1257" s="116">
        <v>950.3</v>
      </c>
      <c r="P1257" s="116">
        <v>1000</v>
      </c>
      <c r="Q1257" s="116">
        <v>1916.4</v>
      </c>
      <c r="R1257">
        <v>1793914</v>
      </c>
    </row>
    <row r="1258" spans="1:18" x14ac:dyDescent="0.25">
      <c r="A1258" s="170">
        <v>43859</v>
      </c>
      <c r="B1258" s="116">
        <v>977.42499999999995</v>
      </c>
      <c r="C1258" s="116">
        <v>968.625</v>
      </c>
      <c r="D1258" s="116">
        <v>955.97500000000002</v>
      </c>
      <c r="E1258" s="116">
        <v>957.5</v>
      </c>
      <c r="F1258" s="116">
        <v>1937.25</v>
      </c>
      <c r="G1258">
        <v>4991</v>
      </c>
      <c r="H1258" s="116"/>
      <c r="I1258" s="116"/>
      <c r="L1258" s="170">
        <v>43859</v>
      </c>
      <c r="M1258" s="116">
        <v>968.75</v>
      </c>
      <c r="N1258" s="116">
        <v>978.15</v>
      </c>
      <c r="O1258" s="116">
        <v>953.5</v>
      </c>
      <c r="P1258" s="116">
        <v>953.5</v>
      </c>
      <c r="Q1258" s="116">
        <v>1937.5</v>
      </c>
      <c r="R1258">
        <v>356676</v>
      </c>
    </row>
    <row r="1259" spans="1:18" x14ac:dyDescent="0.25">
      <c r="A1259" s="170">
        <v>43860</v>
      </c>
      <c r="B1259" s="116">
        <v>977.27499999999998</v>
      </c>
      <c r="C1259" s="116">
        <v>968.15</v>
      </c>
      <c r="D1259" s="116">
        <v>961</v>
      </c>
      <c r="E1259" s="116">
        <v>967.5</v>
      </c>
      <c r="F1259" s="116">
        <v>1936.3</v>
      </c>
      <c r="G1259">
        <v>2704</v>
      </c>
      <c r="H1259" s="116"/>
      <c r="I1259" s="116"/>
      <c r="L1259" s="170">
        <v>43860</v>
      </c>
      <c r="M1259" s="116">
        <v>968.15</v>
      </c>
      <c r="N1259" s="116">
        <v>977.97500000000002</v>
      </c>
      <c r="O1259" s="116">
        <v>961.25</v>
      </c>
      <c r="P1259" s="116">
        <v>974</v>
      </c>
      <c r="Q1259" s="116">
        <v>1936.3</v>
      </c>
      <c r="R1259">
        <v>813768</v>
      </c>
    </row>
    <row r="1260" spans="1:18" x14ac:dyDescent="0.25">
      <c r="A1260" s="170">
        <v>43861</v>
      </c>
      <c r="B1260" s="116">
        <v>975</v>
      </c>
      <c r="C1260" s="116">
        <v>965.17499999999995</v>
      </c>
      <c r="D1260" s="116">
        <v>961.125</v>
      </c>
      <c r="E1260" s="116">
        <v>972.5</v>
      </c>
      <c r="F1260" s="116">
        <v>1930.35</v>
      </c>
      <c r="G1260">
        <v>2485</v>
      </c>
      <c r="H1260" s="116"/>
      <c r="I1260" s="116"/>
      <c r="L1260" s="170">
        <v>43861</v>
      </c>
      <c r="M1260" s="116">
        <v>965.55</v>
      </c>
      <c r="N1260" s="116">
        <v>976.07500000000005</v>
      </c>
      <c r="O1260" s="116">
        <v>960.5</v>
      </c>
      <c r="P1260" s="116">
        <v>974.5</v>
      </c>
      <c r="Q1260" s="116">
        <v>1931.1</v>
      </c>
      <c r="R1260">
        <v>167763</v>
      </c>
    </row>
    <row r="1261" spans="1:18" x14ac:dyDescent="0.25">
      <c r="A1261" s="170">
        <v>43862</v>
      </c>
      <c r="B1261" s="116">
        <v>977.85</v>
      </c>
      <c r="C1261" s="116">
        <v>952.77499999999998</v>
      </c>
      <c r="D1261" s="116">
        <v>941.57500000000005</v>
      </c>
      <c r="E1261" s="116">
        <v>960.72500000000002</v>
      </c>
      <c r="F1261" s="116">
        <v>1905.55</v>
      </c>
      <c r="G1261">
        <v>9325</v>
      </c>
      <c r="H1261" s="116"/>
      <c r="I1261" s="116"/>
      <c r="L1261" s="170">
        <v>43862</v>
      </c>
      <c r="M1261" s="116">
        <v>953.72500000000002</v>
      </c>
      <c r="N1261" s="116">
        <v>978</v>
      </c>
      <c r="O1261" s="116">
        <v>941.07500000000005</v>
      </c>
      <c r="P1261" s="116">
        <v>968.47500000000002</v>
      </c>
      <c r="Q1261" s="116">
        <v>1907.45</v>
      </c>
      <c r="R1261">
        <v>138676</v>
      </c>
    </row>
    <row r="1262" spans="1:18" x14ac:dyDescent="0.25">
      <c r="A1262" s="170">
        <v>43864</v>
      </c>
      <c r="B1262" s="116">
        <v>958</v>
      </c>
      <c r="C1262" s="116">
        <v>953.27499999999998</v>
      </c>
      <c r="D1262" s="116">
        <v>944.3</v>
      </c>
      <c r="E1262" s="116">
        <v>958</v>
      </c>
      <c r="F1262" s="116">
        <v>1906.55</v>
      </c>
      <c r="G1262">
        <v>2728</v>
      </c>
      <c r="H1262" s="116"/>
      <c r="I1262" s="116"/>
      <c r="L1262" s="170">
        <v>43864</v>
      </c>
      <c r="M1262" s="116">
        <v>953.05</v>
      </c>
      <c r="N1262" s="116">
        <v>958.8</v>
      </c>
      <c r="O1262" s="116">
        <v>943.9</v>
      </c>
      <c r="P1262" s="116">
        <v>953.45</v>
      </c>
      <c r="Q1262" s="116">
        <v>1906.1</v>
      </c>
      <c r="R1262">
        <v>106148</v>
      </c>
    </row>
    <row r="1263" spans="1:18" x14ac:dyDescent="0.25">
      <c r="A1263" s="170">
        <v>43865</v>
      </c>
      <c r="B1263" s="116">
        <v>968.02499999999998</v>
      </c>
      <c r="C1263" s="116">
        <v>964.02499999999998</v>
      </c>
      <c r="D1263" s="116">
        <v>958.57500000000005</v>
      </c>
      <c r="E1263" s="116">
        <v>962.45</v>
      </c>
      <c r="F1263" s="116">
        <v>1928.05</v>
      </c>
      <c r="G1263">
        <v>1800</v>
      </c>
      <c r="H1263" s="116"/>
      <c r="I1263" s="116"/>
      <c r="L1263" s="170">
        <v>43865</v>
      </c>
      <c r="M1263" s="116">
        <v>964.375</v>
      </c>
      <c r="N1263" s="116">
        <v>968.25</v>
      </c>
      <c r="O1263" s="116">
        <v>956</v>
      </c>
      <c r="P1263" s="116">
        <v>958.05</v>
      </c>
      <c r="Q1263" s="116">
        <v>1928.75</v>
      </c>
      <c r="R1263">
        <v>169619</v>
      </c>
    </row>
    <row r="1264" spans="1:18" x14ac:dyDescent="0.25">
      <c r="A1264" s="170">
        <v>43866</v>
      </c>
      <c r="B1264" s="116">
        <v>1013.1</v>
      </c>
      <c r="C1264" s="116">
        <v>1000.725</v>
      </c>
      <c r="D1264" s="116">
        <v>973.42499999999995</v>
      </c>
      <c r="E1264" s="116">
        <v>973.42499999999995</v>
      </c>
      <c r="F1264" s="116">
        <v>2001.45</v>
      </c>
      <c r="G1264">
        <v>12217</v>
      </c>
      <c r="H1264" s="116"/>
      <c r="I1264" s="116"/>
      <c r="L1264" s="170">
        <v>43866</v>
      </c>
      <c r="M1264" s="116">
        <v>1000.625</v>
      </c>
      <c r="N1264" s="116">
        <v>1013.45</v>
      </c>
      <c r="O1264" s="116">
        <v>964.4</v>
      </c>
      <c r="P1264" s="116">
        <v>970.17499999999995</v>
      </c>
      <c r="Q1264" s="116">
        <v>2001.25</v>
      </c>
      <c r="R1264">
        <v>493041</v>
      </c>
    </row>
    <row r="1265" spans="1:18" x14ac:dyDescent="0.25">
      <c r="A1265" s="170">
        <v>43867</v>
      </c>
      <c r="B1265" s="116">
        <v>1014.075</v>
      </c>
      <c r="C1265" s="116">
        <v>998.75</v>
      </c>
      <c r="D1265" s="116">
        <v>988</v>
      </c>
      <c r="E1265" s="116">
        <v>992.2</v>
      </c>
      <c r="F1265" s="116">
        <v>1997.5</v>
      </c>
      <c r="G1265">
        <v>5384</v>
      </c>
      <c r="H1265" s="116"/>
      <c r="I1265" s="116"/>
      <c r="L1265" s="170">
        <v>43867</v>
      </c>
      <c r="M1265" s="116">
        <v>1000.7</v>
      </c>
      <c r="N1265" s="116">
        <v>1014.4</v>
      </c>
      <c r="O1265" s="116">
        <v>988.45</v>
      </c>
      <c r="P1265" s="116">
        <v>990</v>
      </c>
      <c r="Q1265" s="116">
        <v>2001.4</v>
      </c>
      <c r="R1265">
        <v>688232</v>
      </c>
    </row>
    <row r="1266" spans="1:18" x14ac:dyDescent="0.25">
      <c r="A1266" s="170">
        <v>43868</v>
      </c>
      <c r="B1266" s="116">
        <v>1019.825</v>
      </c>
      <c r="C1266" s="116">
        <v>1010.675</v>
      </c>
      <c r="D1266" s="116">
        <v>999.5</v>
      </c>
      <c r="E1266" s="116">
        <v>1005.55</v>
      </c>
      <c r="F1266" s="116">
        <v>2021.35</v>
      </c>
      <c r="G1266">
        <v>6644</v>
      </c>
      <c r="H1266" s="116"/>
      <c r="I1266" s="116"/>
      <c r="L1266" s="170">
        <v>43868</v>
      </c>
      <c r="M1266" s="116">
        <v>1010.4</v>
      </c>
      <c r="N1266" s="116">
        <v>1020</v>
      </c>
      <c r="O1266" s="116">
        <v>997.8</v>
      </c>
      <c r="P1266" s="116">
        <v>1000.5</v>
      </c>
      <c r="Q1266" s="116">
        <v>2020.8</v>
      </c>
      <c r="R1266">
        <v>227600</v>
      </c>
    </row>
    <row r="1267" spans="1:18" x14ac:dyDescent="0.25">
      <c r="A1267" s="170">
        <v>43871</v>
      </c>
      <c r="B1267" s="116">
        <v>1013.05</v>
      </c>
      <c r="C1267" s="116">
        <v>1004.775</v>
      </c>
      <c r="D1267" s="116">
        <v>994.1</v>
      </c>
      <c r="E1267" s="116">
        <v>1010.5</v>
      </c>
      <c r="F1267" s="116">
        <v>2009.55</v>
      </c>
      <c r="G1267">
        <v>4987</v>
      </c>
      <c r="H1267" s="116"/>
      <c r="I1267" s="116"/>
      <c r="L1267" s="170">
        <v>43871</v>
      </c>
      <c r="M1267" s="116">
        <v>1004.6</v>
      </c>
      <c r="N1267" s="116">
        <v>1014.3</v>
      </c>
      <c r="O1267" s="116">
        <v>993.5</v>
      </c>
      <c r="P1267" s="116">
        <v>1012</v>
      </c>
      <c r="Q1267" s="116">
        <v>2009.2</v>
      </c>
      <c r="R1267">
        <v>122964</v>
      </c>
    </row>
    <row r="1268" spans="1:18" x14ac:dyDescent="0.25">
      <c r="A1268" s="170">
        <v>43872</v>
      </c>
      <c r="B1268" s="116">
        <v>1027.4749999999999</v>
      </c>
      <c r="C1268" s="116">
        <v>1007.45</v>
      </c>
      <c r="D1268" s="116">
        <v>1002.275</v>
      </c>
      <c r="E1268" s="116">
        <v>1007.5</v>
      </c>
      <c r="F1268" s="116">
        <v>2014.9</v>
      </c>
      <c r="G1268">
        <v>8402</v>
      </c>
      <c r="H1268" s="116"/>
      <c r="I1268" s="116"/>
      <c r="L1268" s="170">
        <v>43872</v>
      </c>
      <c r="M1268" s="116">
        <v>1006.875</v>
      </c>
      <c r="N1268" s="116">
        <v>1027.4749999999999</v>
      </c>
      <c r="O1268" s="116">
        <v>1002.025</v>
      </c>
      <c r="P1268" s="116">
        <v>1007.025</v>
      </c>
      <c r="Q1268" s="116">
        <v>2013.75</v>
      </c>
      <c r="R1268">
        <v>355012</v>
      </c>
    </row>
    <row r="1269" spans="1:18" x14ac:dyDescent="0.25">
      <c r="A1269" s="170">
        <v>43873</v>
      </c>
      <c r="B1269" s="116">
        <v>1011.5</v>
      </c>
      <c r="C1269" s="116">
        <v>1004.4</v>
      </c>
      <c r="D1269" s="116">
        <v>1000.45</v>
      </c>
      <c r="E1269" s="116">
        <v>1007.45</v>
      </c>
      <c r="F1269" s="116">
        <v>2008.8</v>
      </c>
      <c r="G1269">
        <v>2580</v>
      </c>
      <c r="H1269" s="116"/>
      <c r="I1269" s="116"/>
      <c r="L1269" s="170">
        <v>43873</v>
      </c>
      <c r="M1269" s="116">
        <v>1005.2</v>
      </c>
      <c r="N1269" s="116">
        <v>1011.75</v>
      </c>
      <c r="O1269" s="116">
        <v>1000</v>
      </c>
      <c r="P1269" s="116">
        <v>1007.5</v>
      </c>
      <c r="Q1269" s="116">
        <v>2010.4</v>
      </c>
      <c r="R1269">
        <v>205356</v>
      </c>
    </row>
    <row r="1270" spans="1:18" x14ac:dyDescent="0.25">
      <c r="A1270" s="170">
        <v>43874</v>
      </c>
      <c r="B1270" s="116">
        <v>1044.5</v>
      </c>
      <c r="C1270" s="116">
        <v>1040.55</v>
      </c>
      <c r="D1270" s="116">
        <v>990</v>
      </c>
      <c r="E1270" s="116">
        <v>1005</v>
      </c>
      <c r="F1270" s="116">
        <v>2081.1</v>
      </c>
      <c r="G1270">
        <v>24773</v>
      </c>
      <c r="H1270" s="116"/>
      <c r="I1270" s="116"/>
      <c r="L1270" s="170">
        <v>43874</v>
      </c>
      <c r="M1270" s="116">
        <v>1040.0999999999999</v>
      </c>
      <c r="N1270" s="116">
        <v>1044.95</v>
      </c>
      <c r="O1270" s="116">
        <v>990</v>
      </c>
      <c r="P1270" s="116">
        <v>1001.5</v>
      </c>
      <c r="Q1270" s="116">
        <v>2080.1999999999998</v>
      </c>
      <c r="R1270">
        <v>589126</v>
      </c>
    </row>
    <row r="1271" spans="1:18" x14ac:dyDescent="0.25">
      <c r="A1271" s="170">
        <v>43875</v>
      </c>
      <c r="B1271" s="116">
        <v>1059.5999999999999</v>
      </c>
      <c r="C1271" s="116">
        <v>1056.1500000000001</v>
      </c>
      <c r="D1271" s="116">
        <v>1031.6500000000001</v>
      </c>
      <c r="E1271" s="116">
        <v>1042.5</v>
      </c>
      <c r="F1271" s="116">
        <v>2112.3000000000002</v>
      </c>
      <c r="G1271">
        <v>16009</v>
      </c>
      <c r="H1271" s="116"/>
      <c r="I1271" s="116"/>
      <c r="L1271" s="170">
        <v>43875</v>
      </c>
      <c r="M1271" s="116">
        <v>1056.25</v>
      </c>
      <c r="N1271" s="116">
        <v>1060</v>
      </c>
      <c r="O1271" s="116">
        <v>1032</v>
      </c>
      <c r="P1271" s="116">
        <v>1046.575</v>
      </c>
      <c r="Q1271" s="116">
        <v>2112.5</v>
      </c>
      <c r="R1271">
        <v>636955</v>
      </c>
    </row>
    <row r="1272" spans="1:18" x14ac:dyDescent="0.25">
      <c r="A1272" s="170">
        <v>43878</v>
      </c>
      <c r="B1272" s="116">
        <v>1077.2</v>
      </c>
      <c r="C1272" s="116">
        <v>1072.7750000000001</v>
      </c>
      <c r="D1272" s="116">
        <v>1052.25</v>
      </c>
      <c r="E1272" s="116">
        <v>1062.45</v>
      </c>
      <c r="F1272" s="116">
        <v>2145.5500000000002</v>
      </c>
      <c r="G1272">
        <v>8978</v>
      </c>
      <c r="H1272" s="116"/>
      <c r="I1272" s="116"/>
      <c r="L1272" s="170">
        <v>43878</v>
      </c>
      <c r="M1272" s="116">
        <v>1071.675</v>
      </c>
      <c r="N1272" s="116">
        <v>1077.5</v>
      </c>
      <c r="O1272" s="116">
        <v>1051.125</v>
      </c>
      <c r="P1272" s="116">
        <v>1057.5</v>
      </c>
      <c r="Q1272" s="116">
        <v>2143.35</v>
      </c>
      <c r="R1272">
        <v>380411</v>
      </c>
    </row>
    <row r="1273" spans="1:18" x14ac:dyDescent="0.25">
      <c r="A1273" s="170">
        <v>43879</v>
      </c>
      <c r="B1273" s="116">
        <v>1078.3</v>
      </c>
      <c r="C1273" s="116">
        <v>1066</v>
      </c>
      <c r="D1273" s="116">
        <v>1057.0250000000001</v>
      </c>
      <c r="E1273" s="116">
        <v>1067.5</v>
      </c>
      <c r="F1273" s="116">
        <v>2132</v>
      </c>
      <c r="G1273">
        <v>6462</v>
      </c>
      <c r="H1273" s="116"/>
      <c r="I1273" s="116"/>
      <c r="L1273" s="170">
        <v>43879</v>
      </c>
      <c r="M1273" s="116">
        <v>1065.95</v>
      </c>
      <c r="N1273" s="116">
        <v>1079</v>
      </c>
      <c r="O1273" s="116">
        <v>1056.7</v>
      </c>
      <c r="P1273" s="116">
        <v>1071.5</v>
      </c>
      <c r="Q1273" s="116">
        <v>2131.9</v>
      </c>
      <c r="R1273">
        <v>168303</v>
      </c>
    </row>
    <row r="1274" spans="1:18" x14ac:dyDescent="0.25">
      <c r="A1274" s="170">
        <v>43880</v>
      </c>
      <c r="B1274" s="116">
        <v>1142.9749999999999</v>
      </c>
      <c r="C1274" s="116">
        <v>1120.825</v>
      </c>
      <c r="D1274" s="116">
        <v>1067.325</v>
      </c>
      <c r="E1274" s="116">
        <v>1070</v>
      </c>
      <c r="F1274" s="116">
        <v>2241.65</v>
      </c>
      <c r="G1274">
        <v>132776</v>
      </c>
      <c r="H1274" s="116"/>
      <c r="I1274" s="116"/>
      <c r="L1274" s="170">
        <v>43880</v>
      </c>
      <c r="M1274" s="116">
        <v>1121.075</v>
      </c>
      <c r="N1274" s="116">
        <v>1143.625</v>
      </c>
      <c r="O1274" s="116">
        <v>1067.55</v>
      </c>
      <c r="P1274" s="116">
        <v>1070.95</v>
      </c>
      <c r="Q1274" s="116">
        <v>2242.15</v>
      </c>
      <c r="R1274">
        <v>809752</v>
      </c>
    </row>
    <row r="1275" spans="1:18" x14ac:dyDescent="0.25">
      <c r="A1275" s="170">
        <v>43881</v>
      </c>
      <c r="B1275" s="116">
        <v>1129.45</v>
      </c>
      <c r="C1275" s="116">
        <v>1117.9000000000001</v>
      </c>
      <c r="D1275" s="116">
        <v>1114.45</v>
      </c>
      <c r="E1275" s="116">
        <v>1121</v>
      </c>
      <c r="F1275" s="116">
        <v>2235.8000000000002</v>
      </c>
      <c r="G1275">
        <v>17350</v>
      </c>
      <c r="H1275" s="116"/>
      <c r="I1275" s="116"/>
      <c r="L1275" s="170">
        <v>43881</v>
      </c>
      <c r="M1275" s="116">
        <v>1119.4749999999999</v>
      </c>
      <c r="N1275" s="116">
        <v>1129.5</v>
      </c>
      <c r="O1275" s="116">
        <v>1115.0250000000001</v>
      </c>
      <c r="P1275" s="116">
        <v>1120</v>
      </c>
      <c r="Q1275" s="116">
        <v>2238.9499999999998</v>
      </c>
      <c r="R1275">
        <v>266143</v>
      </c>
    </row>
    <row r="1276" spans="1:18" x14ac:dyDescent="0.25">
      <c r="A1276" s="170">
        <v>43885</v>
      </c>
      <c r="B1276" s="116">
        <v>1118.675</v>
      </c>
      <c r="C1276" s="116">
        <v>1086.3</v>
      </c>
      <c r="D1276" s="116">
        <v>1080.5999999999999</v>
      </c>
      <c r="E1276" s="116">
        <v>1116.5</v>
      </c>
      <c r="F1276" s="116">
        <v>2172.6</v>
      </c>
      <c r="G1276">
        <v>10998</v>
      </c>
      <c r="H1276" s="116"/>
      <c r="I1276" s="116"/>
      <c r="L1276" s="170">
        <v>43885</v>
      </c>
      <c r="M1276" s="116">
        <v>1085.4749999999999</v>
      </c>
      <c r="N1276" s="116">
        <v>1119.7</v>
      </c>
      <c r="O1276" s="116">
        <v>1081.4000000000001</v>
      </c>
      <c r="P1276" s="116">
        <v>1119.4749999999999</v>
      </c>
      <c r="Q1276" s="116">
        <v>2170.9499999999998</v>
      </c>
      <c r="R1276">
        <v>175961</v>
      </c>
    </row>
    <row r="1277" spans="1:18" x14ac:dyDescent="0.25">
      <c r="A1277" s="170">
        <v>43886</v>
      </c>
      <c r="B1277" s="116">
        <v>1114.125</v>
      </c>
      <c r="C1277" s="116">
        <v>1104.925</v>
      </c>
      <c r="D1277" s="116">
        <v>1087.5</v>
      </c>
      <c r="E1277" s="116">
        <v>1087.5</v>
      </c>
      <c r="F1277" s="116">
        <v>2209.85</v>
      </c>
      <c r="G1277">
        <v>21989</v>
      </c>
      <c r="H1277" s="116"/>
      <c r="I1277" s="116"/>
      <c r="L1277" s="170">
        <v>43886</v>
      </c>
      <c r="M1277" s="116">
        <v>1104.4749999999999</v>
      </c>
      <c r="N1277" s="116">
        <v>1114.925</v>
      </c>
      <c r="O1277" s="116">
        <v>1082.5</v>
      </c>
      <c r="P1277" s="116">
        <v>1086</v>
      </c>
      <c r="Q1277" s="116">
        <v>2208.9499999999998</v>
      </c>
      <c r="R1277">
        <v>246177</v>
      </c>
    </row>
    <row r="1278" spans="1:18" x14ac:dyDescent="0.25">
      <c r="A1278" s="170">
        <v>43887</v>
      </c>
      <c r="B1278" s="116">
        <v>1140.5</v>
      </c>
      <c r="C1278" s="116">
        <v>1124.7750000000001</v>
      </c>
      <c r="D1278" s="116">
        <v>1100</v>
      </c>
      <c r="E1278" s="116">
        <v>1100</v>
      </c>
      <c r="F1278" s="116">
        <v>2249.5500000000002</v>
      </c>
      <c r="G1278">
        <v>12103</v>
      </c>
      <c r="H1278" s="116"/>
      <c r="I1278" s="116"/>
      <c r="L1278" s="170">
        <v>43887</v>
      </c>
      <c r="M1278" s="116">
        <v>1125.55</v>
      </c>
      <c r="N1278" s="116">
        <v>1142</v>
      </c>
      <c r="O1278" s="116">
        <v>1100.8</v>
      </c>
      <c r="P1278" s="116">
        <v>1109.8499999999999</v>
      </c>
      <c r="Q1278" s="116">
        <v>2251.1</v>
      </c>
      <c r="R1278">
        <v>471362</v>
      </c>
    </row>
    <row r="1279" spans="1:18" x14ac:dyDescent="0.25">
      <c r="A1279" s="170">
        <v>43888</v>
      </c>
      <c r="B1279" s="116">
        <v>1130.375</v>
      </c>
      <c r="C1279" s="116">
        <v>1087.2249999999999</v>
      </c>
      <c r="D1279" s="116">
        <v>1072.7</v>
      </c>
      <c r="E1279" s="116">
        <v>1124.825</v>
      </c>
      <c r="F1279" s="116">
        <v>2174.4499999999998</v>
      </c>
      <c r="G1279">
        <v>11520</v>
      </c>
      <c r="H1279" s="116"/>
      <c r="I1279" s="116"/>
      <c r="L1279" s="170">
        <v>43888</v>
      </c>
      <c r="M1279" s="116">
        <v>1084.4749999999999</v>
      </c>
      <c r="N1279" s="116">
        <v>1132.5</v>
      </c>
      <c r="O1279" s="116">
        <v>1070</v>
      </c>
      <c r="P1279" s="116">
        <v>1128.4000000000001</v>
      </c>
      <c r="Q1279" s="116">
        <v>2168.9499999999998</v>
      </c>
      <c r="R1279">
        <v>483554</v>
      </c>
    </row>
    <row r="1280" spans="1:18" x14ac:dyDescent="0.25">
      <c r="A1280" s="170">
        <v>43889</v>
      </c>
      <c r="B1280" s="116">
        <v>1109</v>
      </c>
      <c r="C1280" s="116">
        <v>1074.55</v>
      </c>
      <c r="D1280" s="116">
        <v>1063.5250000000001</v>
      </c>
      <c r="E1280" s="116">
        <v>1077.4000000000001</v>
      </c>
      <c r="F1280" s="116">
        <v>2149.1</v>
      </c>
      <c r="G1280">
        <v>10862</v>
      </c>
      <c r="H1280" s="116"/>
      <c r="I1280" s="116"/>
      <c r="L1280" s="170">
        <v>43889</v>
      </c>
      <c r="M1280" s="116">
        <v>1075.1500000000001</v>
      </c>
      <c r="N1280" s="116">
        <v>1109.2</v>
      </c>
      <c r="O1280" s="116">
        <v>1061.5999999999999</v>
      </c>
      <c r="P1280" s="116">
        <v>1081.5</v>
      </c>
      <c r="Q1280" s="116">
        <v>2150.3000000000002</v>
      </c>
      <c r="R1280">
        <v>580440</v>
      </c>
    </row>
    <row r="1281" spans="1:18" x14ac:dyDescent="0.25">
      <c r="A1281" s="170">
        <v>43892</v>
      </c>
      <c r="B1281" s="116">
        <v>1091.625</v>
      </c>
      <c r="C1281" s="116">
        <v>1063</v>
      </c>
      <c r="D1281" s="116">
        <v>1050.0250000000001</v>
      </c>
      <c r="E1281" s="116">
        <v>1050.0250000000001</v>
      </c>
      <c r="F1281" s="116">
        <v>2126</v>
      </c>
      <c r="G1281">
        <v>12437</v>
      </c>
      <c r="H1281" s="116"/>
      <c r="I1281" s="116"/>
      <c r="L1281" s="170">
        <v>43892</v>
      </c>
      <c r="M1281" s="116">
        <v>1063.625</v>
      </c>
      <c r="N1281" s="116">
        <v>1091.5999999999999</v>
      </c>
      <c r="O1281" s="116">
        <v>1055.125</v>
      </c>
      <c r="P1281" s="116">
        <v>1081</v>
      </c>
      <c r="Q1281" s="116">
        <v>2127.25</v>
      </c>
      <c r="R1281">
        <v>284021</v>
      </c>
    </row>
    <row r="1282" spans="1:18" x14ac:dyDescent="0.25">
      <c r="A1282" s="170">
        <v>43893</v>
      </c>
      <c r="B1282" s="116">
        <v>1076</v>
      </c>
      <c r="C1282" s="116">
        <v>1073.4749999999999</v>
      </c>
      <c r="D1282" s="116">
        <v>1045.2249999999999</v>
      </c>
      <c r="E1282" s="116">
        <v>1062</v>
      </c>
      <c r="F1282" s="116">
        <v>2146.9499999999998</v>
      </c>
      <c r="G1282">
        <v>8402</v>
      </c>
      <c r="H1282" s="116"/>
      <c r="I1282" s="116"/>
      <c r="L1282" s="170">
        <v>43893</v>
      </c>
      <c r="M1282" s="116">
        <v>1072.875</v>
      </c>
      <c r="N1282" s="116">
        <v>1078.425</v>
      </c>
      <c r="O1282" s="116">
        <v>1045.25</v>
      </c>
      <c r="P1282" s="116">
        <v>1063.625</v>
      </c>
      <c r="Q1282" s="116">
        <v>2145.75</v>
      </c>
      <c r="R1282">
        <v>394502</v>
      </c>
    </row>
    <row r="1283" spans="1:18" x14ac:dyDescent="0.25">
      <c r="A1283" s="170">
        <v>43894</v>
      </c>
      <c r="B1283" s="116">
        <v>1101</v>
      </c>
      <c r="C1283" s="116">
        <v>1094.325</v>
      </c>
      <c r="D1283" s="116">
        <v>1068.2249999999999</v>
      </c>
      <c r="E1283" s="116">
        <v>1082.5</v>
      </c>
      <c r="F1283" s="116">
        <v>2188.65</v>
      </c>
      <c r="G1283">
        <v>18925</v>
      </c>
      <c r="H1283" s="116"/>
      <c r="I1283" s="116"/>
      <c r="L1283" s="170">
        <v>43894</v>
      </c>
      <c r="M1283" s="116">
        <v>1091.575</v>
      </c>
      <c r="N1283" s="116">
        <v>1102.2</v>
      </c>
      <c r="O1283" s="116">
        <v>1067.875</v>
      </c>
      <c r="P1283" s="116">
        <v>1077.875</v>
      </c>
      <c r="Q1283" s="116">
        <v>2183.15</v>
      </c>
      <c r="R1283">
        <v>639835</v>
      </c>
    </row>
    <row r="1284" spans="1:18" x14ac:dyDescent="0.25">
      <c r="A1284" s="170">
        <v>43895</v>
      </c>
      <c r="B1284" s="116">
        <v>1122.5</v>
      </c>
      <c r="C1284" s="116">
        <v>1106.2249999999999</v>
      </c>
      <c r="D1284" s="116">
        <v>1097.2</v>
      </c>
      <c r="E1284" s="116">
        <v>1100</v>
      </c>
      <c r="F1284" s="116">
        <v>2212.4499999999998</v>
      </c>
      <c r="G1284">
        <v>9772</v>
      </c>
      <c r="H1284" s="116"/>
      <c r="I1284" s="116"/>
      <c r="L1284" s="170">
        <v>43895</v>
      </c>
      <c r="M1284" s="116">
        <v>1106.9749999999999</v>
      </c>
      <c r="N1284" s="116">
        <v>1122.5</v>
      </c>
      <c r="O1284" s="116">
        <v>1084</v>
      </c>
      <c r="P1284" s="116">
        <v>1086.575</v>
      </c>
      <c r="Q1284" s="116">
        <v>2213.9499999999998</v>
      </c>
      <c r="R1284">
        <v>601063</v>
      </c>
    </row>
    <row r="1285" spans="1:18" x14ac:dyDescent="0.25">
      <c r="A1285" s="170">
        <v>43896</v>
      </c>
      <c r="B1285" s="116">
        <v>1113.5250000000001</v>
      </c>
      <c r="C1285" s="116">
        <v>1096.2</v>
      </c>
      <c r="D1285" s="116">
        <v>1082.4000000000001</v>
      </c>
      <c r="E1285" s="116">
        <v>1092.5</v>
      </c>
      <c r="F1285" s="116">
        <v>2192.4</v>
      </c>
      <c r="G1285">
        <v>10350</v>
      </c>
      <c r="H1285" s="116"/>
      <c r="I1285" s="116"/>
      <c r="L1285" s="170">
        <v>43896</v>
      </c>
      <c r="M1285" s="116">
        <v>1098.05</v>
      </c>
      <c r="N1285" s="116">
        <v>1113.875</v>
      </c>
      <c r="O1285" s="116">
        <v>1080.0250000000001</v>
      </c>
      <c r="P1285" s="116">
        <v>1097.5</v>
      </c>
      <c r="Q1285" s="116">
        <v>2196.1</v>
      </c>
      <c r="R1285">
        <v>501486</v>
      </c>
    </row>
    <row r="1286" spans="1:18" x14ac:dyDescent="0.25">
      <c r="A1286" s="170">
        <v>43899</v>
      </c>
      <c r="B1286" s="116">
        <v>1098.6500000000001</v>
      </c>
      <c r="C1286" s="116">
        <v>1049.7249999999999</v>
      </c>
      <c r="D1286" s="116">
        <v>1010</v>
      </c>
      <c r="E1286" s="116">
        <v>1091.3499999999999</v>
      </c>
      <c r="F1286" s="116">
        <v>2099.4499999999998</v>
      </c>
      <c r="G1286">
        <v>9534</v>
      </c>
      <c r="H1286" s="116"/>
      <c r="I1286" s="116"/>
      <c r="L1286" s="170">
        <v>43899</v>
      </c>
      <c r="M1286" s="116">
        <v>1049.825</v>
      </c>
      <c r="N1286" s="116">
        <v>1098.75</v>
      </c>
      <c r="O1286" s="116">
        <v>1010.05</v>
      </c>
      <c r="P1286" s="116">
        <v>1098.05</v>
      </c>
      <c r="Q1286" s="116">
        <v>2099.65</v>
      </c>
      <c r="R1286">
        <v>461888</v>
      </c>
    </row>
    <row r="1287" spans="1:18" x14ac:dyDescent="0.25">
      <c r="A1287" s="170">
        <v>43901</v>
      </c>
      <c r="B1287" s="116">
        <v>1080.3499999999999</v>
      </c>
      <c r="C1287" s="116">
        <v>1069.0999999999999</v>
      </c>
      <c r="D1287" s="116">
        <v>1025.05</v>
      </c>
      <c r="E1287" s="116">
        <v>1050</v>
      </c>
      <c r="F1287" s="116">
        <v>2138.1999999999998</v>
      </c>
      <c r="G1287">
        <v>6916</v>
      </c>
      <c r="H1287" s="116"/>
      <c r="I1287" s="116"/>
      <c r="L1287" s="170">
        <v>43901</v>
      </c>
      <c r="M1287" s="116">
        <v>1069.45</v>
      </c>
      <c r="N1287" s="116">
        <v>1080.675</v>
      </c>
      <c r="O1287" s="116">
        <v>1025.5</v>
      </c>
      <c r="P1287" s="116">
        <v>1049.825</v>
      </c>
      <c r="Q1287" s="116">
        <v>2138.9</v>
      </c>
      <c r="R1287">
        <v>432383</v>
      </c>
    </row>
    <row r="1288" spans="1:18" x14ac:dyDescent="0.25">
      <c r="A1288" s="170">
        <v>43902</v>
      </c>
      <c r="B1288" s="116">
        <v>1065</v>
      </c>
      <c r="C1288" s="116">
        <v>992.57500000000005</v>
      </c>
      <c r="D1288" s="116">
        <v>980.85</v>
      </c>
      <c r="E1288" s="116">
        <v>1065</v>
      </c>
      <c r="F1288" s="116">
        <v>1985.15</v>
      </c>
      <c r="G1288">
        <v>12828</v>
      </c>
      <c r="H1288" s="116"/>
      <c r="I1288" s="116"/>
      <c r="L1288" s="170">
        <v>43902</v>
      </c>
      <c r="M1288" s="116">
        <v>993.95</v>
      </c>
      <c r="N1288" s="116">
        <v>1060</v>
      </c>
      <c r="O1288" s="116">
        <v>978.4</v>
      </c>
      <c r="P1288" s="116">
        <v>1047.5</v>
      </c>
      <c r="Q1288" s="116">
        <v>1987.9</v>
      </c>
      <c r="R1288">
        <v>333475</v>
      </c>
    </row>
    <row r="1289" spans="1:18" x14ac:dyDescent="0.25">
      <c r="A1289" s="170">
        <v>43903</v>
      </c>
      <c r="B1289" s="116">
        <v>1010.5</v>
      </c>
      <c r="C1289" s="116">
        <v>990.1</v>
      </c>
      <c r="D1289" s="116">
        <v>895</v>
      </c>
      <c r="E1289" s="116">
        <v>918</v>
      </c>
      <c r="F1289" s="116">
        <v>1980.2</v>
      </c>
      <c r="G1289">
        <v>16932</v>
      </c>
      <c r="H1289" s="116"/>
      <c r="I1289" s="116"/>
      <c r="L1289" s="170">
        <v>43903</v>
      </c>
      <c r="M1289" s="116">
        <v>989.25</v>
      </c>
      <c r="N1289" s="116">
        <v>1070.425</v>
      </c>
      <c r="O1289" s="116">
        <v>895</v>
      </c>
      <c r="P1289" s="116">
        <v>905</v>
      </c>
      <c r="Q1289" s="116">
        <v>1978.5</v>
      </c>
      <c r="R1289">
        <v>659496</v>
      </c>
    </row>
    <row r="1290" spans="1:18" x14ac:dyDescent="0.25">
      <c r="A1290" s="170">
        <v>43906</v>
      </c>
      <c r="B1290" s="116">
        <v>1011.55</v>
      </c>
      <c r="C1290" s="116">
        <v>981.35</v>
      </c>
      <c r="D1290" s="116">
        <v>936</v>
      </c>
      <c r="E1290" s="116">
        <v>962.42499999999995</v>
      </c>
      <c r="F1290" s="116">
        <v>1962.7</v>
      </c>
      <c r="G1290">
        <v>9623</v>
      </c>
      <c r="H1290" s="116"/>
      <c r="I1290" s="116"/>
      <c r="L1290" s="170">
        <v>43906</v>
      </c>
      <c r="M1290" s="116">
        <v>980.07500000000005</v>
      </c>
      <c r="N1290" s="116">
        <v>1012</v>
      </c>
      <c r="O1290" s="116">
        <v>934.17499999999995</v>
      </c>
      <c r="P1290" s="116">
        <v>974.85</v>
      </c>
      <c r="Q1290" s="116">
        <v>1960.15</v>
      </c>
      <c r="R1290">
        <v>679253</v>
      </c>
    </row>
    <row r="1291" spans="1:18" x14ac:dyDescent="0.25">
      <c r="A1291" s="170">
        <v>43907</v>
      </c>
      <c r="B1291" s="116">
        <v>1012.5</v>
      </c>
      <c r="C1291" s="116">
        <v>992.22500000000002</v>
      </c>
      <c r="D1291" s="116">
        <v>966.55</v>
      </c>
      <c r="E1291" s="116">
        <v>982.5</v>
      </c>
      <c r="F1291" s="116">
        <v>1984.45</v>
      </c>
      <c r="G1291">
        <v>6838</v>
      </c>
      <c r="H1291" s="116"/>
      <c r="I1291" s="116"/>
      <c r="L1291" s="170">
        <v>43907</v>
      </c>
      <c r="M1291" s="116">
        <v>993</v>
      </c>
      <c r="N1291" s="116">
        <v>1013.275</v>
      </c>
      <c r="O1291" s="116">
        <v>965.77499999999998</v>
      </c>
      <c r="P1291" s="116">
        <v>977.5</v>
      </c>
      <c r="Q1291" s="116">
        <v>1986</v>
      </c>
      <c r="R1291">
        <v>393923</v>
      </c>
    </row>
    <row r="1292" spans="1:18" x14ac:dyDescent="0.25">
      <c r="A1292" s="170">
        <v>43908</v>
      </c>
      <c r="B1292" s="116">
        <v>997.05</v>
      </c>
      <c r="C1292" s="116">
        <v>907.25</v>
      </c>
      <c r="D1292" s="116">
        <v>901.5</v>
      </c>
      <c r="E1292" s="116">
        <v>993</v>
      </c>
      <c r="F1292" s="116">
        <v>1814.5</v>
      </c>
      <c r="G1292">
        <v>20049</v>
      </c>
      <c r="H1292" s="116"/>
      <c r="I1292" s="116"/>
      <c r="L1292" s="170">
        <v>43908</v>
      </c>
      <c r="M1292" s="116">
        <v>907.625</v>
      </c>
      <c r="N1292" s="116">
        <v>999.95</v>
      </c>
      <c r="O1292" s="116">
        <v>901.52499999999998</v>
      </c>
      <c r="P1292" s="116">
        <v>989.5</v>
      </c>
      <c r="Q1292" s="116">
        <v>1815.25</v>
      </c>
      <c r="R1292">
        <v>529872</v>
      </c>
    </row>
    <row r="1293" spans="1:18" x14ac:dyDescent="0.25">
      <c r="A1293" s="170">
        <v>43909</v>
      </c>
      <c r="B1293" s="116">
        <v>915.4</v>
      </c>
      <c r="C1293" s="116">
        <v>883.55</v>
      </c>
      <c r="D1293" s="116">
        <v>809.5</v>
      </c>
      <c r="E1293" s="116">
        <v>892.5</v>
      </c>
      <c r="F1293" s="116">
        <v>1767.1</v>
      </c>
      <c r="G1293">
        <v>20386</v>
      </c>
      <c r="H1293" s="116"/>
      <c r="I1293" s="116"/>
      <c r="L1293" s="170">
        <v>43909</v>
      </c>
      <c r="M1293" s="116">
        <v>886.05</v>
      </c>
      <c r="N1293" s="116">
        <v>916.2</v>
      </c>
      <c r="O1293" s="116">
        <v>791.625</v>
      </c>
      <c r="P1293" s="116">
        <v>890</v>
      </c>
      <c r="Q1293" s="116">
        <v>1772.1</v>
      </c>
      <c r="R1293">
        <v>383729</v>
      </c>
    </row>
    <row r="1294" spans="1:18" x14ac:dyDescent="0.25">
      <c r="A1294" s="170">
        <v>43910</v>
      </c>
      <c r="B1294" s="116">
        <v>967.07500000000005</v>
      </c>
      <c r="C1294" s="116">
        <v>953.15</v>
      </c>
      <c r="D1294" s="116">
        <v>899.3</v>
      </c>
      <c r="E1294" s="116">
        <v>915.25</v>
      </c>
      <c r="F1294" s="116">
        <v>1906.3</v>
      </c>
      <c r="G1294">
        <v>17072</v>
      </c>
      <c r="H1294" s="116"/>
      <c r="I1294" s="116"/>
      <c r="L1294" s="170">
        <v>43910</v>
      </c>
      <c r="M1294" s="116">
        <v>946.95</v>
      </c>
      <c r="N1294" s="116">
        <v>968.22500000000002</v>
      </c>
      <c r="O1294" s="116">
        <v>893</v>
      </c>
      <c r="P1294" s="116">
        <v>907.5</v>
      </c>
      <c r="Q1294" s="116">
        <v>1893.9</v>
      </c>
      <c r="R1294">
        <v>583576</v>
      </c>
    </row>
    <row r="1295" spans="1:18" x14ac:dyDescent="0.25">
      <c r="A1295" s="170">
        <v>43913</v>
      </c>
      <c r="B1295" s="116">
        <v>947.5</v>
      </c>
      <c r="C1295" s="116">
        <v>898.1</v>
      </c>
      <c r="D1295" s="116">
        <v>857.85</v>
      </c>
      <c r="E1295" s="116">
        <v>947.5</v>
      </c>
      <c r="F1295" s="116">
        <v>1796.2</v>
      </c>
      <c r="G1295">
        <v>10730</v>
      </c>
      <c r="H1295" s="116"/>
      <c r="I1295" s="116"/>
      <c r="L1295" s="170">
        <v>43913</v>
      </c>
      <c r="M1295" s="116">
        <v>898.07500000000005</v>
      </c>
      <c r="N1295" s="116">
        <v>916.85</v>
      </c>
      <c r="O1295" s="116">
        <v>853.5</v>
      </c>
      <c r="P1295" s="116">
        <v>853.5</v>
      </c>
      <c r="Q1295" s="116">
        <v>1796.15</v>
      </c>
      <c r="R1295">
        <v>306205</v>
      </c>
    </row>
    <row r="1296" spans="1:18" x14ac:dyDescent="0.25">
      <c r="A1296" s="170">
        <v>43914</v>
      </c>
      <c r="B1296" s="116">
        <v>953.875</v>
      </c>
      <c r="C1296" s="116">
        <v>909.625</v>
      </c>
      <c r="D1296" s="116">
        <v>870.25</v>
      </c>
      <c r="E1296" s="116">
        <v>933.82500000000005</v>
      </c>
      <c r="F1296" s="116">
        <v>1819.25</v>
      </c>
      <c r="G1296">
        <v>14876</v>
      </c>
      <c r="H1296" s="116"/>
      <c r="I1296" s="116"/>
      <c r="L1296" s="170">
        <v>43914</v>
      </c>
      <c r="M1296" s="116">
        <v>909.17499999999995</v>
      </c>
      <c r="N1296" s="116">
        <v>960</v>
      </c>
      <c r="O1296" s="116">
        <v>867.3</v>
      </c>
      <c r="P1296" s="116">
        <v>915.47500000000002</v>
      </c>
      <c r="Q1296" s="116">
        <v>1818.35</v>
      </c>
      <c r="R1296">
        <v>317838</v>
      </c>
    </row>
    <row r="1297" spans="1:18" x14ac:dyDescent="0.25">
      <c r="A1297" s="170">
        <v>43915</v>
      </c>
      <c r="B1297" s="116">
        <v>910.75</v>
      </c>
      <c r="C1297" s="116">
        <v>894.65</v>
      </c>
      <c r="D1297" s="116">
        <v>856.9</v>
      </c>
      <c r="E1297" s="116">
        <v>906.1</v>
      </c>
      <c r="F1297" s="116">
        <v>1789.3</v>
      </c>
      <c r="G1297">
        <v>8466</v>
      </c>
      <c r="H1297" s="116"/>
      <c r="I1297" s="116"/>
      <c r="L1297" s="170">
        <v>43915</v>
      </c>
      <c r="M1297" s="116">
        <v>889.625</v>
      </c>
      <c r="N1297" s="116">
        <v>911.875</v>
      </c>
      <c r="O1297" s="116">
        <v>855.75</v>
      </c>
      <c r="P1297" s="116">
        <v>888.55</v>
      </c>
      <c r="Q1297" s="116">
        <v>1779.25</v>
      </c>
      <c r="R1297">
        <v>334449</v>
      </c>
    </row>
    <row r="1298" spans="1:18" x14ac:dyDescent="0.25">
      <c r="A1298" s="170">
        <v>43916</v>
      </c>
      <c r="B1298" s="116">
        <v>927</v>
      </c>
      <c r="C1298" s="116">
        <v>905.875</v>
      </c>
      <c r="D1298" s="116">
        <v>866</v>
      </c>
      <c r="E1298" s="116">
        <v>866</v>
      </c>
      <c r="F1298" s="116">
        <v>1811.75</v>
      </c>
      <c r="G1298">
        <v>7256</v>
      </c>
      <c r="H1298" s="116"/>
      <c r="I1298" s="116"/>
      <c r="L1298" s="170">
        <v>43916</v>
      </c>
      <c r="M1298" s="116">
        <v>907.67499999999995</v>
      </c>
      <c r="N1298" s="116">
        <v>924.8</v>
      </c>
      <c r="O1298" s="116">
        <v>880.6</v>
      </c>
      <c r="P1298" s="116">
        <v>884.97500000000002</v>
      </c>
      <c r="Q1298" s="116">
        <v>1815.35</v>
      </c>
      <c r="R1298">
        <v>288574</v>
      </c>
    </row>
    <row r="1299" spans="1:18" x14ac:dyDescent="0.25">
      <c r="A1299" s="170">
        <v>43917</v>
      </c>
      <c r="B1299" s="116">
        <v>946.8</v>
      </c>
      <c r="C1299" s="116">
        <v>928.07500000000005</v>
      </c>
      <c r="D1299" s="116">
        <v>895.9</v>
      </c>
      <c r="E1299" s="116">
        <v>905.55</v>
      </c>
      <c r="F1299" s="116">
        <v>1856.15</v>
      </c>
      <c r="G1299">
        <v>8338</v>
      </c>
      <c r="H1299" s="116"/>
      <c r="I1299" s="116"/>
      <c r="L1299" s="170">
        <v>43917</v>
      </c>
      <c r="M1299" s="116">
        <v>930.07500000000005</v>
      </c>
      <c r="N1299" s="116">
        <v>947.5</v>
      </c>
      <c r="O1299" s="116">
        <v>895.5</v>
      </c>
      <c r="P1299" s="116">
        <v>914.47500000000002</v>
      </c>
      <c r="Q1299" s="116">
        <v>1860.15</v>
      </c>
      <c r="R1299">
        <v>358853</v>
      </c>
    </row>
    <row r="1300" spans="1:18" x14ac:dyDescent="0.25">
      <c r="A1300" s="170">
        <v>43920</v>
      </c>
      <c r="B1300" s="116">
        <v>995.92499999999995</v>
      </c>
      <c r="C1300" s="116">
        <v>978.72500000000002</v>
      </c>
      <c r="D1300" s="116">
        <v>907.125</v>
      </c>
      <c r="E1300" s="116">
        <v>937</v>
      </c>
      <c r="F1300" s="116">
        <v>1957.45</v>
      </c>
      <c r="G1300">
        <v>11292</v>
      </c>
      <c r="H1300" s="116"/>
      <c r="I1300" s="116"/>
      <c r="L1300" s="170">
        <v>43920</v>
      </c>
      <c r="M1300" s="116">
        <v>980.05</v>
      </c>
      <c r="N1300" s="116">
        <v>996.57500000000005</v>
      </c>
      <c r="O1300" s="116">
        <v>906.35</v>
      </c>
      <c r="P1300" s="116">
        <v>910</v>
      </c>
      <c r="Q1300" s="116">
        <v>1960.1</v>
      </c>
      <c r="R1300">
        <v>454835</v>
      </c>
    </row>
    <row r="1301" spans="1:18" x14ac:dyDescent="0.25">
      <c r="A1301" s="170">
        <v>43921</v>
      </c>
      <c r="B1301" s="116">
        <v>1003.475</v>
      </c>
      <c r="C1301" s="116">
        <v>985.75</v>
      </c>
      <c r="D1301" s="116">
        <v>976.22500000000002</v>
      </c>
      <c r="E1301" s="116">
        <v>990.15</v>
      </c>
      <c r="F1301" s="116">
        <v>1971.5</v>
      </c>
      <c r="G1301">
        <v>8316</v>
      </c>
      <c r="H1301" s="116"/>
      <c r="I1301" s="116"/>
      <c r="L1301" s="170">
        <v>43921</v>
      </c>
      <c r="M1301" s="116">
        <v>985.9</v>
      </c>
      <c r="N1301" s="116">
        <v>1004</v>
      </c>
      <c r="O1301" s="116">
        <v>976</v>
      </c>
      <c r="P1301" s="116">
        <v>989.85</v>
      </c>
      <c r="Q1301" s="116">
        <v>1971.8</v>
      </c>
      <c r="R1301">
        <v>324803</v>
      </c>
    </row>
    <row r="1302" spans="1:18" x14ac:dyDescent="0.25">
      <c r="A1302" s="170">
        <v>43922</v>
      </c>
      <c r="B1302" s="116">
        <v>989.97500000000002</v>
      </c>
      <c r="C1302" s="116">
        <v>980.22500000000002</v>
      </c>
      <c r="D1302" s="116">
        <v>966.65</v>
      </c>
      <c r="E1302" s="116">
        <v>986.05</v>
      </c>
      <c r="F1302" s="116">
        <v>1960.45</v>
      </c>
      <c r="G1302">
        <v>3011</v>
      </c>
      <c r="H1302" s="116"/>
      <c r="I1302" s="116"/>
      <c r="L1302" s="170">
        <v>43922</v>
      </c>
      <c r="M1302" s="116">
        <v>979.5</v>
      </c>
      <c r="N1302" s="116">
        <v>991.57500000000005</v>
      </c>
      <c r="O1302" s="116">
        <v>966</v>
      </c>
      <c r="P1302" s="116">
        <v>989</v>
      </c>
      <c r="Q1302" s="116">
        <v>1959</v>
      </c>
      <c r="R1302">
        <v>96972</v>
      </c>
    </row>
    <row r="1303" spans="1:18" x14ac:dyDescent="0.25">
      <c r="A1303" s="170">
        <v>43924</v>
      </c>
      <c r="B1303" s="116">
        <v>1056</v>
      </c>
      <c r="C1303" s="116">
        <v>1038.55</v>
      </c>
      <c r="D1303" s="116">
        <v>977.05</v>
      </c>
      <c r="E1303" s="116">
        <v>993.2</v>
      </c>
      <c r="F1303" s="116">
        <v>2077.1</v>
      </c>
      <c r="G1303">
        <v>22474</v>
      </c>
      <c r="H1303" s="116"/>
      <c r="I1303" s="116"/>
      <c r="L1303" s="170">
        <v>43924</v>
      </c>
      <c r="M1303" s="116">
        <v>1038.5</v>
      </c>
      <c r="N1303" s="116">
        <v>1056.5</v>
      </c>
      <c r="O1303" s="116">
        <v>975</v>
      </c>
      <c r="P1303" s="116">
        <v>989.5</v>
      </c>
      <c r="Q1303" s="116">
        <v>2077</v>
      </c>
      <c r="R1303">
        <v>1013029</v>
      </c>
    </row>
    <row r="1304" spans="1:18" x14ac:dyDescent="0.25">
      <c r="A1304" s="170">
        <v>43928</v>
      </c>
      <c r="B1304" s="116">
        <v>1194.325</v>
      </c>
      <c r="C1304" s="116">
        <v>1180.675</v>
      </c>
      <c r="D1304" s="116">
        <v>1071.7750000000001</v>
      </c>
      <c r="E1304" s="116">
        <v>1107</v>
      </c>
      <c r="F1304" s="116">
        <v>2361.35</v>
      </c>
      <c r="G1304">
        <v>35281</v>
      </c>
      <c r="H1304" s="116"/>
      <c r="I1304" s="116"/>
      <c r="L1304" s="170">
        <v>43928</v>
      </c>
      <c r="M1304" s="116">
        <v>1177.175</v>
      </c>
      <c r="N1304" s="116">
        <v>1194.2750000000001</v>
      </c>
      <c r="O1304" s="116">
        <v>1056.1500000000001</v>
      </c>
      <c r="P1304" s="116">
        <v>1079.875</v>
      </c>
      <c r="Q1304" s="116">
        <v>2354.35</v>
      </c>
      <c r="R1304">
        <v>1104575</v>
      </c>
    </row>
    <row r="1305" spans="1:18" x14ac:dyDescent="0.25">
      <c r="A1305" s="170">
        <v>43929</v>
      </c>
      <c r="B1305" s="116">
        <v>1320.4749999999999</v>
      </c>
      <c r="C1305" s="116">
        <v>1265.925</v>
      </c>
      <c r="D1305" s="116">
        <v>1182.5</v>
      </c>
      <c r="E1305" s="116">
        <v>1182.5</v>
      </c>
      <c r="F1305" s="116">
        <v>2531.85</v>
      </c>
      <c r="G1305">
        <v>63559</v>
      </c>
      <c r="H1305" s="116"/>
      <c r="I1305" s="116"/>
      <c r="L1305" s="170">
        <v>43929</v>
      </c>
      <c r="M1305" s="116">
        <v>1268.675</v>
      </c>
      <c r="N1305" s="116">
        <v>1322.45</v>
      </c>
      <c r="O1305" s="116">
        <v>1180</v>
      </c>
      <c r="P1305" s="116">
        <v>1190</v>
      </c>
      <c r="Q1305" s="116">
        <v>2537.35</v>
      </c>
      <c r="R1305">
        <v>2038810</v>
      </c>
    </row>
    <row r="1306" spans="1:18" x14ac:dyDescent="0.25">
      <c r="A1306" s="170">
        <v>43930</v>
      </c>
      <c r="B1306" s="116">
        <v>1339.7249999999999</v>
      </c>
      <c r="C1306" s="116">
        <v>1277.625</v>
      </c>
      <c r="D1306" s="116">
        <v>1212.5250000000001</v>
      </c>
      <c r="E1306" s="116">
        <v>1317.5</v>
      </c>
      <c r="F1306" s="116">
        <v>2555.25</v>
      </c>
      <c r="G1306">
        <v>30335</v>
      </c>
      <c r="H1306" s="116"/>
      <c r="I1306" s="116"/>
      <c r="L1306" s="170">
        <v>43930</v>
      </c>
      <c r="M1306" s="116">
        <v>1275.175</v>
      </c>
      <c r="N1306" s="116">
        <v>1349.5</v>
      </c>
      <c r="O1306" s="116">
        <v>1212.5</v>
      </c>
      <c r="P1306" s="116">
        <v>1349.5</v>
      </c>
      <c r="Q1306" s="116">
        <v>2550.35</v>
      </c>
      <c r="R1306">
        <v>1337620</v>
      </c>
    </row>
    <row r="1307" spans="1:18" x14ac:dyDescent="0.25">
      <c r="A1307" s="170">
        <v>43934</v>
      </c>
      <c r="B1307" s="116">
        <v>1291.4749999999999</v>
      </c>
      <c r="C1307" s="116">
        <v>1186.875</v>
      </c>
      <c r="D1307" s="116">
        <v>1169.25</v>
      </c>
      <c r="E1307" s="116">
        <v>1277.625</v>
      </c>
      <c r="F1307" s="116">
        <v>2373.75</v>
      </c>
      <c r="G1307">
        <v>34391</v>
      </c>
      <c r="H1307" s="116"/>
      <c r="I1307" s="116"/>
      <c r="L1307" s="170">
        <v>43934</v>
      </c>
      <c r="M1307" s="116">
        <v>1187.6500000000001</v>
      </c>
      <c r="N1307" s="116">
        <v>1292</v>
      </c>
      <c r="O1307" s="116">
        <v>1168</v>
      </c>
      <c r="P1307" s="116">
        <v>1275.5</v>
      </c>
      <c r="Q1307" s="116">
        <v>2375.3000000000002</v>
      </c>
      <c r="R1307">
        <v>1226493</v>
      </c>
    </row>
    <row r="1308" spans="1:18" x14ac:dyDescent="0.25">
      <c r="A1308" s="170">
        <v>43936</v>
      </c>
      <c r="B1308" s="116">
        <v>1232.5250000000001</v>
      </c>
      <c r="C1308" s="116">
        <v>1149.7249999999999</v>
      </c>
      <c r="D1308" s="116">
        <v>1126.825</v>
      </c>
      <c r="E1308" s="116">
        <v>1200</v>
      </c>
      <c r="F1308" s="116">
        <v>2299.4499999999998</v>
      </c>
      <c r="G1308">
        <v>57484</v>
      </c>
      <c r="H1308" s="116"/>
      <c r="I1308" s="116"/>
      <c r="L1308" s="170">
        <v>43936</v>
      </c>
      <c r="M1308" s="116">
        <v>1148.2249999999999</v>
      </c>
      <c r="N1308" s="116">
        <v>1234.4749999999999</v>
      </c>
      <c r="O1308" s="116">
        <v>1125.075</v>
      </c>
      <c r="P1308" s="116">
        <v>1188</v>
      </c>
      <c r="Q1308" s="116">
        <v>2296.4499999999998</v>
      </c>
      <c r="R1308">
        <v>1034987</v>
      </c>
    </row>
    <row r="1309" spans="1:18" x14ac:dyDescent="0.25">
      <c r="A1309" s="170">
        <v>43937</v>
      </c>
      <c r="B1309" s="116">
        <v>1176.125</v>
      </c>
      <c r="C1309" s="116">
        <v>1164.425</v>
      </c>
      <c r="D1309" s="116">
        <v>1122.25</v>
      </c>
      <c r="E1309" s="116">
        <v>1170.7</v>
      </c>
      <c r="F1309" s="116">
        <v>2328.85</v>
      </c>
      <c r="G1309">
        <v>120810</v>
      </c>
      <c r="H1309" s="116"/>
      <c r="I1309" s="116"/>
      <c r="L1309" s="170">
        <v>43937</v>
      </c>
      <c r="M1309" s="116">
        <v>1167.425</v>
      </c>
      <c r="N1309" s="116">
        <v>1177.125</v>
      </c>
      <c r="O1309" s="116">
        <v>1121.3</v>
      </c>
      <c r="P1309" s="116">
        <v>1156.825</v>
      </c>
      <c r="Q1309" s="116">
        <v>2334.85</v>
      </c>
      <c r="R1309">
        <v>986137</v>
      </c>
    </row>
    <row r="1310" spans="1:18" x14ac:dyDescent="0.25">
      <c r="A1310" s="170">
        <v>43938</v>
      </c>
      <c r="B1310" s="116">
        <v>1199.5</v>
      </c>
      <c r="C1310" s="116">
        <v>1123.45</v>
      </c>
      <c r="D1310" s="116">
        <v>1113.5999999999999</v>
      </c>
      <c r="E1310" s="116">
        <v>1192.5</v>
      </c>
      <c r="F1310" s="116">
        <v>2246.9</v>
      </c>
      <c r="G1310">
        <v>26220</v>
      </c>
      <c r="H1310" s="116"/>
      <c r="I1310" s="116"/>
      <c r="L1310" s="170">
        <v>43938</v>
      </c>
      <c r="M1310" s="116">
        <v>1123.4000000000001</v>
      </c>
      <c r="N1310" s="116">
        <v>1201.95</v>
      </c>
      <c r="O1310" s="116">
        <v>1112.5</v>
      </c>
      <c r="P1310" s="116">
        <v>1190</v>
      </c>
      <c r="Q1310" s="116">
        <v>2246.8000000000002</v>
      </c>
      <c r="R1310">
        <v>1219315</v>
      </c>
    </row>
    <row r="1311" spans="1:18" x14ac:dyDescent="0.25">
      <c r="A1311" s="170">
        <v>43941</v>
      </c>
      <c r="B1311" s="116">
        <v>1197.125</v>
      </c>
      <c r="C1311" s="116">
        <v>1167.05</v>
      </c>
      <c r="D1311" s="116">
        <v>1123.5</v>
      </c>
      <c r="E1311" s="116">
        <v>1123.5</v>
      </c>
      <c r="F1311" s="116">
        <v>2334.1</v>
      </c>
      <c r="G1311">
        <v>25649</v>
      </c>
      <c r="H1311" s="116"/>
      <c r="I1311" s="116"/>
      <c r="L1311" s="170">
        <v>43941</v>
      </c>
      <c r="M1311" s="116">
        <v>1165.625</v>
      </c>
      <c r="N1311" s="116">
        <v>1197.8499999999999</v>
      </c>
      <c r="O1311" s="116">
        <v>1128.3</v>
      </c>
      <c r="P1311" s="116">
        <v>1133</v>
      </c>
      <c r="Q1311" s="116">
        <v>2331.25</v>
      </c>
      <c r="R1311">
        <v>811360</v>
      </c>
    </row>
    <row r="1312" spans="1:18" x14ac:dyDescent="0.25">
      <c r="A1312" s="170">
        <v>43942</v>
      </c>
      <c r="B1312" s="116">
        <v>1229.875</v>
      </c>
      <c r="C1312" s="116">
        <v>1172.675</v>
      </c>
      <c r="D1312" s="116">
        <v>1130.25</v>
      </c>
      <c r="E1312" s="116">
        <v>1140</v>
      </c>
      <c r="F1312" s="116">
        <v>2345.35</v>
      </c>
      <c r="G1312">
        <v>28966</v>
      </c>
      <c r="H1312" s="116"/>
      <c r="I1312" s="116"/>
      <c r="L1312" s="170">
        <v>43942</v>
      </c>
      <c r="M1312" s="116">
        <v>1175.2750000000001</v>
      </c>
      <c r="N1312" s="116">
        <v>1230</v>
      </c>
      <c r="O1312" s="116">
        <v>1130</v>
      </c>
      <c r="P1312" s="116">
        <v>1134.4749999999999</v>
      </c>
      <c r="Q1312" s="116">
        <v>2350.5500000000002</v>
      </c>
      <c r="R1312">
        <v>1093085</v>
      </c>
    </row>
    <row r="1313" spans="1:18" x14ac:dyDescent="0.25">
      <c r="A1313" s="170">
        <v>43943</v>
      </c>
      <c r="B1313" s="116">
        <v>1226.5</v>
      </c>
      <c r="C1313" s="116">
        <v>1222.575</v>
      </c>
      <c r="D1313" s="116">
        <v>1183.0250000000001</v>
      </c>
      <c r="E1313" s="116">
        <v>1197.5</v>
      </c>
      <c r="F1313" s="116">
        <v>2445.15</v>
      </c>
      <c r="G1313">
        <v>17425</v>
      </c>
      <c r="H1313" s="116"/>
      <c r="I1313" s="116"/>
      <c r="L1313" s="170">
        <v>43943</v>
      </c>
      <c r="M1313" s="116">
        <v>1222.125</v>
      </c>
      <c r="N1313" s="116">
        <v>1227.5</v>
      </c>
      <c r="O1313" s="116">
        <v>1177.5</v>
      </c>
      <c r="P1313" s="116">
        <v>1184.05</v>
      </c>
      <c r="Q1313" s="116">
        <v>2444.25</v>
      </c>
      <c r="R1313">
        <v>841982</v>
      </c>
    </row>
    <row r="1314" spans="1:18" x14ac:dyDescent="0.25">
      <c r="A1314" s="170">
        <v>43944</v>
      </c>
      <c r="B1314" s="116">
        <v>1275</v>
      </c>
      <c r="C1314" s="116">
        <v>1210.55</v>
      </c>
      <c r="D1314" s="116">
        <v>1202.5</v>
      </c>
      <c r="E1314" s="116">
        <v>1230.0250000000001</v>
      </c>
      <c r="F1314" s="116">
        <v>2421.1</v>
      </c>
      <c r="G1314">
        <v>25175</v>
      </c>
      <c r="H1314" s="116"/>
      <c r="I1314" s="116"/>
      <c r="L1314" s="170">
        <v>43944</v>
      </c>
      <c r="M1314" s="116">
        <v>1211.325</v>
      </c>
      <c r="N1314" s="116">
        <v>1274.5</v>
      </c>
      <c r="O1314" s="116">
        <v>1201.5</v>
      </c>
      <c r="P1314" s="116">
        <v>1239.925</v>
      </c>
      <c r="Q1314" s="116">
        <v>2422.65</v>
      </c>
      <c r="R1314">
        <v>855019</v>
      </c>
    </row>
    <row r="1315" spans="1:18" x14ac:dyDescent="0.25">
      <c r="A1315" s="170">
        <v>43945</v>
      </c>
      <c r="B1315" s="116">
        <v>1250</v>
      </c>
      <c r="C1315" s="116">
        <v>1215.8</v>
      </c>
      <c r="D1315" s="116">
        <v>1181.7</v>
      </c>
      <c r="E1315" s="116">
        <v>1230</v>
      </c>
      <c r="F1315" s="116">
        <v>2431.6</v>
      </c>
      <c r="G1315">
        <v>19349</v>
      </c>
      <c r="H1315" s="116"/>
      <c r="I1315" s="116"/>
      <c r="L1315" s="170">
        <v>43945</v>
      </c>
      <c r="M1315" s="116">
        <v>1215.25</v>
      </c>
      <c r="N1315" s="116">
        <v>1244</v>
      </c>
      <c r="O1315" s="116">
        <v>1180.825</v>
      </c>
      <c r="P1315" s="116">
        <v>1215</v>
      </c>
      <c r="Q1315" s="116">
        <v>2430.5</v>
      </c>
      <c r="R1315">
        <v>676697</v>
      </c>
    </row>
    <row r="1316" spans="1:18" x14ac:dyDescent="0.25">
      <c r="A1316" s="170">
        <v>43948</v>
      </c>
      <c r="B1316" s="116">
        <v>1261</v>
      </c>
      <c r="C1316" s="116">
        <v>1253.6500000000001</v>
      </c>
      <c r="D1316" s="116">
        <v>1212.5</v>
      </c>
      <c r="E1316" s="116">
        <v>1235</v>
      </c>
      <c r="F1316" s="116">
        <v>2507.3000000000002</v>
      </c>
      <c r="G1316">
        <v>17370</v>
      </c>
      <c r="H1316" s="116"/>
      <c r="I1316" s="116"/>
      <c r="L1316" s="170">
        <v>43948</v>
      </c>
      <c r="M1316" s="116">
        <v>1254.55</v>
      </c>
      <c r="N1316" s="116">
        <v>1262.45</v>
      </c>
      <c r="O1316" s="116">
        <v>1211.2750000000001</v>
      </c>
      <c r="P1316" s="116">
        <v>1237.5</v>
      </c>
      <c r="Q1316" s="116">
        <v>2509.1</v>
      </c>
      <c r="R1316">
        <v>886661</v>
      </c>
    </row>
    <row r="1317" spans="1:18" x14ac:dyDescent="0.25">
      <c r="A1317" s="170">
        <v>43949</v>
      </c>
      <c r="B1317" s="116">
        <v>1287.4000000000001</v>
      </c>
      <c r="C1317" s="116">
        <v>1239.7249999999999</v>
      </c>
      <c r="D1317" s="116">
        <v>1230.2750000000001</v>
      </c>
      <c r="E1317" s="116">
        <v>1264.75</v>
      </c>
      <c r="F1317" s="116">
        <v>2479.4499999999998</v>
      </c>
      <c r="G1317">
        <v>12591</v>
      </c>
      <c r="H1317" s="116"/>
      <c r="I1317" s="116"/>
      <c r="L1317" s="170">
        <v>43949</v>
      </c>
      <c r="M1317" s="116">
        <v>1240.325</v>
      </c>
      <c r="N1317" s="116">
        <v>1287.5</v>
      </c>
      <c r="O1317" s="116">
        <v>1230</v>
      </c>
      <c r="P1317" s="116">
        <v>1269.5</v>
      </c>
      <c r="Q1317" s="116">
        <v>2480.65</v>
      </c>
      <c r="R1317">
        <v>693564</v>
      </c>
    </row>
    <row r="1318" spans="1:18" x14ac:dyDescent="0.25">
      <c r="A1318" s="170">
        <v>43950</v>
      </c>
      <c r="B1318" s="116">
        <v>1265</v>
      </c>
      <c r="C1318" s="116">
        <v>1209.95</v>
      </c>
      <c r="D1318" s="116">
        <v>1199.8499999999999</v>
      </c>
      <c r="E1318" s="116">
        <v>1261</v>
      </c>
      <c r="F1318" s="116">
        <v>2419.9</v>
      </c>
      <c r="G1318">
        <v>7452</v>
      </c>
      <c r="H1318" s="116"/>
      <c r="I1318" s="116"/>
      <c r="L1318" s="170">
        <v>43950</v>
      </c>
      <c r="M1318" s="116">
        <v>1210.175</v>
      </c>
      <c r="N1318" s="116">
        <v>1267.4749999999999</v>
      </c>
      <c r="O1318" s="116">
        <v>1198.3</v>
      </c>
      <c r="P1318" s="116">
        <v>1245</v>
      </c>
      <c r="Q1318" s="116">
        <v>2420.35</v>
      </c>
      <c r="R1318">
        <v>431182</v>
      </c>
    </row>
    <row r="1319" spans="1:18" x14ac:dyDescent="0.25">
      <c r="A1319" s="170">
        <v>43951</v>
      </c>
      <c r="B1319" s="116">
        <v>1239.95</v>
      </c>
      <c r="C1319" s="116">
        <v>1172.25</v>
      </c>
      <c r="D1319" s="116">
        <v>1161.625</v>
      </c>
      <c r="E1319" s="116">
        <v>1239.95</v>
      </c>
      <c r="F1319" s="116">
        <v>2344.5</v>
      </c>
      <c r="G1319">
        <v>18890</v>
      </c>
      <c r="H1319" s="116"/>
      <c r="I1319" s="116"/>
      <c r="L1319" s="170">
        <v>43951</v>
      </c>
      <c r="M1319" s="116">
        <v>1172.7</v>
      </c>
      <c r="N1319" s="116">
        <v>1236</v>
      </c>
      <c r="O1319" s="116">
        <v>1160.2249999999999</v>
      </c>
      <c r="P1319" s="116">
        <v>1230.05</v>
      </c>
      <c r="Q1319" s="116">
        <v>2345.4</v>
      </c>
      <c r="R1319">
        <v>711473</v>
      </c>
    </row>
    <row r="1320" spans="1:18" x14ac:dyDescent="0.25">
      <c r="A1320" s="170">
        <v>43955</v>
      </c>
      <c r="B1320" s="116">
        <v>1211.55</v>
      </c>
      <c r="C1320" s="116">
        <v>1187.5250000000001</v>
      </c>
      <c r="D1320" s="116">
        <v>1160.3499999999999</v>
      </c>
      <c r="E1320" s="116">
        <v>1172.5</v>
      </c>
      <c r="F1320" s="116">
        <v>2375.0500000000002</v>
      </c>
      <c r="G1320">
        <v>28523</v>
      </c>
      <c r="H1320" s="116"/>
      <c r="I1320" s="116"/>
      <c r="L1320" s="170">
        <v>43955</v>
      </c>
      <c r="M1320" s="116">
        <v>1187.925</v>
      </c>
      <c r="N1320" s="116">
        <v>1212.5</v>
      </c>
      <c r="O1320" s="116">
        <v>1161</v>
      </c>
      <c r="P1320" s="116">
        <v>1170</v>
      </c>
      <c r="Q1320" s="116">
        <v>2375.85</v>
      </c>
      <c r="R1320">
        <v>1005595</v>
      </c>
    </row>
    <row r="1321" spans="1:18" x14ac:dyDescent="0.25">
      <c r="A1321" s="170">
        <v>43956</v>
      </c>
      <c r="B1321" s="116">
        <v>1219.75</v>
      </c>
      <c r="C1321" s="116">
        <v>1182.55</v>
      </c>
      <c r="D1321" s="116">
        <v>1176.125</v>
      </c>
      <c r="E1321" s="116">
        <v>1196</v>
      </c>
      <c r="F1321" s="116">
        <v>2365.1</v>
      </c>
      <c r="G1321">
        <v>12230</v>
      </c>
      <c r="H1321" s="116"/>
      <c r="I1321" s="116"/>
      <c r="L1321" s="170">
        <v>43956</v>
      </c>
      <c r="M1321" s="116">
        <v>1182.925</v>
      </c>
      <c r="N1321" s="116">
        <v>1220</v>
      </c>
      <c r="O1321" s="116">
        <v>1176.3499999999999</v>
      </c>
      <c r="P1321" s="116">
        <v>1203.3</v>
      </c>
      <c r="Q1321" s="116">
        <v>2365.85</v>
      </c>
      <c r="R1321">
        <v>571452</v>
      </c>
    </row>
    <row r="1322" spans="1:18" x14ac:dyDescent="0.25">
      <c r="A1322" s="170">
        <v>43957</v>
      </c>
      <c r="B1322" s="116">
        <v>1198.0250000000001</v>
      </c>
      <c r="C1322" s="116">
        <v>1160.45</v>
      </c>
      <c r="D1322" s="116">
        <v>1149.2750000000001</v>
      </c>
      <c r="E1322" s="116">
        <v>1182.55</v>
      </c>
      <c r="F1322" s="116">
        <v>2320.9</v>
      </c>
      <c r="G1322">
        <v>11714</v>
      </c>
      <c r="H1322" s="116"/>
      <c r="I1322" s="116"/>
      <c r="L1322" s="170">
        <v>43957</v>
      </c>
      <c r="M1322" s="116">
        <v>1160.3499999999999</v>
      </c>
      <c r="N1322" s="116">
        <v>1198.95</v>
      </c>
      <c r="O1322" s="116">
        <v>1148.2249999999999</v>
      </c>
      <c r="P1322" s="116">
        <v>1180</v>
      </c>
      <c r="Q1322" s="116">
        <v>2320.6999999999998</v>
      </c>
      <c r="R1322">
        <v>414431</v>
      </c>
    </row>
    <row r="1323" spans="1:18" x14ac:dyDescent="0.25">
      <c r="A1323" s="170">
        <v>43958</v>
      </c>
      <c r="B1323" s="116">
        <v>1215</v>
      </c>
      <c r="C1323" s="116">
        <v>1177.8</v>
      </c>
      <c r="D1323" s="116">
        <v>1162</v>
      </c>
      <c r="E1323" s="116">
        <v>1162</v>
      </c>
      <c r="F1323" s="116">
        <v>2355.6</v>
      </c>
      <c r="G1323">
        <v>12956</v>
      </c>
      <c r="H1323" s="116"/>
      <c r="I1323" s="116"/>
      <c r="L1323" s="170">
        <v>43958</v>
      </c>
      <c r="M1323" s="116">
        <v>1177.3</v>
      </c>
      <c r="N1323" s="116">
        <v>1215</v>
      </c>
      <c r="O1323" s="116">
        <v>1165.825</v>
      </c>
      <c r="P1323" s="116">
        <v>1169</v>
      </c>
      <c r="Q1323" s="116">
        <v>2354.6</v>
      </c>
      <c r="R1323">
        <v>516753</v>
      </c>
    </row>
    <row r="1324" spans="1:18" x14ac:dyDescent="0.25">
      <c r="A1324" s="170">
        <v>43959</v>
      </c>
      <c r="B1324" s="116">
        <v>1224.925</v>
      </c>
      <c r="C1324" s="116">
        <v>1221.1500000000001</v>
      </c>
      <c r="D1324" s="116">
        <v>1174</v>
      </c>
      <c r="E1324" s="116">
        <v>1212.5</v>
      </c>
      <c r="F1324" s="116">
        <v>2442.3000000000002</v>
      </c>
      <c r="G1324">
        <v>16544</v>
      </c>
      <c r="H1324" s="116"/>
      <c r="I1324" s="116"/>
      <c r="L1324" s="170">
        <v>43959</v>
      </c>
      <c r="M1324" s="116">
        <v>1219.3</v>
      </c>
      <c r="N1324" s="116">
        <v>1225</v>
      </c>
      <c r="O1324" s="116">
        <v>1173.0999999999999</v>
      </c>
      <c r="P1324" s="116">
        <v>1195</v>
      </c>
      <c r="Q1324" s="116">
        <v>2438.6</v>
      </c>
      <c r="R1324">
        <v>606554</v>
      </c>
    </row>
    <row r="1325" spans="1:18" x14ac:dyDescent="0.25">
      <c r="A1325" s="170">
        <v>43962</v>
      </c>
      <c r="B1325" s="116">
        <v>1253.925</v>
      </c>
      <c r="C1325" s="116">
        <v>1247.075</v>
      </c>
      <c r="D1325" s="116">
        <v>1222.2750000000001</v>
      </c>
      <c r="E1325" s="116">
        <v>1226.175</v>
      </c>
      <c r="F1325" s="116">
        <v>2494.15</v>
      </c>
      <c r="G1325">
        <v>53082</v>
      </c>
      <c r="H1325" s="116"/>
      <c r="I1325" s="116"/>
      <c r="L1325" s="170">
        <v>43962</v>
      </c>
      <c r="M1325" s="116">
        <v>1247.95</v>
      </c>
      <c r="N1325" s="116">
        <v>1254.7</v>
      </c>
      <c r="O1325" s="116">
        <v>1221.4749999999999</v>
      </c>
      <c r="P1325" s="116">
        <v>1227.5</v>
      </c>
      <c r="Q1325" s="116">
        <v>2495.9</v>
      </c>
      <c r="R1325">
        <v>813951</v>
      </c>
    </row>
    <row r="1326" spans="1:18" x14ac:dyDescent="0.25">
      <c r="A1326" s="170">
        <v>43963</v>
      </c>
      <c r="B1326" s="116">
        <v>1262.5</v>
      </c>
      <c r="C1326" s="116">
        <v>1222.575</v>
      </c>
      <c r="D1326" s="116">
        <v>1199.425</v>
      </c>
      <c r="E1326" s="116">
        <v>1260</v>
      </c>
      <c r="F1326" s="116">
        <v>2445.15</v>
      </c>
      <c r="G1326">
        <v>19609</v>
      </c>
      <c r="H1326" s="116"/>
      <c r="I1326" s="116"/>
      <c r="L1326" s="170">
        <v>43963</v>
      </c>
      <c r="M1326" s="116">
        <v>1222.6500000000001</v>
      </c>
      <c r="N1326" s="116">
        <v>1262.5</v>
      </c>
      <c r="O1326" s="116">
        <v>1199.2750000000001</v>
      </c>
      <c r="P1326" s="116">
        <v>1259</v>
      </c>
      <c r="Q1326" s="116">
        <v>2445.3000000000002</v>
      </c>
      <c r="R1326">
        <v>657312</v>
      </c>
    </row>
    <row r="1327" spans="1:18" x14ac:dyDescent="0.25">
      <c r="A1327" s="170">
        <v>43964</v>
      </c>
      <c r="B1327" s="116">
        <v>1257.5</v>
      </c>
      <c r="C1327" s="116">
        <v>1201.7750000000001</v>
      </c>
      <c r="D1327" s="116">
        <v>1179.8499999999999</v>
      </c>
      <c r="E1327" s="116">
        <v>1227.5</v>
      </c>
      <c r="F1327" s="116">
        <v>2403.5500000000002</v>
      </c>
      <c r="G1327">
        <v>16148</v>
      </c>
      <c r="H1327" s="116"/>
      <c r="I1327" s="116"/>
      <c r="L1327" s="170">
        <v>43964</v>
      </c>
      <c r="M1327" s="116">
        <v>1202.075</v>
      </c>
      <c r="N1327" s="116">
        <v>1250.5</v>
      </c>
      <c r="O1327" s="116">
        <v>1179</v>
      </c>
      <c r="P1327" s="116">
        <v>1245</v>
      </c>
      <c r="Q1327" s="116">
        <v>2404.15</v>
      </c>
      <c r="R1327">
        <v>738126</v>
      </c>
    </row>
    <row r="1328" spans="1:18" x14ac:dyDescent="0.25">
      <c r="A1328" s="170">
        <v>43965</v>
      </c>
      <c r="B1328" s="116">
        <v>1223.175</v>
      </c>
      <c r="C1328" s="116">
        <v>1204.4000000000001</v>
      </c>
      <c r="D1328" s="116">
        <v>1189.575</v>
      </c>
      <c r="E1328" s="116">
        <v>1191.7</v>
      </c>
      <c r="F1328" s="116">
        <v>2408.8000000000002</v>
      </c>
      <c r="G1328">
        <v>11716</v>
      </c>
      <c r="H1328" s="116"/>
      <c r="I1328" s="116"/>
      <c r="L1328" s="170">
        <v>43965</v>
      </c>
      <c r="M1328" s="116">
        <v>1204.25</v>
      </c>
      <c r="N1328" s="116">
        <v>1224.4749999999999</v>
      </c>
      <c r="O1328" s="116">
        <v>1187.0999999999999</v>
      </c>
      <c r="P1328" s="116">
        <v>1199.375</v>
      </c>
      <c r="Q1328" s="116">
        <v>2408.5</v>
      </c>
      <c r="R1328">
        <v>563271</v>
      </c>
    </row>
    <row r="1329" spans="1:18" x14ac:dyDescent="0.25">
      <c r="A1329" s="170">
        <v>43966</v>
      </c>
      <c r="B1329" s="116">
        <v>1234.5</v>
      </c>
      <c r="C1329" s="116">
        <v>1231.45</v>
      </c>
      <c r="D1329" s="116">
        <v>1211.8</v>
      </c>
      <c r="E1329" s="116">
        <v>1225</v>
      </c>
      <c r="F1329" s="116">
        <v>2462.9</v>
      </c>
      <c r="G1329">
        <v>13747</v>
      </c>
      <c r="H1329" s="116"/>
      <c r="I1329" s="116"/>
      <c r="L1329" s="170">
        <v>43966</v>
      </c>
      <c r="M1329" s="116">
        <v>1230.7249999999999</v>
      </c>
      <c r="N1329" s="116">
        <v>1235</v>
      </c>
      <c r="O1329" s="116">
        <v>1208</v>
      </c>
      <c r="P1329" s="116">
        <v>1215</v>
      </c>
      <c r="Q1329" s="116">
        <v>2461.4499999999998</v>
      </c>
      <c r="R1329">
        <v>929318</v>
      </c>
    </row>
    <row r="1330" spans="1:18" x14ac:dyDescent="0.25">
      <c r="A1330" s="170">
        <v>43969</v>
      </c>
      <c r="B1330" s="116">
        <v>1264.25</v>
      </c>
      <c r="C1330" s="116">
        <v>1249.5999999999999</v>
      </c>
      <c r="D1330" s="116">
        <v>1235</v>
      </c>
      <c r="E1330" s="116">
        <v>1235</v>
      </c>
      <c r="F1330" s="116">
        <v>2499.1999999999998</v>
      </c>
      <c r="G1330">
        <v>18302</v>
      </c>
      <c r="H1330" s="116"/>
      <c r="I1330" s="116"/>
      <c r="L1330" s="170">
        <v>43969</v>
      </c>
      <c r="M1330" s="116">
        <v>1248.625</v>
      </c>
      <c r="N1330" s="116">
        <v>1264.825</v>
      </c>
      <c r="O1330" s="116">
        <v>1233</v>
      </c>
      <c r="P1330" s="116">
        <v>1235</v>
      </c>
      <c r="Q1330" s="116">
        <v>2497.25</v>
      </c>
      <c r="R1330">
        <v>991837</v>
      </c>
    </row>
    <row r="1331" spans="1:18" x14ac:dyDescent="0.25">
      <c r="A1331" s="170">
        <v>43970</v>
      </c>
      <c r="B1331" s="116">
        <v>1263.125</v>
      </c>
      <c r="C1331" s="116">
        <v>1250.2249999999999</v>
      </c>
      <c r="D1331" s="116">
        <v>1235</v>
      </c>
      <c r="E1331" s="116">
        <v>1253.55</v>
      </c>
      <c r="F1331" s="116">
        <v>2500.4499999999998</v>
      </c>
      <c r="G1331">
        <v>10665</v>
      </c>
      <c r="H1331" s="116"/>
      <c r="I1331" s="116"/>
      <c r="L1331" s="170">
        <v>43970</v>
      </c>
      <c r="M1331" s="116">
        <v>1249.5250000000001</v>
      </c>
      <c r="N1331" s="116">
        <v>1266.3499999999999</v>
      </c>
      <c r="O1331" s="116">
        <v>1234</v>
      </c>
      <c r="P1331" s="116">
        <v>1255</v>
      </c>
      <c r="Q1331" s="116">
        <v>2499.0500000000002</v>
      </c>
      <c r="R1331">
        <v>559421</v>
      </c>
    </row>
    <row r="1332" spans="1:18" x14ac:dyDescent="0.25">
      <c r="A1332" s="170">
        <v>43971</v>
      </c>
      <c r="B1332" s="116">
        <v>1295.9749999999999</v>
      </c>
      <c r="C1332" s="116">
        <v>1284.8</v>
      </c>
      <c r="D1332" s="116">
        <v>1254</v>
      </c>
      <c r="E1332" s="116">
        <v>1260</v>
      </c>
      <c r="F1332" s="116">
        <v>2569.6</v>
      </c>
      <c r="G1332">
        <v>16809</v>
      </c>
      <c r="H1332" s="116"/>
      <c r="I1332" s="116"/>
      <c r="L1332" s="170">
        <v>43971</v>
      </c>
      <c r="M1332" s="116">
        <v>1284.7750000000001</v>
      </c>
      <c r="N1332" s="116">
        <v>1297.05</v>
      </c>
      <c r="O1332" s="116">
        <v>1244.9000000000001</v>
      </c>
      <c r="P1332" s="116">
        <v>1250</v>
      </c>
      <c r="Q1332" s="116">
        <v>2569.5500000000002</v>
      </c>
      <c r="R1332">
        <v>716061</v>
      </c>
    </row>
    <row r="1333" spans="1:18" x14ac:dyDescent="0.25">
      <c r="A1333" s="170">
        <v>43972</v>
      </c>
      <c r="B1333" s="116">
        <v>1317.625</v>
      </c>
      <c r="C1333" s="116">
        <v>1309.5</v>
      </c>
      <c r="D1333" s="116">
        <v>1280.55</v>
      </c>
      <c r="E1333" s="116">
        <v>1296</v>
      </c>
      <c r="F1333" s="116">
        <v>2619</v>
      </c>
      <c r="G1333">
        <v>23354</v>
      </c>
      <c r="H1333" s="116"/>
      <c r="I1333" s="116"/>
      <c r="L1333" s="170">
        <v>43972</v>
      </c>
      <c r="M1333" s="116">
        <v>1309.375</v>
      </c>
      <c r="N1333" s="116">
        <v>1316.675</v>
      </c>
      <c r="O1333" s="116">
        <v>1280</v>
      </c>
      <c r="P1333" s="116">
        <v>1291</v>
      </c>
      <c r="Q1333" s="116">
        <v>2618.75</v>
      </c>
      <c r="R1333">
        <v>663661</v>
      </c>
    </row>
    <row r="1334" spans="1:18" x14ac:dyDescent="0.25">
      <c r="A1334" s="170">
        <v>43973</v>
      </c>
      <c r="B1334" s="116">
        <v>1313.75</v>
      </c>
      <c r="C1334" s="116">
        <v>1299.95</v>
      </c>
      <c r="D1334" s="116">
        <v>1295</v>
      </c>
      <c r="E1334" s="116">
        <v>1300.5</v>
      </c>
      <c r="F1334" s="116">
        <v>2599.9</v>
      </c>
      <c r="G1334">
        <v>11081</v>
      </c>
      <c r="H1334" s="116"/>
      <c r="I1334" s="116"/>
      <c r="L1334" s="170">
        <v>43973</v>
      </c>
      <c r="M1334" s="116">
        <v>1300.5</v>
      </c>
      <c r="N1334" s="116">
        <v>1315</v>
      </c>
      <c r="O1334" s="116">
        <v>1294.6500000000001</v>
      </c>
      <c r="P1334" s="116">
        <v>1307.4749999999999</v>
      </c>
      <c r="Q1334" s="116">
        <v>2601</v>
      </c>
      <c r="R1334">
        <v>648403</v>
      </c>
    </row>
    <row r="1335" spans="1:18" x14ac:dyDescent="0.25">
      <c r="A1335" s="170">
        <v>43977</v>
      </c>
      <c r="B1335" s="116">
        <v>1318</v>
      </c>
      <c r="C1335" s="116">
        <v>1290.625</v>
      </c>
      <c r="D1335" s="116">
        <v>1278.2249999999999</v>
      </c>
      <c r="E1335" s="116">
        <v>1318</v>
      </c>
      <c r="F1335" s="116">
        <v>2581.25</v>
      </c>
      <c r="G1335">
        <v>20296</v>
      </c>
      <c r="H1335" s="116"/>
      <c r="I1335" s="116"/>
      <c r="L1335" s="170">
        <v>43977</v>
      </c>
      <c r="M1335" s="116">
        <v>1290.7750000000001</v>
      </c>
      <c r="N1335" s="116">
        <v>1315.5</v>
      </c>
      <c r="O1335" s="116">
        <v>1277.5250000000001</v>
      </c>
      <c r="P1335" s="116">
        <v>1310</v>
      </c>
      <c r="Q1335" s="116">
        <v>2581.5500000000002</v>
      </c>
      <c r="R1335">
        <v>1016734</v>
      </c>
    </row>
    <row r="1336" spans="1:18" x14ac:dyDescent="0.25">
      <c r="A1336" s="170">
        <v>43978</v>
      </c>
      <c r="B1336" s="116">
        <v>1309</v>
      </c>
      <c r="C1336" s="116">
        <v>1201.7750000000001</v>
      </c>
      <c r="D1336" s="116">
        <v>1187.5</v>
      </c>
      <c r="E1336" s="116">
        <v>1309</v>
      </c>
      <c r="F1336" s="116">
        <v>2403.5500000000002</v>
      </c>
      <c r="G1336">
        <v>63430</v>
      </c>
      <c r="H1336" s="116"/>
      <c r="I1336" s="116"/>
      <c r="L1336" s="170">
        <v>43978</v>
      </c>
      <c r="M1336" s="116">
        <v>1201.2750000000001</v>
      </c>
      <c r="N1336" s="116">
        <v>1307</v>
      </c>
      <c r="O1336" s="116">
        <v>1186.1500000000001</v>
      </c>
      <c r="P1336" s="116">
        <v>1299.4749999999999</v>
      </c>
      <c r="Q1336" s="116">
        <v>2402.5500000000002</v>
      </c>
      <c r="R1336">
        <v>2379212</v>
      </c>
    </row>
    <row r="1337" spans="1:18" x14ac:dyDescent="0.25">
      <c r="A1337" s="170">
        <v>43979</v>
      </c>
      <c r="B1337" s="116">
        <v>1212.5</v>
      </c>
      <c r="C1337" s="116">
        <v>1178.575</v>
      </c>
      <c r="D1337" s="116">
        <v>1166</v>
      </c>
      <c r="E1337" s="116">
        <v>1210</v>
      </c>
      <c r="F1337" s="116">
        <v>2357.15</v>
      </c>
      <c r="G1337">
        <v>35924</v>
      </c>
      <c r="H1337" s="116"/>
      <c r="I1337" s="116"/>
      <c r="L1337" s="170">
        <v>43979</v>
      </c>
      <c r="M1337" s="116">
        <v>1178.9749999999999</v>
      </c>
      <c r="N1337" s="116">
        <v>1211.25</v>
      </c>
      <c r="O1337" s="116">
        <v>1165.5250000000001</v>
      </c>
      <c r="P1337" s="116">
        <v>1206.45</v>
      </c>
      <c r="Q1337" s="116">
        <v>2357.9499999999998</v>
      </c>
      <c r="R1337">
        <v>1371024</v>
      </c>
    </row>
    <row r="1338" spans="1:18" x14ac:dyDescent="0.25">
      <c r="A1338" s="170">
        <v>43980</v>
      </c>
      <c r="B1338" s="116">
        <v>1220.5</v>
      </c>
      <c r="C1338" s="116">
        <v>1182.4000000000001</v>
      </c>
      <c r="D1338" s="116">
        <v>1140.075</v>
      </c>
      <c r="E1338" s="116">
        <v>1188.8499999999999</v>
      </c>
      <c r="F1338" s="116">
        <v>2364.8000000000002</v>
      </c>
      <c r="G1338">
        <v>56512</v>
      </c>
      <c r="H1338" s="116"/>
      <c r="I1338" s="116"/>
      <c r="L1338" s="170">
        <v>43980</v>
      </c>
      <c r="M1338" s="116">
        <v>1181.2750000000001</v>
      </c>
      <c r="N1338" s="116">
        <v>1221.05</v>
      </c>
      <c r="O1338" s="116">
        <v>1140.5999999999999</v>
      </c>
      <c r="P1338" s="116">
        <v>1181</v>
      </c>
      <c r="Q1338" s="116">
        <v>2362.5500000000002</v>
      </c>
      <c r="R1338">
        <v>8623799</v>
      </c>
    </row>
    <row r="1339" spans="1:18" x14ac:dyDescent="0.25">
      <c r="A1339" s="170">
        <v>43983</v>
      </c>
      <c r="B1339" s="116">
        <v>1172</v>
      </c>
      <c r="C1339" s="116">
        <v>1162.8</v>
      </c>
      <c r="D1339" s="116">
        <v>1148.1500000000001</v>
      </c>
      <c r="E1339" s="116">
        <v>1159</v>
      </c>
      <c r="F1339" s="116">
        <v>2325.6</v>
      </c>
      <c r="G1339">
        <v>25177</v>
      </c>
      <c r="H1339" s="116"/>
      <c r="I1339" s="116"/>
      <c r="L1339" s="170">
        <v>43983</v>
      </c>
      <c r="M1339" s="116">
        <v>1163.5</v>
      </c>
      <c r="N1339" s="116">
        <v>1173.5</v>
      </c>
      <c r="O1339" s="116">
        <v>1148.125</v>
      </c>
      <c r="P1339" s="116">
        <v>1159.45</v>
      </c>
      <c r="Q1339" s="116">
        <v>2327</v>
      </c>
      <c r="R1339">
        <v>1171021</v>
      </c>
    </row>
    <row r="1340" spans="1:18" x14ac:dyDescent="0.25">
      <c r="A1340" s="170">
        <v>43984</v>
      </c>
      <c r="B1340" s="116">
        <v>1196</v>
      </c>
      <c r="C1340" s="116">
        <v>1184.9000000000001</v>
      </c>
      <c r="D1340" s="116">
        <v>1157.25</v>
      </c>
      <c r="E1340" s="116">
        <v>1165</v>
      </c>
      <c r="F1340" s="116">
        <v>2369.8000000000002</v>
      </c>
      <c r="G1340">
        <v>17670</v>
      </c>
      <c r="H1340" s="116"/>
      <c r="I1340" s="116"/>
      <c r="L1340" s="170">
        <v>43984</v>
      </c>
      <c r="M1340" s="116">
        <v>1184.7249999999999</v>
      </c>
      <c r="N1340" s="116">
        <v>1196.675</v>
      </c>
      <c r="O1340" s="116">
        <v>1155.05</v>
      </c>
      <c r="P1340" s="116">
        <v>1163.5</v>
      </c>
      <c r="Q1340" s="116">
        <v>2369.4499999999998</v>
      </c>
      <c r="R1340">
        <v>749262</v>
      </c>
    </row>
    <row r="1341" spans="1:18" x14ac:dyDescent="0.25">
      <c r="A1341" s="170">
        <v>43985</v>
      </c>
      <c r="B1341" s="116">
        <v>1203.05</v>
      </c>
      <c r="C1341" s="116">
        <v>1153.0999999999999</v>
      </c>
      <c r="D1341" s="116">
        <v>1140.2</v>
      </c>
      <c r="E1341" s="116">
        <v>1192.4749999999999</v>
      </c>
      <c r="F1341" s="116">
        <v>2306.1999999999998</v>
      </c>
      <c r="G1341">
        <v>31459</v>
      </c>
      <c r="H1341" s="116"/>
      <c r="I1341" s="116"/>
      <c r="L1341" s="170">
        <v>43985</v>
      </c>
      <c r="M1341" s="116">
        <v>1153.875</v>
      </c>
      <c r="N1341" s="116">
        <v>1203.75</v>
      </c>
      <c r="O1341" s="116">
        <v>1140</v>
      </c>
      <c r="P1341" s="116">
        <v>1191.0999999999999</v>
      </c>
      <c r="Q1341" s="116">
        <v>2307.75</v>
      </c>
      <c r="R1341">
        <v>1609832</v>
      </c>
    </row>
    <row r="1342" spans="1:18" x14ac:dyDescent="0.25">
      <c r="A1342" s="170">
        <v>43986</v>
      </c>
      <c r="B1342" s="116">
        <v>1189</v>
      </c>
      <c r="C1342" s="116">
        <v>1182.8</v>
      </c>
      <c r="D1342" s="116">
        <v>1155.2249999999999</v>
      </c>
      <c r="E1342" s="116">
        <v>1155.2249999999999</v>
      </c>
      <c r="F1342" s="116">
        <v>2365.6</v>
      </c>
      <c r="G1342">
        <v>19846</v>
      </c>
      <c r="H1342" s="116"/>
      <c r="I1342" s="116"/>
      <c r="L1342" s="170">
        <v>43986</v>
      </c>
      <c r="M1342" s="116">
        <v>1182.925</v>
      </c>
      <c r="N1342" s="116">
        <v>1189.75</v>
      </c>
      <c r="O1342" s="116">
        <v>1151.0999999999999</v>
      </c>
      <c r="P1342" s="116">
        <v>1155</v>
      </c>
      <c r="Q1342" s="116">
        <v>2365.85</v>
      </c>
      <c r="R1342">
        <v>872170</v>
      </c>
    </row>
    <row r="1343" spans="1:18" x14ac:dyDescent="0.25">
      <c r="A1343" s="170">
        <v>43987</v>
      </c>
      <c r="B1343" s="116">
        <v>1203.0999999999999</v>
      </c>
      <c r="C1343" s="116">
        <v>1183.7750000000001</v>
      </c>
      <c r="D1343" s="116">
        <v>1179.375</v>
      </c>
      <c r="E1343" s="116">
        <v>1193.5</v>
      </c>
      <c r="F1343" s="116">
        <v>2367.5500000000002</v>
      </c>
      <c r="G1343">
        <v>13798</v>
      </c>
      <c r="H1343" s="116"/>
      <c r="I1343" s="116"/>
      <c r="L1343" s="170">
        <v>43987</v>
      </c>
      <c r="M1343" s="116">
        <v>1183.875</v>
      </c>
      <c r="N1343" s="116">
        <v>1203.2</v>
      </c>
      <c r="O1343" s="116">
        <v>1177.175</v>
      </c>
      <c r="P1343" s="116">
        <v>1192.5</v>
      </c>
      <c r="Q1343" s="116">
        <v>2367.75</v>
      </c>
      <c r="R1343">
        <v>447885</v>
      </c>
    </row>
    <row r="1344" spans="1:18" x14ac:dyDescent="0.25">
      <c r="A1344" s="170">
        <v>43990</v>
      </c>
      <c r="B1344" s="116">
        <v>1193.1500000000001</v>
      </c>
      <c r="C1344" s="116">
        <v>1182.925</v>
      </c>
      <c r="D1344" s="116">
        <v>1166.95</v>
      </c>
      <c r="E1344" s="116">
        <v>1191.05</v>
      </c>
      <c r="F1344" s="116">
        <v>2365.85</v>
      </c>
      <c r="G1344">
        <v>11062</v>
      </c>
      <c r="H1344" s="116"/>
      <c r="I1344" s="116"/>
      <c r="L1344" s="170">
        <v>43990</v>
      </c>
      <c r="M1344" s="116">
        <v>1183.125</v>
      </c>
      <c r="N1344" s="116">
        <v>1194.5</v>
      </c>
      <c r="O1344" s="116">
        <v>1165</v>
      </c>
      <c r="P1344" s="116">
        <v>1194.5</v>
      </c>
      <c r="Q1344" s="116">
        <v>2366.25</v>
      </c>
      <c r="R1344">
        <v>480185</v>
      </c>
    </row>
    <row r="1345" spans="1:18" x14ac:dyDescent="0.25">
      <c r="A1345" s="170">
        <v>43991</v>
      </c>
      <c r="B1345" s="116">
        <v>1222.5</v>
      </c>
      <c r="C1345" s="116">
        <v>1187.5250000000001</v>
      </c>
      <c r="D1345" s="116">
        <v>1184.675</v>
      </c>
      <c r="E1345" s="116">
        <v>1187.3499999999999</v>
      </c>
      <c r="F1345" s="116">
        <v>2375.0500000000002</v>
      </c>
      <c r="G1345">
        <v>29297</v>
      </c>
      <c r="H1345" s="116"/>
      <c r="I1345" s="116"/>
      <c r="L1345" s="170">
        <v>43991</v>
      </c>
      <c r="M1345" s="116">
        <v>1188.4749999999999</v>
      </c>
      <c r="N1345" s="116">
        <v>1222.4749999999999</v>
      </c>
      <c r="O1345" s="116">
        <v>1183.125</v>
      </c>
      <c r="P1345" s="116">
        <v>1188.95</v>
      </c>
      <c r="Q1345" s="116">
        <v>2376.9499999999998</v>
      </c>
      <c r="R1345">
        <v>947363</v>
      </c>
    </row>
    <row r="1346" spans="1:18" x14ac:dyDescent="0.25">
      <c r="A1346" s="170">
        <v>43992</v>
      </c>
      <c r="B1346" s="116">
        <v>1235</v>
      </c>
      <c r="C1346" s="116">
        <v>1229.0250000000001</v>
      </c>
      <c r="D1346" s="116">
        <v>1200.55</v>
      </c>
      <c r="E1346" s="116">
        <v>1205</v>
      </c>
      <c r="F1346" s="116">
        <v>2458.0500000000002</v>
      </c>
      <c r="G1346">
        <v>22821</v>
      </c>
      <c r="H1346" s="116"/>
      <c r="I1346" s="116"/>
      <c r="L1346" s="170">
        <v>43992</v>
      </c>
      <c r="M1346" s="116">
        <v>1229.45</v>
      </c>
      <c r="N1346" s="116">
        <v>1236.5</v>
      </c>
      <c r="O1346" s="116">
        <v>1195.0250000000001</v>
      </c>
      <c r="P1346" s="116">
        <v>1197.425</v>
      </c>
      <c r="Q1346" s="116">
        <v>2458.9</v>
      </c>
      <c r="R1346">
        <v>1142090</v>
      </c>
    </row>
    <row r="1347" spans="1:18" x14ac:dyDescent="0.25">
      <c r="A1347" s="170">
        <v>43993</v>
      </c>
      <c r="B1347" s="116">
        <v>1246.2249999999999</v>
      </c>
      <c r="C1347" s="116">
        <v>1222.6500000000001</v>
      </c>
      <c r="D1347" s="116">
        <v>1211.3499999999999</v>
      </c>
      <c r="E1347" s="116">
        <v>1238.5</v>
      </c>
      <c r="F1347" s="116">
        <v>2445.3000000000002</v>
      </c>
      <c r="G1347">
        <v>9440</v>
      </c>
      <c r="H1347" s="116"/>
      <c r="I1347" s="116"/>
      <c r="L1347" s="170">
        <v>43993</v>
      </c>
      <c r="M1347" s="116">
        <v>1223.8</v>
      </c>
      <c r="N1347" s="116">
        <v>1247</v>
      </c>
      <c r="O1347" s="116">
        <v>1210.5250000000001</v>
      </c>
      <c r="P1347" s="116">
        <v>1240</v>
      </c>
      <c r="Q1347" s="116">
        <v>2447.6</v>
      </c>
      <c r="R1347">
        <v>752817</v>
      </c>
    </row>
    <row r="1348" spans="1:18" x14ac:dyDescent="0.25">
      <c r="A1348" s="170">
        <v>43994</v>
      </c>
      <c r="B1348" s="116">
        <v>1248.675</v>
      </c>
      <c r="C1348" s="116">
        <v>1242.825</v>
      </c>
      <c r="D1348" s="116">
        <v>1203.5</v>
      </c>
      <c r="E1348" s="116">
        <v>1205</v>
      </c>
      <c r="F1348" s="116">
        <v>2485.65</v>
      </c>
      <c r="G1348">
        <v>10238</v>
      </c>
      <c r="H1348" s="116"/>
      <c r="I1348" s="116"/>
      <c r="L1348" s="170">
        <v>43994</v>
      </c>
      <c r="M1348" s="116">
        <v>1242.9749999999999</v>
      </c>
      <c r="N1348" s="116">
        <v>1249</v>
      </c>
      <c r="O1348" s="116">
        <v>1202.25</v>
      </c>
      <c r="P1348" s="116">
        <v>1207.5</v>
      </c>
      <c r="Q1348" s="116">
        <v>2485.9499999999998</v>
      </c>
      <c r="R1348">
        <v>627093</v>
      </c>
    </row>
    <row r="1349" spans="1:18" x14ac:dyDescent="0.25">
      <c r="A1349" s="170">
        <v>43997</v>
      </c>
      <c r="B1349" s="116">
        <v>1268.95</v>
      </c>
      <c r="C1349" s="116">
        <v>1228.075</v>
      </c>
      <c r="D1349" s="116">
        <v>1220.0999999999999</v>
      </c>
      <c r="E1349" s="116">
        <v>1250</v>
      </c>
      <c r="F1349" s="116">
        <v>2456.15</v>
      </c>
      <c r="G1349">
        <v>18513</v>
      </c>
      <c r="H1349" s="116"/>
      <c r="I1349" s="116"/>
      <c r="L1349" s="170">
        <v>43997</v>
      </c>
      <c r="M1349" s="116">
        <v>1231.575</v>
      </c>
      <c r="N1349" s="116">
        <v>1268.9749999999999</v>
      </c>
      <c r="O1349" s="116">
        <v>1220.125</v>
      </c>
      <c r="P1349" s="116">
        <v>1249.5</v>
      </c>
      <c r="Q1349" s="116">
        <v>2463.15</v>
      </c>
      <c r="R1349">
        <v>515452</v>
      </c>
    </row>
    <row r="1350" spans="1:18" x14ac:dyDescent="0.25">
      <c r="A1350" s="170">
        <v>43998</v>
      </c>
      <c r="B1350" s="116">
        <v>1251.625</v>
      </c>
      <c r="C1350" s="116">
        <v>1249.1500000000001</v>
      </c>
      <c r="D1350" s="116">
        <v>1229.825</v>
      </c>
      <c r="E1350" s="116">
        <v>1245</v>
      </c>
      <c r="F1350" s="116">
        <v>2498.3000000000002</v>
      </c>
      <c r="G1350">
        <v>8607</v>
      </c>
      <c r="H1350" s="116"/>
      <c r="I1350" s="116"/>
      <c r="L1350" s="170">
        <v>43998</v>
      </c>
      <c r="M1350" s="116">
        <v>1249.5</v>
      </c>
      <c r="N1350" s="116">
        <v>1253.5</v>
      </c>
      <c r="O1350" s="116">
        <v>1228.5250000000001</v>
      </c>
      <c r="P1350" s="116">
        <v>1246</v>
      </c>
      <c r="Q1350" s="116">
        <v>2499</v>
      </c>
      <c r="R1350">
        <v>437721</v>
      </c>
    </row>
    <row r="1351" spans="1:18" x14ac:dyDescent="0.25">
      <c r="A1351" s="170">
        <v>43999</v>
      </c>
      <c r="B1351" s="116">
        <v>1278.7750000000001</v>
      </c>
      <c r="C1351" s="116">
        <v>1272.7</v>
      </c>
      <c r="D1351" s="116">
        <v>1248.3</v>
      </c>
      <c r="E1351" s="116">
        <v>1249.5999999999999</v>
      </c>
      <c r="F1351" s="116">
        <v>2545.4</v>
      </c>
      <c r="G1351">
        <v>9642</v>
      </c>
      <c r="H1351" s="116"/>
      <c r="I1351" s="116"/>
      <c r="L1351" s="170">
        <v>43999</v>
      </c>
      <c r="M1351" s="116">
        <v>1272.7750000000001</v>
      </c>
      <c r="N1351" s="116">
        <v>1279.4000000000001</v>
      </c>
      <c r="O1351" s="116">
        <v>1245.0250000000001</v>
      </c>
      <c r="P1351" s="116">
        <v>1249.425</v>
      </c>
      <c r="Q1351" s="116">
        <v>2545.5500000000002</v>
      </c>
      <c r="R1351">
        <v>644947</v>
      </c>
    </row>
    <row r="1352" spans="1:18" x14ac:dyDescent="0.25">
      <c r="A1352" s="170">
        <v>44000</v>
      </c>
      <c r="B1352" s="116">
        <v>1276.6500000000001</v>
      </c>
      <c r="C1352" s="116">
        <v>1262.2</v>
      </c>
      <c r="D1352" s="116">
        <v>1254.825</v>
      </c>
      <c r="E1352" s="116">
        <v>1268.175</v>
      </c>
      <c r="F1352" s="116">
        <v>2524.4</v>
      </c>
      <c r="G1352">
        <v>4727</v>
      </c>
      <c r="H1352" s="116"/>
      <c r="I1352" s="116"/>
      <c r="L1352" s="170">
        <v>44000</v>
      </c>
      <c r="M1352" s="116">
        <v>1260.825</v>
      </c>
      <c r="N1352" s="116">
        <v>1278.5</v>
      </c>
      <c r="O1352" s="116">
        <v>1254</v>
      </c>
      <c r="P1352" s="116">
        <v>1271.2750000000001</v>
      </c>
      <c r="Q1352" s="116">
        <v>2521.65</v>
      </c>
      <c r="R1352">
        <v>227743</v>
      </c>
    </row>
    <row r="1353" spans="1:18" x14ac:dyDescent="0.25">
      <c r="A1353" s="170">
        <v>44001</v>
      </c>
      <c r="B1353" s="116">
        <v>1284.325</v>
      </c>
      <c r="C1353" s="116">
        <v>1271.0999999999999</v>
      </c>
      <c r="D1353" s="116">
        <v>1262.7249999999999</v>
      </c>
      <c r="E1353" s="116">
        <v>1265.175</v>
      </c>
      <c r="F1353" s="116">
        <v>2542.1999999999998</v>
      </c>
      <c r="G1353">
        <v>10164</v>
      </c>
      <c r="H1353" s="116"/>
      <c r="I1353" s="116"/>
      <c r="L1353" s="170">
        <v>44001</v>
      </c>
      <c r="M1353" s="116">
        <v>1271.675</v>
      </c>
      <c r="N1353" s="116">
        <v>1284.8499999999999</v>
      </c>
      <c r="O1353" s="116">
        <v>1260.825</v>
      </c>
      <c r="P1353" s="116">
        <v>1267.1500000000001</v>
      </c>
      <c r="Q1353" s="116">
        <v>2543.35</v>
      </c>
      <c r="R1353">
        <v>292697</v>
      </c>
    </row>
    <row r="1354" spans="1:18" x14ac:dyDescent="0.25">
      <c r="A1354" s="170">
        <v>44004</v>
      </c>
      <c r="B1354" s="116">
        <v>1306.2</v>
      </c>
      <c r="C1354" s="116">
        <v>1294.6500000000001</v>
      </c>
      <c r="D1354" s="116">
        <v>1268.1500000000001</v>
      </c>
      <c r="E1354" s="116">
        <v>1285</v>
      </c>
      <c r="F1354" s="116">
        <v>2589.3000000000002</v>
      </c>
      <c r="G1354">
        <v>6861</v>
      </c>
      <c r="H1354" s="116"/>
      <c r="I1354" s="116"/>
      <c r="L1354" s="170">
        <v>44004</v>
      </c>
      <c r="M1354" s="116">
        <v>1294.925</v>
      </c>
      <c r="N1354" s="116">
        <v>1307.5</v>
      </c>
      <c r="O1354" s="116">
        <v>1265</v>
      </c>
      <c r="P1354" s="116">
        <v>1266.5</v>
      </c>
      <c r="Q1354" s="116">
        <v>2589.85</v>
      </c>
      <c r="R1354">
        <v>312002</v>
      </c>
    </row>
    <row r="1355" spans="1:18" x14ac:dyDescent="0.25">
      <c r="A1355" s="170">
        <v>44005</v>
      </c>
      <c r="B1355" s="116">
        <v>1306.25</v>
      </c>
      <c r="C1355" s="116">
        <v>1290.3</v>
      </c>
      <c r="D1355" s="116">
        <v>1277.4000000000001</v>
      </c>
      <c r="E1355" s="116">
        <v>1300</v>
      </c>
      <c r="F1355" s="116">
        <v>2580.6</v>
      </c>
      <c r="G1355">
        <v>7566</v>
      </c>
      <c r="H1355" s="116"/>
      <c r="I1355" s="116"/>
      <c r="L1355" s="170">
        <v>44005</v>
      </c>
      <c r="M1355" s="116">
        <v>1289.95</v>
      </c>
      <c r="N1355" s="116">
        <v>1306.7249999999999</v>
      </c>
      <c r="O1355" s="116">
        <v>1276.075</v>
      </c>
      <c r="P1355" s="116">
        <v>1295</v>
      </c>
      <c r="Q1355" s="116">
        <v>2579.9</v>
      </c>
      <c r="R1355">
        <v>356937</v>
      </c>
    </row>
    <row r="1356" spans="1:18" x14ac:dyDescent="0.25">
      <c r="A1356" s="170">
        <v>44006</v>
      </c>
      <c r="B1356" s="116">
        <v>1301.325</v>
      </c>
      <c r="C1356" s="116">
        <v>1230.325</v>
      </c>
      <c r="D1356" s="116">
        <v>1224.1500000000001</v>
      </c>
      <c r="E1356" s="116">
        <v>1295</v>
      </c>
      <c r="F1356" s="116">
        <v>2460.65</v>
      </c>
      <c r="G1356">
        <v>15799</v>
      </c>
      <c r="H1356" s="116"/>
      <c r="I1356" s="116"/>
      <c r="L1356" s="170">
        <v>44006</v>
      </c>
      <c r="M1356" s="116">
        <v>1231.0250000000001</v>
      </c>
      <c r="N1356" s="116">
        <v>1302</v>
      </c>
      <c r="O1356" s="116">
        <v>1224.4749999999999</v>
      </c>
      <c r="P1356" s="116">
        <v>1294.95</v>
      </c>
      <c r="Q1356" s="116">
        <v>2462.0500000000002</v>
      </c>
      <c r="R1356">
        <v>399295</v>
      </c>
    </row>
    <row r="1357" spans="1:18" x14ac:dyDescent="0.25">
      <c r="A1357" s="170">
        <v>44007</v>
      </c>
      <c r="B1357" s="116">
        <v>1263.2750000000001</v>
      </c>
      <c r="C1357" s="116">
        <v>1251.325</v>
      </c>
      <c r="D1357" s="116">
        <v>1230</v>
      </c>
      <c r="E1357" s="116">
        <v>1247.45</v>
      </c>
      <c r="F1357" s="116">
        <v>2502.65</v>
      </c>
      <c r="G1357">
        <v>11934</v>
      </c>
      <c r="H1357" s="116"/>
      <c r="I1357" s="116"/>
      <c r="L1357" s="170">
        <v>44007</v>
      </c>
      <c r="M1357" s="116">
        <v>1250.05</v>
      </c>
      <c r="N1357" s="116">
        <v>1264.5</v>
      </c>
      <c r="O1357" s="116">
        <v>1230</v>
      </c>
      <c r="P1357" s="116">
        <v>1237.4000000000001</v>
      </c>
      <c r="Q1357" s="116">
        <v>2500.1</v>
      </c>
      <c r="R1357">
        <v>794132</v>
      </c>
    </row>
    <row r="1358" spans="1:18" x14ac:dyDescent="0.25">
      <c r="A1358" s="170">
        <v>44008</v>
      </c>
      <c r="B1358" s="116">
        <v>1259.0250000000001</v>
      </c>
      <c r="C1358" s="116">
        <v>1236.175</v>
      </c>
      <c r="D1358" s="116">
        <v>1226.5</v>
      </c>
      <c r="E1358" s="116">
        <v>1257.3</v>
      </c>
      <c r="F1358" s="116">
        <v>2472.35</v>
      </c>
      <c r="G1358">
        <v>9768</v>
      </c>
      <c r="H1358" s="116"/>
      <c r="I1358" s="116"/>
      <c r="L1358" s="170">
        <v>44008</v>
      </c>
      <c r="M1358" s="116">
        <v>1235.575</v>
      </c>
      <c r="N1358" s="116">
        <v>1260.575</v>
      </c>
      <c r="O1358" s="116">
        <v>1225</v>
      </c>
      <c r="P1358" s="116">
        <v>1256.325</v>
      </c>
      <c r="Q1358" s="116">
        <v>2471.15</v>
      </c>
      <c r="R1358">
        <v>264943</v>
      </c>
    </row>
    <row r="1359" spans="1:18" x14ac:dyDescent="0.25">
      <c r="A1359" s="170">
        <v>44011</v>
      </c>
      <c r="B1359" s="116">
        <v>1254.5999999999999</v>
      </c>
      <c r="C1359" s="116">
        <v>1219.375</v>
      </c>
      <c r="D1359" s="116">
        <v>1213.7750000000001</v>
      </c>
      <c r="E1359" s="116">
        <v>1226</v>
      </c>
      <c r="F1359" s="116">
        <v>2438.75</v>
      </c>
      <c r="G1359">
        <v>28887</v>
      </c>
      <c r="H1359" s="116"/>
      <c r="I1359" s="116"/>
      <c r="L1359" s="170">
        <v>44011</v>
      </c>
      <c r="M1359" s="116">
        <v>1218.875</v>
      </c>
      <c r="N1359" s="116">
        <v>1255</v>
      </c>
      <c r="O1359" s="116">
        <v>1213.125</v>
      </c>
      <c r="P1359" s="116">
        <v>1240.2</v>
      </c>
      <c r="Q1359" s="116">
        <v>2437.75</v>
      </c>
      <c r="R1359">
        <v>412723</v>
      </c>
    </row>
    <row r="1360" spans="1:18" x14ac:dyDescent="0.25">
      <c r="A1360" s="170">
        <v>44012</v>
      </c>
      <c r="B1360" s="116">
        <v>1227.5</v>
      </c>
      <c r="C1360" s="116">
        <v>1185.45</v>
      </c>
      <c r="D1360" s="116">
        <v>1182.925</v>
      </c>
      <c r="E1360" s="116">
        <v>1226.1500000000001</v>
      </c>
      <c r="F1360" s="116">
        <v>2370.9</v>
      </c>
      <c r="G1360">
        <v>11668</v>
      </c>
      <c r="H1360" s="116"/>
      <c r="I1360" s="116"/>
      <c r="L1360" s="170">
        <v>44012</v>
      </c>
      <c r="M1360" s="116">
        <v>1186.05</v>
      </c>
      <c r="N1360" s="116">
        <v>1229.825</v>
      </c>
      <c r="O1360" s="116">
        <v>1183</v>
      </c>
      <c r="P1360" s="116">
        <v>1226.4000000000001</v>
      </c>
      <c r="Q1360" s="116">
        <v>2372.1</v>
      </c>
      <c r="R1360">
        <v>594539</v>
      </c>
    </row>
    <row r="1361" spans="1:18" x14ac:dyDescent="0.25">
      <c r="A1361" s="170">
        <v>44013</v>
      </c>
      <c r="B1361" s="116">
        <v>1195.675</v>
      </c>
      <c r="C1361" s="116">
        <v>1169.575</v>
      </c>
      <c r="D1361" s="116">
        <v>1163.5</v>
      </c>
      <c r="E1361" s="116">
        <v>1182.55</v>
      </c>
      <c r="F1361" s="116">
        <v>2339.15</v>
      </c>
      <c r="G1361">
        <v>9654</v>
      </c>
      <c r="H1361" s="116"/>
      <c r="I1361" s="116"/>
      <c r="L1361" s="170">
        <v>44013</v>
      </c>
      <c r="M1361" s="116">
        <v>1169.05</v>
      </c>
      <c r="N1361" s="116">
        <v>1197</v>
      </c>
      <c r="O1361" s="116">
        <v>1163</v>
      </c>
      <c r="P1361" s="116">
        <v>1190.5</v>
      </c>
      <c r="Q1361" s="116">
        <v>2338.1</v>
      </c>
      <c r="R1361">
        <v>427437</v>
      </c>
    </row>
    <row r="1362" spans="1:18" x14ac:dyDescent="0.25">
      <c r="A1362" s="170">
        <v>44014</v>
      </c>
      <c r="B1362" s="116">
        <v>1187.4000000000001</v>
      </c>
      <c r="C1362" s="116">
        <v>1175.4749999999999</v>
      </c>
      <c r="D1362" s="116">
        <v>1164.2249999999999</v>
      </c>
      <c r="E1362" s="116">
        <v>1179.5</v>
      </c>
      <c r="F1362" s="116">
        <v>2350.9499999999998</v>
      </c>
      <c r="G1362">
        <v>10861</v>
      </c>
      <c r="H1362" s="116"/>
      <c r="I1362" s="116"/>
      <c r="L1362" s="170">
        <v>44014</v>
      </c>
      <c r="M1362" s="116">
        <v>1175.4749999999999</v>
      </c>
      <c r="N1362" s="116">
        <v>1187.75</v>
      </c>
      <c r="O1362" s="116">
        <v>1164.55</v>
      </c>
      <c r="P1362" s="116">
        <v>1177</v>
      </c>
      <c r="Q1362" s="116">
        <v>2350.9499999999998</v>
      </c>
      <c r="R1362">
        <v>369749</v>
      </c>
    </row>
    <row r="1363" spans="1:18" x14ac:dyDescent="0.25">
      <c r="A1363" s="170">
        <v>44015</v>
      </c>
      <c r="B1363" s="116">
        <v>1199.9749999999999</v>
      </c>
      <c r="C1363" s="116">
        <v>1197.3499999999999</v>
      </c>
      <c r="D1363" s="116">
        <v>1177.5</v>
      </c>
      <c r="E1363" s="116">
        <v>1177.5</v>
      </c>
      <c r="F1363" s="116">
        <v>2394.6999999999998</v>
      </c>
      <c r="G1363">
        <v>8341</v>
      </c>
      <c r="H1363" s="116"/>
      <c r="I1363" s="116"/>
      <c r="L1363" s="170">
        <v>44015</v>
      </c>
      <c r="M1363" s="116">
        <v>1197.5999999999999</v>
      </c>
      <c r="N1363" s="116">
        <v>1200.325</v>
      </c>
      <c r="O1363" s="116">
        <v>1176.625</v>
      </c>
      <c r="P1363" s="116">
        <v>1185</v>
      </c>
      <c r="Q1363" s="116">
        <v>2395.1999999999998</v>
      </c>
      <c r="R1363">
        <v>314301</v>
      </c>
    </row>
    <row r="1364" spans="1:18" x14ac:dyDescent="0.25">
      <c r="A1364" s="170">
        <v>44018</v>
      </c>
      <c r="B1364" s="116">
        <v>1235</v>
      </c>
      <c r="C1364" s="116">
        <v>1174.2750000000001</v>
      </c>
      <c r="D1364" s="116">
        <v>1168.5</v>
      </c>
      <c r="E1364" s="116">
        <v>1235</v>
      </c>
      <c r="F1364" s="116">
        <v>2348.5500000000002</v>
      </c>
      <c r="G1364">
        <v>10115</v>
      </c>
      <c r="H1364" s="116"/>
      <c r="I1364" s="116"/>
      <c r="L1364" s="170">
        <v>44018</v>
      </c>
      <c r="M1364" s="116">
        <v>1173.625</v>
      </c>
      <c r="N1364" s="116">
        <v>1207.5</v>
      </c>
      <c r="O1364" s="116">
        <v>1168.5250000000001</v>
      </c>
      <c r="P1364" s="116">
        <v>1206.5</v>
      </c>
      <c r="Q1364" s="116">
        <v>2347.25</v>
      </c>
      <c r="R1364">
        <v>445775</v>
      </c>
    </row>
    <row r="1365" spans="1:18" x14ac:dyDescent="0.25">
      <c r="A1365" s="170">
        <v>44019</v>
      </c>
      <c r="B1365" s="116">
        <v>1186</v>
      </c>
      <c r="C1365" s="116">
        <v>1167.5250000000001</v>
      </c>
      <c r="D1365" s="116">
        <v>1153.45</v>
      </c>
      <c r="E1365" s="116">
        <v>1165.25</v>
      </c>
      <c r="F1365" s="116">
        <v>2335.0500000000002</v>
      </c>
      <c r="G1365">
        <v>19697</v>
      </c>
      <c r="H1365" s="116"/>
      <c r="I1365" s="116"/>
      <c r="L1365" s="170">
        <v>44019</v>
      </c>
      <c r="M1365" s="116">
        <v>1166.575</v>
      </c>
      <c r="N1365" s="116">
        <v>1187</v>
      </c>
      <c r="O1365" s="116">
        <v>1152.2</v>
      </c>
      <c r="P1365" s="116">
        <v>1173</v>
      </c>
      <c r="Q1365" s="116">
        <v>2333.15</v>
      </c>
      <c r="R1365">
        <v>588076</v>
      </c>
    </row>
    <row r="1366" spans="1:18" x14ac:dyDescent="0.25">
      <c r="A1366" s="170">
        <v>44020</v>
      </c>
      <c r="B1366" s="116">
        <v>1186.5</v>
      </c>
      <c r="C1366" s="116">
        <v>1171.175</v>
      </c>
      <c r="D1366" s="116">
        <v>1169.175</v>
      </c>
      <c r="E1366" s="116">
        <v>1173.95</v>
      </c>
      <c r="F1366" s="116">
        <v>2342.35</v>
      </c>
      <c r="G1366">
        <v>22983</v>
      </c>
      <c r="H1366" s="116"/>
      <c r="I1366" s="116"/>
      <c r="L1366" s="170">
        <v>44020</v>
      </c>
      <c r="M1366" s="116">
        <v>1171.4000000000001</v>
      </c>
      <c r="N1366" s="116">
        <v>1187.5</v>
      </c>
      <c r="O1366" s="116">
        <v>1169.1500000000001</v>
      </c>
      <c r="P1366" s="116">
        <v>1172.5</v>
      </c>
      <c r="Q1366" s="116">
        <v>2342.8000000000002</v>
      </c>
      <c r="R1366">
        <v>272354</v>
      </c>
    </row>
    <row r="1367" spans="1:18" x14ac:dyDescent="0.25">
      <c r="A1367" s="170">
        <v>44021</v>
      </c>
      <c r="B1367" s="116">
        <v>1201.45</v>
      </c>
      <c r="C1367" s="116">
        <v>1181.6500000000001</v>
      </c>
      <c r="D1367" s="116">
        <v>1175.675</v>
      </c>
      <c r="E1367" s="116">
        <v>1182.5</v>
      </c>
      <c r="F1367" s="116">
        <v>2363.3000000000002</v>
      </c>
      <c r="G1367">
        <v>20125</v>
      </c>
      <c r="H1367" s="116"/>
      <c r="I1367" s="116"/>
      <c r="L1367" s="170">
        <v>44021</v>
      </c>
      <c r="M1367" s="116">
        <v>1181.6500000000001</v>
      </c>
      <c r="N1367" s="116">
        <v>1202</v>
      </c>
      <c r="O1367" s="116">
        <v>1175</v>
      </c>
      <c r="P1367" s="116">
        <v>1180</v>
      </c>
      <c r="Q1367" s="116">
        <v>2363.3000000000002</v>
      </c>
      <c r="R1367">
        <v>435776</v>
      </c>
    </row>
    <row r="1368" spans="1:18" x14ac:dyDescent="0.25">
      <c r="A1368" s="170">
        <v>44022</v>
      </c>
      <c r="B1368" s="116">
        <v>1205.5</v>
      </c>
      <c r="C1368" s="116">
        <v>1176.375</v>
      </c>
      <c r="D1368" s="116">
        <v>1171.675</v>
      </c>
      <c r="E1368" s="116">
        <v>1186</v>
      </c>
      <c r="F1368" s="116">
        <v>2352.75</v>
      </c>
      <c r="G1368">
        <v>14510</v>
      </c>
      <c r="H1368" s="116"/>
      <c r="I1368" s="116"/>
      <c r="L1368" s="170">
        <v>44022</v>
      </c>
      <c r="M1368" s="116">
        <v>1176.5</v>
      </c>
      <c r="N1368" s="116">
        <v>1206</v>
      </c>
      <c r="O1368" s="116">
        <v>1171.4749999999999</v>
      </c>
      <c r="P1368" s="116">
        <v>1184</v>
      </c>
      <c r="Q1368" s="116">
        <v>2353</v>
      </c>
      <c r="R1368">
        <v>496647</v>
      </c>
    </row>
    <row r="1369" spans="1:18" x14ac:dyDescent="0.25">
      <c r="A1369" s="170">
        <v>44025</v>
      </c>
      <c r="B1369" s="116">
        <v>1190</v>
      </c>
      <c r="C1369" s="116">
        <v>1179.95</v>
      </c>
      <c r="D1369" s="116">
        <v>1170</v>
      </c>
      <c r="E1369" s="116">
        <v>1187.5</v>
      </c>
      <c r="F1369" s="116">
        <v>2359.9</v>
      </c>
      <c r="G1369">
        <v>7294</v>
      </c>
      <c r="H1369" s="116"/>
      <c r="I1369" s="116"/>
      <c r="L1369" s="170">
        <v>44025</v>
      </c>
      <c r="M1369" s="116">
        <v>1179.8</v>
      </c>
      <c r="N1369" s="116">
        <v>1192</v>
      </c>
      <c r="O1369" s="116">
        <v>1170.25</v>
      </c>
      <c r="P1369" s="116">
        <v>1185</v>
      </c>
      <c r="Q1369" s="116">
        <v>2359.6</v>
      </c>
      <c r="R1369">
        <v>178875</v>
      </c>
    </row>
    <row r="1370" spans="1:18" x14ac:dyDescent="0.25">
      <c r="A1370" s="170">
        <v>44026</v>
      </c>
      <c r="B1370" s="116">
        <v>1214.875</v>
      </c>
      <c r="C1370" s="116">
        <v>1210.125</v>
      </c>
      <c r="D1370" s="116">
        <v>1180.8</v>
      </c>
      <c r="E1370" s="116">
        <v>1181.625</v>
      </c>
      <c r="F1370" s="116">
        <v>2420.25</v>
      </c>
      <c r="G1370">
        <v>32204</v>
      </c>
      <c r="H1370" s="116"/>
      <c r="I1370" s="116"/>
      <c r="L1370" s="170">
        <v>44026</v>
      </c>
      <c r="M1370" s="116">
        <v>1210.6500000000001</v>
      </c>
      <c r="N1370" s="116">
        <v>1214.9749999999999</v>
      </c>
      <c r="O1370" s="116">
        <v>1176</v>
      </c>
      <c r="P1370" s="116">
        <v>1180</v>
      </c>
      <c r="Q1370" s="116">
        <v>2421.3000000000002</v>
      </c>
      <c r="R1370">
        <v>568166</v>
      </c>
    </row>
    <row r="1371" spans="1:18" x14ac:dyDescent="0.25">
      <c r="A1371" s="170">
        <v>44027</v>
      </c>
      <c r="B1371" s="116">
        <v>1225</v>
      </c>
      <c r="C1371" s="116">
        <v>1195.875</v>
      </c>
      <c r="D1371" s="116">
        <v>1191.0999999999999</v>
      </c>
      <c r="E1371" s="116">
        <v>1212.625</v>
      </c>
      <c r="F1371" s="116">
        <v>2391.75</v>
      </c>
      <c r="G1371">
        <v>14548</v>
      </c>
      <c r="H1371" s="116"/>
      <c r="I1371" s="116"/>
      <c r="L1371" s="170">
        <v>44027</v>
      </c>
      <c r="M1371" s="116">
        <v>1196.3499999999999</v>
      </c>
      <c r="N1371" s="116">
        <v>1225.6500000000001</v>
      </c>
      <c r="O1371" s="116">
        <v>1190.125</v>
      </c>
      <c r="P1371" s="116">
        <v>1220</v>
      </c>
      <c r="Q1371" s="116">
        <v>2392.6999999999998</v>
      </c>
      <c r="R1371">
        <v>448134</v>
      </c>
    </row>
    <row r="1372" spans="1:18" x14ac:dyDescent="0.25">
      <c r="A1372" s="170">
        <v>44028</v>
      </c>
      <c r="B1372" s="116">
        <v>1212.575</v>
      </c>
      <c r="C1372" s="116">
        <v>1202.5250000000001</v>
      </c>
      <c r="D1372" s="116">
        <v>1183.675</v>
      </c>
      <c r="E1372" s="116">
        <v>1211</v>
      </c>
      <c r="F1372" s="116">
        <v>2405.0500000000002</v>
      </c>
      <c r="G1372">
        <v>4958</v>
      </c>
      <c r="H1372" s="116"/>
      <c r="I1372" s="116"/>
      <c r="L1372" s="170">
        <v>44028</v>
      </c>
      <c r="M1372" s="116">
        <v>1202.3499999999999</v>
      </c>
      <c r="N1372" s="116">
        <v>1212.5</v>
      </c>
      <c r="O1372" s="116">
        <v>1183.4000000000001</v>
      </c>
      <c r="P1372" s="116">
        <v>1206</v>
      </c>
      <c r="Q1372" s="116">
        <v>2404.6999999999998</v>
      </c>
      <c r="R1372">
        <v>216978</v>
      </c>
    </row>
    <row r="1373" spans="1:18" x14ac:dyDescent="0.25">
      <c r="A1373" s="170">
        <v>44029</v>
      </c>
      <c r="B1373" s="116">
        <v>1231.575</v>
      </c>
      <c r="C1373" s="116">
        <v>1196.325</v>
      </c>
      <c r="D1373" s="116">
        <v>1191</v>
      </c>
      <c r="E1373" s="116">
        <v>1224.5</v>
      </c>
      <c r="F1373" s="116">
        <v>2392.65</v>
      </c>
      <c r="G1373">
        <v>96442</v>
      </c>
      <c r="H1373" s="116"/>
      <c r="I1373" s="116"/>
      <c r="L1373" s="170">
        <v>44029</v>
      </c>
      <c r="M1373" s="116">
        <v>1196.8499999999999</v>
      </c>
      <c r="N1373" s="116">
        <v>1232.5</v>
      </c>
      <c r="O1373" s="116">
        <v>1191</v>
      </c>
      <c r="P1373" s="116">
        <v>1222.5</v>
      </c>
      <c r="Q1373" s="116">
        <v>2393.6999999999998</v>
      </c>
      <c r="R1373">
        <v>786150</v>
      </c>
    </row>
    <row r="1374" spans="1:18" x14ac:dyDescent="0.25">
      <c r="A1374" s="170">
        <v>44032</v>
      </c>
      <c r="B1374" s="116">
        <v>1219.375</v>
      </c>
      <c r="C1374" s="116">
        <v>1186.25</v>
      </c>
      <c r="D1374" s="116">
        <v>1180</v>
      </c>
      <c r="E1374" s="116">
        <v>1219.375</v>
      </c>
      <c r="F1374" s="116">
        <v>2372.5</v>
      </c>
      <c r="G1374">
        <v>10007</v>
      </c>
      <c r="H1374" s="116"/>
      <c r="I1374" s="116"/>
      <c r="L1374" s="170">
        <v>44032</v>
      </c>
      <c r="M1374" s="116">
        <v>1186.25</v>
      </c>
      <c r="N1374" s="116">
        <v>1208.4000000000001</v>
      </c>
      <c r="O1374" s="116">
        <v>1179.125</v>
      </c>
      <c r="P1374" s="116">
        <v>1208.4000000000001</v>
      </c>
      <c r="Q1374" s="116">
        <v>2372.5</v>
      </c>
      <c r="R1374">
        <v>422407</v>
      </c>
    </row>
    <row r="1375" spans="1:18" x14ac:dyDescent="0.25">
      <c r="A1375" s="170">
        <v>44033</v>
      </c>
      <c r="B1375" s="116">
        <v>1194.675</v>
      </c>
      <c r="C1375" s="116">
        <v>1182</v>
      </c>
      <c r="D1375" s="116">
        <v>1177.5</v>
      </c>
      <c r="E1375" s="116">
        <v>1187.5</v>
      </c>
      <c r="F1375" s="116">
        <v>2364</v>
      </c>
      <c r="G1375">
        <v>8233</v>
      </c>
      <c r="H1375" s="116"/>
      <c r="I1375" s="116"/>
      <c r="L1375" s="170">
        <v>44033</v>
      </c>
      <c r="M1375" s="116">
        <v>1180.925</v>
      </c>
      <c r="N1375" s="116">
        <v>1194.55</v>
      </c>
      <c r="O1375" s="116">
        <v>1176.075</v>
      </c>
      <c r="P1375" s="116">
        <v>1186</v>
      </c>
      <c r="Q1375" s="116">
        <v>2361.85</v>
      </c>
      <c r="R1375">
        <v>355296</v>
      </c>
    </row>
    <row r="1376" spans="1:18" x14ac:dyDescent="0.25">
      <c r="A1376" s="170">
        <v>44034</v>
      </c>
      <c r="B1376" s="116">
        <v>1200</v>
      </c>
      <c r="C1376" s="116">
        <v>1169.05</v>
      </c>
      <c r="D1376" s="116">
        <v>1165.425</v>
      </c>
      <c r="E1376" s="116">
        <v>1185</v>
      </c>
      <c r="F1376" s="116">
        <v>2338.1</v>
      </c>
      <c r="G1376">
        <v>18366</v>
      </c>
      <c r="H1376" s="116"/>
      <c r="I1376" s="116"/>
      <c r="L1376" s="170">
        <v>44034</v>
      </c>
      <c r="M1376" s="116">
        <v>1168.95</v>
      </c>
      <c r="N1376" s="116">
        <v>1201.45</v>
      </c>
      <c r="O1376" s="116">
        <v>1165</v>
      </c>
      <c r="P1376" s="116">
        <v>1183.425</v>
      </c>
      <c r="Q1376" s="116">
        <v>2337.9</v>
      </c>
      <c r="R1376">
        <v>334339</v>
      </c>
    </row>
    <row r="1377" spans="1:18" x14ac:dyDescent="0.25">
      <c r="A1377" s="170">
        <v>44035</v>
      </c>
      <c r="B1377" s="116">
        <v>1184.175</v>
      </c>
      <c r="C1377" s="116">
        <v>1174.875</v>
      </c>
      <c r="D1377" s="116">
        <v>1168</v>
      </c>
      <c r="E1377" s="116">
        <v>1175</v>
      </c>
      <c r="F1377" s="116">
        <v>2349.75</v>
      </c>
      <c r="G1377">
        <v>16705</v>
      </c>
      <c r="H1377" s="116"/>
      <c r="I1377" s="116"/>
      <c r="L1377" s="170">
        <v>44035</v>
      </c>
      <c r="M1377" s="116">
        <v>1175.4749999999999</v>
      </c>
      <c r="N1377" s="116">
        <v>1184.2249999999999</v>
      </c>
      <c r="O1377" s="116">
        <v>1168.0250000000001</v>
      </c>
      <c r="P1377" s="116">
        <v>1175</v>
      </c>
      <c r="Q1377" s="116">
        <v>2350.9499999999998</v>
      </c>
      <c r="R1377">
        <v>284775</v>
      </c>
    </row>
    <row r="1378" spans="1:18" x14ac:dyDescent="0.25">
      <c r="A1378" s="170">
        <v>44036</v>
      </c>
      <c r="B1378" s="116">
        <v>1187.5</v>
      </c>
      <c r="C1378" s="116">
        <v>1161.5</v>
      </c>
      <c r="D1378" s="116">
        <v>1158.875</v>
      </c>
      <c r="E1378" s="116">
        <v>1184</v>
      </c>
      <c r="F1378" s="116">
        <v>2323</v>
      </c>
      <c r="G1378">
        <v>13364</v>
      </c>
      <c r="H1378" s="116"/>
      <c r="I1378" s="116"/>
      <c r="L1378" s="170">
        <v>44036</v>
      </c>
      <c r="M1378" s="116">
        <v>1162.6500000000001</v>
      </c>
      <c r="N1378" s="116">
        <v>1186.075</v>
      </c>
      <c r="O1378" s="116">
        <v>1158</v>
      </c>
      <c r="P1378" s="116">
        <v>1180</v>
      </c>
      <c r="Q1378" s="116">
        <v>2325.3000000000002</v>
      </c>
      <c r="R1378">
        <v>315421</v>
      </c>
    </row>
    <row r="1379" spans="1:18" x14ac:dyDescent="0.25">
      <c r="A1379" s="170">
        <v>44039</v>
      </c>
      <c r="B1379" s="116">
        <v>1167.5</v>
      </c>
      <c r="C1379" s="116">
        <v>1149.825</v>
      </c>
      <c r="D1379" s="116">
        <v>1116</v>
      </c>
      <c r="E1379" s="116">
        <v>1163</v>
      </c>
      <c r="F1379" s="116">
        <v>2299.65</v>
      </c>
      <c r="G1379">
        <v>19742</v>
      </c>
      <c r="H1379" s="116"/>
      <c r="I1379" s="116"/>
      <c r="L1379" s="170">
        <v>44039</v>
      </c>
      <c r="M1379" s="116">
        <v>1149.675</v>
      </c>
      <c r="N1379" s="116">
        <v>1171.6500000000001</v>
      </c>
      <c r="O1379" s="116">
        <v>1115.925</v>
      </c>
      <c r="P1379" s="116">
        <v>1171.6500000000001</v>
      </c>
      <c r="Q1379" s="116">
        <v>2299.35</v>
      </c>
      <c r="R1379">
        <v>590153</v>
      </c>
    </row>
    <row r="1380" spans="1:18" x14ac:dyDescent="0.25">
      <c r="A1380" s="170">
        <v>44040</v>
      </c>
      <c r="B1380" s="116">
        <v>1164</v>
      </c>
      <c r="C1380" s="116">
        <v>1145.45</v>
      </c>
      <c r="D1380" s="116">
        <v>1141.05</v>
      </c>
      <c r="E1380" s="116">
        <v>1143.05</v>
      </c>
      <c r="F1380" s="116">
        <v>2290.9</v>
      </c>
      <c r="G1380">
        <v>8554</v>
      </c>
      <c r="H1380" s="116"/>
      <c r="I1380" s="116"/>
      <c r="L1380" s="170">
        <v>44040</v>
      </c>
      <c r="M1380" s="116">
        <v>1145.5999999999999</v>
      </c>
      <c r="N1380" s="116">
        <v>1164.925</v>
      </c>
      <c r="O1380" s="116">
        <v>1141.1500000000001</v>
      </c>
      <c r="P1380" s="116">
        <v>1149.45</v>
      </c>
      <c r="Q1380" s="116">
        <v>2291.1999999999998</v>
      </c>
      <c r="R1380">
        <v>253492</v>
      </c>
    </row>
    <row r="1381" spans="1:18" x14ac:dyDescent="0.25">
      <c r="A1381" s="170">
        <v>44041</v>
      </c>
      <c r="B1381" s="116">
        <v>1200.7249999999999</v>
      </c>
      <c r="C1381" s="116">
        <v>1192.825</v>
      </c>
      <c r="D1381" s="116">
        <v>1145</v>
      </c>
      <c r="E1381" s="116">
        <v>1145</v>
      </c>
      <c r="F1381" s="116">
        <v>2385.65</v>
      </c>
      <c r="G1381">
        <v>16615</v>
      </c>
      <c r="H1381" s="116"/>
      <c r="I1381" s="116"/>
      <c r="L1381" s="170">
        <v>44041</v>
      </c>
      <c r="M1381" s="116">
        <v>1191.5250000000001</v>
      </c>
      <c r="N1381" s="116">
        <v>1201.0999999999999</v>
      </c>
      <c r="O1381" s="116">
        <v>1146.0999999999999</v>
      </c>
      <c r="P1381" s="116">
        <v>1151.3499999999999</v>
      </c>
      <c r="Q1381" s="116">
        <v>2383.0500000000002</v>
      </c>
      <c r="R1381">
        <v>669012</v>
      </c>
    </row>
    <row r="1382" spans="1:18" x14ac:dyDescent="0.25">
      <c r="A1382" s="170">
        <v>44042</v>
      </c>
      <c r="B1382" s="116">
        <v>1236</v>
      </c>
      <c r="C1382" s="116">
        <v>1218.425</v>
      </c>
      <c r="D1382" s="116">
        <v>1195.7750000000001</v>
      </c>
      <c r="E1382" s="116">
        <v>1195.7750000000001</v>
      </c>
      <c r="F1382" s="116">
        <v>2436.85</v>
      </c>
      <c r="G1382">
        <v>46505</v>
      </c>
      <c r="H1382" s="116"/>
      <c r="I1382" s="116"/>
      <c r="L1382" s="170">
        <v>44042</v>
      </c>
      <c r="M1382" s="116">
        <v>1218.8</v>
      </c>
      <c r="N1382" s="116">
        <v>1236.9749999999999</v>
      </c>
      <c r="O1382" s="116">
        <v>1196.3</v>
      </c>
      <c r="P1382" s="116">
        <v>1202.95</v>
      </c>
      <c r="Q1382" s="116">
        <v>2437.6</v>
      </c>
      <c r="R1382">
        <v>1022031</v>
      </c>
    </row>
    <row r="1383" spans="1:18" x14ac:dyDescent="0.25">
      <c r="A1383" s="170">
        <v>44043</v>
      </c>
      <c r="B1383" s="116">
        <v>1377.45</v>
      </c>
      <c r="C1383" s="116">
        <v>1331.35</v>
      </c>
      <c r="D1383" s="116">
        <v>1250</v>
      </c>
      <c r="E1383" s="116">
        <v>1268</v>
      </c>
      <c r="F1383" s="116">
        <v>2662.7</v>
      </c>
      <c r="G1383">
        <v>189436</v>
      </c>
      <c r="H1383" s="116"/>
      <c r="I1383" s="116"/>
      <c r="L1383" s="170">
        <v>44043</v>
      </c>
      <c r="M1383" s="116">
        <v>1331.8</v>
      </c>
      <c r="N1383" s="116">
        <v>1377.7</v>
      </c>
      <c r="O1383" s="116">
        <v>1250</v>
      </c>
      <c r="P1383" s="116">
        <v>1250.075</v>
      </c>
      <c r="Q1383" s="116">
        <v>2663.6</v>
      </c>
      <c r="R1383">
        <v>6618558</v>
      </c>
    </row>
    <row r="1384" spans="1:18" x14ac:dyDescent="0.25">
      <c r="A1384" s="170">
        <v>44046</v>
      </c>
      <c r="B1384" s="116">
        <v>1386.05</v>
      </c>
      <c r="C1384" s="116">
        <v>1365.5</v>
      </c>
      <c r="D1384" s="116">
        <v>1325.6</v>
      </c>
      <c r="E1384" s="116">
        <v>1336.85</v>
      </c>
      <c r="F1384" s="116">
        <v>2731</v>
      </c>
      <c r="G1384">
        <v>97734</v>
      </c>
      <c r="H1384" s="116"/>
      <c r="I1384" s="116"/>
      <c r="L1384" s="170">
        <v>44046</v>
      </c>
      <c r="M1384" s="116">
        <v>1363.9749999999999</v>
      </c>
      <c r="N1384" s="116">
        <v>1386.9749999999999</v>
      </c>
      <c r="O1384" s="116">
        <v>1325</v>
      </c>
      <c r="P1384" s="116">
        <v>1331.8</v>
      </c>
      <c r="Q1384" s="116">
        <v>2727.95</v>
      </c>
      <c r="R1384">
        <v>2139365</v>
      </c>
    </row>
    <row r="1385" spans="1:18" x14ac:dyDescent="0.25">
      <c r="A1385" s="170">
        <v>44047</v>
      </c>
      <c r="B1385" s="116">
        <v>1422.5</v>
      </c>
      <c r="C1385" s="116">
        <v>1414.45</v>
      </c>
      <c r="D1385" s="116">
        <v>1359.7</v>
      </c>
      <c r="E1385" s="116">
        <v>1382.5</v>
      </c>
      <c r="F1385" s="116">
        <v>2828.9</v>
      </c>
      <c r="G1385">
        <v>66779</v>
      </c>
      <c r="H1385" s="116"/>
      <c r="I1385" s="116"/>
      <c r="L1385" s="170">
        <v>44047</v>
      </c>
      <c r="M1385" s="116">
        <v>1414.35</v>
      </c>
      <c r="N1385" s="116">
        <v>1424.4</v>
      </c>
      <c r="O1385" s="116">
        <v>1360</v>
      </c>
      <c r="P1385" s="116">
        <v>1379.5</v>
      </c>
      <c r="Q1385" s="116">
        <v>2828.7</v>
      </c>
      <c r="R1385">
        <v>1760004</v>
      </c>
    </row>
    <row r="1386" spans="1:18" x14ac:dyDescent="0.25">
      <c r="A1386" s="170">
        <v>44048</v>
      </c>
      <c r="B1386" s="116">
        <v>1440.5</v>
      </c>
      <c r="C1386" s="116">
        <v>1430.2249999999999</v>
      </c>
      <c r="D1386" s="116">
        <v>1400</v>
      </c>
      <c r="E1386" s="116">
        <v>1400</v>
      </c>
      <c r="F1386" s="116">
        <v>2860.45</v>
      </c>
      <c r="G1386">
        <v>37934</v>
      </c>
      <c r="H1386" s="116"/>
      <c r="I1386" s="116"/>
      <c r="L1386" s="170">
        <v>44048</v>
      </c>
      <c r="M1386" s="116">
        <v>1428.6</v>
      </c>
      <c r="N1386" s="116">
        <v>1440.75</v>
      </c>
      <c r="O1386" s="116">
        <v>1406</v>
      </c>
      <c r="P1386" s="116">
        <v>1421</v>
      </c>
      <c r="Q1386" s="116">
        <v>2857.2</v>
      </c>
      <c r="R1386">
        <v>1237999</v>
      </c>
    </row>
    <row r="1387" spans="1:18" x14ac:dyDescent="0.25">
      <c r="A1387" s="170">
        <v>44049</v>
      </c>
      <c r="B1387" s="116">
        <v>1498.5</v>
      </c>
      <c r="C1387" s="116">
        <v>1488.85</v>
      </c>
      <c r="D1387" s="116">
        <v>1427.95</v>
      </c>
      <c r="E1387" s="116">
        <v>1432.5</v>
      </c>
      <c r="F1387" s="116">
        <v>2977.7</v>
      </c>
      <c r="G1387">
        <v>39481</v>
      </c>
      <c r="H1387" s="116"/>
      <c r="I1387" s="116"/>
      <c r="L1387" s="170">
        <v>44049</v>
      </c>
      <c r="M1387" s="116">
        <v>1488.2249999999999</v>
      </c>
      <c r="N1387" s="116">
        <v>1500.75</v>
      </c>
      <c r="O1387" s="116">
        <v>1426.8</v>
      </c>
      <c r="P1387" s="116">
        <v>1435.5</v>
      </c>
      <c r="Q1387" s="116">
        <v>2976.45</v>
      </c>
      <c r="R1387">
        <v>1925257</v>
      </c>
    </row>
    <row r="1388" spans="1:18" x14ac:dyDescent="0.25">
      <c r="A1388" s="170">
        <v>44050</v>
      </c>
      <c r="B1388" s="116">
        <v>1495.425</v>
      </c>
      <c r="C1388" s="116">
        <v>1470.3</v>
      </c>
      <c r="D1388" s="116">
        <v>1463.875</v>
      </c>
      <c r="E1388" s="116">
        <v>1489</v>
      </c>
      <c r="F1388" s="116">
        <v>2940.6</v>
      </c>
      <c r="G1388">
        <v>33853</v>
      </c>
      <c r="H1388" s="116"/>
      <c r="I1388" s="116"/>
      <c r="L1388" s="170">
        <v>44050</v>
      </c>
      <c r="M1388" s="116">
        <v>1470.5250000000001</v>
      </c>
      <c r="N1388" s="116">
        <v>1495.625</v>
      </c>
      <c r="O1388" s="116">
        <v>1463.5</v>
      </c>
      <c r="P1388" s="116">
        <v>1487.4749999999999</v>
      </c>
      <c r="Q1388" s="116">
        <v>2941.05</v>
      </c>
      <c r="R1388">
        <v>1037725</v>
      </c>
    </row>
    <row r="1389" spans="1:18" x14ac:dyDescent="0.25">
      <c r="A1389" s="170">
        <v>44053</v>
      </c>
      <c r="B1389" s="116">
        <v>1514.575</v>
      </c>
      <c r="C1389" s="116">
        <v>1505.95</v>
      </c>
      <c r="D1389" s="116">
        <v>1470.3</v>
      </c>
      <c r="E1389" s="116">
        <v>1470.3</v>
      </c>
      <c r="F1389" s="116">
        <v>3011.9</v>
      </c>
      <c r="G1389">
        <v>37226</v>
      </c>
      <c r="H1389" s="116"/>
      <c r="I1389" s="116"/>
      <c r="L1389" s="170">
        <v>44053</v>
      </c>
      <c r="M1389" s="116">
        <v>1505.4</v>
      </c>
      <c r="N1389" s="116">
        <v>1515</v>
      </c>
      <c r="O1389" s="116">
        <v>1472.5</v>
      </c>
      <c r="P1389" s="116">
        <v>1474.9</v>
      </c>
      <c r="Q1389" s="116">
        <v>3010.8</v>
      </c>
      <c r="R1389">
        <v>1296485</v>
      </c>
    </row>
    <row r="1390" spans="1:18" x14ac:dyDescent="0.25">
      <c r="A1390" s="170">
        <v>44054</v>
      </c>
      <c r="B1390" s="116">
        <v>1520</v>
      </c>
      <c r="C1390" s="116">
        <v>1435.25</v>
      </c>
      <c r="D1390" s="116">
        <v>1430.5</v>
      </c>
      <c r="E1390" s="116">
        <v>1520</v>
      </c>
      <c r="F1390" s="116">
        <v>2870.5</v>
      </c>
      <c r="G1390">
        <v>22252</v>
      </c>
      <c r="H1390" s="116"/>
      <c r="I1390" s="116"/>
      <c r="L1390" s="170">
        <v>44054</v>
      </c>
      <c r="M1390" s="116">
        <v>1435.2</v>
      </c>
      <c r="N1390" s="116">
        <v>1515.6</v>
      </c>
      <c r="O1390" s="116">
        <v>1430.075</v>
      </c>
      <c r="P1390" s="116">
        <v>1505.5</v>
      </c>
      <c r="Q1390" s="116">
        <v>2870.4</v>
      </c>
      <c r="R1390">
        <v>1218143</v>
      </c>
    </row>
    <row r="1391" spans="1:18" x14ac:dyDescent="0.25">
      <c r="A1391" s="170">
        <v>44055</v>
      </c>
      <c r="B1391" s="116">
        <v>1450.6</v>
      </c>
      <c r="C1391" s="116">
        <v>1406.7750000000001</v>
      </c>
      <c r="D1391" s="116">
        <v>1403.5</v>
      </c>
      <c r="E1391" s="116">
        <v>1436.25</v>
      </c>
      <c r="F1391" s="116">
        <v>2813.55</v>
      </c>
      <c r="G1391">
        <v>40299</v>
      </c>
      <c r="H1391" s="116"/>
      <c r="I1391" s="116"/>
      <c r="L1391" s="170">
        <v>44055</v>
      </c>
      <c r="M1391" s="116">
        <v>1408</v>
      </c>
      <c r="N1391" s="116">
        <v>1452.5</v>
      </c>
      <c r="O1391" s="116">
        <v>1403.5</v>
      </c>
      <c r="P1391" s="116">
        <v>1432.55</v>
      </c>
      <c r="Q1391" s="116">
        <v>2816</v>
      </c>
      <c r="R1391">
        <v>1042384</v>
      </c>
    </row>
    <row r="1392" spans="1:18" x14ac:dyDescent="0.25">
      <c r="A1392" s="170">
        <v>44056</v>
      </c>
      <c r="B1392" s="116">
        <v>1429.75</v>
      </c>
      <c r="C1392" s="116">
        <v>1398.35</v>
      </c>
      <c r="D1392" s="116">
        <v>1390.5</v>
      </c>
      <c r="E1392" s="116">
        <v>1409.05</v>
      </c>
      <c r="F1392" s="116">
        <v>2796.7</v>
      </c>
      <c r="G1392">
        <v>35218</v>
      </c>
      <c r="H1392" s="116"/>
      <c r="I1392" s="116"/>
      <c r="L1392" s="170">
        <v>44056</v>
      </c>
      <c r="M1392" s="116">
        <v>1399.4749999999999</v>
      </c>
      <c r="N1392" s="116">
        <v>1429.925</v>
      </c>
      <c r="O1392" s="116">
        <v>1389.0250000000001</v>
      </c>
      <c r="P1392" s="116">
        <v>1416</v>
      </c>
      <c r="Q1392" s="116">
        <v>2798.95</v>
      </c>
      <c r="R1392">
        <v>856428</v>
      </c>
    </row>
    <row r="1393" spans="1:18" x14ac:dyDescent="0.25">
      <c r="A1393" s="170">
        <v>44057</v>
      </c>
      <c r="B1393" s="116">
        <v>1442.6</v>
      </c>
      <c r="C1393" s="116">
        <v>1419.5</v>
      </c>
      <c r="D1393" s="116">
        <v>1396.3</v>
      </c>
      <c r="E1393" s="116">
        <v>1415</v>
      </c>
      <c r="F1393" s="116">
        <v>2839</v>
      </c>
      <c r="G1393">
        <v>25709</v>
      </c>
      <c r="H1393" s="116"/>
      <c r="I1393" s="116"/>
      <c r="L1393" s="170">
        <v>44057</v>
      </c>
      <c r="M1393" s="116">
        <v>1419.4749999999999</v>
      </c>
      <c r="N1393" s="116">
        <v>1443.25</v>
      </c>
      <c r="O1393" s="116">
        <v>1395</v>
      </c>
      <c r="P1393" s="116">
        <v>1406.4749999999999</v>
      </c>
      <c r="Q1393" s="116">
        <v>2838.95</v>
      </c>
      <c r="R1393">
        <v>835097</v>
      </c>
    </row>
    <row r="1394" spans="1:18" x14ac:dyDescent="0.25">
      <c r="A1394" s="170">
        <v>44060</v>
      </c>
      <c r="B1394" s="116">
        <v>1431</v>
      </c>
      <c r="C1394" s="116">
        <v>1398.35</v>
      </c>
      <c r="D1394" s="116">
        <v>1386.425</v>
      </c>
      <c r="E1394" s="116">
        <v>1423</v>
      </c>
      <c r="F1394" s="116">
        <v>2796.7</v>
      </c>
      <c r="G1394">
        <v>45365</v>
      </c>
      <c r="H1394" s="116"/>
      <c r="I1394" s="116"/>
      <c r="L1394" s="170">
        <v>44060</v>
      </c>
      <c r="M1394" s="116">
        <v>1396.05</v>
      </c>
      <c r="N1394" s="116">
        <v>1434.5</v>
      </c>
      <c r="O1394" s="116">
        <v>1385.2750000000001</v>
      </c>
      <c r="P1394" s="116">
        <v>1434.5</v>
      </c>
      <c r="Q1394" s="116">
        <v>2792.1</v>
      </c>
      <c r="R1394">
        <v>598459</v>
      </c>
    </row>
    <row r="1395" spans="1:18" x14ac:dyDescent="0.25">
      <c r="A1395" s="170">
        <v>44061</v>
      </c>
      <c r="B1395" s="116">
        <v>1416</v>
      </c>
      <c r="C1395" s="116">
        <v>1402.7</v>
      </c>
      <c r="D1395" s="116">
        <v>1386.55</v>
      </c>
      <c r="E1395" s="116">
        <v>1386.55</v>
      </c>
      <c r="F1395" s="116">
        <v>2805.4</v>
      </c>
      <c r="G1395">
        <v>21174</v>
      </c>
      <c r="H1395" s="116"/>
      <c r="I1395" s="116"/>
      <c r="L1395" s="170">
        <v>44061</v>
      </c>
      <c r="M1395" s="116">
        <v>1402.625</v>
      </c>
      <c r="N1395" s="116">
        <v>1416.75</v>
      </c>
      <c r="O1395" s="116">
        <v>1389.5</v>
      </c>
      <c r="P1395" s="116">
        <v>1397.45</v>
      </c>
      <c r="Q1395" s="116">
        <v>2805.25</v>
      </c>
      <c r="R1395">
        <v>570783</v>
      </c>
    </row>
    <row r="1396" spans="1:18" x14ac:dyDescent="0.25">
      <c r="A1396" s="170">
        <v>44062</v>
      </c>
      <c r="B1396" s="116">
        <v>1417.9</v>
      </c>
      <c r="C1396" s="116">
        <v>1398.0250000000001</v>
      </c>
      <c r="D1396" s="116">
        <v>1392.5250000000001</v>
      </c>
      <c r="E1396" s="116">
        <v>1415</v>
      </c>
      <c r="F1396" s="116">
        <v>2796.05</v>
      </c>
      <c r="G1396">
        <v>19503</v>
      </c>
      <c r="H1396" s="116"/>
      <c r="I1396" s="116"/>
      <c r="L1396" s="170">
        <v>44062</v>
      </c>
      <c r="M1396" s="116">
        <v>1397.3</v>
      </c>
      <c r="N1396" s="116">
        <v>1418.95</v>
      </c>
      <c r="O1396" s="116">
        <v>1392.5250000000001</v>
      </c>
      <c r="P1396" s="116">
        <v>1417</v>
      </c>
      <c r="Q1396" s="116">
        <v>2794.6</v>
      </c>
      <c r="R1396">
        <v>370453</v>
      </c>
    </row>
    <row r="1397" spans="1:18" x14ac:dyDescent="0.25">
      <c r="A1397" s="170">
        <v>44063</v>
      </c>
      <c r="B1397" s="116">
        <v>1411.75</v>
      </c>
      <c r="C1397" s="116">
        <v>1407.0250000000001</v>
      </c>
      <c r="D1397" s="116">
        <v>1389.925</v>
      </c>
      <c r="E1397" s="116">
        <v>1400</v>
      </c>
      <c r="F1397" s="116">
        <v>2814.05</v>
      </c>
      <c r="G1397">
        <v>12145</v>
      </c>
      <c r="H1397" s="116"/>
      <c r="I1397" s="116"/>
      <c r="L1397" s="170">
        <v>44063</v>
      </c>
      <c r="M1397" s="116">
        <v>1407.325</v>
      </c>
      <c r="N1397" s="116">
        <v>1412.45</v>
      </c>
      <c r="O1397" s="116">
        <v>1390.05</v>
      </c>
      <c r="P1397" s="116">
        <v>1400.6</v>
      </c>
      <c r="Q1397" s="116">
        <v>2814.65</v>
      </c>
      <c r="R1397">
        <v>385612</v>
      </c>
    </row>
    <row r="1398" spans="1:18" x14ac:dyDescent="0.25">
      <c r="A1398" s="170">
        <v>44064</v>
      </c>
      <c r="B1398" s="116">
        <v>1438.5</v>
      </c>
      <c r="C1398" s="116">
        <v>1411.925</v>
      </c>
      <c r="D1398" s="116">
        <v>1402.8</v>
      </c>
      <c r="E1398" s="116">
        <v>1402.8</v>
      </c>
      <c r="F1398" s="116">
        <v>2823.85</v>
      </c>
      <c r="G1398">
        <v>19397</v>
      </c>
      <c r="H1398" s="116"/>
      <c r="I1398" s="116"/>
      <c r="L1398" s="170">
        <v>44064</v>
      </c>
      <c r="M1398" s="116">
        <v>1412.7249999999999</v>
      </c>
      <c r="N1398" s="116">
        <v>1439.25</v>
      </c>
      <c r="O1398" s="116">
        <v>1407.5</v>
      </c>
      <c r="P1398" s="116">
        <v>1414</v>
      </c>
      <c r="Q1398" s="116">
        <v>2825.45</v>
      </c>
      <c r="R1398">
        <v>799553</v>
      </c>
    </row>
    <row r="1399" spans="1:18" x14ac:dyDescent="0.25">
      <c r="A1399" s="170">
        <v>44067</v>
      </c>
      <c r="B1399" s="116">
        <v>1433.45</v>
      </c>
      <c r="C1399" s="116">
        <v>1398.75</v>
      </c>
      <c r="D1399" s="116">
        <v>1392.35</v>
      </c>
      <c r="E1399" s="116">
        <v>1433.45</v>
      </c>
      <c r="F1399" s="116">
        <v>2797.5</v>
      </c>
      <c r="G1399">
        <v>15841</v>
      </c>
      <c r="H1399" s="116"/>
      <c r="I1399" s="116"/>
      <c r="L1399" s="170">
        <v>44067</v>
      </c>
      <c r="M1399" s="116">
        <v>1399.05</v>
      </c>
      <c r="N1399" s="116">
        <v>1427.5</v>
      </c>
      <c r="O1399" s="116">
        <v>1390.8</v>
      </c>
      <c r="P1399" s="116">
        <v>1422.2</v>
      </c>
      <c r="Q1399" s="116">
        <v>2798.1</v>
      </c>
      <c r="R1399">
        <v>324559</v>
      </c>
    </row>
    <row r="1400" spans="1:18" x14ac:dyDescent="0.25">
      <c r="A1400" s="170">
        <v>44068</v>
      </c>
      <c r="B1400" s="116">
        <v>1417.5</v>
      </c>
      <c r="C1400" s="116">
        <v>1402.15</v>
      </c>
      <c r="D1400" s="116">
        <v>1392.2249999999999</v>
      </c>
      <c r="E1400" s="116">
        <v>1417.5</v>
      </c>
      <c r="F1400" s="116">
        <v>2804.3</v>
      </c>
      <c r="G1400">
        <v>21419</v>
      </c>
      <c r="H1400" s="116"/>
      <c r="I1400" s="116"/>
      <c r="L1400" s="170">
        <v>44068</v>
      </c>
      <c r="M1400" s="116">
        <v>1402.175</v>
      </c>
      <c r="N1400" s="116">
        <v>1416</v>
      </c>
      <c r="O1400" s="116">
        <v>1392.075</v>
      </c>
      <c r="P1400" s="116">
        <v>1406.05</v>
      </c>
      <c r="Q1400" s="116">
        <v>2804.35</v>
      </c>
      <c r="R1400">
        <v>364204</v>
      </c>
    </row>
    <row r="1401" spans="1:18" x14ac:dyDescent="0.25">
      <c r="A1401" s="170">
        <v>44069</v>
      </c>
      <c r="B1401" s="116">
        <v>1410.25</v>
      </c>
      <c r="C1401" s="116">
        <v>1376.575</v>
      </c>
      <c r="D1401" s="116">
        <v>1374.5</v>
      </c>
      <c r="E1401" s="116">
        <v>1410.25</v>
      </c>
      <c r="F1401" s="116">
        <v>2753.15</v>
      </c>
      <c r="G1401">
        <v>12917</v>
      </c>
      <c r="H1401" s="116"/>
      <c r="I1401" s="116"/>
      <c r="L1401" s="170">
        <v>44069</v>
      </c>
      <c r="M1401" s="116">
        <v>1377.6</v>
      </c>
      <c r="N1401" s="116">
        <v>1409.075</v>
      </c>
      <c r="O1401" s="116">
        <v>1373.85</v>
      </c>
      <c r="P1401" s="116">
        <v>1405</v>
      </c>
      <c r="Q1401" s="116">
        <v>2755.2</v>
      </c>
      <c r="R1401">
        <v>454731</v>
      </c>
    </row>
    <row r="1402" spans="1:18" x14ac:dyDescent="0.25">
      <c r="A1402" s="170">
        <v>44070</v>
      </c>
      <c r="B1402" s="116">
        <v>1389.325</v>
      </c>
      <c r="C1402" s="116">
        <v>1374.45</v>
      </c>
      <c r="D1402" s="116">
        <v>1364.65</v>
      </c>
      <c r="E1402" s="116">
        <v>1372.5</v>
      </c>
      <c r="F1402" s="116">
        <v>2748.9</v>
      </c>
      <c r="G1402">
        <v>27372</v>
      </c>
      <c r="H1402" s="116"/>
      <c r="I1402" s="116"/>
      <c r="L1402" s="170">
        <v>44070</v>
      </c>
      <c r="M1402" s="116">
        <v>1373.5250000000001</v>
      </c>
      <c r="N1402" s="116">
        <v>1389.9</v>
      </c>
      <c r="O1402" s="116">
        <v>1364.25</v>
      </c>
      <c r="P1402" s="116">
        <v>1375.5</v>
      </c>
      <c r="Q1402" s="116">
        <v>2747.05</v>
      </c>
      <c r="R1402">
        <v>613152</v>
      </c>
    </row>
    <row r="1403" spans="1:18" x14ac:dyDescent="0.25">
      <c r="A1403" s="170">
        <v>44071</v>
      </c>
      <c r="B1403" s="116">
        <v>1383.95</v>
      </c>
      <c r="C1403" s="116">
        <v>1352.9</v>
      </c>
      <c r="D1403" s="116">
        <v>1351.5</v>
      </c>
      <c r="E1403" s="116">
        <v>1367.5</v>
      </c>
      <c r="F1403" s="116">
        <v>2705.8</v>
      </c>
      <c r="G1403">
        <v>39152</v>
      </c>
      <c r="H1403" s="116"/>
      <c r="I1403" s="116"/>
      <c r="L1403" s="170">
        <v>44071</v>
      </c>
      <c r="M1403" s="116">
        <v>1354.7249999999999</v>
      </c>
      <c r="N1403" s="116">
        <v>1384</v>
      </c>
      <c r="O1403" s="116">
        <v>1352</v>
      </c>
      <c r="P1403" s="116">
        <v>1377.05</v>
      </c>
      <c r="Q1403" s="116">
        <v>2709.45</v>
      </c>
      <c r="R1403">
        <v>538420</v>
      </c>
    </row>
    <row r="1404" spans="1:18" x14ac:dyDescent="0.25">
      <c r="A1404" s="170">
        <v>44074</v>
      </c>
      <c r="B1404" s="116">
        <v>1368.175</v>
      </c>
      <c r="C1404" s="116">
        <v>1330.5</v>
      </c>
      <c r="D1404" s="116">
        <v>1309.75</v>
      </c>
      <c r="E1404" s="116">
        <v>1357</v>
      </c>
      <c r="F1404" s="116">
        <v>2661</v>
      </c>
      <c r="G1404">
        <v>18590</v>
      </c>
      <c r="H1404" s="116"/>
      <c r="I1404" s="116"/>
      <c r="L1404" s="170">
        <v>44074</v>
      </c>
      <c r="M1404" s="116">
        <v>1330.8</v>
      </c>
      <c r="N1404" s="116">
        <v>1369.425</v>
      </c>
      <c r="O1404" s="116">
        <v>1308.6500000000001</v>
      </c>
      <c r="P1404" s="116">
        <v>1363.325</v>
      </c>
      <c r="Q1404" s="116">
        <v>2661.6</v>
      </c>
      <c r="R1404">
        <v>800620</v>
      </c>
    </row>
    <row r="1405" spans="1:18" x14ac:dyDescent="0.25">
      <c r="A1405" s="170">
        <v>44075</v>
      </c>
      <c r="B1405" s="116">
        <v>1363.5250000000001</v>
      </c>
      <c r="C1405" s="116">
        <v>1352.5250000000001</v>
      </c>
      <c r="D1405" s="116">
        <v>1318.5</v>
      </c>
      <c r="E1405" s="116">
        <v>1332.55</v>
      </c>
      <c r="F1405" s="116">
        <v>2705.05</v>
      </c>
      <c r="G1405">
        <v>13187</v>
      </c>
      <c r="H1405" s="116"/>
      <c r="I1405" s="116"/>
      <c r="L1405" s="170">
        <v>44075</v>
      </c>
      <c r="M1405" s="116">
        <v>1354.925</v>
      </c>
      <c r="N1405" s="116">
        <v>1366.675</v>
      </c>
      <c r="O1405" s="116">
        <v>1317.925</v>
      </c>
      <c r="P1405" s="116">
        <v>1337.4749999999999</v>
      </c>
      <c r="Q1405" s="116">
        <v>2709.85</v>
      </c>
      <c r="R1405">
        <v>563194</v>
      </c>
    </row>
    <row r="1406" spans="1:18" x14ac:dyDescent="0.25">
      <c r="A1406" s="170">
        <v>44076</v>
      </c>
      <c r="B1406" s="116">
        <v>1395.5</v>
      </c>
      <c r="C1406" s="116">
        <v>1381.3</v>
      </c>
      <c r="D1406" s="116">
        <v>1352.15</v>
      </c>
      <c r="E1406" s="116">
        <v>1359</v>
      </c>
      <c r="F1406" s="116">
        <v>2762.6</v>
      </c>
      <c r="G1406">
        <v>20702</v>
      </c>
      <c r="H1406" s="116"/>
      <c r="I1406" s="116"/>
      <c r="L1406" s="170">
        <v>44076</v>
      </c>
      <c r="M1406" s="116">
        <v>1380.9</v>
      </c>
      <c r="N1406" s="116">
        <v>1396.2249999999999</v>
      </c>
      <c r="O1406" s="116">
        <v>1347.5</v>
      </c>
      <c r="P1406" s="116">
        <v>1354.625</v>
      </c>
      <c r="Q1406" s="116">
        <v>2761.8</v>
      </c>
      <c r="R1406">
        <v>1338343</v>
      </c>
    </row>
    <row r="1407" spans="1:18" x14ac:dyDescent="0.25">
      <c r="A1407" s="170">
        <v>44077</v>
      </c>
      <c r="B1407" s="116">
        <v>1416.325</v>
      </c>
      <c r="C1407" s="116">
        <v>1398.85</v>
      </c>
      <c r="D1407" s="116">
        <v>1367.875</v>
      </c>
      <c r="E1407" s="116">
        <v>1385.95</v>
      </c>
      <c r="F1407" s="116">
        <v>2797.7</v>
      </c>
      <c r="G1407">
        <v>57840</v>
      </c>
      <c r="H1407" s="116"/>
      <c r="I1407" s="116"/>
      <c r="L1407" s="170">
        <v>44077</v>
      </c>
      <c r="M1407" s="116">
        <v>1398.7249999999999</v>
      </c>
      <c r="N1407" s="116">
        <v>1416.75</v>
      </c>
      <c r="O1407" s="116">
        <v>1367.175</v>
      </c>
      <c r="P1407" s="116">
        <v>1381.45</v>
      </c>
      <c r="Q1407" s="116">
        <v>2797.45</v>
      </c>
      <c r="R1407">
        <v>1076800</v>
      </c>
    </row>
    <row r="1408" spans="1:18" x14ac:dyDescent="0.25">
      <c r="A1408" s="170">
        <v>44078</v>
      </c>
      <c r="B1408" s="116">
        <v>1415.875</v>
      </c>
      <c r="C1408" s="116">
        <v>1385.55</v>
      </c>
      <c r="D1408" s="116">
        <v>1372.875</v>
      </c>
      <c r="E1408" s="116">
        <v>1385.5</v>
      </c>
      <c r="F1408" s="116">
        <v>2771.1</v>
      </c>
      <c r="G1408">
        <v>30127</v>
      </c>
      <c r="H1408" s="116"/>
      <c r="I1408" s="116"/>
      <c r="L1408" s="170">
        <v>44078</v>
      </c>
      <c r="M1408" s="116">
        <v>1384.6</v>
      </c>
      <c r="N1408" s="116">
        <v>1416</v>
      </c>
      <c r="O1408" s="116">
        <v>1373.5</v>
      </c>
      <c r="P1408" s="116">
        <v>1387.9749999999999</v>
      </c>
      <c r="Q1408" s="116">
        <v>2769.2</v>
      </c>
      <c r="R1408">
        <v>885235</v>
      </c>
    </row>
    <row r="1409" spans="1:18" x14ac:dyDescent="0.25">
      <c r="A1409" s="170">
        <v>44081</v>
      </c>
      <c r="B1409" s="116">
        <v>1403</v>
      </c>
      <c r="C1409" s="116">
        <v>1391.875</v>
      </c>
      <c r="D1409" s="116">
        <v>1365.1</v>
      </c>
      <c r="E1409" s="116">
        <v>1380</v>
      </c>
      <c r="F1409" s="116">
        <v>2783.75</v>
      </c>
      <c r="G1409">
        <v>13565</v>
      </c>
      <c r="H1409" s="116"/>
      <c r="I1409" s="116"/>
      <c r="L1409" s="170">
        <v>44081</v>
      </c>
      <c r="M1409" s="116">
        <v>1391.25</v>
      </c>
      <c r="N1409" s="116">
        <v>1404.35</v>
      </c>
      <c r="O1409" s="116">
        <v>1366</v>
      </c>
      <c r="P1409" s="116">
        <v>1391.7</v>
      </c>
      <c r="Q1409" s="116">
        <v>2782.5</v>
      </c>
      <c r="R1409">
        <v>452556</v>
      </c>
    </row>
    <row r="1410" spans="1:18" x14ac:dyDescent="0.25">
      <c r="A1410" s="170">
        <v>44082</v>
      </c>
      <c r="B1410" s="116">
        <v>1407.5</v>
      </c>
      <c r="C1410" s="116">
        <v>1376.5250000000001</v>
      </c>
      <c r="D1410" s="116">
        <v>1369</v>
      </c>
      <c r="E1410" s="116">
        <v>1397.5</v>
      </c>
      <c r="F1410" s="116">
        <v>2753.05</v>
      </c>
      <c r="G1410">
        <v>32895</v>
      </c>
      <c r="H1410" s="116"/>
      <c r="I1410" s="116"/>
      <c r="L1410" s="170">
        <v>44082</v>
      </c>
      <c r="M1410" s="116">
        <v>1376.825</v>
      </c>
      <c r="N1410" s="116">
        <v>1409</v>
      </c>
      <c r="O1410" s="116">
        <v>1370</v>
      </c>
      <c r="P1410" s="116">
        <v>1391.25</v>
      </c>
      <c r="Q1410" s="116">
        <v>2753.65</v>
      </c>
      <c r="R1410">
        <v>775833</v>
      </c>
    </row>
    <row r="1411" spans="1:18" x14ac:dyDescent="0.25">
      <c r="A1411" s="170">
        <v>44083</v>
      </c>
      <c r="B1411" s="116">
        <v>1409</v>
      </c>
      <c r="C1411" s="116">
        <v>1404.9</v>
      </c>
      <c r="D1411" s="116">
        <v>1340.5</v>
      </c>
      <c r="E1411" s="116">
        <v>1340.5</v>
      </c>
      <c r="F1411" s="116">
        <v>2809.8</v>
      </c>
      <c r="G1411">
        <v>19406</v>
      </c>
      <c r="H1411" s="116"/>
      <c r="I1411" s="116"/>
      <c r="L1411" s="170">
        <v>44083</v>
      </c>
      <c r="M1411" s="116">
        <v>1403.9</v>
      </c>
      <c r="N1411" s="116">
        <v>1410</v>
      </c>
      <c r="O1411" s="116">
        <v>1360.0250000000001</v>
      </c>
      <c r="P1411" s="116">
        <v>1370</v>
      </c>
      <c r="Q1411" s="116">
        <v>2807.8</v>
      </c>
      <c r="R1411">
        <v>588941</v>
      </c>
    </row>
    <row r="1412" spans="1:18" x14ac:dyDescent="0.25">
      <c r="A1412" s="170">
        <v>44084</v>
      </c>
      <c r="B1412" s="116">
        <v>1426</v>
      </c>
      <c r="C1412" s="116">
        <v>1407.55</v>
      </c>
      <c r="D1412" s="116">
        <v>1399</v>
      </c>
      <c r="E1412" s="116">
        <v>1425</v>
      </c>
      <c r="F1412" s="116">
        <v>2815.1</v>
      </c>
      <c r="G1412">
        <v>33013</v>
      </c>
      <c r="H1412" s="116"/>
      <c r="I1412" s="116"/>
      <c r="L1412" s="170">
        <v>44084</v>
      </c>
      <c r="M1412" s="116">
        <v>1407.2750000000001</v>
      </c>
      <c r="N1412" s="116">
        <v>1426.4749999999999</v>
      </c>
      <c r="O1412" s="116">
        <v>1398.0250000000001</v>
      </c>
      <c r="P1412" s="116">
        <v>1425</v>
      </c>
      <c r="Q1412" s="116">
        <v>2814.55</v>
      </c>
      <c r="R1412">
        <v>774126</v>
      </c>
    </row>
    <row r="1413" spans="1:18" x14ac:dyDescent="0.25">
      <c r="A1413" s="170">
        <v>44085</v>
      </c>
      <c r="B1413" s="116">
        <v>1420.75</v>
      </c>
      <c r="C1413" s="116">
        <v>1418.5</v>
      </c>
      <c r="D1413" s="116">
        <v>1406.425</v>
      </c>
      <c r="E1413" s="116">
        <v>1407</v>
      </c>
      <c r="F1413" s="116">
        <v>2837</v>
      </c>
      <c r="G1413">
        <v>13894</v>
      </c>
      <c r="H1413" s="116"/>
      <c r="I1413" s="116"/>
      <c r="L1413" s="170">
        <v>44085</v>
      </c>
      <c r="M1413" s="116">
        <v>1418.6</v>
      </c>
      <c r="N1413" s="116">
        <v>1420.9749999999999</v>
      </c>
      <c r="O1413" s="116">
        <v>1405.5</v>
      </c>
      <c r="P1413" s="116">
        <v>1407.5</v>
      </c>
      <c r="Q1413" s="116">
        <v>2837.2</v>
      </c>
      <c r="R1413">
        <v>206889</v>
      </c>
    </row>
    <row r="1414" spans="1:18" x14ac:dyDescent="0.25">
      <c r="A1414" s="170">
        <v>44088</v>
      </c>
      <c r="B1414" s="116">
        <v>1428.3</v>
      </c>
      <c r="C1414" s="116">
        <v>1398.4749999999999</v>
      </c>
      <c r="D1414" s="116">
        <v>1390.85</v>
      </c>
      <c r="E1414" s="116">
        <v>1426.5</v>
      </c>
      <c r="F1414" s="116">
        <v>2796.95</v>
      </c>
      <c r="G1414">
        <v>15544</v>
      </c>
      <c r="H1414" s="116"/>
      <c r="I1414" s="116"/>
      <c r="L1414" s="170">
        <v>44088</v>
      </c>
      <c r="M1414" s="116">
        <v>1398.7750000000001</v>
      </c>
      <c r="N1414" s="116">
        <v>1429.425</v>
      </c>
      <c r="O1414" s="116">
        <v>1390.575</v>
      </c>
      <c r="P1414" s="116">
        <v>1423</v>
      </c>
      <c r="Q1414" s="116">
        <v>2797.55</v>
      </c>
      <c r="R1414">
        <v>288536</v>
      </c>
    </row>
    <row r="1415" spans="1:18" x14ac:dyDescent="0.25">
      <c r="A1415" s="170">
        <v>44089</v>
      </c>
      <c r="B1415" s="116">
        <v>1443.675</v>
      </c>
      <c r="C1415" s="116">
        <v>1424.2750000000001</v>
      </c>
      <c r="D1415" s="116">
        <v>1407.95</v>
      </c>
      <c r="E1415" s="116">
        <v>1410.175</v>
      </c>
      <c r="F1415" s="116">
        <v>2848.55</v>
      </c>
      <c r="G1415">
        <v>9522</v>
      </c>
      <c r="H1415" s="116"/>
      <c r="I1415" s="116"/>
      <c r="L1415" s="170">
        <v>44089</v>
      </c>
      <c r="M1415" s="116">
        <v>1425.25</v>
      </c>
      <c r="N1415" s="116">
        <v>1443.95</v>
      </c>
      <c r="O1415" s="116">
        <v>1400</v>
      </c>
      <c r="P1415" s="116">
        <v>1400</v>
      </c>
      <c r="Q1415" s="116">
        <v>2850.5</v>
      </c>
      <c r="R1415">
        <v>689871</v>
      </c>
    </row>
    <row r="1416" spans="1:18" x14ac:dyDescent="0.25">
      <c r="A1416" s="170">
        <v>44090</v>
      </c>
      <c r="B1416" s="116">
        <v>1432.875</v>
      </c>
      <c r="C1416" s="116">
        <v>1422.625</v>
      </c>
      <c r="D1416" s="116">
        <v>1409.7750000000001</v>
      </c>
      <c r="E1416" s="116">
        <v>1409.95</v>
      </c>
      <c r="F1416" s="116">
        <v>2845.25</v>
      </c>
      <c r="G1416">
        <v>21801</v>
      </c>
      <c r="H1416" s="116"/>
      <c r="I1416" s="116"/>
      <c r="L1416" s="170">
        <v>44090</v>
      </c>
      <c r="M1416" s="116">
        <v>1421.5250000000001</v>
      </c>
      <c r="N1416" s="116">
        <v>1432.4</v>
      </c>
      <c r="O1416" s="116">
        <v>1408.675</v>
      </c>
      <c r="P1416" s="116">
        <v>1411.2750000000001</v>
      </c>
      <c r="Q1416" s="116">
        <v>2843.05</v>
      </c>
      <c r="R1416">
        <v>518752</v>
      </c>
    </row>
    <row r="1417" spans="1:18" x14ac:dyDescent="0.25">
      <c r="A1417" s="170">
        <v>44091</v>
      </c>
      <c r="B1417" s="116">
        <v>1438.5</v>
      </c>
      <c r="C1417" s="116">
        <v>1419.2249999999999</v>
      </c>
      <c r="D1417" s="116">
        <v>1412.375</v>
      </c>
      <c r="E1417" s="116">
        <v>1423</v>
      </c>
      <c r="F1417" s="116">
        <v>2838.45</v>
      </c>
      <c r="G1417">
        <v>34104</v>
      </c>
      <c r="H1417" s="116"/>
      <c r="I1417" s="116"/>
      <c r="L1417" s="170">
        <v>44091</v>
      </c>
      <c r="M1417" s="116">
        <v>1420.625</v>
      </c>
      <c r="N1417" s="116">
        <v>1439</v>
      </c>
      <c r="O1417" s="116">
        <v>1412.25</v>
      </c>
      <c r="P1417" s="116">
        <v>1419</v>
      </c>
      <c r="Q1417" s="116">
        <v>2841.25</v>
      </c>
      <c r="R1417">
        <v>719337</v>
      </c>
    </row>
    <row r="1418" spans="1:18" x14ac:dyDescent="0.25">
      <c r="A1418" s="170">
        <v>44092</v>
      </c>
      <c r="B1418" s="116">
        <v>1471.45</v>
      </c>
      <c r="C1418" s="116">
        <v>1436.8</v>
      </c>
      <c r="D1418" s="116">
        <v>1429</v>
      </c>
      <c r="E1418" s="116">
        <v>1434.9749999999999</v>
      </c>
      <c r="F1418" s="116">
        <v>2873.6</v>
      </c>
      <c r="G1418">
        <v>23059</v>
      </c>
      <c r="H1418" s="116"/>
      <c r="I1418" s="116"/>
      <c r="L1418" s="170">
        <v>44092</v>
      </c>
      <c r="M1418" s="116">
        <v>1438.15</v>
      </c>
      <c r="N1418" s="116">
        <v>1472.25</v>
      </c>
      <c r="O1418" s="116">
        <v>1425.825</v>
      </c>
      <c r="P1418" s="116">
        <v>1427.5</v>
      </c>
      <c r="Q1418" s="116">
        <v>2876.3</v>
      </c>
      <c r="R1418">
        <v>1152251</v>
      </c>
    </row>
    <row r="1419" spans="1:18" x14ac:dyDescent="0.25">
      <c r="A1419" s="170">
        <v>44095</v>
      </c>
      <c r="B1419" s="116">
        <v>1444.575</v>
      </c>
      <c r="C1419" s="116">
        <v>1352.1</v>
      </c>
      <c r="D1419" s="116">
        <v>1344</v>
      </c>
      <c r="E1419" s="116">
        <v>1433</v>
      </c>
      <c r="F1419" s="116">
        <v>2704.2</v>
      </c>
      <c r="G1419">
        <v>25436</v>
      </c>
      <c r="H1419" s="116"/>
      <c r="I1419" s="116"/>
      <c r="L1419" s="170">
        <v>44095</v>
      </c>
      <c r="M1419" s="116">
        <v>1355.8</v>
      </c>
      <c r="N1419" s="116">
        <v>1445.25</v>
      </c>
      <c r="O1419" s="116">
        <v>1342.675</v>
      </c>
      <c r="P1419" s="116">
        <v>1445</v>
      </c>
      <c r="Q1419" s="116">
        <v>2711.6</v>
      </c>
      <c r="R1419">
        <v>668959</v>
      </c>
    </row>
    <row r="1420" spans="1:18" x14ac:dyDescent="0.25">
      <c r="A1420" s="170">
        <v>44096</v>
      </c>
      <c r="B1420" s="116">
        <v>1372.675</v>
      </c>
      <c r="C1420" s="116">
        <v>1365.85</v>
      </c>
      <c r="D1420" s="116">
        <v>1320.7750000000001</v>
      </c>
      <c r="E1420" s="116">
        <v>1358.175</v>
      </c>
      <c r="F1420" s="116">
        <v>2731.7</v>
      </c>
      <c r="G1420">
        <v>9891</v>
      </c>
      <c r="H1420" s="116"/>
      <c r="I1420" s="116"/>
      <c r="L1420" s="170">
        <v>44096</v>
      </c>
      <c r="M1420" s="116">
        <v>1363.325</v>
      </c>
      <c r="N1420" s="116">
        <v>1374.5</v>
      </c>
      <c r="O1420" s="116">
        <v>1320</v>
      </c>
      <c r="P1420" s="116">
        <v>1361.175</v>
      </c>
      <c r="Q1420" s="116">
        <v>2726.65</v>
      </c>
      <c r="R1420">
        <v>605767</v>
      </c>
    </row>
    <row r="1421" spans="1:18" x14ac:dyDescent="0.25">
      <c r="A1421" s="170">
        <v>44097</v>
      </c>
      <c r="B1421" s="116">
        <v>1386.95</v>
      </c>
      <c r="C1421" s="116">
        <v>1329.85</v>
      </c>
      <c r="D1421" s="116">
        <v>1323.4</v>
      </c>
      <c r="E1421" s="116">
        <v>1364</v>
      </c>
      <c r="F1421" s="116">
        <v>2659.7</v>
      </c>
      <c r="G1421">
        <v>10903</v>
      </c>
      <c r="H1421" s="116"/>
      <c r="I1421" s="116"/>
      <c r="L1421" s="170">
        <v>44097</v>
      </c>
      <c r="M1421" s="116">
        <v>1330.4749999999999</v>
      </c>
      <c r="N1421" s="116">
        <v>1387.5</v>
      </c>
      <c r="O1421" s="116">
        <v>1323.075</v>
      </c>
      <c r="P1421" s="116">
        <v>1380</v>
      </c>
      <c r="Q1421" s="116">
        <v>2660.95</v>
      </c>
      <c r="R1421">
        <v>491174</v>
      </c>
    </row>
    <row r="1422" spans="1:18" x14ac:dyDescent="0.25">
      <c r="A1422" s="170">
        <v>44098</v>
      </c>
      <c r="B1422" s="116">
        <v>1338.325</v>
      </c>
      <c r="C1422" s="116">
        <v>1324.5</v>
      </c>
      <c r="D1422" s="116">
        <v>1279.3</v>
      </c>
      <c r="E1422" s="116">
        <v>1324</v>
      </c>
      <c r="F1422" s="116">
        <v>2649</v>
      </c>
      <c r="G1422">
        <v>6635</v>
      </c>
      <c r="H1422" s="116"/>
      <c r="I1422" s="116"/>
      <c r="L1422" s="170">
        <v>44098</v>
      </c>
      <c r="M1422" s="116">
        <v>1325.125</v>
      </c>
      <c r="N1422" s="116">
        <v>1339.175</v>
      </c>
      <c r="O1422" s="116">
        <v>1227.5</v>
      </c>
      <c r="P1422" s="116">
        <v>1323</v>
      </c>
      <c r="Q1422" s="116">
        <v>2650.25</v>
      </c>
      <c r="R1422">
        <v>500856</v>
      </c>
    </row>
    <row r="1423" spans="1:18" x14ac:dyDescent="0.25">
      <c r="A1423" s="170">
        <v>44099</v>
      </c>
      <c r="B1423" s="116">
        <v>1363</v>
      </c>
      <c r="C1423" s="116">
        <v>1359.5</v>
      </c>
      <c r="D1423" s="116">
        <v>1315.5250000000001</v>
      </c>
      <c r="E1423" s="116">
        <v>1340.75</v>
      </c>
      <c r="F1423" s="116">
        <v>2719</v>
      </c>
      <c r="G1423">
        <v>13490</v>
      </c>
      <c r="H1423" s="116"/>
      <c r="I1423" s="116"/>
      <c r="L1423" s="170">
        <v>44099</v>
      </c>
      <c r="M1423" s="116">
        <v>1359.625</v>
      </c>
      <c r="N1423" s="116">
        <v>1364.5</v>
      </c>
      <c r="O1423" s="116">
        <v>1315</v>
      </c>
      <c r="P1423" s="116">
        <v>1336.95</v>
      </c>
      <c r="Q1423" s="116">
        <v>2719.25</v>
      </c>
      <c r="R1423">
        <v>615197</v>
      </c>
    </row>
    <row r="1424" spans="1:18" x14ac:dyDescent="0.25">
      <c r="A1424" s="170">
        <v>44102</v>
      </c>
      <c r="B1424" s="116">
        <v>1375</v>
      </c>
      <c r="C1424" s="116">
        <v>1346.45</v>
      </c>
      <c r="D1424" s="116">
        <v>1324.1</v>
      </c>
      <c r="E1424" s="116">
        <v>1375</v>
      </c>
      <c r="F1424" s="116">
        <v>2692.9</v>
      </c>
      <c r="G1424">
        <v>20572</v>
      </c>
      <c r="H1424" s="116"/>
      <c r="I1424" s="116"/>
      <c r="L1424" s="170">
        <v>44102</v>
      </c>
      <c r="M1424" s="116">
        <v>1346.7249999999999</v>
      </c>
      <c r="N1424" s="116">
        <v>1373.075</v>
      </c>
      <c r="O1424" s="116">
        <v>1323.625</v>
      </c>
      <c r="P1424" s="116">
        <v>1365</v>
      </c>
      <c r="Q1424" s="116">
        <v>2693.45</v>
      </c>
      <c r="R1424">
        <v>656293</v>
      </c>
    </row>
    <row r="1425" spans="1:18" x14ac:dyDescent="0.25">
      <c r="A1425" s="170">
        <v>44103</v>
      </c>
      <c r="B1425" s="116">
        <v>1389.2750000000001</v>
      </c>
      <c r="C1425" s="116">
        <v>1356.35</v>
      </c>
      <c r="D1425" s="116">
        <v>1340.925</v>
      </c>
      <c r="E1425" s="116">
        <v>1355</v>
      </c>
      <c r="F1425" s="116">
        <v>2712.7</v>
      </c>
      <c r="G1425">
        <v>40254</v>
      </c>
      <c r="H1425" s="116"/>
      <c r="I1425" s="116"/>
      <c r="L1425" s="170">
        <v>44103</v>
      </c>
      <c r="M1425" s="116">
        <v>1355.6</v>
      </c>
      <c r="N1425" s="116">
        <v>1389.9749999999999</v>
      </c>
      <c r="O1425" s="116">
        <v>1339.5250000000001</v>
      </c>
      <c r="P1425" s="116">
        <v>1359.75</v>
      </c>
      <c r="Q1425" s="116">
        <v>2711.2</v>
      </c>
      <c r="R1425">
        <v>1031824</v>
      </c>
    </row>
    <row r="1426" spans="1:18" x14ac:dyDescent="0.25">
      <c r="A1426" s="170">
        <v>44104</v>
      </c>
      <c r="B1426" s="116">
        <v>1420.3</v>
      </c>
      <c r="C1426" s="116">
        <v>1400.1</v>
      </c>
      <c r="D1426" s="116">
        <v>1355.5</v>
      </c>
      <c r="E1426" s="116">
        <v>1371</v>
      </c>
      <c r="F1426" s="116">
        <v>2800.2</v>
      </c>
      <c r="G1426">
        <v>37891</v>
      </c>
      <c r="H1426" s="116"/>
      <c r="I1426" s="116"/>
      <c r="L1426" s="170">
        <v>44104</v>
      </c>
      <c r="M1426" s="116">
        <v>1399.9749999999999</v>
      </c>
      <c r="N1426" s="116">
        <v>1421.4749999999999</v>
      </c>
      <c r="O1426" s="116">
        <v>1353.8</v>
      </c>
      <c r="P1426" s="116">
        <v>1364.7249999999999</v>
      </c>
      <c r="Q1426" s="116">
        <v>2799.95</v>
      </c>
      <c r="R1426">
        <v>1462824</v>
      </c>
    </row>
    <row r="1427" spans="1:18" x14ac:dyDescent="0.25">
      <c r="A1427" s="170">
        <v>44105</v>
      </c>
      <c r="B1427" s="116">
        <v>1423.5</v>
      </c>
      <c r="C1427" s="116">
        <v>1408.55</v>
      </c>
      <c r="D1427" s="116">
        <v>1394</v>
      </c>
      <c r="E1427" s="116">
        <v>1405.5</v>
      </c>
      <c r="F1427" s="116">
        <v>2817.1</v>
      </c>
      <c r="G1427">
        <v>16519</v>
      </c>
      <c r="H1427" s="116"/>
      <c r="I1427" s="116"/>
      <c r="L1427" s="170">
        <v>44105</v>
      </c>
      <c r="M1427" s="116">
        <v>1408.6</v>
      </c>
      <c r="N1427" s="116">
        <v>1424.5</v>
      </c>
      <c r="O1427" s="116">
        <v>1393.55</v>
      </c>
      <c r="P1427" s="116">
        <v>1412.575</v>
      </c>
      <c r="Q1427" s="116">
        <v>2817.2</v>
      </c>
      <c r="R1427">
        <v>571104</v>
      </c>
    </row>
    <row r="1428" spans="1:18" x14ac:dyDescent="0.25">
      <c r="A1428" s="170">
        <v>44109</v>
      </c>
      <c r="B1428" s="116">
        <v>1420.925</v>
      </c>
      <c r="C1428" s="116">
        <v>1412.825</v>
      </c>
      <c r="D1428" s="116">
        <v>1376.0250000000001</v>
      </c>
      <c r="E1428" s="116">
        <v>1376.0250000000001</v>
      </c>
      <c r="F1428" s="116">
        <v>2825.65</v>
      </c>
      <c r="G1428">
        <v>11140</v>
      </c>
      <c r="H1428" s="116"/>
      <c r="I1428" s="116"/>
      <c r="L1428" s="170">
        <v>44109</v>
      </c>
      <c r="M1428" s="116">
        <v>1411.2750000000001</v>
      </c>
      <c r="N1428" s="116">
        <v>1420</v>
      </c>
      <c r="O1428" s="116">
        <v>1380.6</v>
      </c>
      <c r="P1428" s="116">
        <v>1408.6</v>
      </c>
      <c r="Q1428" s="116">
        <v>2822.55</v>
      </c>
      <c r="R1428">
        <v>829804</v>
      </c>
    </row>
    <row r="1429" spans="1:18" x14ac:dyDescent="0.25">
      <c r="A1429" s="170">
        <v>44110</v>
      </c>
      <c r="B1429" s="116">
        <v>1422.2</v>
      </c>
      <c r="C1429" s="116">
        <v>1406.925</v>
      </c>
      <c r="D1429" s="116">
        <v>1402.675</v>
      </c>
      <c r="E1429" s="116">
        <v>1413.5</v>
      </c>
      <c r="F1429" s="116">
        <v>2813.85</v>
      </c>
      <c r="G1429">
        <v>5650</v>
      </c>
      <c r="H1429" s="116"/>
      <c r="I1429" s="116"/>
      <c r="L1429" s="170">
        <v>44110</v>
      </c>
      <c r="M1429" s="116">
        <v>1407.55</v>
      </c>
      <c r="N1429" s="116">
        <v>1423.15</v>
      </c>
      <c r="O1429" s="116">
        <v>1403.2750000000001</v>
      </c>
      <c r="P1429" s="116">
        <v>1415.175</v>
      </c>
      <c r="Q1429" s="116">
        <v>2815.1</v>
      </c>
      <c r="R1429">
        <v>292185</v>
      </c>
    </row>
    <row r="1430" spans="1:18" x14ac:dyDescent="0.25">
      <c r="A1430" s="170">
        <v>44111</v>
      </c>
      <c r="B1430" s="116">
        <v>1427</v>
      </c>
      <c r="C1430" s="116">
        <v>1405.65</v>
      </c>
      <c r="D1430" s="116">
        <v>1395.5</v>
      </c>
      <c r="E1430" s="116">
        <v>1419.9749999999999</v>
      </c>
      <c r="F1430" s="116">
        <v>2811.3</v>
      </c>
      <c r="G1430">
        <v>6444</v>
      </c>
      <c r="H1430" s="116"/>
      <c r="I1430" s="116"/>
      <c r="L1430" s="170">
        <v>44111</v>
      </c>
      <c r="M1430" s="116">
        <v>1405.875</v>
      </c>
      <c r="N1430" s="116">
        <v>1427.5</v>
      </c>
      <c r="O1430" s="116">
        <v>1387.5</v>
      </c>
      <c r="P1430" s="116">
        <v>1402.5</v>
      </c>
      <c r="Q1430" s="116">
        <v>2811.75</v>
      </c>
      <c r="R1430">
        <v>509475</v>
      </c>
    </row>
    <row r="1431" spans="1:18" x14ac:dyDescent="0.25">
      <c r="A1431" s="170">
        <v>44112</v>
      </c>
      <c r="B1431" s="116">
        <v>1443.5</v>
      </c>
      <c r="C1431" s="116">
        <v>1434.2249999999999</v>
      </c>
      <c r="D1431" s="116">
        <v>1407.5</v>
      </c>
      <c r="E1431" s="116">
        <v>1414.2750000000001</v>
      </c>
      <c r="F1431" s="116">
        <v>2868.45</v>
      </c>
      <c r="G1431">
        <v>6336</v>
      </c>
      <c r="H1431" s="116"/>
      <c r="I1431" s="116"/>
      <c r="L1431" s="170">
        <v>44112</v>
      </c>
      <c r="M1431" s="116">
        <v>1433.2249999999999</v>
      </c>
      <c r="N1431" s="116">
        <v>1444</v>
      </c>
      <c r="O1431" s="116">
        <v>1405.8</v>
      </c>
      <c r="P1431" s="116">
        <v>1407.5</v>
      </c>
      <c r="Q1431" s="116">
        <v>2866.45</v>
      </c>
      <c r="R1431">
        <v>530955</v>
      </c>
    </row>
    <row r="1432" spans="1:18" x14ac:dyDescent="0.25">
      <c r="A1432" s="170">
        <v>44113</v>
      </c>
      <c r="B1432" s="116">
        <v>1469.65</v>
      </c>
      <c r="C1432" s="116">
        <v>1399.575</v>
      </c>
      <c r="D1432" s="116">
        <v>1395.2249999999999</v>
      </c>
      <c r="E1432" s="116">
        <v>1443.5</v>
      </c>
      <c r="F1432" s="116">
        <v>2799.15</v>
      </c>
      <c r="G1432">
        <v>46951</v>
      </c>
      <c r="H1432" s="116"/>
      <c r="I1432" s="116"/>
      <c r="L1432" s="170">
        <v>44113</v>
      </c>
      <c r="M1432" s="116">
        <v>1399.85</v>
      </c>
      <c r="N1432" s="116">
        <v>1467</v>
      </c>
      <c r="O1432" s="116">
        <v>1395</v>
      </c>
      <c r="P1432" s="116">
        <v>1446.5</v>
      </c>
      <c r="Q1432" s="116">
        <v>2799.7</v>
      </c>
      <c r="R1432">
        <v>1139546</v>
      </c>
    </row>
    <row r="1433" spans="1:18" x14ac:dyDescent="0.25">
      <c r="A1433" s="170">
        <v>44116</v>
      </c>
      <c r="B1433" s="116">
        <v>1423.625</v>
      </c>
      <c r="C1433" s="116">
        <v>1419.7750000000001</v>
      </c>
      <c r="D1433" s="116">
        <v>1390.0250000000001</v>
      </c>
      <c r="E1433" s="116">
        <v>1390.0250000000001</v>
      </c>
      <c r="F1433" s="116">
        <v>2839.55</v>
      </c>
      <c r="G1433">
        <v>6569</v>
      </c>
      <c r="H1433" s="116"/>
      <c r="I1433" s="116"/>
      <c r="L1433" s="170">
        <v>44116</v>
      </c>
      <c r="M1433" s="116">
        <v>1420.4</v>
      </c>
      <c r="N1433" s="116">
        <v>1424.65</v>
      </c>
      <c r="O1433" s="116">
        <v>1398.5</v>
      </c>
      <c r="P1433" s="116">
        <v>1410</v>
      </c>
      <c r="Q1433" s="116">
        <v>2840.8</v>
      </c>
      <c r="R1433">
        <v>405203</v>
      </c>
    </row>
    <row r="1434" spans="1:18" x14ac:dyDescent="0.25">
      <c r="A1434" s="170">
        <v>44117</v>
      </c>
      <c r="B1434" s="116">
        <v>1448.5</v>
      </c>
      <c r="C1434" s="116">
        <v>1405.675</v>
      </c>
      <c r="D1434" s="116">
        <v>1403.375</v>
      </c>
      <c r="E1434" s="116">
        <v>1419.7750000000001</v>
      </c>
      <c r="F1434" s="116">
        <v>2811.35</v>
      </c>
      <c r="G1434">
        <v>7497</v>
      </c>
      <c r="H1434" s="116"/>
      <c r="I1434" s="116"/>
      <c r="L1434" s="170">
        <v>44117</v>
      </c>
      <c r="M1434" s="116">
        <v>1406.9</v>
      </c>
      <c r="N1434" s="116">
        <v>1448</v>
      </c>
      <c r="O1434" s="116">
        <v>1403.5</v>
      </c>
      <c r="P1434" s="116">
        <v>1420.4</v>
      </c>
      <c r="Q1434" s="116">
        <v>2813.8</v>
      </c>
      <c r="R1434">
        <v>446646</v>
      </c>
    </row>
    <row r="1435" spans="1:18" x14ac:dyDescent="0.25">
      <c r="A1435" s="170">
        <v>44118</v>
      </c>
      <c r="B1435" s="116">
        <v>1425</v>
      </c>
      <c r="C1435" s="116">
        <v>1379.45</v>
      </c>
      <c r="D1435" s="116">
        <v>1374.075</v>
      </c>
      <c r="E1435" s="116">
        <v>1425</v>
      </c>
      <c r="F1435" s="116">
        <v>2758.9</v>
      </c>
      <c r="G1435">
        <v>6000</v>
      </c>
      <c r="H1435" s="116"/>
      <c r="I1435" s="116"/>
      <c r="L1435" s="170">
        <v>44118</v>
      </c>
      <c r="M1435" s="116">
        <v>1379.2249999999999</v>
      </c>
      <c r="N1435" s="116">
        <v>1413.7750000000001</v>
      </c>
      <c r="O1435" s="116">
        <v>1373.0250000000001</v>
      </c>
      <c r="P1435" s="116">
        <v>1412.2</v>
      </c>
      <c r="Q1435" s="116">
        <v>2758.45</v>
      </c>
      <c r="R1435">
        <v>437622</v>
      </c>
    </row>
    <row r="1436" spans="1:18" x14ac:dyDescent="0.25">
      <c r="A1436" s="170">
        <v>44119</v>
      </c>
      <c r="B1436" s="116">
        <v>1393.125</v>
      </c>
      <c r="C1436" s="116">
        <v>1359.625</v>
      </c>
      <c r="D1436" s="116">
        <v>1355</v>
      </c>
      <c r="E1436" s="116">
        <v>1379.8</v>
      </c>
      <c r="F1436" s="116">
        <v>2719.25</v>
      </c>
      <c r="G1436">
        <v>13274</v>
      </c>
      <c r="H1436" s="116"/>
      <c r="I1436" s="116"/>
      <c r="L1436" s="170">
        <v>44119</v>
      </c>
      <c r="M1436" s="116">
        <v>1360.6</v>
      </c>
      <c r="N1436" s="116">
        <v>1395.05</v>
      </c>
      <c r="O1436" s="116">
        <v>1355</v>
      </c>
      <c r="P1436" s="116">
        <v>1385</v>
      </c>
      <c r="Q1436" s="116">
        <v>2721.2</v>
      </c>
      <c r="R1436">
        <v>401028</v>
      </c>
    </row>
    <row r="1437" spans="1:18" x14ac:dyDescent="0.25">
      <c r="A1437" s="170">
        <v>44120</v>
      </c>
      <c r="B1437" s="116">
        <v>1377.925</v>
      </c>
      <c r="C1437" s="116">
        <v>1371.8</v>
      </c>
      <c r="D1437" s="116">
        <v>1341.6</v>
      </c>
      <c r="E1437" s="116">
        <v>1365</v>
      </c>
      <c r="F1437" s="116">
        <v>2743.6</v>
      </c>
      <c r="G1437">
        <v>14134</v>
      </c>
      <c r="H1437" s="116"/>
      <c r="I1437" s="116"/>
      <c r="L1437" s="170">
        <v>44120</v>
      </c>
      <c r="M1437" s="116">
        <v>1372.1</v>
      </c>
      <c r="N1437" s="116">
        <v>1387.5</v>
      </c>
      <c r="O1437" s="116">
        <v>1341.25</v>
      </c>
      <c r="P1437" s="116">
        <v>1365</v>
      </c>
      <c r="Q1437" s="116">
        <v>2744.2</v>
      </c>
      <c r="R1437">
        <v>477714</v>
      </c>
    </row>
    <row r="1438" spans="1:18" x14ac:dyDescent="0.25">
      <c r="A1438" s="170">
        <v>44123</v>
      </c>
      <c r="B1438" s="116">
        <v>1372.45</v>
      </c>
      <c r="C1438" s="116">
        <v>1337.05</v>
      </c>
      <c r="D1438" s="116">
        <v>1331.2249999999999</v>
      </c>
      <c r="E1438" s="116">
        <v>1372.45</v>
      </c>
      <c r="F1438" s="116">
        <v>2674.1</v>
      </c>
      <c r="G1438">
        <v>6380</v>
      </c>
      <c r="H1438" s="116"/>
      <c r="I1438" s="116"/>
      <c r="L1438" s="170">
        <v>44123</v>
      </c>
      <c r="M1438" s="116">
        <v>1336.55</v>
      </c>
      <c r="N1438" s="116">
        <v>1372</v>
      </c>
      <c r="O1438" s="116">
        <v>1331.1</v>
      </c>
      <c r="P1438" s="116">
        <v>1369.9</v>
      </c>
      <c r="Q1438" s="116">
        <v>2673.1</v>
      </c>
      <c r="R1438">
        <v>387302</v>
      </c>
    </row>
    <row r="1439" spans="1:18" x14ac:dyDescent="0.25">
      <c r="A1439" s="170">
        <v>44124</v>
      </c>
      <c r="B1439" s="116">
        <v>1364.55</v>
      </c>
      <c r="C1439" s="116">
        <v>1354.075</v>
      </c>
      <c r="D1439" s="116">
        <v>1324.0250000000001</v>
      </c>
      <c r="E1439" s="116">
        <v>1331</v>
      </c>
      <c r="F1439" s="116">
        <v>2708.15</v>
      </c>
      <c r="G1439">
        <v>8987</v>
      </c>
      <c r="H1439" s="116"/>
      <c r="I1439" s="116"/>
      <c r="L1439" s="170">
        <v>44124</v>
      </c>
      <c r="M1439" s="116">
        <v>1355.825</v>
      </c>
      <c r="N1439" s="116">
        <v>1364.25</v>
      </c>
      <c r="O1439" s="116">
        <v>1324.5</v>
      </c>
      <c r="P1439" s="116">
        <v>1336.55</v>
      </c>
      <c r="Q1439" s="116">
        <v>2711.65</v>
      </c>
      <c r="R1439">
        <v>586593</v>
      </c>
    </row>
    <row r="1440" spans="1:18" x14ac:dyDescent="0.25">
      <c r="A1440" s="170">
        <v>44125</v>
      </c>
      <c r="B1440" s="116">
        <v>1364.5</v>
      </c>
      <c r="C1440" s="116">
        <v>1351.7</v>
      </c>
      <c r="D1440" s="116">
        <v>1341.75</v>
      </c>
      <c r="E1440" s="116">
        <v>1360.625</v>
      </c>
      <c r="F1440" s="116">
        <v>2703.4</v>
      </c>
      <c r="G1440">
        <v>1640</v>
      </c>
      <c r="H1440" s="116"/>
      <c r="I1440" s="116"/>
      <c r="L1440" s="170">
        <v>44125</v>
      </c>
      <c r="M1440" s="116">
        <v>1351.45</v>
      </c>
      <c r="N1440" s="116">
        <v>1365.9749999999999</v>
      </c>
      <c r="O1440" s="116">
        <v>1340.75</v>
      </c>
      <c r="P1440" s="116">
        <v>1359.625</v>
      </c>
      <c r="Q1440" s="116">
        <v>2702.9</v>
      </c>
      <c r="R1440">
        <v>326698</v>
      </c>
    </row>
    <row r="1441" spans="1:18" x14ac:dyDescent="0.25">
      <c r="A1441" s="170">
        <v>44126</v>
      </c>
      <c r="B1441" s="116">
        <v>1365</v>
      </c>
      <c r="C1441" s="116">
        <v>1357.175</v>
      </c>
      <c r="D1441" s="116">
        <v>1325.25</v>
      </c>
      <c r="E1441" s="116">
        <v>1336.05</v>
      </c>
      <c r="F1441" s="116">
        <v>2714.35</v>
      </c>
      <c r="G1441">
        <v>6868</v>
      </c>
      <c r="H1441" s="116"/>
      <c r="I1441" s="116"/>
      <c r="L1441" s="170">
        <v>44126</v>
      </c>
      <c r="M1441" s="116">
        <v>1357.575</v>
      </c>
      <c r="N1441" s="116">
        <v>1365.175</v>
      </c>
      <c r="O1441" s="116">
        <v>1325</v>
      </c>
      <c r="P1441" s="116">
        <v>1345.45</v>
      </c>
      <c r="Q1441" s="116">
        <v>2715.15</v>
      </c>
      <c r="R1441">
        <v>436467</v>
      </c>
    </row>
    <row r="1442" spans="1:18" x14ac:dyDescent="0.25">
      <c r="A1442" s="170">
        <v>44127</v>
      </c>
      <c r="B1442" s="116">
        <v>1406.7249999999999</v>
      </c>
      <c r="C1442" s="116">
        <v>1367.175</v>
      </c>
      <c r="D1442" s="116">
        <v>1361</v>
      </c>
      <c r="E1442" s="116">
        <v>1372.5</v>
      </c>
      <c r="F1442" s="116">
        <v>2734.35</v>
      </c>
      <c r="G1442">
        <v>14231</v>
      </c>
      <c r="H1442" s="116"/>
      <c r="I1442" s="116"/>
      <c r="L1442" s="170">
        <v>44127</v>
      </c>
      <c r="M1442" s="116">
        <v>1366.875</v>
      </c>
      <c r="N1442" s="116">
        <v>1407.25</v>
      </c>
      <c r="O1442" s="116">
        <v>1358</v>
      </c>
      <c r="P1442" s="116">
        <v>1364.4</v>
      </c>
      <c r="Q1442" s="116">
        <v>2733.75</v>
      </c>
      <c r="R1442">
        <v>1017162</v>
      </c>
    </row>
    <row r="1443" spans="1:18" x14ac:dyDescent="0.25">
      <c r="A1443" s="170">
        <v>44130</v>
      </c>
      <c r="B1443" s="116">
        <v>1386.925</v>
      </c>
      <c r="C1443" s="116">
        <v>1327.2249999999999</v>
      </c>
      <c r="D1443" s="116">
        <v>1322</v>
      </c>
      <c r="E1443" s="116">
        <v>1370</v>
      </c>
      <c r="F1443" s="116">
        <v>2654.45</v>
      </c>
      <c r="G1443">
        <v>23676</v>
      </c>
      <c r="H1443" s="116"/>
      <c r="I1443" s="116"/>
      <c r="L1443" s="170">
        <v>44130</v>
      </c>
      <c r="M1443" s="116">
        <v>1328.325</v>
      </c>
      <c r="N1443" s="116">
        <v>1387.2</v>
      </c>
      <c r="O1443" s="116">
        <v>1321</v>
      </c>
      <c r="P1443" s="116">
        <v>1376.45</v>
      </c>
      <c r="Q1443" s="116">
        <v>2656.65</v>
      </c>
      <c r="R1443">
        <v>855785</v>
      </c>
    </row>
    <row r="1444" spans="1:18" x14ac:dyDescent="0.25">
      <c r="A1444" s="170">
        <v>44131</v>
      </c>
      <c r="B1444" s="116">
        <v>1350</v>
      </c>
      <c r="C1444" s="116">
        <v>1300.2750000000001</v>
      </c>
      <c r="D1444" s="116">
        <v>1277.825</v>
      </c>
      <c r="E1444" s="116">
        <v>1350</v>
      </c>
      <c r="F1444" s="116">
        <v>2600.5500000000002</v>
      </c>
      <c r="G1444">
        <v>19587</v>
      </c>
      <c r="H1444" s="116"/>
      <c r="I1444" s="116"/>
      <c r="L1444" s="170">
        <v>44131</v>
      </c>
      <c r="M1444" s="116">
        <v>1300.175</v>
      </c>
      <c r="N1444" s="116">
        <v>1322.5</v>
      </c>
      <c r="O1444" s="116">
        <v>1275.5</v>
      </c>
      <c r="P1444" s="116">
        <v>1320</v>
      </c>
      <c r="Q1444" s="116">
        <v>2600.35</v>
      </c>
      <c r="R1444">
        <v>1422120</v>
      </c>
    </row>
    <row r="1445" spans="1:18" x14ac:dyDescent="0.25">
      <c r="A1445" s="170">
        <v>44132</v>
      </c>
      <c r="B1445" s="116">
        <v>1323.3</v>
      </c>
      <c r="C1445" s="116">
        <v>1272.7750000000001</v>
      </c>
      <c r="D1445" s="116">
        <v>1263.5</v>
      </c>
      <c r="E1445" s="116">
        <v>1301</v>
      </c>
      <c r="F1445" s="116">
        <v>2545.5500000000002</v>
      </c>
      <c r="G1445">
        <v>26643</v>
      </c>
      <c r="H1445" s="116"/>
      <c r="I1445" s="116"/>
      <c r="L1445" s="170">
        <v>44132</v>
      </c>
      <c r="M1445" s="116">
        <v>1272.9000000000001</v>
      </c>
      <c r="N1445" s="116">
        <v>1324</v>
      </c>
      <c r="O1445" s="116">
        <v>1262.5</v>
      </c>
      <c r="P1445" s="116">
        <v>1299</v>
      </c>
      <c r="Q1445" s="116">
        <v>2545.8000000000002</v>
      </c>
      <c r="R1445">
        <v>682883</v>
      </c>
    </row>
    <row r="1446" spans="1:18" x14ac:dyDescent="0.25">
      <c r="A1446" s="170">
        <v>44133</v>
      </c>
      <c r="B1446" s="116">
        <v>1281.3499999999999</v>
      </c>
      <c r="C1446" s="116">
        <v>1259.7750000000001</v>
      </c>
      <c r="D1446" s="116">
        <v>1250</v>
      </c>
      <c r="E1446" s="116">
        <v>1252.5</v>
      </c>
      <c r="F1446" s="116">
        <v>2519.5500000000002</v>
      </c>
      <c r="G1446">
        <v>11948</v>
      </c>
      <c r="H1446" s="116"/>
      <c r="I1446" s="116"/>
      <c r="L1446" s="170">
        <v>44133</v>
      </c>
      <c r="M1446" s="116">
        <v>1259.7750000000001</v>
      </c>
      <c r="N1446" s="116">
        <v>1281.7</v>
      </c>
      <c r="O1446" s="116">
        <v>1249.5250000000001</v>
      </c>
      <c r="P1446" s="116">
        <v>1264.925</v>
      </c>
      <c r="Q1446" s="116">
        <v>2519.5500000000002</v>
      </c>
      <c r="R1446">
        <v>442895</v>
      </c>
    </row>
    <row r="1447" spans="1:18" x14ac:dyDescent="0.25">
      <c r="A1447" s="170">
        <v>44134</v>
      </c>
      <c r="B1447" s="116">
        <v>1290.5</v>
      </c>
      <c r="C1447" s="116">
        <v>1282.3499999999999</v>
      </c>
      <c r="D1447" s="116">
        <v>1262.125</v>
      </c>
      <c r="E1447" s="116">
        <v>1263.5250000000001</v>
      </c>
      <c r="F1447" s="116">
        <v>2564.6999999999998</v>
      </c>
      <c r="G1447">
        <v>17132</v>
      </c>
      <c r="H1447" s="116"/>
      <c r="I1447" s="116"/>
      <c r="L1447" s="170">
        <v>44134</v>
      </c>
      <c r="M1447" s="116">
        <v>1283.425</v>
      </c>
      <c r="N1447" s="116">
        <v>1291.375</v>
      </c>
      <c r="O1447" s="116">
        <v>1260</v>
      </c>
      <c r="P1447" s="116">
        <v>1260</v>
      </c>
      <c r="Q1447" s="116">
        <v>2566.85</v>
      </c>
      <c r="R1447">
        <v>649735</v>
      </c>
    </row>
    <row r="1448" spans="1:18" x14ac:dyDescent="0.25">
      <c r="A1448" s="170">
        <v>44137</v>
      </c>
      <c r="B1448" s="116">
        <v>1294.7750000000001</v>
      </c>
      <c r="C1448" s="116">
        <v>1272.0250000000001</v>
      </c>
      <c r="D1448" s="116">
        <v>1255.825</v>
      </c>
      <c r="E1448" s="116">
        <v>1294.7750000000001</v>
      </c>
      <c r="F1448" s="116">
        <v>2544.0500000000002</v>
      </c>
      <c r="G1448">
        <v>9555</v>
      </c>
      <c r="H1448" s="116"/>
      <c r="I1448" s="116"/>
      <c r="L1448" s="170">
        <v>44137</v>
      </c>
      <c r="M1448" s="116">
        <v>1273.7750000000001</v>
      </c>
      <c r="N1448" s="116">
        <v>1287.425</v>
      </c>
      <c r="O1448" s="116">
        <v>1254.175</v>
      </c>
      <c r="P1448" s="116">
        <v>1283</v>
      </c>
      <c r="Q1448" s="116">
        <v>2547.5500000000002</v>
      </c>
      <c r="R1448">
        <v>253011</v>
      </c>
    </row>
    <row r="1449" spans="1:18" x14ac:dyDescent="0.25">
      <c r="A1449" s="170">
        <v>44138</v>
      </c>
      <c r="B1449" s="116">
        <v>1299.0999999999999</v>
      </c>
      <c r="C1449" s="116">
        <v>1288.5</v>
      </c>
      <c r="D1449" s="116">
        <v>1270.05</v>
      </c>
      <c r="E1449" s="116">
        <v>1278.6500000000001</v>
      </c>
      <c r="F1449" s="116">
        <v>2577</v>
      </c>
      <c r="G1449">
        <v>11036</v>
      </c>
      <c r="H1449" s="116"/>
      <c r="I1449" s="116"/>
      <c r="L1449" s="170">
        <v>44138</v>
      </c>
      <c r="M1449" s="116">
        <v>1288.4749999999999</v>
      </c>
      <c r="N1449" s="116">
        <v>1299.375</v>
      </c>
      <c r="O1449" s="116">
        <v>1269.6500000000001</v>
      </c>
      <c r="P1449" s="116">
        <v>1277.5</v>
      </c>
      <c r="Q1449" s="116">
        <v>2576.9499999999998</v>
      </c>
      <c r="R1449">
        <v>403044</v>
      </c>
    </row>
    <row r="1450" spans="1:18" x14ac:dyDescent="0.25">
      <c r="A1450" s="170">
        <v>44139</v>
      </c>
      <c r="B1450" s="116">
        <v>1305.5999999999999</v>
      </c>
      <c r="C1450" s="116">
        <v>1300.075</v>
      </c>
      <c r="D1450" s="116">
        <v>1280.425</v>
      </c>
      <c r="E1450" s="116">
        <v>1288.625</v>
      </c>
      <c r="F1450" s="116">
        <v>2600.15</v>
      </c>
      <c r="G1450">
        <v>11654</v>
      </c>
      <c r="H1450" s="116"/>
      <c r="I1450" s="116"/>
      <c r="L1450" s="170">
        <v>44139</v>
      </c>
      <c r="M1450" s="116">
        <v>1300.3499999999999</v>
      </c>
      <c r="N1450" s="116">
        <v>1306.425</v>
      </c>
      <c r="O1450" s="116">
        <v>1279.175</v>
      </c>
      <c r="P1450" s="116">
        <v>1289.95</v>
      </c>
      <c r="Q1450" s="116">
        <v>2600.6999999999998</v>
      </c>
      <c r="R1450">
        <v>298699</v>
      </c>
    </row>
    <row r="1451" spans="1:18" x14ac:dyDescent="0.25">
      <c r="A1451" s="170">
        <v>44140</v>
      </c>
      <c r="B1451" s="116">
        <v>1317</v>
      </c>
      <c r="C1451" s="116">
        <v>1302.7750000000001</v>
      </c>
      <c r="D1451" s="116">
        <v>1296.625</v>
      </c>
      <c r="E1451" s="116">
        <v>1316</v>
      </c>
      <c r="F1451" s="116">
        <v>2605.5500000000002</v>
      </c>
      <c r="G1451">
        <v>4559</v>
      </c>
      <c r="H1451" s="116"/>
      <c r="I1451" s="116"/>
      <c r="L1451" s="170">
        <v>44140</v>
      </c>
      <c r="M1451" s="116">
        <v>1302.1500000000001</v>
      </c>
      <c r="N1451" s="116">
        <v>1317.25</v>
      </c>
      <c r="O1451" s="116">
        <v>1295.825</v>
      </c>
      <c r="P1451" s="116">
        <v>1306</v>
      </c>
      <c r="Q1451" s="116">
        <v>2604.3000000000002</v>
      </c>
      <c r="R1451">
        <v>326500</v>
      </c>
    </row>
    <row r="1452" spans="1:18" x14ac:dyDescent="0.25">
      <c r="A1452" s="170">
        <v>44141</v>
      </c>
      <c r="B1452" s="116">
        <v>1307.5</v>
      </c>
      <c r="C1452" s="116">
        <v>1277.0250000000001</v>
      </c>
      <c r="D1452" s="116">
        <v>1272.4000000000001</v>
      </c>
      <c r="E1452" s="116">
        <v>1299.5</v>
      </c>
      <c r="F1452" s="116">
        <v>2554.0500000000002</v>
      </c>
      <c r="G1452">
        <v>13915</v>
      </c>
      <c r="H1452" s="116"/>
      <c r="I1452" s="116"/>
      <c r="L1452" s="170">
        <v>44141</v>
      </c>
      <c r="M1452" s="116">
        <v>1278.25</v>
      </c>
      <c r="N1452" s="116">
        <v>1308.1500000000001</v>
      </c>
      <c r="O1452" s="116">
        <v>1272</v>
      </c>
      <c r="P1452" s="116">
        <v>1302</v>
      </c>
      <c r="Q1452" s="116">
        <v>2556.5</v>
      </c>
      <c r="R1452">
        <v>499688</v>
      </c>
    </row>
    <row r="1453" spans="1:18" x14ac:dyDescent="0.25">
      <c r="A1453" s="170">
        <v>44144</v>
      </c>
      <c r="B1453" s="116">
        <v>1289.95</v>
      </c>
      <c r="C1453" s="116">
        <v>1274.4749999999999</v>
      </c>
      <c r="D1453" s="116">
        <v>1266.7249999999999</v>
      </c>
      <c r="E1453" s="116">
        <v>1275</v>
      </c>
      <c r="F1453" s="116">
        <v>2548.9499999999998</v>
      </c>
      <c r="G1453">
        <v>7066</v>
      </c>
      <c r="H1453" s="116"/>
      <c r="I1453" s="116"/>
      <c r="L1453" s="170">
        <v>44144</v>
      </c>
      <c r="M1453" s="116">
        <v>1276.05</v>
      </c>
      <c r="N1453" s="116">
        <v>1290.75</v>
      </c>
      <c r="O1453" s="116">
        <v>1266.5250000000001</v>
      </c>
      <c r="P1453" s="116">
        <v>1285.4000000000001</v>
      </c>
      <c r="Q1453" s="116">
        <v>2552.1</v>
      </c>
      <c r="R1453">
        <v>610442</v>
      </c>
    </row>
    <row r="1454" spans="1:18" x14ac:dyDescent="0.25">
      <c r="A1454" s="170">
        <v>44145</v>
      </c>
      <c r="B1454" s="116">
        <v>1280.575</v>
      </c>
      <c r="C1454" s="116">
        <v>1217.0250000000001</v>
      </c>
      <c r="D1454" s="116">
        <v>1210.6500000000001</v>
      </c>
      <c r="E1454" s="116">
        <v>1278.625</v>
      </c>
      <c r="F1454" s="116">
        <v>2434.0500000000002</v>
      </c>
      <c r="G1454">
        <v>15720</v>
      </c>
      <c r="H1454" s="116"/>
      <c r="I1454" s="116"/>
      <c r="L1454" s="170">
        <v>44145</v>
      </c>
      <c r="M1454" s="116">
        <v>1215.8499999999999</v>
      </c>
      <c r="N1454" s="116">
        <v>1284.8499999999999</v>
      </c>
      <c r="O1454" s="116">
        <v>1209.375</v>
      </c>
      <c r="P1454" s="116">
        <v>1282.2750000000001</v>
      </c>
      <c r="Q1454" s="116">
        <v>2431.6999999999998</v>
      </c>
      <c r="R1454">
        <v>781494</v>
      </c>
    </row>
    <row r="1455" spans="1:18" x14ac:dyDescent="0.25">
      <c r="A1455" s="170">
        <v>44146</v>
      </c>
      <c r="B1455" s="116">
        <v>1287</v>
      </c>
      <c r="C1455" s="116">
        <v>1279.075</v>
      </c>
      <c r="D1455" s="116">
        <v>1219.125</v>
      </c>
      <c r="E1455" s="116">
        <v>1240</v>
      </c>
      <c r="F1455" s="116">
        <v>2558.15</v>
      </c>
      <c r="G1455">
        <v>36979</v>
      </c>
      <c r="H1455" s="116"/>
      <c r="I1455" s="116"/>
      <c r="L1455" s="170">
        <v>44146</v>
      </c>
      <c r="M1455" s="116">
        <v>1278.0250000000001</v>
      </c>
      <c r="N1455" s="116">
        <v>1287.5</v>
      </c>
      <c r="O1455" s="116">
        <v>1217.875</v>
      </c>
      <c r="P1455" s="116">
        <v>1221</v>
      </c>
      <c r="Q1455" s="116">
        <v>2556.0500000000002</v>
      </c>
      <c r="R1455">
        <v>912503</v>
      </c>
    </row>
    <row r="1456" spans="1:18" x14ac:dyDescent="0.25">
      <c r="A1456" s="170">
        <v>44147</v>
      </c>
      <c r="B1456" s="116">
        <v>1322</v>
      </c>
      <c r="C1456" s="116">
        <v>1309.9749999999999</v>
      </c>
      <c r="D1456" s="116">
        <v>1255</v>
      </c>
      <c r="E1456" s="116">
        <v>1255</v>
      </c>
      <c r="F1456" s="116">
        <v>2619.9499999999998</v>
      </c>
      <c r="G1456">
        <v>43288</v>
      </c>
      <c r="H1456" s="116"/>
      <c r="I1456" s="116"/>
      <c r="L1456" s="170">
        <v>44147</v>
      </c>
      <c r="M1456" s="116">
        <v>1309.4000000000001</v>
      </c>
      <c r="N1456" s="116">
        <v>1322.4</v>
      </c>
      <c r="O1456" s="116">
        <v>1255</v>
      </c>
      <c r="P1456" s="116">
        <v>1276</v>
      </c>
      <c r="Q1456" s="116">
        <v>2618.8000000000002</v>
      </c>
      <c r="R1456">
        <v>817285</v>
      </c>
    </row>
    <row r="1457" spans="1:18" x14ac:dyDescent="0.25">
      <c r="A1457" s="170">
        <v>44148</v>
      </c>
      <c r="B1457" s="116">
        <v>1372.9</v>
      </c>
      <c r="C1457" s="116">
        <v>1364.1</v>
      </c>
      <c r="D1457" s="116">
        <v>1302.5</v>
      </c>
      <c r="E1457" s="116">
        <v>1310</v>
      </c>
      <c r="F1457" s="116">
        <v>2728.2</v>
      </c>
      <c r="G1457">
        <v>37172</v>
      </c>
      <c r="H1457" s="116"/>
      <c r="I1457" s="116"/>
      <c r="L1457" s="170">
        <v>44148</v>
      </c>
      <c r="M1457" s="116">
        <v>1364.675</v>
      </c>
      <c r="N1457" s="116">
        <v>1373.9</v>
      </c>
      <c r="O1457" s="116">
        <v>1297.5</v>
      </c>
      <c r="P1457" s="116">
        <v>1309</v>
      </c>
      <c r="Q1457" s="116">
        <v>2729.35</v>
      </c>
      <c r="R1457">
        <v>1298177</v>
      </c>
    </row>
    <row r="1458" spans="1:18" x14ac:dyDescent="0.25">
      <c r="A1458" s="170">
        <v>44149</v>
      </c>
      <c r="B1458" s="116">
        <v>1377.2</v>
      </c>
      <c r="C1458" s="116">
        <v>1363.05</v>
      </c>
      <c r="D1458" s="116">
        <v>1350.45</v>
      </c>
      <c r="E1458" s="116">
        <v>1372.5</v>
      </c>
      <c r="F1458" s="116">
        <v>2726.1</v>
      </c>
      <c r="G1458">
        <v>3025</v>
      </c>
      <c r="H1458" s="116"/>
      <c r="I1458" s="116"/>
      <c r="L1458" s="170">
        <v>44149</v>
      </c>
      <c r="M1458" s="116">
        <v>1364.0250000000001</v>
      </c>
      <c r="N1458" s="116">
        <v>1377.95</v>
      </c>
      <c r="O1458" s="116">
        <v>1351</v>
      </c>
      <c r="P1458" s="116">
        <v>1372.825</v>
      </c>
      <c r="Q1458" s="116">
        <v>2728.05</v>
      </c>
      <c r="R1458">
        <v>74668</v>
      </c>
    </row>
    <row r="1459" spans="1:18" x14ac:dyDescent="0.25">
      <c r="A1459" s="170">
        <v>44152</v>
      </c>
      <c r="B1459" s="116">
        <v>1370</v>
      </c>
      <c r="C1459" s="116">
        <v>1324.9</v>
      </c>
      <c r="D1459" s="116">
        <v>1318.3</v>
      </c>
      <c r="E1459" s="116">
        <v>1365</v>
      </c>
      <c r="F1459" s="116">
        <v>2649.8</v>
      </c>
      <c r="G1459">
        <v>20764</v>
      </c>
      <c r="H1459" s="116"/>
      <c r="I1459" s="116"/>
      <c r="L1459" s="170">
        <v>44152</v>
      </c>
      <c r="M1459" s="116">
        <v>1328.1</v>
      </c>
      <c r="N1459" s="116">
        <v>1370</v>
      </c>
      <c r="O1459" s="116">
        <v>1319.5250000000001</v>
      </c>
      <c r="P1459" s="116">
        <v>1360.0250000000001</v>
      </c>
      <c r="Q1459" s="116">
        <v>2656.2</v>
      </c>
      <c r="R1459">
        <v>997314</v>
      </c>
    </row>
    <row r="1460" spans="1:18" x14ac:dyDescent="0.25">
      <c r="A1460" s="170">
        <v>44153</v>
      </c>
      <c r="B1460" s="116">
        <v>1347.5</v>
      </c>
      <c r="C1460" s="116">
        <v>1338.5</v>
      </c>
      <c r="D1460" s="116">
        <v>1297.25</v>
      </c>
      <c r="E1460" s="116">
        <v>1347.5</v>
      </c>
      <c r="F1460" s="116">
        <v>2677</v>
      </c>
      <c r="G1460">
        <v>113230</v>
      </c>
      <c r="H1460" s="116"/>
      <c r="I1460" s="116"/>
      <c r="L1460" s="170">
        <v>44153</v>
      </c>
      <c r="M1460" s="116">
        <v>1338.2750000000001</v>
      </c>
      <c r="N1460" s="116">
        <v>1343.875</v>
      </c>
      <c r="O1460" s="116">
        <v>1296.5</v>
      </c>
      <c r="P1460" s="116">
        <v>1325</v>
      </c>
      <c r="Q1460" s="116">
        <v>2676.55</v>
      </c>
      <c r="R1460">
        <v>729513</v>
      </c>
    </row>
    <row r="1461" spans="1:18" x14ac:dyDescent="0.25">
      <c r="A1461" s="170">
        <v>44154</v>
      </c>
      <c r="B1461" s="116">
        <v>1354.125</v>
      </c>
      <c r="C1461" s="116">
        <v>1319.25</v>
      </c>
      <c r="D1461" s="116">
        <v>1311.5250000000001</v>
      </c>
      <c r="E1461" s="116">
        <v>1346.5</v>
      </c>
      <c r="F1461" s="116">
        <v>2638.5</v>
      </c>
      <c r="G1461">
        <v>17760</v>
      </c>
      <c r="H1461" s="116"/>
      <c r="I1461" s="116"/>
      <c r="L1461" s="170">
        <v>44154</v>
      </c>
      <c r="M1461" s="116">
        <v>1317.3</v>
      </c>
      <c r="N1461" s="116">
        <v>1354.3</v>
      </c>
      <c r="O1461" s="116">
        <v>1310.8</v>
      </c>
      <c r="P1461" s="116">
        <v>1340</v>
      </c>
      <c r="Q1461" s="116">
        <v>2634.6</v>
      </c>
      <c r="R1461">
        <v>676028</v>
      </c>
    </row>
    <row r="1462" spans="1:18" x14ac:dyDescent="0.25">
      <c r="A1462" s="170">
        <v>44155</v>
      </c>
      <c r="B1462" s="116">
        <v>1321.75</v>
      </c>
      <c r="C1462" s="116">
        <v>1304.625</v>
      </c>
      <c r="D1462" s="116">
        <v>1300.7750000000001</v>
      </c>
      <c r="E1462" s="116">
        <v>1316.075</v>
      </c>
      <c r="F1462" s="116">
        <v>2609.25</v>
      </c>
      <c r="G1462">
        <v>8522</v>
      </c>
      <c r="H1462" s="116"/>
      <c r="I1462" s="116"/>
      <c r="L1462" s="170">
        <v>44155</v>
      </c>
      <c r="M1462" s="116">
        <v>1304.95</v>
      </c>
      <c r="N1462" s="116">
        <v>1321.6</v>
      </c>
      <c r="O1462" s="116">
        <v>1300.5</v>
      </c>
      <c r="P1462" s="116">
        <v>1317.4749999999999</v>
      </c>
      <c r="Q1462" s="116">
        <v>2609.9</v>
      </c>
      <c r="R1462">
        <v>422239</v>
      </c>
    </row>
    <row r="1463" spans="1:18" x14ac:dyDescent="0.25">
      <c r="A1463" s="170">
        <v>44158</v>
      </c>
      <c r="B1463" s="116">
        <v>1313.65</v>
      </c>
      <c r="C1463" s="116">
        <v>1304.375</v>
      </c>
      <c r="D1463" s="116">
        <v>1282.925</v>
      </c>
      <c r="E1463" s="116">
        <v>1309</v>
      </c>
      <c r="F1463" s="116">
        <v>2608.75</v>
      </c>
      <c r="G1463">
        <v>11714</v>
      </c>
      <c r="H1463" s="116"/>
      <c r="I1463" s="116"/>
      <c r="L1463" s="170">
        <v>44158</v>
      </c>
      <c r="M1463" s="116">
        <v>1300.9749999999999</v>
      </c>
      <c r="N1463" s="116">
        <v>1314.375</v>
      </c>
      <c r="O1463" s="116">
        <v>1282.5</v>
      </c>
      <c r="P1463" s="116">
        <v>1304.95</v>
      </c>
      <c r="Q1463" s="116">
        <v>2601.9499999999998</v>
      </c>
      <c r="R1463">
        <v>660679</v>
      </c>
    </row>
    <row r="1464" spans="1:18" x14ac:dyDescent="0.25">
      <c r="A1464" s="170">
        <v>44159</v>
      </c>
      <c r="B1464" s="116">
        <v>1325.95</v>
      </c>
      <c r="C1464" s="116">
        <v>1311.125</v>
      </c>
      <c r="D1464" s="116">
        <v>1294.5</v>
      </c>
      <c r="E1464" s="116">
        <v>1319.5</v>
      </c>
      <c r="F1464" s="116">
        <v>2622.25</v>
      </c>
      <c r="G1464">
        <v>12176</v>
      </c>
      <c r="H1464" s="116"/>
      <c r="I1464" s="116"/>
      <c r="L1464" s="170">
        <v>44159</v>
      </c>
      <c r="M1464" s="116">
        <v>1311.325</v>
      </c>
      <c r="N1464" s="116">
        <v>1326.35</v>
      </c>
      <c r="O1464" s="116">
        <v>1290.9749999999999</v>
      </c>
      <c r="P1464" s="116">
        <v>1313.5</v>
      </c>
      <c r="Q1464" s="116">
        <v>2622.65</v>
      </c>
      <c r="R1464">
        <v>452864</v>
      </c>
    </row>
    <row r="1465" spans="1:18" x14ac:dyDescent="0.25">
      <c r="A1465" s="170">
        <v>44160</v>
      </c>
      <c r="B1465" s="116">
        <v>1315.7249999999999</v>
      </c>
      <c r="C1465" s="116">
        <v>1292.175</v>
      </c>
      <c r="D1465" s="116">
        <v>1289.1500000000001</v>
      </c>
      <c r="E1465" s="116">
        <v>1315.425</v>
      </c>
      <c r="F1465" s="116">
        <v>2584.35</v>
      </c>
      <c r="G1465">
        <v>6257</v>
      </c>
      <c r="H1465" s="116"/>
      <c r="I1465" s="116"/>
      <c r="L1465" s="170">
        <v>44160</v>
      </c>
      <c r="M1465" s="116">
        <v>1292.4000000000001</v>
      </c>
      <c r="N1465" s="116">
        <v>1319.5250000000001</v>
      </c>
      <c r="O1465" s="116">
        <v>1287.5999999999999</v>
      </c>
      <c r="P1465" s="116">
        <v>1317.5</v>
      </c>
      <c r="Q1465" s="116">
        <v>2584.8000000000002</v>
      </c>
      <c r="R1465">
        <v>322296</v>
      </c>
    </row>
    <row r="1466" spans="1:18" x14ac:dyDescent="0.25">
      <c r="A1466" s="170">
        <v>44161</v>
      </c>
      <c r="B1466" s="116">
        <v>1311.4</v>
      </c>
      <c r="C1466" s="116">
        <v>1308.2</v>
      </c>
      <c r="D1466" s="116">
        <v>1294.05</v>
      </c>
      <c r="E1466" s="116">
        <v>1300.6500000000001</v>
      </c>
      <c r="F1466" s="116">
        <v>2616.4</v>
      </c>
      <c r="G1466">
        <v>2797</v>
      </c>
      <c r="H1466" s="116"/>
      <c r="I1466" s="116"/>
      <c r="L1466" s="170">
        <v>44161</v>
      </c>
      <c r="M1466" s="116">
        <v>1307.8499999999999</v>
      </c>
      <c r="N1466" s="116">
        <v>1312</v>
      </c>
      <c r="O1466" s="116">
        <v>1293.75</v>
      </c>
      <c r="P1466" s="116">
        <v>1298.875</v>
      </c>
      <c r="Q1466" s="116">
        <v>2615.6999999999998</v>
      </c>
      <c r="R1466">
        <v>410020</v>
      </c>
    </row>
    <row r="1467" spans="1:18" x14ac:dyDescent="0.25">
      <c r="A1467" s="170">
        <v>44162</v>
      </c>
      <c r="B1467" s="116">
        <v>1339.3</v>
      </c>
      <c r="C1467" s="116">
        <v>1305.55</v>
      </c>
      <c r="D1467" s="116">
        <v>1295.3</v>
      </c>
      <c r="E1467" s="116">
        <v>1312.675</v>
      </c>
      <c r="F1467" s="116">
        <v>2611.1</v>
      </c>
      <c r="G1467">
        <v>22154</v>
      </c>
      <c r="H1467" s="116"/>
      <c r="I1467" s="116"/>
      <c r="L1467" s="170">
        <v>44162</v>
      </c>
      <c r="M1467" s="116">
        <v>1307.55</v>
      </c>
      <c r="N1467" s="116">
        <v>1339.75</v>
      </c>
      <c r="O1467" s="116">
        <v>1298</v>
      </c>
      <c r="P1467" s="116">
        <v>1310</v>
      </c>
      <c r="Q1467" s="116">
        <v>2615.1</v>
      </c>
      <c r="R1467">
        <v>661988</v>
      </c>
    </row>
    <row r="1468" spans="1:18" x14ac:dyDescent="0.25">
      <c r="A1468" s="170">
        <v>44166</v>
      </c>
      <c r="B1468" s="116">
        <v>1334.9</v>
      </c>
      <c r="C1468" s="116">
        <v>1326.2750000000001</v>
      </c>
      <c r="D1468" s="116">
        <v>1306</v>
      </c>
      <c r="E1468" s="116">
        <v>1315.05</v>
      </c>
      <c r="F1468" s="116">
        <v>2652.55</v>
      </c>
      <c r="G1468">
        <v>5842</v>
      </c>
      <c r="H1468" s="116"/>
      <c r="I1468" s="116"/>
      <c r="L1468" s="170">
        <v>44166</v>
      </c>
      <c r="M1468" s="116">
        <v>1326.8</v>
      </c>
      <c r="N1468" s="116">
        <v>1335.25</v>
      </c>
      <c r="O1468" s="116">
        <v>1304.8499999999999</v>
      </c>
      <c r="P1468" s="116">
        <v>1315</v>
      </c>
      <c r="Q1468" s="116">
        <v>2653.6</v>
      </c>
      <c r="R1468">
        <v>279813</v>
      </c>
    </row>
    <row r="1469" spans="1:18" x14ac:dyDescent="0.25">
      <c r="A1469" s="170">
        <v>44167</v>
      </c>
      <c r="B1469" s="116">
        <v>1348.875</v>
      </c>
      <c r="C1469" s="116">
        <v>1343.95</v>
      </c>
      <c r="D1469" s="116">
        <v>1326.7750000000001</v>
      </c>
      <c r="E1469" s="116">
        <v>1327.4</v>
      </c>
      <c r="F1469" s="116">
        <v>2687.9</v>
      </c>
      <c r="G1469">
        <v>6015</v>
      </c>
      <c r="H1469" s="116"/>
      <c r="I1469" s="116"/>
      <c r="L1469" s="170">
        <v>44167</v>
      </c>
      <c r="M1469" s="116">
        <v>1345.0250000000001</v>
      </c>
      <c r="N1469" s="116">
        <v>1350</v>
      </c>
      <c r="O1469" s="116">
        <v>1322.3</v>
      </c>
      <c r="P1469" s="116">
        <v>1329.5</v>
      </c>
      <c r="Q1469" s="116">
        <v>2690.05</v>
      </c>
      <c r="R1469">
        <v>358201</v>
      </c>
    </row>
    <row r="1470" spans="1:18" x14ac:dyDescent="0.25">
      <c r="A1470" s="170">
        <v>44168</v>
      </c>
      <c r="B1470" s="116">
        <v>1357.55</v>
      </c>
      <c r="C1470" s="116">
        <v>1334.8</v>
      </c>
      <c r="D1470" s="116">
        <v>1330.5</v>
      </c>
      <c r="E1470" s="116">
        <v>1355</v>
      </c>
      <c r="F1470" s="116">
        <v>2669.6</v>
      </c>
      <c r="G1470">
        <v>4224</v>
      </c>
      <c r="H1470" s="116"/>
      <c r="I1470" s="116"/>
      <c r="L1470" s="170">
        <v>44168</v>
      </c>
      <c r="M1470" s="116">
        <v>1335.075</v>
      </c>
      <c r="N1470" s="116">
        <v>1359</v>
      </c>
      <c r="O1470" s="116">
        <v>1330.3</v>
      </c>
      <c r="P1470" s="116">
        <v>1353</v>
      </c>
      <c r="Q1470" s="116">
        <v>2670.15</v>
      </c>
      <c r="R1470">
        <v>305669</v>
      </c>
    </row>
    <row r="1471" spans="1:18" x14ac:dyDescent="0.25">
      <c r="A1471" s="170">
        <v>44169</v>
      </c>
      <c r="B1471" s="116">
        <v>1338.5250000000001</v>
      </c>
      <c r="C1471" s="116">
        <v>1332.375</v>
      </c>
      <c r="D1471" s="116">
        <v>1316</v>
      </c>
      <c r="E1471" s="116">
        <v>1338.15</v>
      </c>
      <c r="F1471" s="116">
        <v>2664.75</v>
      </c>
      <c r="G1471">
        <v>6262</v>
      </c>
      <c r="H1471" s="116"/>
      <c r="I1471" s="116"/>
      <c r="L1471" s="170">
        <v>44169</v>
      </c>
      <c r="M1471" s="116">
        <v>1332.625</v>
      </c>
      <c r="N1471" s="116">
        <v>1343.675</v>
      </c>
      <c r="O1471" s="116">
        <v>1315.25</v>
      </c>
      <c r="P1471" s="116">
        <v>1340.95</v>
      </c>
      <c r="Q1471" s="116">
        <v>2665.25</v>
      </c>
      <c r="R1471">
        <v>412147</v>
      </c>
    </row>
    <row r="1472" spans="1:18" x14ac:dyDescent="0.25">
      <c r="A1472" s="170">
        <v>44172</v>
      </c>
      <c r="B1472" s="116">
        <v>1350.15</v>
      </c>
      <c r="C1472" s="116">
        <v>1344.5250000000001</v>
      </c>
      <c r="D1472" s="116">
        <v>1306.5</v>
      </c>
      <c r="E1472" s="116">
        <v>1335</v>
      </c>
      <c r="F1472" s="116">
        <v>2689.05</v>
      </c>
      <c r="G1472">
        <v>12208</v>
      </c>
      <c r="H1472" s="116"/>
      <c r="I1472" s="116"/>
      <c r="L1472" s="170">
        <v>44172</v>
      </c>
      <c r="M1472" s="116">
        <v>1345.45</v>
      </c>
      <c r="N1472" s="116">
        <v>1352.5</v>
      </c>
      <c r="O1472" s="116">
        <v>1305.9749999999999</v>
      </c>
      <c r="P1472" s="116">
        <v>1330.125</v>
      </c>
      <c r="Q1472" s="116">
        <v>2690.9</v>
      </c>
      <c r="R1472">
        <v>548965</v>
      </c>
    </row>
    <row r="1473" spans="1:18" x14ac:dyDescent="0.25">
      <c r="A1473" s="170">
        <v>44173</v>
      </c>
      <c r="B1473" s="116">
        <v>1363.2249999999999</v>
      </c>
      <c r="C1473" s="116">
        <v>1334.4</v>
      </c>
      <c r="D1473" s="116">
        <v>1330.925</v>
      </c>
      <c r="E1473" s="116">
        <v>1349.5</v>
      </c>
      <c r="F1473" s="116">
        <v>2668.8</v>
      </c>
      <c r="G1473">
        <v>12347</v>
      </c>
      <c r="H1473" s="116"/>
      <c r="I1473" s="116"/>
      <c r="L1473" s="170">
        <v>44173</v>
      </c>
      <c r="M1473" s="116">
        <v>1335.7750000000001</v>
      </c>
      <c r="N1473" s="116">
        <v>1363.9749999999999</v>
      </c>
      <c r="O1473" s="116">
        <v>1331.1</v>
      </c>
      <c r="P1473" s="116">
        <v>1352</v>
      </c>
      <c r="Q1473" s="116">
        <v>2671.55</v>
      </c>
      <c r="R1473">
        <v>427553</v>
      </c>
    </row>
    <row r="1474" spans="1:18" x14ac:dyDescent="0.25">
      <c r="A1474" s="170">
        <v>44174</v>
      </c>
      <c r="B1474" s="116">
        <v>1343.625</v>
      </c>
      <c r="C1474" s="116">
        <v>1327.0250000000001</v>
      </c>
      <c r="D1474" s="116">
        <v>1326</v>
      </c>
      <c r="E1474" s="116">
        <v>1337.5</v>
      </c>
      <c r="F1474" s="116">
        <v>2654.05</v>
      </c>
      <c r="G1474">
        <v>5834</v>
      </c>
      <c r="H1474" s="116"/>
      <c r="I1474" s="116"/>
      <c r="L1474" s="170">
        <v>44174</v>
      </c>
      <c r="M1474" s="116">
        <v>1327.7</v>
      </c>
      <c r="N1474" s="116">
        <v>1345</v>
      </c>
      <c r="O1474" s="116">
        <v>1325.5250000000001</v>
      </c>
      <c r="P1474" s="116">
        <v>1345</v>
      </c>
      <c r="Q1474" s="116">
        <v>2655.4</v>
      </c>
      <c r="R1474">
        <v>295651</v>
      </c>
    </row>
    <row r="1475" spans="1:18" x14ac:dyDescent="0.25">
      <c r="A1475" s="170">
        <v>44175</v>
      </c>
      <c r="B1475" s="116">
        <v>1346.7750000000001</v>
      </c>
      <c r="C1475" s="116">
        <v>1325.825</v>
      </c>
      <c r="D1475" s="116">
        <v>1313</v>
      </c>
      <c r="E1475" s="116">
        <v>1322.5</v>
      </c>
      <c r="F1475" s="116">
        <v>2651.65</v>
      </c>
      <c r="G1475">
        <v>17019</v>
      </c>
      <c r="H1475" s="116"/>
      <c r="I1475" s="116"/>
      <c r="L1475" s="170">
        <v>44175</v>
      </c>
      <c r="M1475" s="116">
        <v>1325.85</v>
      </c>
      <c r="N1475" s="116">
        <v>1346.825</v>
      </c>
      <c r="O1475" s="116">
        <v>1312.5250000000001</v>
      </c>
      <c r="P1475" s="116">
        <v>1320</v>
      </c>
      <c r="Q1475" s="116">
        <v>2651.7</v>
      </c>
      <c r="R1475">
        <v>535280</v>
      </c>
    </row>
    <row r="1476" spans="1:18" x14ac:dyDescent="0.25">
      <c r="A1476" s="170">
        <v>44176</v>
      </c>
      <c r="B1476" s="116">
        <v>1327.325</v>
      </c>
      <c r="C1476" s="116">
        <v>1322.825</v>
      </c>
      <c r="D1476" s="116">
        <v>1310.5250000000001</v>
      </c>
      <c r="E1476" s="116">
        <v>1318</v>
      </c>
      <c r="F1476" s="116">
        <v>2645.65</v>
      </c>
      <c r="G1476">
        <v>9221</v>
      </c>
      <c r="H1476" s="116"/>
      <c r="I1476" s="116"/>
      <c r="L1476" s="170">
        <v>44176</v>
      </c>
      <c r="M1476" s="116">
        <v>1323.35</v>
      </c>
      <c r="N1476" s="116">
        <v>1327.5</v>
      </c>
      <c r="O1476" s="116">
        <v>1310</v>
      </c>
      <c r="P1476" s="116">
        <v>1324</v>
      </c>
      <c r="Q1476" s="116">
        <v>2646.7</v>
      </c>
      <c r="R1476">
        <v>356343</v>
      </c>
    </row>
    <row r="1477" spans="1:18" x14ac:dyDescent="0.25">
      <c r="A1477" s="170">
        <v>44179</v>
      </c>
      <c r="B1477" s="116">
        <v>1354.95</v>
      </c>
      <c r="C1477" s="116">
        <v>1351.1</v>
      </c>
      <c r="D1477" s="116">
        <v>1325.4</v>
      </c>
      <c r="E1477" s="116">
        <v>1327.5</v>
      </c>
      <c r="F1477" s="116">
        <v>2702.2</v>
      </c>
      <c r="G1477">
        <v>6653</v>
      </c>
      <c r="H1477" s="116"/>
      <c r="I1477" s="116"/>
      <c r="L1477" s="170">
        <v>44179</v>
      </c>
      <c r="M1477" s="116">
        <v>1351.9</v>
      </c>
      <c r="N1477" s="116">
        <v>1355.4749999999999</v>
      </c>
      <c r="O1477" s="116">
        <v>1320.675</v>
      </c>
      <c r="P1477" s="116">
        <v>1321.85</v>
      </c>
      <c r="Q1477" s="116">
        <v>2703.8</v>
      </c>
      <c r="R1477">
        <v>465356</v>
      </c>
    </row>
    <row r="1478" spans="1:18" x14ac:dyDescent="0.25">
      <c r="A1478" s="170">
        <v>44180</v>
      </c>
      <c r="B1478" s="116">
        <v>1382.875</v>
      </c>
      <c r="C1478" s="116">
        <v>1374.5250000000001</v>
      </c>
      <c r="D1478" s="116">
        <v>1352.8</v>
      </c>
      <c r="E1478" s="116">
        <v>1354.5</v>
      </c>
      <c r="F1478" s="116">
        <v>2749.05</v>
      </c>
      <c r="G1478">
        <v>20616</v>
      </c>
      <c r="H1478" s="116"/>
      <c r="I1478" s="116"/>
      <c r="L1478" s="170">
        <v>44180</v>
      </c>
      <c r="M1478" s="116">
        <v>1374.6</v>
      </c>
      <c r="N1478" s="116">
        <v>1383.075</v>
      </c>
      <c r="O1478" s="116">
        <v>1352.5</v>
      </c>
      <c r="P1478" s="116">
        <v>1360.5</v>
      </c>
      <c r="Q1478" s="116">
        <v>2749.2</v>
      </c>
      <c r="R1478">
        <v>1187738</v>
      </c>
    </row>
    <row r="1479" spans="1:18" x14ac:dyDescent="0.25">
      <c r="A1479" s="170">
        <v>44181</v>
      </c>
      <c r="B1479" s="116">
        <v>1400.675</v>
      </c>
      <c r="C1479" s="116">
        <v>1394.375</v>
      </c>
      <c r="D1479" s="116">
        <v>1363.125</v>
      </c>
      <c r="E1479" s="116">
        <v>1376</v>
      </c>
      <c r="F1479" s="116">
        <v>2788.75</v>
      </c>
      <c r="G1479">
        <v>14936</v>
      </c>
      <c r="H1479" s="116"/>
      <c r="I1479" s="116"/>
      <c r="L1479" s="170">
        <v>44181</v>
      </c>
      <c r="M1479" s="116">
        <v>1394.4749999999999</v>
      </c>
      <c r="N1479" s="116">
        <v>1401</v>
      </c>
      <c r="O1479" s="116">
        <v>1362.75</v>
      </c>
      <c r="P1479" s="116">
        <v>1375.5</v>
      </c>
      <c r="Q1479" s="116">
        <v>2788.95</v>
      </c>
      <c r="R1479">
        <v>569546</v>
      </c>
    </row>
    <row r="1480" spans="1:18" x14ac:dyDescent="0.25">
      <c r="A1480" s="170">
        <v>44182</v>
      </c>
      <c r="B1480" s="116">
        <v>1397.1</v>
      </c>
      <c r="C1480" s="116">
        <v>1379.05</v>
      </c>
      <c r="D1480" s="116">
        <v>1374.9</v>
      </c>
      <c r="E1480" s="116">
        <v>1395</v>
      </c>
      <c r="F1480" s="116">
        <v>2758.1</v>
      </c>
      <c r="G1480">
        <v>9265</v>
      </c>
      <c r="H1480" s="116"/>
      <c r="I1480" s="116"/>
      <c r="L1480" s="170">
        <v>44182</v>
      </c>
      <c r="M1480" s="116">
        <v>1380.2750000000001</v>
      </c>
      <c r="N1480" s="116">
        <v>1397.5</v>
      </c>
      <c r="O1480" s="116">
        <v>1375</v>
      </c>
      <c r="P1480" s="116">
        <v>1392.5</v>
      </c>
      <c r="Q1480" s="116">
        <v>2760.55</v>
      </c>
      <c r="R1480">
        <v>290138</v>
      </c>
    </row>
    <row r="1481" spans="1:18" x14ac:dyDescent="0.25">
      <c r="A1481" s="170">
        <v>44183</v>
      </c>
      <c r="B1481" s="116">
        <v>1407</v>
      </c>
      <c r="C1481" s="116">
        <v>1386.25</v>
      </c>
      <c r="D1481" s="116">
        <v>1359.925</v>
      </c>
      <c r="E1481" s="116">
        <v>1380.5</v>
      </c>
      <c r="F1481" s="116">
        <v>2772.5</v>
      </c>
      <c r="G1481">
        <v>14456</v>
      </c>
      <c r="H1481" s="116"/>
      <c r="I1481" s="116"/>
      <c r="L1481" s="170">
        <v>44183</v>
      </c>
      <c r="M1481" s="116">
        <v>1389.55</v>
      </c>
      <c r="N1481" s="116">
        <v>1407.5</v>
      </c>
      <c r="O1481" s="116">
        <v>1359.675</v>
      </c>
      <c r="P1481" s="116">
        <v>1380</v>
      </c>
      <c r="Q1481" s="116">
        <v>2779.1</v>
      </c>
      <c r="R1481">
        <v>524883</v>
      </c>
    </row>
    <row r="1482" spans="1:18" x14ac:dyDescent="0.25">
      <c r="A1482" s="170">
        <v>44186</v>
      </c>
      <c r="B1482" s="116">
        <v>1404.15</v>
      </c>
      <c r="C1482" s="116">
        <v>1333.95</v>
      </c>
      <c r="D1482" s="116">
        <v>1291.925</v>
      </c>
      <c r="E1482" s="116">
        <v>1387.65</v>
      </c>
      <c r="F1482" s="116">
        <v>2667.9</v>
      </c>
      <c r="G1482">
        <v>18392</v>
      </c>
      <c r="H1482" s="116"/>
      <c r="I1482" s="116"/>
      <c r="L1482" s="170">
        <v>44186</v>
      </c>
      <c r="M1482" s="116">
        <v>1334.0250000000001</v>
      </c>
      <c r="N1482" s="116">
        <v>1404.8</v>
      </c>
      <c r="O1482" s="116">
        <v>1291.7</v>
      </c>
      <c r="P1482" s="116">
        <v>1389</v>
      </c>
      <c r="Q1482" s="116">
        <v>2668.05</v>
      </c>
      <c r="R1482">
        <v>512738</v>
      </c>
    </row>
    <row r="1483" spans="1:18" x14ac:dyDescent="0.25">
      <c r="A1483" s="170">
        <v>44187</v>
      </c>
      <c r="B1483" s="116">
        <v>1377.7</v>
      </c>
      <c r="C1483" s="116">
        <v>1371.1</v>
      </c>
      <c r="D1483" s="116">
        <v>1301.4000000000001</v>
      </c>
      <c r="E1483" s="116">
        <v>1340</v>
      </c>
      <c r="F1483" s="116">
        <v>2742.2</v>
      </c>
      <c r="G1483">
        <v>7187</v>
      </c>
      <c r="H1483" s="116"/>
      <c r="I1483" s="116"/>
      <c r="L1483" s="170">
        <v>44187</v>
      </c>
      <c r="M1483" s="116">
        <v>1371.8</v>
      </c>
      <c r="N1483" s="116">
        <v>1377.95</v>
      </c>
      <c r="O1483" s="116">
        <v>1300</v>
      </c>
      <c r="P1483" s="116">
        <v>1334.9749999999999</v>
      </c>
      <c r="Q1483" s="116">
        <v>2743.6</v>
      </c>
      <c r="R1483">
        <v>353342</v>
      </c>
    </row>
    <row r="1484" spans="1:18" x14ac:dyDescent="0.25">
      <c r="A1484" s="170">
        <v>44188</v>
      </c>
      <c r="B1484" s="116">
        <v>1402.45</v>
      </c>
      <c r="C1484" s="116">
        <v>1399.5250000000001</v>
      </c>
      <c r="D1484" s="116">
        <v>1372.05</v>
      </c>
      <c r="E1484" s="116">
        <v>1372.075</v>
      </c>
      <c r="F1484" s="116">
        <v>2799.05</v>
      </c>
      <c r="G1484">
        <v>4055</v>
      </c>
      <c r="H1484" s="116"/>
      <c r="I1484" s="116"/>
      <c r="L1484" s="170">
        <v>44188</v>
      </c>
      <c r="M1484" s="116">
        <v>1399.825</v>
      </c>
      <c r="N1484" s="116">
        <v>1402.5</v>
      </c>
      <c r="O1484" s="116">
        <v>1367.5</v>
      </c>
      <c r="P1484" s="116">
        <v>1371.9749999999999</v>
      </c>
      <c r="Q1484" s="116">
        <v>2799.65</v>
      </c>
      <c r="R1484">
        <v>253149</v>
      </c>
    </row>
    <row r="1485" spans="1:18" x14ac:dyDescent="0.25">
      <c r="A1485" s="170">
        <v>44189</v>
      </c>
      <c r="B1485" s="116">
        <v>1415.5250000000001</v>
      </c>
      <c r="C1485" s="116">
        <v>1391.825</v>
      </c>
      <c r="D1485" s="116">
        <v>1385</v>
      </c>
      <c r="E1485" s="116">
        <v>1410.125</v>
      </c>
      <c r="F1485" s="116">
        <v>2783.65</v>
      </c>
      <c r="G1485">
        <v>6064</v>
      </c>
      <c r="H1485" s="116"/>
      <c r="I1485" s="116"/>
      <c r="L1485" s="170">
        <v>44189</v>
      </c>
      <c r="M1485" s="116">
        <v>1392.675</v>
      </c>
      <c r="N1485" s="116">
        <v>1417.5250000000001</v>
      </c>
      <c r="O1485" s="116">
        <v>1383.2249999999999</v>
      </c>
      <c r="P1485" s="116">
        <v>1406.8</v>
      </c>
      <c r="Q1485" s="116">
        <v>2785.35</v>
      </c>
      <c r="R1485">
        <v>225747</v>
      </c>
    </row>
    <row r="1486" spans="1:18" x14ac:dyDescent="0.25">
      <c r="A1486" s="170">
        <v>44193</v>
      </c>
      <c r="B1486" s="116">
        <v>1427.1</v>
      </c>
      <c r="C1486" s="116">
        <v>1395.325</v>
      </c>
      <c r="D1486" s="116">
        <v>1388.35</v>
      </c>
      <c r="E1486" s="116">
        <v>1395</v>
      </c>
      <c r="F1486" s="116">
        <v>2790.65</v>
      </c>
      <c r="G1486">
        <v>8688</v>
      </c>
      <c r="H1486" s="116"/>
      <c r="I1486" s="116"/>
      <c r="L1486" s="170">
        <v>44193</v>
      </c>
      <c r="M1486" s="116">
        <v>1397.6</v>
      </c>
      <c r="N1486" s="116">
        <v>1428.2750000000001</v>
      </c>
      <c r="O1486" s="116">
        <v>1388.9749999999999</v>
      </c>
      <c r="P1486" s="116">
        <v>1399.425</v>
      </c>
      <c r="Q1486" s="116">
        <v>2795.2</v>
      </c>
      <c r="R1486">
        <v>339863</v>
      </c>
    </row>
    <row r="1487" spans="1:18" x14ac:dyDescent="0.25">
      <c r="A1487" s="170">
        <v>44194</v>
      </c>
      <c r="B1487" s="116">
        <v>1401.15</v>
      </c>
      <c r="C1487" s="116">
        <v>1380.1</v>
      </c>
      <c r="D1487" s="116">
        <v>1371.95</v>
      </c>
      <c r="E1487" s="116">
        <v>1397.95</v>
      </c>
      <c r="F1487" s="116">
        <v>2760.2</v>
      </c>
      <c r="G1487">
        <v>7093</v>
      </c>
      <c r="H1487" s="116"/>
      <c r="I1487" s="116"/>
      <c r="L1487" s="170">
        <v>44194</v>
      </c>
      <c r="M1487" s="116">
        <v>1379.4</v>
      </c>
      <c r="N1487" s="116">
        <v>1402.85</v>
      </c>
      <c r="O1487" s="116">
        <v>1372.5</v>
      </c>
      <c r="P1487" s="116">
        <v>1398.1</v>
      </c>
      <c r="Q1487" s="116">
        <v>2758.8</v>
      </c>
      <c r="R1487">
        <v>308077</v>
      </c>
    </row>
    <row r="1488" spans="1:18" x14ac:dyDescent="0.25">
      <c r="A1488" s="170">
        <v>44195</v>
      </c>
      <c r="B1488" s="116">
        <v>1400</v>
      </c>
      <c r="C1488" s="116">
        <v>1396.75</v>
      </c>
      <c r="D1488" s="116">
        <v>1367.5</v>
      </c>
      <c r="E1488" s="116">
        <v>1393.5</v>
      </c>
      <c r="F1488" s="116">
        <v>2793.5</v>
      </c>
      <c r="G1488">
        <v>12256</v>
      </c>
      <c r="H1488" s="116"/>
      <c r="I1488" s="116"/>
      <c r="L1488" s="170">
        <v>44195</v>
      </c>
      <c r="M1488" s="116">
        <v>1396.5</v>
      </c>
      <c r="N1488" s="116">
        <v>1400</v>
      </c>
      <c r="O1488" s="116">
        <v>1368</v>
      </c>
      <c r="P1488" s="116">
        <v>1379.9</v>
      </c>
      <c r="Q1488" s="116">
        <v>2793</v>
      </c>
      <c r="R1488">
        <v>308553</v>
      </c>
    </row>
    <row r="1489" spans="1:18" x14ac:dyDescent="0.25">
      <c r="A1489" s="170">
        <v>44196</v>
      </c>
      <c r="B1489" s="116">
        <v>1413.7249999999999</v>
      </c>
      <c r="C1489" s="116">
        <v>1400.35</v>
      </c>
      <c r="D1489" s="116">
        <v>1385</v>
      </c>
      <c r="E1489" s="116">
        <v>1385</v>
      </c>
      <c r="F1489" s="116">
        <v>2800.7</v>
      </c>
      <c r="G1489">
        <v>16740</v>
      </c>
      <c r="H1489" s="116"/>
      <c r="I1489" s="116"/>
      <c r="L1489" s="170">
        <v>44196</v>
      </c>
      <c r="M1489" s="116">
        <v>1401.35</v>
      </c>
      <c r="N1489" s="116">
        <v>1414</v>
      </c>
      <c r="O1489" s="116">
        <v>1382.825</v>
      </c>
      <c r="P1489" s="116">
        <v>1393.5</v>
      </c>
      <c r="Q1489" s="116">
        <v>2802.7</v>
      </c>
      <c r="R1489">
        <v>429094</v>
      </c>
    </row>
    <row r="1490" spans="1:18" x14ac:dyDescent="0.25">
      <c r="A1490" s="170">
        <v>44197</v>
      </c>
      <c r="B1490" s="116">
        <v>1408.175</v>
      </c>
      <c r="C1490" s="116">
        <v>1397.55</v>
      </c>
      <c r="D1490" s="116">
        <v>1386.15</v>
      </c>
      <c r="E1490" s="116">
        <v>1386.15</v>
      </c>
      <c r="F1490" s="116">
        <v>2795.1</v>
      </c>
      <c r="G1490">
        <v>3370</v>
      </c>
      <c r="H1490" s="116"/>
      <c r="I1490" s="116"/>
      <c r="L1490" s="170">
        <v>44197</v>
      </c>
      <c r="M1490" s="116">
        <v>1397.5250000000001</v>
      </c>
      <c r="N1490" s="116">
        <v>1409.925</v>
      </c>
      <c r="O1490" s="116">
        <v>1392.5</v>
      </c>
      <c r="P1490" s="116">
        <v>1401.45</v>
      </c>
      <c r="Q1490" s="116">
        <v>2795.05</v>
      </c>
      <c r="R1490">
        <v>144665</v>
      </c>
    </row>
    <row r="1491" spans="1:18" x14ac:dyDescent="0.25">
      <c r="A1491" s="170">
        <v>44200</v>
      </c>
      <c r="B1491" s="116">
        <v>1411.1</v>
      </c>
      <c r="C1491" s="116">
        <v>1397.05</v>
      </c>
      <c r="D1491" s="116">
        <v>1389.7750000000001</v>
      </c>
      <c r="E1491" s="116">
        <v>1405</v>
      </c>
      <c r="F1491" s="116">
        <v>2794.1</v>
      </c>
      <c r="G1491">
        <v>11398</v>
      </c>
      <c r="H1491" s="116"/>
      <c r="I1491" s="116"/>
      <c r="L1491" s="170">
        <v>44200</v>
      </c>
      <c r="M1491" s="116">
        <v>1397.325</v>
      </c>
      <c r="N1491" s="116">
        <v>1411.75</v>
      </c>
      <c r="O1491" s="116">
        <v>1390.25</v>
      </c>
      <c r="P1491" s="116">
        <v>1408.825</v>
      </c>
      <c r="Q1491" s="116">
        <v>2794.65</v>
      </c>
      <c r="R1491">
        <v>201484</v>
      </c>
    </row>
    <row r="1492" spans="1:18" x14ac:dyDescent="0.25">
      <c r="A1492" s="170">
        <v>44201</v>
      </c>
      <c r="B1492" s="116">
        <v>1411.45</v>
      </c>
      <c r="C1492" s="116">
        <v>1404.875</v>
      </c>
      <c r="D1492" s="116">
        <v>1392.55</v>
      </c>
      <c r="E1492" s="116">
        <v>1404.5</v>
      </c>
      <c r="F1492" s="116">
        <v>2809.75</v>
      </c>
      <c r="G1492">
        <v>9104</v>
      </c>
      <c r="H1492" s="116"/>
      <c r="I1492" s="116"/>
      <c r="L1492" s="170">
        <v>44201</v>
      </c>
      <c r="M1492" s="116">
        <v>1404.7249999999999</v>
      </c>
      <c r="N1492" s="116">
        <v>1411.4749999999999</v>
      </c>
      <c r="O1492" s="116">
        <v>1389.325</v>
      </c>
      <c r="P1492" s="116">
        <v>1395</v>
      </c>
      <c r="Q1492" s="116">
        <v>2809.45</v>
      </c>
      <c r="R1492">
        <v>197144</v>
      </c>
    </row>
    <row r="1493" spans="1:18" x14ac:dyDescent="0.25">
      <c r="A1493" s="170">
        <v>44202</v>
      </c>
      <c r="B1493" s="116">
        <v>1425.5</v>
      </c>
      <c r="C1493" s="116">
        <v>1394.7750000000001</v>
      </c>
      <c r="D1493" s="116">
        <v>1385.125</v>
      </c>
      <c r="E1493" s="116">
        <v>1402.5</v>
      </c>
      <c r="F1493" s="116">
        <v>2789.55</v>
      </c>
      <c r="G1493">
        <v>9145</v>
      </c>
      <c r="H1493" s="116"/>
      <c r="I1493" s="116"/>
      <c r="L1493" s="170">
        <v>44202</v>
      </c>
      <c r="M1493" s="116">
        <v>1395.35</v>
      </c>
      <c r="N1493" s="116">
        <v>1427.9749999999999</v>
      </c>
      <c r="O1493" s="116">
        <v>1384.2</v>
      </c>
      <c r="P1493" s="116">
        <v>1412.5</v>
      </c>
      <c r="Q1493" s="116">
        <v>2790.7</v>
      </c>
      <c r="R1493">
        <v>261496</v>
      </c>
    </row>
    <row r="1494" spans="1:18" x14ac:dyDescent="0.25">
      <c r="A1494" s="170">
        <v>44203</v>
      </c>
      <c r="B1494" s="116">
        <v>1405.575</v>
      </c>
      <c r="C1494" s="116">
        <v>1388.45</v>
      </c>
      <c r="D1494" s="116">
        <v>1381.425</v>
      </c>
      <c r="E1494" s="116">
        <v>1400.625</v>
      </c>
      <c r="F1494" s="116">
        <v>2776.9</v>
      </c>
      <c r="G1494">
        <v>8249</v>
      </c>
      <c r="H1494" s="116"/>
      <c r="I1494" s="116"/>
      <c r="L1494" s="170">
        <v>44203</v>
      </c>
      <c r="M1494" s="116">
        <v>1387.9749999999999</v>
      </c>
      <c r="N1494" s="116">
        <v>1405.5</v>
      </c>
      <c r="O1494" s="116">
        <v>1382.5</v>
      </c>
      <c r="P1494" s="116">
        <v>1398.5</v>
      </c>
      <c r="Q1494" s="116">
        <v>2775.95</v>
      </c>
      <c r="R1494">
        <v>351746</v>
      </c>
    </row>
    <row r="1495" spans="1:18" x14ac:dyDescent="0.25">
      <c r="A1495" s="170">
        <v>44204</v>
      </c>
      <c r="B1495" s="116">
        <v>1432.5</v>
      </c>
      <c r="C1495" s="116">
        <v>1425.4749999999999</v>
      </c>
      <c r="D1495" s="116">
        <v>1388.2750000000001</v>
      </c>
      <c r="E1495" s="116">
        <v>1400</v>
      </c>
      <c r="F1495" s="116">
        <v>2850.95</v>
      </c>
      <c r="G1495">
        <v>20795</v>
      </c>
      <c r="H1495" s="116"/>
      <c r="I1495" s="116"/>
      <c r="L1495" s="170">
        <v>44204</v>
      </c>
      <c r="M1495" s="116">
        <v>1425.95</v>
      </c>
      <c r="N1495" s="116">
        <v>1436</v>
      </c>
      <c r="O1495" s="116">
        <v>1387.75</v>
      </c>
      <c r="P1495" s="116">
        <v>1394.5</v>
      </c>
      <c r="Q1495" s="116">
        <v>2851.9</v>
      </c>
      <c r="R1495">
        <v>521368</v>
      </c>
    </row>
    <row r="1496" spans="1:18" x14ac:dyDescent="0.25">
      <c r="A1496" s="170">
        <v>44207</v>
      </c>
      <c r="B1496" s="116">
        <v>1450</v>
      </c>
      <c r="C1496" s="116">
        <v>1426.55</v>
      </c>
      <c r="D1496" s="116">
        <v>1418.175</v>
      </c>
      <c r="E1496" s="116">
        <v>1450</v>
      </c>
      <c r="F1496" s="116">
        <v>2853.1</v>
      </c>
      <c r="G1496">
        <v>6788</v>
      </c>
      <c r="H1496" s="116"/>
      <c r="I1496" s="116"/>
      <c r="L1496" s="170">
        <v>44207</v>
      </c>
      <c r="M1496" s="116">
        <v>1425.7249999999999</v>
      </c>
      <c r="N1496" s="116">
        <v>1440.7</v>
      </c>
      <c r="O1496" s="116">
        <v>1417.35</v>
      </c>
      <c r="P1496" s="116">
        <v>1440</v>
      </c>
      <c r="Q1496" s="116">
        <v>2851.45</v>
      </c>
      <c r="R1496">
        <v>275998</v>
      </c>
    </row>
    <row r="1497" spans="1:18" x14ac:dyDescent="0.25">
      <c r="A1497" s="170">
        <v>44208</v>
      </c>
      <c r="B1497" s="116">
        <v>1451.425</v>
      </c>
      <c r="C1497" s="116">
        <v>1418.2</v>
      </c>
      <c r="D1497" s="116">
        <v>1412.75</v>
      </c>
      <c r="E1497" s="116">
        <v>1427.5</v>
      </c>
      <c r="F1497" s="116">
        <v>2836.4</v>
      </c>
      <c r="G1497">
        <v>19197</v>
      </c>
      <c r="H1497" s="116"/>
      <c r="I1497" s="116"/>
      <c r="L1497" s="170">
        <v>44208</v>
      </c>
      <c r="M1497" s="116">
        <v>1416.75</v>
      </c>
      <c r="N1497" s="116">
        <v>1452.5</v>
      </c>
      <c r="O1497" s="116">
        <v>1412.5</v>
      </c>
      <c r="P1497" s="116">
        <v>1432.5</v>
      </c>
      <c r="Q1497" s="116">
        <v>2833.5</v>
      </c>
      <c r="R1497">
        <v>439543</v>
      </c>
    </row>
    <row r="1498" spans="1:18" x14ac:dyDescent="0.25">
      <c r="A1498" s="170">
        <v>44209</v>
      </c>
      <c r="B1498" s="116">
        <v>1424.45</v>
      </c>
      <c r="C1498" s="116">
        <v>1383.9</v>
      </c>
      <c r="D1498" s="116">
        <v>1371.5250000000001</v>
      </c>
      <c r="E1498" s="116">
        <v>1411</v>
      </c>
      <c r="F1498" s="116">
        <v>2767.8</v>
      </c>
      <c r="G1498">
        <v>12941</v>
      </c>
      <c r="H1498" s="116"/>
      <c r="I1498" s="116"/>
      <c r="L1498" s="170">
        <v>44209</v>
      </c>
      <c r="M1498" s="116">
        <v>1383.325</v>
      </c>
      <c r="N1498" s="116">
        <v>1424.6</v>
      </c>
      <c r="O1498" s="116">
        <v>1371.375</v>
      </c>
      <c r="P1498" s="116">
        <v>1422.4749999999999</v>
      </c>
      <c r="Q1498" s="116">
        <v>2766.65</v>
      </c>
      <c r="R1498">
        <v>370994</v>
      </c>
    </row>
    <row r="1499" spans="1:18" x14ac:dyDescent="0.25">
      <c r="A1499" s="170">
        <v>44210</v>
      </c>
      <c r="B1499" s="116">
        <v>1399.675</v>
      </c>
      <c r="C1499" s="116">
        <v>1394.6</v>
      </c>
      <c r="D1499" s="116">
        <v>1377.5</v>
      </c>
      <c r="E1499" s="116">
        <v>1377.5</v>
      </c>
      <c r="F1499" s="116">
        <v>2789.2</v>
      </c>
      <c r="G1499">
        <v>7658</v>
      </c>
      <c r="H1499" s="116"/>
      <c r="I1499" s="116"/>
      <c r="L1499" s="170">
        <v>44210</v>
      </c>
      <c r="M1499" s="116">
        <v>1392.7750000000001</v>
      </c>
      <c r="N1499" s="116">
        <v>1400</v>
      </c>
      <c r="O1499" s="116">
        <v>1377.0250000000001</v>
      </c>
      <c r="P1499" s="116">
        <v>1390</v>
      </c>
      <c r="Q1499" s="116">
        <v>2785.55</v>
      </c>
      <c r="R1499">
        <v>370142</v>
      </c>
    </row>
    <row r="1500" spans="1:18" x14ac:dyDescent="0.25">
      <c r="A1500" s="170">
        <v>44211</v>
      </c>
      <c r="B1500" s="116">
        <v>1400</v>
      </c>
      <c r="C1500" s="116">
        <v>1356.675</v>
      </c>
      <c r="D1500" s="116">
        <v>1335.3</v>
      </c>
      <c r="E1500" s="116">
        <v>1400</v>
      </c>
      <c r="F1500" s="116">
        <v>2713.35</v>
      </c>
      <c r="G1500">
        <v>13545</v>
      </c>
      <c r="H1500" s="116"/>
      <c r="I1500" s="116"/>
      <c r="L1500" s="170">
        <v>44211</v>
      </c>
      <c r="M1500" s="116">
        <v>1355.85</v>
      </c>
      <c r="N1500" s="116">
        <v>1395</v>
      </c>
      <c r="O1500" s="116">
        <v>1335</v>
      </c>
      <c r="P1500" s="116">
        <v>1395</v>
      </c>
      <c r="Q1500" s="116">
        <v>2711.7</v>
      </c>
      <c r="R1500">
        <v>443692</v>
      </c>
    </row>
    <row r="1501" spans="1:18" x14ac:dyDescent="0.25">
      <c r="A1501" s="170">
        <v>44214</v>
      </c>
      <c r="B1501" s="116">
        <v>1350</v>
      </c>
      <c r="C1501" s="116">
        <v>1318.3</v>
      </c>
      <c r="D1501" s="116">
        <v>1298.5</v>
      </c>
      <c r="E1501" s="116">
        <v>1345</v>
      </c>
      <c r="F1501" s="116">
        <v>2636.6</v>
      </c>
      <c r="G1501">
        <v>11933</v>
      </c>
      <c r="H1501" s="116"/>
      <c r="I1501" s="116"/>
      <c r="L1501" s="170">
        <v>44214</v>
      </c>
      <c r="M1501" s="116">
        <v>1322.55</v>
      </c>
      <c r="N1501" s="116">
        <v>1352.5</v>
      </c>
      <c r="O1501" s="116">
        <v>1297.7750000000001</v>
      </c>
      <c r="P1501" s="116">
        <v>1352.5</v>
      </c>
      <c r="Q1501" s="116">
        <v>2645.1</v>
      </c>
      <c r="R1501">
        <v>430742</v>
      </c>
    </row>
    <row r="1502" spans="1:18" x14ac:dyDescent="0.25">
      <c r="A1502" s="170">
        <v>44215</v>
      </c>
      <c r="B1502" s="116">
        <v>1395.2249999999999</v>
      </c>
      <c r="C1502" s="116">
        <v>1375.25</v>
      </c>
      <c r="D1502" s="116">
        <v>1323.5</v>
      </c>
      <c r="E1502" s="116">
        <v>1323.5</v>
      </c>
      <c r="F1502" s="116">
        <v>2750.5</v>
      </c>
      <c r="G1502">
        <v>18292</v>
      </c>
      <c r="H1502" s="116"/>
      <c r="I1502" s="116"/>
      <c r="L1502" s="170">
        <v>44215</v>
      </c>
      <c r="M1502" s="116">
        <v>1375.45</v>
      </c>
      <c r="N1502" s="116">
        <v>1394.4</v>
      </c>
      <c r="O1502" s="116">
        <v>1326.05</v>
      </c>
      <c r="P1502" s="116">
        <v>1330.125</v>
      </c>
      <c r="Q1502" s="116">
        <v>2750.9</v>
      </c>
      <c r="R1502">
        <v>662092</v>
      </c>
    </row>
    <row r="1503" spans="1:18" x14ac:dyDescent="0.25">
      <c r="A1503" s="170">
        <v>44216</v>
      </c>
      <c r="B1503" s="116">
        <v>1399</v>
      </c>
      <c r="C1503" s="116">
        <v>1361.3</v>
      </c>
      <c r="D1503" s="116">
        <v>1357.4749999999999</v>
      </c>
      <c r="E1503" s="116">
        <v>1399</v>
      </c>
      <c r="F1503" s="116">
        <v>2722.6</v>
      </c>
      <c r="G1503">
        <v>4948</v>
      </c>
      <c r="H1503" s="116"/>
      <c r="I1503" s="116"/>
      <c r="L1503" s="170">
        <v>44216</v>
      </c>
      <c r="M1503" s="116">
        <v>1361.075</v>
      </c>
      <c r="N1503" s="116">
        <v>1384.7249999999999</v>
      </c>
      <c r="O1503" s="116">
        <v>1356.5</v>
      </c>
      <c r="P1503" s="116">
        <v>1381</v>
      </c>
      <c r="Q1503" s="116">
        <v>2722.15</v>
      </c>
      <c r="R1503">
        <v>232657</v>
      </c>
    </row>
    <row r="1504" spans="1:18" x14ac:dyDescent="0.25">
      <c r="A1504" s="170">
        <v>44217</v>
      </c>
      <c r="B1504" s="116">
        <v>1399.95</v>
      </c>
      <c r="C1504" s="116">
        <v>1369.575</v>
      </c>
      <c r="D1504" s="116">
        <v>1362.9749999999999</v>
      </c>
      <c r="E1504" s="116">
        <v>1368.9749999999999</v>
      </c>
      <c r="F1504" s="116">
        <v>2739.15</v>
      </c>
      <c r="G1504">
        <v>15250</v>
      </c>
      <c r="H1504" s="116"/>
      <c r="I1504" s="116"/>
      <c r="L1504" s="170">
        <v>44217</v>
      </c>
      <c r="M1504" s="116">
        <v>1369.4749999999999</v>
      </c>
      <c r="N1504" s="116">
        <v>1399.95</v>
      </c>
      <c r="O1504" s="116">
        <v>1363.05</v>
      </c>
      <c r="P1504" s="116">
        <v>1367.8</v>
      </c>
      <c r="Q1504" s="116">
        <v>2738.95</v>
      </c>
      <c r="R1504">
        <v>422591</v>
      </c>
    </row>
    <row r="1505" spans="1:18" x14ac:dyDescent="0.25">
      <c r="A1505" s="170">
        <v>44218</v>
      </c>
      <c r="B1505" s="116">
        <v>1370.65</v>
      </c>
      <c r="C1505" s="116">
        <v>1345.625</v>
      </c>
      <c r="D1505" s="116">
        <v>1340</v>
      </c>
      <c r="E1505" s="116">
        <v>1370.65</v>
      </c>
      <c r="F1505" s="116">
        <v>2691.25</v>
      </c>
      <c r="G1505">
        <v>5123</v>
      </c>
      <c r="H1505" s="116"/>
      <c r="I1505" s="116"/>
      <c r="L1505" s="170">
        <v>44218</v>
      </c>
      <c r="M1505" s="116">
        <v>1345.175</v>
      </c>
      <c r="N1505" s="116">
        <v>1372</v>
      </c>
      <c r="O1505" s="116">
        <v>1340</v>
      </c>
      <c r="P1505" s="116">
        <v>1372</v>
      </c>
      <c r="Q1505" s="116">
        <v>2690.35</v>
      </c>
      <c r="R1505">
        <v>246554</v>
      </c>
    </row>
    <row r="1506" spans="1:18" x14ac:dyDescent="0.25">
      <c r="A1506" s="170">
        <v>44221</v>
      </c>
      <c r="B1506" s="116">
        <v>1354.35</v>
      </c>
      <c r="C1506" s="116">
        <v>1317.95</v>
      </c>
      <c r="D1506" s="116">
        <v>1314.1</v>
      </c>
      <c r="E1506" s="116">
        <v>1340</v>
      </c>
      <c r="F1506" s="116">
        <v>2635.9</v>
      </c>
      <c r="G1506">
        <v>11488</v>
      </c>
      <c r="H1506" s="116"/>
      <c r="I1506" s="116"/>
      <c r="L1506" s="170">
        <v>44221</v>
      </c>
      <c r="M1506" s="116">
        <v>1317.625</v>
      </c>
      <c r="N1506" s="116">
        <v>1355.65</v>
      </c>
      <c r="O1506" s="116">
        <v>1314.05</v>
      </c>
      <c r="P1506" s="116">
        <v>1349.925</v>
      </c>
      <c r="Q1506" s="116">
        <v>2635.25</v>
      </c>
      <c r="R1506">
        <v>379962</v>
      </c>
    </row>
    <row r="1507" spans="1:18" x14ac:dyDescent="0.25">
      <c r="A1507" s="170">
        <v>44223</v>
      </c>
      <c r="B1507" s="116">
        <v>1328.125</v>
      </c>
      <c r="C1507" s="116">
        <v>1323.125</v>
      </c>
      <c r="D1507" s="116">
        <v>1302.175</v>
      </c>
      <c r="E1507" s="116">
        <v>1318.075</v>
      </c>
      <c r="F1507" s="116">
        <v>2646.25</v>
      </c>
      <c r="G1507">
        <v>5548</v>
      </c>
      <c r="H1507" s="116"/>
      <c r="I1507" s="116"/>
      <c r="L1507" s="170">
        <v>44223</v>
      </c>
      <c r="M1507" s="116">
        <v>1324.075</v>
      </c>
      <c r="N1507" s="116">
        <v>1328.65</v>
      </c>
      <c r="O1507" s="116">
        <v>1301.25</v>
      </c>
      <c r="P1507" s="116">
        <v>1320.45</v>
      </c>
      <c r="Q1507" s="116">
        <v>2648.15</v>
      </c>
      <c r="R1507">
        <v>443542</v>
      </c>
    </row>
    <row r="1508" spans="1:18" x14ac:dyDescent="0.25">
      <c r="A1508" s="170">
        <v>44224</v>
      </c>
      <c r="B1508" s="116">
        <v>1338.2</v>
      </c>
      <c r="C1508" s="116">
        <v>1332.5250000000001</v>
      </c>
      <c r="D1508" s="116">
        <v>1299</v>
      </c>
      <c r="E1508" s="116">
        <v>1324.4</v>
      </c>
      <c r="F1508" s="116">
        <v>2665.05</v>
      </c>
      <c r="G1508">
        <v>5969</v>
      </c>
      <c r="H1508" s="116"/>
      <c r="I1508" s="116"/>
      <c r="L1508" s="170">
        <v>44224</v>
      </c>
      <c r="M1508" s="116">
        <v>1331.925</v>
      </c>
      <c r="N1508" s="116">
        <v>1338.625</v>
      </c>
      <c r="O1508" s="116">
        <v>1296.8499999999999</v>
      </c>
      <c r="P1508" s="116">
        <v>1311.075</v>
      </c>
      <c r="Q1508" s="116">
        <v>2663.85</v>
      </c>
      <c r="R1508">
        <v>274398</v>
      </c>
    </row>
    <row r="1509" spans="1:18" x14ac:dyDescent="0.25">
      <c r="A1509" s="170">
        <v>44225</v>
      </c>
      <c r="B1509" s="116">
        <v>1333.85</v>
      </c>
      <c r="C1509" s="116">
        <v>1302</v>
      </c>
      <c r="D1509" s="116">
        <v>1285.95</v>
      </c>
      <c r="E1509" s="116">
        <v>1330.575</v>
      </c>
      <c r="F1509" s="116">
        <v>2604</v>
      </c>
      <c r="G1509">
        <v>8529</v>
      </c>
      <c r="H1509" s="116"/>
      <c r="I1509" s="116"/>
      <c r="L1509" s="170">
        <v>44225</v>
      </c>
      <c r="M1509" s="116">
        <v>1304.075</v>
      </c>
      <c r="N1509" s="116">
        <v>1336.2</v>
      </c>
      <c r="O1509" s="116">
        <v>1285.6500000000001</v>
      </c>
      <c r="P1509" s="116">
        <v>1335</v>
      </c>
      <c r="Q1509" s="116">
        <v>2608.15</v>
      </c>
      <c r="R1509">
        <v>409323</v>
      </c>
    </row>
    <row r="1510" spans="1:18" x14ac:dyDescent="0.25">
      <c r="A1510" s="170">
        <v>44228</v>
      </c>
      <c r="B1510" s="116">
        <v>1325</v>
      </c>
      <c r="C1510" s="116">
        <v>1266.625</v>
      </c>
      <c r="D1510" s="116">
        <v>1249.675</v>
      </c>
      <c r="E1510" s="116">
        <v>1325</v>
      </c>
      <c r="F1510" s="116">
        <v>2533.25</v>
      </c>
      <c r="G1510">
        <v>14270</v>
      </c>
      <c r="H1510" s="116"/>
      <c r="I1510" s="116"/>
      <c r="L1510" s="170">
        <v>44228</v>
      </c>
      <c r="M1510" s="116">
        <v>1267.05</v>
      </c>
      <c r="N1510" s="116">
        <v>1312.95</v>
      </c>
      <c r="O1510" s="116">
        <v>1249.625</v>
      </c>
      <c r="P1510" s="116">
        <v>1312.95</v>
      </c>
      <c r="Q1510" s="116">
        <v>2534.1</v>
      </c>
      <c r="R1510">
        <v>670793</v>
      </c>
    </row>
    <row r="1511" spans="1:18" x14ac:dyDescent="0.25">
      <c r="A1511" s="170">
        <v>44229</v>
      </c>
      <c r="B1511" s="116">
        <v>1292</v>
      </c>
      <c r="C1511" s="116">
        <v>1285.6500000000001</v>
      </c>
      <c r="D1511" s="116">
        <v>1260.3499999999999</v>
      </c>
      <c r="E1511" s="116">
        <v>1275</v>
      </c>
      <c r="F1511" s="116">
        <v>2571.3000000000002</v>
      </c>
      <c r="G1511">
        <v>7587</v>
      </c>
      <c r="H1511" s="116"/>
      <c r="I1511" s="116"/>
      <c r="L1511" s="170">
        <v>44229</v>
      </c>
      <c r="M1511" s="116">
        <v>1285.7750000000001</v>
      </c>
      <c r="N1511" s="116">
        <v>1292.6500000000001</v>
      </c>
      <c r="O1511" s="116">
        <v>1259.6500000000001</v>
      </c>
      <c r="P1511" s="116">
        <v>1276.5</v>
      </c>
      <c r="Q1511" s="116">
        <v>2571.5500000000002</v>
      </c>
      <c r="R1511">
        <v>561350</v>
      </c>
    </row>
    <row r="1512" spans="1:18" x14ac:dyDescent="0.25">
      <c r="A1512" s="170">
        <v>44230</v>
      </c>
      <c r="B1512" s="116">
        <v>1355</v>
      </c>
      <c r="C1512" s="116">
        <v>1336</v>
      </c>
      <c r="D1512" s="116">
        <v>1292.7</v>
      </c>
      <c r="E1512" s="116">
        <v>1292.7</v>
      </c>
      <c r="F1512" s="116">
        <v>2672</v>
      </c>
      <c r="G1512">
        <v>14510</v>
      </c>
      <c r="H1512" s="116"/>
      <c r="I1512" s="116"/>
      <c r="L1512" s="170">
        <v>44230</v>
      </c>
      <c r="M1512" s="116">
        <v>1338.5250000000001</v>
      </c>
      <c r="N1512" s="116">
        <v>1356</v>
      </c>
      <c r="O1512" s="116">
        <v>1281</v>
      </c>
      <c r="P1512" s="116">
        <v>1281</v>
      </c>
      <c r="Q1512" s="116">
        <v>2677.05</v>
      </c>
      <c r="R1512">
        <v>715059</v>
      </c>
    </row>
    <row r="1513" spans="1:18" x14ac:dyDescent="0.25">
      <c r="A1513" s="170">
        <v>44231</v>
      </c>
      <c r="B1513" s="116">
        <v>1362.5</v>
      </c>
      <c r="C1513" s="116">
        <v>1341.2750000000001</v>
      </c>
      <c r="D1513" s="116">
        <v>1325</v>
      </c>
      <c r="E1513" s="116">
        <v>1339.5</v>
      </c>
      <c r="F1513" s="116">
        <v>2682.55</v>
      </c>
      <c r="G1513">
        <v>7744</v>
      </c>
      <c r="H1513" s="116"/>
      <c r="I1513" s="116"/>
      <c r="L1513" s="170">
        <v>44231</v>
      </c>
      <c r="M1513" s="116">
        <v>1340.8</v>
      </c>
      <c r="N1513" s="116">
        <v>1363</v>
      </c>
      <c r="O1513" s="116">
        <v>1323.8</v>
      </c>
      <c r="P1513" s="116">
        <v>1350</v>
      </c>
      <c r="Q1513" s="116">
        <v>2681.6</v>
      </c>
      <c r="R1513">
        <v>365087</v>
      </c>
    </row>
    <row r="1514" spans="1:18" x14ac:dyDescent="0.25">
      <c r="A1514" s="170">
        <v>44232</v>
      </c>
      <c r="B1514" s="116">
        <v>1382.5</v>
      </c>
      <c r="C1514" s="116">
        <v>1375.75</v>
      </c>
      <c r="D1514" s="116">
        <v>1319.4</v>
      </c>
      <c r="E1514" s="116">
        <v>1374</v>
      </c>
      <c r="F1514" s="116">
        <v>2751.5</v>
      </c>
      <c r="G1514">
        <v>18092</v>
      </c>
      <c r="H1514" s="116"/>
      <c r="I1514" s="116"/>
      <c r="L1514" s="170">
        <v>44232</v>
      </c>
      <c r="M1514" s="116">
        <v>1376.0250000000001</v>
      </c>
      <c r="N1514" s="116">
        <v>1382.5</v>
      </c>
      <c r="O1514" s="116">
        <v>1318.7249999999999</v>
      </c>
      <c r="P1514" s="116">
        <v>1340.85</v>
      </c>
      <c r="Q1514" s="116">
        <v>2752.05</v>
      </c>
      <c r="R1514">
        <v>349538</v>
      </c>
    </row>
    <row r="1515" spans="1:18" x14ac:dyDescent="0.25">
      <c r="A1515" s="170">
        <v>44235</v>
      </c>
      <c r="B1515" s="116">
        <v>1400.5</v>
      </c>
      <c r="C1515" s="116">
        <v>1379.15</v>
      </c>
      <c r="D1515" s="116">
        <v>1365.35</v>
      </c>
      <c r="E1515" s="116">
        <v>1400</v>
      </c>
      <c r="F1515" s="116">
        <v>2758.3</v>
      </c>
      <c r="G1515">
        <v>29948</v>
      </c>
      <c r="H1515" s="116"/>
      <c r="I1515" s="116"/>
      <c r="L1515" s="170">
        <v>44235</v>
      </c>
      <c r="M1515" s="116">
        <v>1378.9749999999999</v>
      </c>
      <c r="N1515" s="116">
        <v>1401.45</v>
      </c>
      <c r="O1515" s="116">
        <v>1365</v>
      </c>
      <c r="P1515" s="116">
        <v>1397.5</v>
      </c>
      <c r="Q1515" s="116">
        <v>2757.95</v>
      </c>
      <c r="R1515">
        <v>432228</v>
      </c>
    </row>
    <row r="1516" spans="1:18" x14ac:dyDescent="0.25">
      <c r="A1516" s="170">
        <v>44236</v>
      </c>
      <c r="B1516" s="116">
        <v>1361</v>
      </c>
      <c r="C1516" s="116">
        <v>1290.75</v>
      </c>
      <c r="D1516" s="116">
        <v>1272.5</v>
      </c>
      <c r="E1516" s="116">
        <v>1361</v>
      </c>
      <c r="F1516" s="116">
        <v>2581.5</v>
      </c>
      <c r="G1516">
        <v>152034</v>
      </c>
      <c r="H1516" s="116"/>
      <c r="I1516" s="116"/>
      <c r="L1516" s="170">
        <v>44236</v>
      </c>
      <c r="M1516" s="116">
        <v>1291.125</v>
      </c>
      <c r="N1516" s="116">
        <v>1350.0250000000001</v>
      </c>
      <c r="O1516" s="116">
        <v>1272.5</v>
      </c>
      <c r="P1516" s="116">
        <v>1350</v>
      </c>
      <c r="Q1516" s="116">
        <v>2582.25</v>
      </c>
      <c r="R1516">
        <v>2557483</v>
      </c>
    </row>
    <row r="1517" spans="1:18" x14ac:dyDescent="0.25">
      <c r="A1517" s="170">
        <v>44237</v>
      </c>
      <c r="B1517" s="116">
        <v>1300</v>
      </c>
      <c r="C1517" s="116">
        <v>1292.825</v>
      </c>
      <c r="D1517" s="116">
        <v>1271.875</v>
      </c>
      <c r="E1517" s="116">
        <v>1300</v>
      </c>
      <c r="F1517" s="116">
        <v>2585.65</v>
      </c>
      <c r="G1517">
        <v>26748</v>
      </c>
      <c r="H1517" s="116"/>
      <c r="I1517" s="116"/>
      <c r="L1517" s="170">
        <v>44237</v>
      </c>
      <c r="M1517" s="116">
        <v>1293.05</v>
      </c>
      <c r="N1517" s="116">
        <v>1302.5</v>
      </c>
      <c r="O1517" s="116">
        <v>1271.2249999999999</v>
      </c>
      <c r="P1517" s="116">
        <v>1297.9000000000001</v>
      </c>
      <c r="Q1517" s="116">
        <v>2586.1</v>
      </c>
      <c r="R1517">
        <v>875894</v>
      </c>
    </row>
    <row r="1518" spans="1:18" x14ac:dyDescent="0.25">
      <c r="A1518" s="170">
        <v>44238</v>
      </c>
      <c r="B1518" s="116">
        <v>1307.625</v>
      </c>
      <c r="C1518" s="116">
        <v>1304.875</v>
      </c>
      <c r="D1518" s="116">
        <v>1289.2</v>
      </c>
      <c r="E1518" s="116">
        <v>1296.5250000000001</v>
      </c>
      <c r="F1518" s="116">
        <v>2609.75</v>
      </c>
      <c r="G1518">
        <v>9878</v>
      </c>
      <c r="H1518" s="116"/>
      <c r="I1518" s="116"/>
      <c r="L1518" s="170">
        <v>44238</v>
      </c>
      <c r="M1518" s="116">
        <v>1304.375</v>
      </c>
      <c r="N1518" s="116">
        <v>1307</v>
      </c>
      <c r="O1518" s="116">
        <v>1287.4749999999999</v>
      </c>
      <c r="P1518" s="116">
        <v>1293</v>
      </c>
      <c r="Q1518" s="116">
        <v>2608.75</v>
      </c>
      <c r="R1518">
        <v>403576</v>
      </c>
    </row>
    <row r="1519" spans="1:18" x14ac:dyDescent="0.25">
      <c r="A1519" s="170">
        <v>44239</v>
      </c>
      <c r="B1519" s="116">
        <v>1316</v>
      </c>
      <c r="C1519" s="116">
        <v>1301.075</v>
      </c>
      <c r="D1519" s="116">
        <v>1297.9000000000001</v>
      </c>
      <c r="E1519" s="116">
        <v>1307</v>
      </c>
      <c r="F1519" s="116">
        <v>2602.15</v>
      </c>
      <c r="G1519">
        <v>21875</v>
      </c>
      <c r="H1519" s="116"/>
      <c r="I1519" s="116"/>
      <c r="L1519" s="170">
        <v>44239</v>
      </c>
      <c r="M1519" s="116">
        <v>1300.925</v>
      </c>
      <c r="N1519" s="116">
        <v>1317.5</v>
      </c>
      <c r="O1519" s="116">
        <v>1297.5</v>
      </c>
      <c r="P1519" s="116">
        <v>1308.5</v>
      </c>
      <c r="Q1519" s="116">
        <v>2601.85</v>
      </c>
      <c r="R1519">
        <v>431785</v>
      </c>
    </row>
    <row r="1520" spans="1:18" x14ac:dyDescent="0.25">
      <c r="A1520" s="170">
        <v>44242</v>
      </c>
      <c r="B1520" s="116">
        <v>1311.4749999999999</v>
      </c>
      <c r="C1520" s="116">
        <v>1302.75</v>
      </c>
      <c r="D1520" s="116">
        <v>1287.95</v>
      </c>
      <c r="E1520" s="116">
        <v>1300.9749999999999</v>
      </c>
      <c r="F1520" s="116">
        <v>2605.5</v>
      </c>
      <c r="G1520">
        <v>11873</v>
      </c>
      <c r="H1520" s="116"/>
      <c r="I1520" s="116"/>
      <c r="L1520" s="170">
        <v>44242</v>
      </c>
      <c r="M1520" s="116">
        <v>1303.1500000000001</v>
      </c>
      <c r="N1520" s="116">
        <v>1311.45</v>
      </c>
      <c r="O1520" s="116">
        <v>1287.625</v>
      </c>
      <c r="P1520" s="116">
        <v>1299.9000000000001</v>
      </c>
      <c r="Q1520" s="116">
        <v>2606.3000000000002</v>
      </c>
      <c r="R1520">
        <v>349795</v>
      </c>
    </row>
    <row r="1521" spans="1:18" x14ac:dyDescent="0.25">
      <c r="A1521" s="170">
        <v>44243</v>
      </c>
      <c r="B1521" s="116">
        <v>1305.55</v>
      </c>
      <c r="C1521" s="116">
        <v>1294.25</v>
      </c>
      <c r="D1521" s="116">
        <v>1287.5</v>
      </c>
      <c r="E1521" s="116">
        <v>1302.75</v>
      </c>
      <c r="F1521" s="116">
        <v>2588.5</v>
      </c>
      <c r="G1521">
        <v>4070</v>
      </c>
      <c r="H1521" s="116"/>
      <c r="I1521" s="116"/>
      <c r="L1521" s="170">
        <v>44243</v>
      </c>
      <c r="M1521" s="116">
        <v>1294.4000000000001</v>
      </c>
      <c r="N1521" s="116">
        <v>1309.5</v>
      </c>
      <c r="O1521" s="116">
        <v>1287.5</v>
      </c>
      <c r="P1521" s="116">
        <v>1305</v>
      </c>
      <c r="Q1521" s="116">
        <v>2588.8000000000002</v>
      </c>
      <c r="R1521">
        <v>175989</v>
      </c>
    </row>
    <row r="1522" spans="1:18" x14ac:dyDescent="0.25">
      <c r="A1522" s="170">
        <v>44244</v>
      </c>
      <c r="B1522" s="116">
        <v>1299.7249999999999</v>
      </c>
      <c r="C1522" s="116">
        <v>1270.175</v>
      </c>
      <c r="D1522" s="116">
        <v>1262.5</v>
      </c>
      <c r="E1522" s="116">
        <v>1275.1500000000001</v>
      </c>
      <c r="F1522" s="116">
        <v>2540.35</v>
      </c>
      <c r="G1522">
        <v>45748</v>
      </c>
      <c r="H1522" s="116"/>
      <c r="I1522" s="116"/>
      <c r="L1522" s="170">
        <v>44244</v>
      </c>
      <c r="M1522" s="116">
        <v>1269.0999999999999</v>
      </c>
      <c r="N1522" s="116">
        <v>1300</v>
      </c>
      <c r="O1522" s="116">
        <v>1262.5250000000001</v>
      </c>
      <c r="P1522" s="116">
        <v>1293.8499999999999</v>
      </c>
      <c r="Q1522" s="116">
        <v>2538.1999999999998</v>
      </c>
      <c r="R1522">
        <v>322019</v>
      </c>
    </row>
    <row r="1523" spans="1:18" x14ac:dyDescent="0.25">
      <c r="A1523" s="170">
        <v>44245</v>
      </c>
      <c r="B1523" s="116">
        <v>1281.575</v>
      </c>
      <c r="C1523" s="116">
        <v>1259.75</v>
      </c>
      <c r="D1523" s="116">
        <v>1242.5</v>
      </c>
      <c r="E1523" s="116">
        <v>1270.0999999999999</v>
      </c>
      <c r="F1523" s="116">
        <v>2519.5</v>
      </c>
      <c r="G1523">
        <v>17174</v>
      </c>
      <c r="H1523" s="116"/>
      <c r="I1523" s="116"/>
      <c r="L1523" s="170">
        <v>44245</v>
      </c>
      <c r="M1523" s="116">
        <v>1260.5999999999999</v>
      </c>
      <c r="N1523" s="116">
        <v>1282</v>
      </c>
      <c r="O1523" s="116">
        <v>1242</v>
      </c>
      <c r="P1523" s="116">
        <v>1272.5</v>
      </c>
      <c r="Q1523" s="116">
        <v>2521.1999999999998</v>
      </c>
      <c r="R1523">
        <v>333066</v>
      </c>
    </row>
    <row r="1524" spans="1:18" x14ac:dyDescent="0.25">
      <c r="A1524" s="170">
        <v>44246</v>
      </c>
      <c r="B1524" s="116">
        <v>1265.45</v>
      </c>
      <c r="C1524" s="116">
        <v>1248.625</v>
      </c>
      <c r="D1524" s="116">
        <v>1230.2249999999999</v>
      </c>
      <c r="E1524" s="116">
        <v>1264</v>
      </c>
      <c r="F1524" s="116">
        <v>2497.25</v>
      </c>
      <c r="G1524">
        <v>11075</v>
      </c>
      <c r="H1524" s="116"/>
      <c r="I1524" s="116"/>
      <c r="L1524" s="170">
        <v>44246</v>
      </c>
      <c r="M1524" s="116">
        <v>1248.5</v>
      </c>
      <c r="N1524" s="116">
        <v>1265.9749999999999</v>
      </c>
      <c r="O1524" s="116">
        <v>1229.45</v>
      </c>
      <c r="P1524" s="116">
        <v>1250.5</v>
      </c>
      <c r="Q1524" s="116">
        <v>2497</v>
      </c>
      <c r="R1524">
        <v>337660</v>
      </c>
    </row>
    <row r="1525" spans="1:18" x14ac:dyDescent="0.25">
      <c r="A1525" s="170">
        <v>44249</v>
      </c>
      <c r="B1525" s="116">
        <v>1252.05</v>
      </c>
      <c r="C1525" s="116">
        <v>1221.3499999999999</v>
      </c>
      <c r="D1525" s="116">
        <v>1215.325</v>
      </c>
      <c r="E1525" s="116">
        <v>1235.5</v>
      </c>
      <c r="F1525" s="116">
        <v>2442.6999999999998</v>
      </c>
      <c r="G1525">
        <v>10218</v>
      </c>
      <c r="H1525" s="116"/>
      <c r="I1525" s="116"/>
      <c r="L1525" s="170">
        <v>44249</v>
      </c>
      <c r="M1525" s="116">
        <v>1225.9000000000001</v>
      </c>
      <c r="N1525" s="116">
        <v>1250.825</v>
      </c>
      <c r="O1525" s="116">
        <v>1214</v>
      </c>
      <c r="P1525" s="116">
        <v>1250.5</v>
      </c>
      <c r="Q1525" s="116">
        <v>2451.8000000000002</v>
      </c>
      <c r="R1525">
        <v>310866</v>
      </c>
    </row>
    <row r="1526" spans="1:18" x14ac:dyDescent="0.25">
      <c r="A1526" s="170">
        <v>44250</v>
      </c>
      <c r="B1526" s="116">
        <v>1231.5999999999999</v>
      </c>
      <c r="C1526" s="116">
        <v>1212.7750000000001</v>
      </c>
      <c r="D1526" s="116">
        <v>1210.2</v>
      </c>
      <c r="E1526" s="116">
        <v>1225</v>
      </c>
      <c r="F1526" s="116">
        <v>2425.5500000000002</v>
      </c>
      <c r="G1526">
        <v>5951</v>
      </c>
      <c r="H1526" s="116"/>
      <c r="I1526" s="116"/>
      <c r="L1526" s="170">
        <v>44250</v>
      </c>
      <c r="M1526" s="116">
        <v>1212.7</v>
      </c>
      <c r="N1526" s="116">
        <v>1232.5</v>
      </c>
      <c r="O1526" s="116">
        <v>1210.0999999999999</v>
      </c>
      <c r="P1526" s="116">
        <v>1225.5</v>
      </c>
      <c r="Q1526" s="116">
        <v>2425.4</v>
      </c>
      <c r="R1526">
        <v>337498</v>
      </c>
    </row>
    <row r="1527" spans="1:18" x14ac:dyDescent="0.25">
      <c r="A1527" s="170">
        <v>44251</v>
      </c>
      <c r="B1527" s="116">
        <v>1255</v>
      </c>
      <c r="C1527" s="116">
        <v>1238.175</v>
      </c>
      <c r="D1527" s="116">
        <v>1200.5250000000001</v>
      </c>
      <c r="E1527" s="116">
        <v>1224.7249999999999</v>
      </c>
      <c r="F1527" s="116">
        <v>2476.35</v>
      </c>
      <c r="G1527">
        <v>29298</v>
      </c>
      <c r="H1527" s="116"/>
      <c r="I1527" s="116"/>
      <c r="L1527" s="170">
        <v>44251</v>
      </c>
      <c r="M1527" s="116">
        <v>1238.9000000000001</v>
      </c>
      <c r="N1527" s="116">
        <v>1244</v>
      </c>
      <c r="O1527" s="116">
        <v>1212.5</v>
      </c>
      <c r="P1527" s="116">
        <v>1215</v>
      </c>
      <c r="Q1527" s="116">
        <v>2477.8000000000002</v>
      </c>
      <c r="R1527">
        <v>156074</v>
      </c>
    </row>
    <row r="1528" spans="1:18" x14ac:dyDescent="0.25">
      <c r="A1528" s="170">
        <v>44252</v>
      </c>
      <c r="B1528" s="116">
        <v>1261.8499999999999</v>
      </c>
      <c r="C1528" s="116">
        <v>1232.4000000000001</v>
      </c>
      <c r="D1528" s="116">
        <v>1230.5250000000001</v>
      </c>
      <c r="E1528" s="116">
        <v>1261.8499999999999</v>
      </c>
      <c r="F1528" s="116">
        <v>2464.8000000000002</v>
      </c>
      <c r="G1528">
        <v>8299</v>
      </c>
      <c r="H1528" s="116"/>
      <c r="I1528" s="116"/>
      <c r="L1528" s="170">
        <v>44252</v>
      </c>
      <c r="M1528" s="116">
        <v>1233.75</v>
      </c>
      <c r="N1528" s="116">
        <v>1261.5</v>
      </c>
      <c r="O1528" s="116">
        <v>1230.75</v>
      </c>
      <c r="P1528" s="116">
        <v>1245</v>
      </c>
      <c r="Q1528" s="116">
        <v>2467.5</v>
      </c>
      <c r="R1528">
        <v>385483</v>
      </c>
    </row>
    <row r="1529" spans="1:18" x14ac:dyDescent="0.25">
      <c r="A1529" s="170">
        <v>44253</v>
      </c>
      <c r="B1529" s="116">
        <v>1243.325</v>
      </c>
      <c r="C1529" s="116">
        <v>1214.7750000000001</v>
      </c>
      <c r="D1529" s="116">
        <v>1204.2750000000001</v>
      </c>
      <c r="E1529" s="116">
        <v>1220</v>
      </c>
      <c r="F1529" s="116">
        <v>2429.5500000000002</v>
      </c>
      <c r="G1529">
        <v>15798</v>
      </c>
      <c r="H1529" s="116"/>
      <c r="I1529" s="116"/>
      <c r="L1529" s="170">
        <v>44253</v>
      </c>
      <c r="M1529" s="116">
        <v>1214.0999999999999</v>
      </c>
      <c r="N1529" s="116">
        <v>1244.575</v>
      </c>
      <c r="O1529" s="116">
        <v>1200.7</v>
      </c>
      <c r="P1529" s="116">
        <v>1215</v>
      </c>
      <c r="Q1529" s="116">
        <v>2428.1999999999998</v>
      </c>
      <c r="R1529">
        <v>429637</v>
      </c>
    </row>
    <row r="1530" spans="1:18" x14ac:dyDescent="0.25">
      <c r="A1530" s="170">
        <v>44256</v>
      </c>
      <c r="B1530" s="116">
        <v>1224.5</v>
      </c>
      <c r="C1530" s="116">
        <v>1219.325</v>
      </c>
      <c r="D1530" s="116">
        <v>1200</v>
      </c>
      <c r="E1530" s="116">
        <v>1200</v>
      </c>
      <c r="F1530" s="116">
        <v>2438.65</v>
      </c>
      <c r="G1530">
        <v>14711</v>
      </c>
      <c r="H1530" s="116"/>
      <c r="I1530" s="116"/>
      <c r="L1530" s="170">
        <v>44256</v>
      </c>
      <c r="M1530" s="116">
        <v>1219.8499999999999</v>
      </c>
      <c r="N1530" s="116">
        <v>1225</v>
      </c>
      <c r="O1530" s="116">
        <v>1200</v>
      </c>
      <c r="P1530" s="116">
        <v>1203.4000000000001</v>
      </c>
      <c r="Q1530" s="116">
        <v>2439.6999999999998</v>
      </c>
      <c r="R1530">
        <v>375900</v>
      </c>
    </row>
    <row r="1531" spans="1:18" x14ac:dyDescent="0.25">
      <c r="A1531" s="170">
        <v>44257</v>
      </c>
      <c r="B1531" s="116">
        <v>1242.575</v>
      </c>
      <c r="C1531" s="116">
        <v>1234.4749999999999</v>
      </c>
      <c r="D1531" s="116">
        <v>1211</v>
      </c>
      <c r="E1531" s="116">
        <v>1225</v>
      </c>
      <c r="F1531" s="116">
        <v>2468.9499999999998</v>
      </c>
      <c r="G1531">
        <v>9235</v>
      </c>
      <c r="H1531" s="116"/>
      <c r="I1531" s="116"/>
      <c r="L1531" s="170">
        <v>44257</v>
      </c>
      <c r="M1531" s="116">
        <v>1235.075</v>
      </c>
      <c r="N1531" s="116">
        <v>1244.3499999999999</v>
      </c>
      <c r="O1531" s="116">
        <v>1210.5250000000001</v>
      </c>
      <c r="P1531" s="116">
        <v>1225</v>
      </c>
      <c r="Q1531" s="116">
        <v>2470.15</v>
      </c>
      <c r="R1531">
        <v>454781</v>
      </c>
    </row>
    <row r="1532" spans="1:18" x14ac:dyDescent="0.25">
      <c r="A1532" s="170">
        <v>44258</v>
      </c>
      <c r="B1532" s="116">
        <v>1251.55</v>
      </c>
      <c r="C1532" s="116">
        <v>1248.7249999999999</v>
      </c>
      <c r="D1532" s="116">
        <v>1227.5</v>
      </c>
      <c r="E1532" s="116">
        <v>1228</v>
      </c>
      <c r="F1532" s="116">
        <v>2497.4499999999998</v>
      </c>
      <c r="G1532">
        <v>5577</v>
      </c>
      <c r="H1532" s="116"/>
      <c r="I1532" s="116"/>
      <c r="L1532" s="170">
        <v>44258</v>
      </c>
      <c r="M1532" s="116">
        <v>1248.675</v>
      </c>
      <c r="N1532" s="116">
        <v>1252.4749999999999</v>
      </c>
      <c r="O1532" s="116">
        <v>1227.25</v>
      </c>
      <c r="P1532" s="116">
        <v>1242.5</v>
      </c>
      <c r="Q1532" s="116">
        <v>2497.35</v>
      </c>
      <c r="R1532">
        <v>401553</v>
      </c>
    </row>
    <row r="1533" spans="1:18" x14ac:dyDescent="0.25">
      <c r="A1533" s="170">
        <v>44259</v>
      </c>
      <c r="B1533" s="116">
        <v>1257</v>
      </c>
      <c r="C1533" s="116">
        <v>1248.9000000000001</v>
      </c>
      <c r="D1533" s="116">
        <v>1234.5</v>
      </c>
      <c r="E1533" s="116">
        <v>1240</v>
      </c>
      <c r="F1533" s="116">
        <v>2497.8000000000002</v>
      </c>
      <c r="G1533">
        <v>17065</v>
      </c>
      <c r="H1533" s="116"/>
      <c r="I1533" s="116"/>
      <c r="L1533" s="170">
        <v>44259</v>
      </c>
      <c r="M1533" s="116">
        <v>1248.2</v>
      </c>
      <c r="N1533" s="116">
        <v>1256.95</v>
      </c>
      <c r="O1533" s="116">
        <v>1234.0250000000001</v>
      </c>
      <c r="P1533" s="116">
        <v>1247.5</v>
      </c>
      <c r="Q1533" s="116">
        <v>2496.4</v>
      </c>
      <c r="R1533">
        <v>234847</v>
      </c>
    </row>
    <row r="1534" spans="1:18" x14ac:dyDescent="0.25">
      <c r="A1534" s="170">
        <v>44260</v>
      </c>
      <c r="B1534" s="116">
        <v>1257.425</v>
      </c>
      <c r="C1534" s="116">
        <v>1241.7</v>
      </c>
      <c r="D1534" s="116">
        <v>1228.75</v>
      </c>
      <c r="E1534" s="116">
        <v>1248.9000000000001</v>
      </c>
      <c r="F1534" s="116">
        <v>2483.4</v>
      </c>
      <c r="G1534">
        <v>14240</v>
      </c>
      <c r="H1534" s="116"/>
      <c r="I1534" s="116"/>
      <c r="L1534" s="170">
        <v>44260</v>
      </c>
      <c r="M1534" s="116">
        <v>1240.8499999999999</v>
      </c>
      <c r="N1534" s="116">
        <v>1257.5</v>
      </c>
      <c r="O1534" s="116">
        <v>1227.5999999999999</v>
      </c>
      <c r="P1534" s="116">
        <v>1248</v>
      </c>
      <c r="Q1534" s="116">
        <v>2481.6999999999998</v>
      </c>
      <c r="R1534">
        <v>192234</v>
      </c>
    </row>
    <row r="1535" spans="1:18" x14ac:dyDescent="0.25">
      <c r="A1535" s="170">
        <v>44263</v>
      </c>
      <c r="B1535" s="116">
        <v>1251.6500000000001</v>
      </c>
      <c r="C1535" s="116">
        <v>1239.625</v>
      </c>
      <c r="D1535" s="116">
        <v>1228.375</v>
      </c>
      <c r="E1535" s="116">
        <v>1244</v>
      </c>
      <c r="F1535" s="116">
        <v>2479.25</v>
      </c>
      <c r="G1535">
        <v>6125</v>
      </c>
      <c r="H1535" s="116"/>
      <c r="I1535" s="116"/>
      <c r="L1535" s="170">
        <v>44263</v>
      </c>
      <c r="M1535" s="116">
        <v>1240.05</v>
      </c>
      <c r="N1535" s="116">
        <v>1252.375</v>
      </c>
      <c r="O1535" s="116">
        <v>1228.45</v>
      </c>
      <c r="P1535" s="116">
        <v>1240.8499999999999</v>
      </c>
      <c r="Q1535" s="116">
        <v>2480.1</v>
      </c>
      <c r="R1535">
        <v>125322</v>
      </c>
    </row>
    <row r="1536" spans="1:18" x14ac:dyDescent="0.25">
      <c r="A1536" s="170">
        <v>44264</v>
      </c>
      <c r="B1536" s="116">
        <v>1243.2750000000001</v>
      </c>
      <c r="C1536" s="116">
        <v>1221.55</v>
      </c>
      <c r="D1536" s="116">
        <v>1216.5999999999999</v>
      </c>
      <c r="E1536" s="116">
        <v>1243.2750000000001</v>
      </c>
      <c r="F1536" s="116">
        <v>2443.1</v>
      </c>
      <c r="G1536">
        <v>5601</v>
      </c>
      <c r="H1536" s="116"/>
      <c r="I1536" s="116"/>
      <c r="L1536" s="170">
        <v>44264</v>
      </c>
      <c r="M1536" s="116">
        <v>1220.95</v>
      </c>
      <c r="N1536" s="116">
        <v>1246.5999999999999</v>
      </c>
      <c r="O1536" s="116">
        <v>1216.5250000000001</v>
      </c>
      <c r="P1536" s="116">
        <v>1244.125</v>
      </c>
      <c r="Q1536" s="116">
        <v>2441.9</v>
      </c>
      <c r="R1536">
        <v>217369</v>
      </c>
    </row>
    <row r="1537" spans="1:18" x14ac:dyDescent="0.25">
      <c r="A1537" s="170">
        <v>44265</v>
      </c>
      <c r="B1537" s="116">
        <v>1226.925</v>
      </c>
      <c r="C1537" s="116">
        <v>1222.4749999999999</v>
      </c>
      <c r="D1537" s="116">
        <v>1206.5</v>
      </c>
      <c r="E1537" s="116">
        <v>1221.75</v>
      </c>
      <c r="F1537" s="116">
        <v>2444.9499999999998</v>
      </c>
      <c r="G1537">
        <v>74759</v>
      </c>
      <c r="H1537" s="116"/>
      <c r="I1537" s="116"/>
      <c r="L1537" s="170">
        <v>44265</v>
      </c>
      <c r="M1537" s="116">
        <v>1222.5999999999999</v>
      </c>
      <c r="N1537" s="116">
        <v>1227.2249999999999</v>
      </c>
      <c r="O1537" s="116">
        <v>1206</v>
      </c>
      <c r="P1537" s="116">
        <v>1225</v>
      </c>
      <c r="Q1537" s="116">
        <v>2445.1999999999998</v>
      </c>
      <c r="R1537">
        <v>540070</v>
      </c>
    </row>
    <row r="1538" spans="1:18" x14ac:dyDescent="0.25">
      <c r="A1538" s="170">
        <v>44267</v>
      </c>
      <c r="B1538" s="116">
        <v>1243.5999999999999</v>
      </c>
      <c r="C1538" s="116">
        <v>1231.75</v>
      </c>
      <c r="D1538" s="116">
        <v>1219.75</v>
      </c>
      <c r="E1538" s="116">
        <v>1235</v>
      </c>
      <c r="F1538" s="116">
        <v>2463.5</v>
      </c>
      <c r="G1538">
        <v>9959</v>
      </c>
      <c r="H1538" s="116"/>
      <c r="I1538" s="116"/>
      <c r="L1538" s="170">
        <v>44267</v>
      </c>
      <c r="M1538" s="116">
        <v>1230.5999999999999</v>
      </c>
      <c r="N1538" s="116">
        <v>1244</v>
      </c>
      <c r="O1538" s="116">
        <v>1219.25</v>
      </c>
      <c r="P1538" s="116">
        <v>1227.625</v>
      </c>
      <c r="Q1538" s="116">
        <v>2461.1999999999998</v>
      </c>
      <c r="R1538">
        <v>251501</v>
      </c>
    </row>
    <row r="1539" spans="1:18" x14ac:dyDescent="0.25">
      <c r="A1539" s="170">
        <v>44270</v>
      </c>
      <c r="B1539" s="116">
        <v>1232.425</v>
      </c>
      <c r="C1539" s="116">
        <v>1216.3</v>
      </c>
      <c r="D1539" s="116">
        <v>1209.5999999999999</v>
      </c>
      <c r="E1539" s="116">
        <v>1230.5999999999999</v>
      </c>
      <c r="F1539" s="116">
        <v>2432.6</v>
      </c>
      <c r="G1539">
        <v>6944</v>
      </c>
      <c r="H1539" s="116"/>
      <c r="I1539" s="116"/>
      <c r="L1539" s="170">
        <v>44270</v>
      </c>
      <c r="M1539" s="116">
        <v>1215.5</v>
      </c>
      <c r="N1539" s="116">
        <v>1236.75</v>
      </c>
      <c r="O1539" s="116">
        <v>1208.75</v>
      </c>
      <c r="P1539" s="116">
        <v>1235</v>
      </c>
      <c r="Q1539" s="116">
        <v>2431</v>
      </c>
      <c r="R1539">
        <v>149542</v>
      </c>
    </row>
    <row r="1540" spans="1:18" x14ac:dyDescent="0.25">
      <c r="A1540" s="170">
        <v>44271</v>
      </c>
      <c r="B1540" s="116">
        <v>1239.5</v>
      </c>
      <c r="C1540" s="116">
        <v>1235.55</v>
      </c>
      <c r="D1540" s="116">
        <v>1215.95</v>
      </c>
      <c r="E1540" s="116">
        <v>1223.5</v>
      </c>
      <c r="F1540" s="116">
        <v>2471.1</v>
      </c>
      <c r="G1540">
        <v>8507</v>
      </c>
      <c r="H1540" s="116"/>
      <c r="I1540" s="116"/>
      <c r="L1540" s="170">
        <v>44271</v>
      </c>
      <c r="M1540" s="116">
        <v>1235.425</v>
      </c>
      <c r="N1540" s="116">
        <v>1240.4000000000001</v>
      </c>
      <c r="O1540" s="116">
        <v>1215</v>
      </c>
      <c r="P1540" s="116">
        <v>1219</v>
      </c>
      <c r="Q1540" s="116">
        <v>2470.85</v>
      </c>
      <c r="R1540">
        <v>174924</v>
      </c>
    </row>
    <row r="1541" spans="1:18" x14ac:dyDescent="0.25">
      <c r="A1541" s="170">
        <v>44272</v>
      </c>
      <c r="B1541" s="116">
        <v>1235.5999999999999</v>
      </c>
      <c r="C1541" s="116">
        <v>1207.75</v>
      </c>
      <c r="D1541" s="116">
        <v>1204</v>
      </c>
      <c r="E1541" s="116">
        <v>1225.5</v>
      </c>
      <c r="F1541" s="116">
        <v>2415.5</v>
      </c>
      <c r="G1541">
        <v>6809</v>
      </c>
      <c r="H1541" s="116"/>
      <c r="I1541" s="116"/>
      <c r="L1541" s="170">
        <v>44272</v>
      </c>
      <c r="M1541" s="116">
        <v>1208.925</v>
      </c>
      <c r="N1541" s="116">
        <v>1239.95</v>
      </c>
      <c r="O1541" s="116">
        <v>1204</v>
      </c>
      <c r="P1541" s="116">
        <v>1239.95</v>
      </c>
      <c r="Q1541" s="116">
        <v>2417.85</v>
      </c>
      <c r="R1541">
        <v>165262</v>
      </c>
    </row>
    <row r="1542" spans="1:18" x14ac:dyDescent="0.25">
      <c r="A1542" s="170">
        <v>44273</v>
      </c>
      <c r="B1542" s="116">
        <v>1229.9000000000001</v>
      </c>
      <c r="C1542" s="116">
        <v>1184.625</v>
      </c>
      <c r="D1542" s="116">
        <v>1178.0250000000001</v>
      </c>
      <c r="E1542" s="116">
        <v>1229.9000000000001</v>
      </c>
      <c r="F1542" s="116">
        <v>2369.25</v>
      </c>
      <c r="G1542">
        <v>10728</v>
      </c>
      <c r="H1542" s="116"/>
      <c r="I1542" s="116"/>
      <c r="L1542" s="170">
        <v>44273</v>
      </c>
      <c r="M1542" s="116">
        <v>1183.375</v>
      </c>
      <c r="N1542" s="116">
        <v>1216.8</v>
      </c>
      <c r="O1542" s="116">
        <v>1176.325</v>
      </c>
      <c r="P1542" s="116">
        <v>1216</v>
      </c>
      <c r="Q1542" s="116">
        <v>2366.75</v>
      </c>
      <c r="R1542">
        <v>353418</v>
      </c>
    </row>
    <row r="1543" spans="1:18" x14ac:dyDescent="0.25">
      <c r="A1543" s="170">
        <v>44274</v>
      </c>
      <c r="B1543" s="116">
        <v>1211</v>
      </c>
      <c r="C1543" s="116">
        <v>1205.0250000000001</v>
      </c>
      <c r="D1543" s="116">
        <v>1155.6500000000001</v>
      </c>
      <c r="E1543" s="116">
        <v>1174</v>
      </c>
      <c r="F1543" s="116">
        <v>2410.0500000000002</v>
      </c>
      <c r="G1543">
        <v>10408</v>
      </c>
      <c r="H1543" s="116"/>
      <c r="I1543" s="116"/>
      <c r="L1543" s="170">
        <v>44274</v>
      </c>
      <c r="M1543" s="116">
        <v>1207.0999999999999</v>
      </c>
      <c r="N1543" s="116">
        <v>1211.75</v>
      </c>
      <c r="O1543" s="116">
        <v>1155.55</v>
      </c>
      <c r="P1543" s="116">
        <v>1177.5</v>
      </c>
      <c r="Q1543" s="116">
        <v>2414.1999999999998</v>
      </c>
      <c r="R1543">
        <v>301432</v>
      </c>
    </row>
    <row r="1544" spans="1:18" x14ac:dyDescent="0.25">
      <c r="A1544" s="170">
        <v>44277</v>
      </c>
      <c r="B1544" s="116">
        <v>1228.45</v>
      </c>
      <c r="C1544" s="116">
        <v>1224.75</v>
      </c>
      <c r="D1544" s="116">
        <v>1197.3</v>
      </c>
      <c r="E1544" s="116">
        <v>1209.4000000000001</v>
      </c>
      <c r="F1544" s="116">
        <v>2449.5</v>
      </c>
      <c r="G1544">
        <v>7270</v>
      </c>
      <c r="H1544" s="116"/>
      <c r="I1544" s="116"/>
      <c r="L1544" s="170">
        <v>44277</v>
      </c>
      <c r="M1544" s="116">
        <v>1224.55</v>
      </c>
      <c r="N1544" s="116">
        <v>1228</v>
      </c>
      <c r="O1544" s="116">
        <v>1196.4000000000001</v>
      </c>
      <c r="P1544" s="116">
        <v>1207.0999999999999</v>
      </c>
      <c r="Q1544" s="116">
        <v>2449.1</v>
      </c>
      <c r="R1544">
        <v>345093</v>
      </c>
    </row>
    <row r="1545" spans="1:18" x14ac:dyDescent="0.25">
      <c r="A1545" s="170">
        <v>44278</v>
      </c>
      <c r="B1545" s="116">
        <v>1243.4000000000001</v>
      </c>
      <c r="C1545" s="116">
        <v>1236.3</v>
      </c>
      <c r="D1545" s="116">
        <v>1197.5</v>
      </c>
      <c r="E1545" s="116">
        <v>1202</v>
      </c>
      <c r="F1545" s="116">
        <v>2472.6</v>
      </c>
      <c r="G1545">
        <v>9744</v>
      </c>
      <c r="H1545" s="116"/>
      <c r="I1545" s="116"/>
      <c r="L1545" s="170">
        <v>44278</v>
      </c>
      <c r="M1545" s="116">
        <v>1236.925</v>
      </c>
      <c r="N1545" s="116">
        <v>1244.55</v>
      </c>
      <c r="O1545" s="116">
        <v>1212.1500000000001</v>
      </c>
      <c r="P1545" s="116">
        <v>1224.5</v>
      </c>
      <c r="Q1545" s="116">
        <v>2473.85</v>
      </c>
      <c r="R1545">
        <v>158228</v>
      </c>
    </row>
    <row r="1546" spans="1:18" x14ac:dyDescent="0.25">
      <c r="A1546" s="170">
        <v>44279</v>
      </c>
      <c r="B1546" s="116">
        <v>1242.5</v>
      </c>
      <c r="C1546" s="116">
        <v>1230.425</v>
      </c>
      <c r="D1546" s="116">
        <v>1223.8</v>
      </c>
      <c r="E1546" s="116">
        <v>1239.5</v>
      </c>
      <c r="F1546" s="116">
        <v>2460.85</v>
      </c>
      <c r="G1546">
        <v>3874</v>
      </c>
      <c r="H1546" s="116"/>
      <c r="I1546" s="116"/>
      <c r="L1546" s="170">
        <v>44279</v>
      </c>
      <c r="M1546" s="116">
        <v>1229.5250000000001</v>
      </c>
      <c r="N1546" s="116">
        <v>1243.55</v>
      </c>
      <c r="O1546" s="116">
        <v>1223.625</v>
      </c>
      <c r="P1546" s="116">
        <v>1235.925</v>
      </c>
      <c r="Q1546" s="116">
        <v>2459.0500000000002</v>
      </c>
      <c r="R1546">
        <v>124902</v>
      </c>
    </row>
    <row r="1547" spans="1:18" x14ac:dyDescent="0.25">
      <c r="A1547" s="170">
        <v>44280</v>
      </c>
      <c r="B1547" s="116">
        <v>1231.9000000000001</v>
      </c>
      <c r="C1547" s="116">
        <v>1222.4000000000001</v>
      </c>
      <c r="D1547" s="116">
        <v>1212.5</v>
      </c>
      <c r="E1547" s="116">
        <v>1222.575</v>
      </c>
      <c r="F1547" s="116">
        <v>2444.8000000000002</v>
      </c>
      <c r="G1547">
        <v>6256</v>
      </c>
      <c r="H1547" s="116"/>
      <c r="I1547" s="116"/>
      <c r="L1547" s="170">
        <v>44280</v>
      </c>
      <c r="M1547" s="116">
        <v>1221.875</v>
      </c>
      <c r="N1547" s="116">
        <v>1236.6500000000001</v>
      </c>
      <c r="O1547" s="116">
        <v>1211.4000000000001</v>
      </c>
      <c r="P1547" s="116">
        <v>1230.7750000000001</v>
      </c>
      <c r="Q1547" s="116">
        <v>2443.75</v>
      </c>
      <c r="R1547">
        <v>185760</v>
      </c>
    </row>
    <row r="1548" spans="1:18" x14ac:dyDescent="0.25">
      <c r="A1548" s="170">
        <v>44281</v>
      </c>
      <c r="B1548" s="116">
        <v>1240.9749999999999</v>
      </c>
      <c r="C1548" s="116">
        <v>1229.5999999999999</v>
      </c>
      <c r="D1548" s="116">
        <v>1212.425</v>
      </c>
      <c r="E1548" s="116">
        <v>1224.4000000000001</v>
      </c>
      <c r="F1548" s="116">
        <v>2459.1999999999998</v>
      </c>
      <c r="G1548">
        <v>5495</v>
      </c>
      <c r="H1548" s="116"/>
      <c r="I1548" s="116"/>
      <c r="L1548" s="170">
        <v>44281</v>
      </c>
      <c r="M1548" s="116">
        <v>1229.875</v>
      </c>
      <c r="N1548" s="116">
        <v>1241</v>
      </c>
      <c r="O1548" s="116">
        <v>1212.5</v>
      </c>
      <c r="P1548" s="116">
        <v>1224.25</v>
      </c>
      <c r="Q1548" s="116">
        <v>2459.75</v>
      </c>
      <c r="R1548">
        <v>112281</v>
      </c>
    </row>
    <row r="1549" spans="1:18" x14ac:dyDescent="0.25">
      <c r="A1549" s="170">
        <v>44285</v>
      </c>
      <c r="B1549" s="116">
        <v>1276.875</v>
      </c>
      <c r="C1549" s="116">
        <v>1265.2</v>
      </c>
      <c r="D1549" s="116">
        <v>1226.25</v>
      </c>
      <c r="E1549" s="116">
        <v>1226.25</v>
      </c>
      <c r="F1549" s="116">
        <v>2530.4</v>
      </c>
      <c r="G1549">
        <v>6453</v>
      </c>
      <c r="H1549" s="116"/>
      <c r="I1549" s="116"/>
      <c r="L1549" s="170">
        <v>44285</v>
      </c>
      <c r="M1549" s="116">
        <v>1264.6500000000001</v>
      </c>
      <c r="N1549" s="116">
        <v>1277.5</v>
      </c>
      <c r="O1549" s="116">
        <v>1226.25</v>
      </c>
      <c r="P1549" s="116">
        <v>1226.25</v>
      </c>
      <c r="Q1549" s="116">
        <v>2529.3000000000002</v>
      </c>
      <c r="R1549">
        <v>352924</v>
      </c>
    </row>
    <row r="1550" spans="1:18" x14ac:dyDescent="0.25">
      <c r="A1550" s="170">
        <v>44286</v>
      </c>
      <c r="B1550" s="116">
        <v>1278</v>
      </c>
      <c r="C1550" s="116">
        <v>1270.5999999999999</v>
      </c>
      <c r="D1550" s="116">
        <v>1249.425</v>
      </c>
      <c r="E1550" s="116">
        <v>1271</v>
      </c>
      <c r="F1550" s="116">
        <v>2541.1999999999998</v>
      </c>
      <c r="G1550">
        <v>11531</v>
      </c>
      <c r="H1550" s="116"/>
      <c r="I1550" s="116"/>
      <c r="L1550" s="170">
        <v>44286</v>
      </c>
      <c r="M1550" s="116">
        <v>1272.5250000000001</v>
      </c>
      <c r="N1550" s="116">
        <v>1278.4749999999999</v>
      </c>
      <c r="O1550" s="116">
        <v>1248.7750000000001</v>
      </c>
      <c r="P1550" s="116">
        <v>1275</v>
      </c>
      <c r="Q1550" s="116">
        <v>2545.0500000000002</v>
      </c>
      <c r="R1550">
        <v>215932</v>
      </c>
    </row>
    <row r="1551" spans="1:18" x14ac:dyDescent="0.25">
      <c r="A1551" s="170">
        <v>44287</v>
      </c>
      <c r="B1551" s="116">
        <v>1280</v>
      </c>
      <c r="C1551" s="116">
        <v>1274.675</v>
      </c>
      <c r="D1551" s="116">
        <v>1263</v>
      </c>
      <c r="E1551" s="116">
        <v>1280</v>
      </c>
      <c r="F1551" s="116">
        <v>2549.35</v>
      </c>
      <c r="G1551">
        <v>3053</v>
      </c>
      <c r="H1551" s="116"/>
      <c r="I1551" s="116"/>
      <c r="L1551" s="170">
        <v>44287</v>
      </c>
      <c r="M1551" s="116">
        <v>1274.125</v>
      </c>
      <c r="N1551" s="116">
        <v>1278.2249999999999</v>
      </c>
      <c r="O1551" s="116">
        <v>1262.8499999999999</v>
      </c>
      <c r="P1551" s="116">
        <v>1274.4749999999999</v>
      </c>
      <c r="Q1551" s="116">
        <v>2548.25</v>
      </c>
      <c r="R1551">
        <v>123628</v>
      </c>
    </row>
    <row r="1552" spans="1:18" x14ac:dyDescent="0.25">
      <c r="A1552" s="170">
        <v>44291</v>
      </c>
      <c r="B1552" s="116">
        <v>1275.8499999999999</v>
      </c>
      <c r="C1552" s="116">
        <v>1260.1500000000001</v>
      </c>
      <c r="D1552" s="116">
        <v>1247.5</v>
      </c>
      <c r="E1552" s="116">
        <v>1272.575</v>
      </c>
      <c r="F1552" s="116">
        <v>2520.3000000000002</v>
      </c>
      <c r="G1552">
        <v>8393</v>
      </c>
      <c r="H1552" s="116"/>
      <c r="I1552" s="116"/>
      <c r="L1552" s="170">
        <v>44291</v>
      </c>
      <c r="M1552" s="116">
        <v>1260.7750000000001</v>
      </c>
      <c r="N1552" s="116">
        <v>1280</v>
      </c>
      <c r="O1552" s="116">
        <v>1246.5250000000001</v>
      </c>
      <c r="P1552" s="116">
        <v>1280</v>
      </c>
      <c r="Q1552" s="116">
        <v>2521.5500000000002</v>
      </c>
      <c r="R1552">
        <v>174977</v>
      </c>
    </row>
    <row r="1553" spans="1:18" x14ac:dyDescent="0.25">
      <c r="A1553" s="170">
        <v>44292</v>
      </c>
      <c r="B1553" s="116">
        <v>1288.95</v>
      </c>
      <c r="C1553" s="116">
        <v>1281.075</v>
      </c>
      <c r="D1553" s="116">
        <v>1259</v>
      </c>
      <c r="E1553" s="116">
        <v>1259</v>
      </c>
      <c r="F1553" s="116">
        <v>2562.15</v>
      </c>
      <c r="G1553">
        <v>7362</v>
      </c>
      <c r="H1553" s="116"/>
      <c r="I1553" s="116"/>
      <c r="L1553" s="170">
        <v>44292</v>
      </c>
      <c r="M1553" s="116">
        <v>1281.45</v>
      </c>
      <c r="N1553" s="116">
        <v>1290</v>
      </c>
      <c r="O1553" s="116">
        <v>1261.0250000000001</v>
      </c>
      <c r="P1553" s="116">
        <v>1267.45</v>
      </c>
      <c r="Q1553" s="116">
        <v>2562.9</v>
      </c>
      <c r="R1553">
        <v>231587</v>
      </c>
    </row>
    <row r="1554" spans="1:18" x14ac:dyDescent="0.25">
      <c r="A1554" s="170">
        <v>44293</v>
      </c>
      <c r="B1554" s="116">
        <v>1297.5</v>
      </c>
      <c r="C1554" s="116">
        <v>1288.9000000000001</v>
      </c>
      <c r="D1554" s="116">
        <v>1281.625</v>
      </c>
      <c r="E1554" s="116">
        <v>1294.5</v>
      </c>
      <c r="F1554" s="116">
        <v>2577.8000000000002</v>
      </c>
      <c r="G1554">
        <v>6440</v>
      </c>
      <c r="H1554" s="116"/>
      <c r="I1554" s="116"/>
      <c r="L1554" s="170">
        <v>44293</v>
      </c>
      <c r="M1554" s="116">
        <v>1288.575</v>
      </c>
      <c r="N1554" s="116">
        <v>1298</v>
      </c>
      <c r="O1554" s="116">
        <v>1281.45</v>
      </c>
      <c r="P1554" s="116">
        <v>1284.5</v>
      </c>
      <c r="Q1554" s="116">
        <v>2577.15</v>
      </c>
      <c r="R1554">
        <v>204227</v>
      </c>
    </row>
    <row r="1555" spans="1:18" x14ac:dyDescent="0.25">
      <c r="A1555" s="170">
        <v>44294</v>
      </c>
      <c r="B1555" s="116">
        <v>1290.125</v>
      </c>
      <c r="C1555" s="116">
        <v>1274.5</v>
      </c>
      <c r="D1555" s="116">
        <v>1264.3</v>
      </c>
      <c r="E1555" s="116">
        <v>1290.125</v>
      </c>
      <c r="F1555" s="116">
        <v>2549</v>
      </c>
      <c r="G1555">
        <v>40712</v>
      </c>
      <c r="H1555" s="116"/>
      <c r="I1555" s="116"/>
      <c r="L1555" s="170">
        <v>44294</v>
      </c>
      <c r="M1555" s="116">
        <v>1274.6500000000001</v>
      </c>
      <c r="N1555" s="116">
        <v>1288</v>
      </c>
      <c r="O1555" s="116">
        <v>1264.375</v>
      </c>
      <c r="P1555" s="116">
        <v>1288</v>
      </c>
      <c r="Q1555" s="116">
        <v>2549.3000000000002</v>
      </c>
      <c r="R1555">
        <v>414653</v>
      </c>
    </row>
    <row r="1556" spans="1:18" x14ac:dyDescent="0.25">
      <c r="A1556" s="170">
        <v>44295</v>
      </c>
      <c r="B1556" s="116">
        <v>1302.95</v>
      </c>
      <c r="C1556" s="116">
        <v>1286.7</v>
      </c>
      <c r="D1556" s="116">
        <v>1267.5</v>
      </c>
      <c r="E1556" s="116">
        <v>1276.3</v>
      </c>
      <c r="F1556" s="116">
        <v>2573.4</v>
      </c>
      <c r="G1556">
        <v>13385</v>
      </c>
      <c r="H1556" s="116"/>
      <c r="I1556" s="116"/>
      <c r="L1556" s="170">
        <v>44295</v>
      </c>
      <c r="M1556" s="116">
        <v>1287.375</v>
      </c>
      <c r="N1556" s="116">
        <v>1303.2</v>
      </c>
      <c r="O1556" s="116">
        <v>1266</v>
      </c>
      <c r="P1556" s="116">
        <v>1276.5</v>
      </c>
      <c r="Q1556" s="116">
        <v>2574.75</v>
      </c>
      <c r="R1556">
        <v>337231</v>
      </c>
    </row>
    <row r="1557" spans="1:18" x14ac:dyDescent="0.25">
      <c r="A1557" s="170">
        <v>44298</v>
      </c>
      <c r="B1557" s="116">
        <v>1340</v>
      </c>
      <c r="C1557" s="116">
        <v>1277.825</v>
      </c>
      <c r="D1557" s="116">
        <v>1265.075</v>
      </c>
      <c r="E1557" s="116">
        <v>1298</v>
      </c>
      <c r="F1557" s="116">
        <v>2555.65</v>
      </c>
      <c r="G1557">
        <v>42016</v>
      </c>
      <c r="H1557" s="116"/>
      <c r="I1557" s="116"/>
      <c r="L1557" s="170">
        <v>44298</v>
      </c>
      <c r="M1557" s="116">
        <v>1277.9000000000001</v>
      </c>
      <c r="N1557" s="116">
        <v>1341</v>
      </c>
      <c r="O1557" s="116">
        <v>1264.425</v>
      </c>
      <c r="P1557" s="116">
        <v>1290</v>
      </c>
      <c r="Q1557" s="116">
        <v>2555.8000000000002</v>
      </c>
      <c r="R1557">
        <v>873365</v>
      </c>
    </row>
    <row r="1558" spans="1:18" x14ac:dyDescent="0.25">
      <c r="A1558" s="170">
        <v>44299</v>
      </c>
      <c r="B1558" s="116">
        <v>1301.0999999999999</v>
      </c>
      <c r="C1558" s="116">
        <v>1283.2</v>
      </c>
      <c r="D1558" s="116">
        <v>1273.55</v>
      </c>
      <c r="E1558" s="116">
        <v>1289.575</v>
      </c>
      <c r="F1558" s="116">
        <v>2566.4</v>
      </c>
      <c r="G1558">
        <v>7827</v>
      </c>
      <c r="H1558" s="116"/>
      <c r="I1558" s="116"/>
      <c r="L1558" s="170">
        <v>44299</v>
      </c>
      <c r="M1558" s="116">
        <v>1283.325</v>
      </c>
      <c r="N1558" s="116">
        <v>1303.5250000000001</v>
      </c>
      <c r="O1558" s="116">
        <v>1272.0250000000001</v>
      </c>
      <c r="P1558" s="116">
        <v>1291.5</v>
      </c>
      <c r="Q1558" s="116">
        <v>2566.65</v>
      </c>
      <c r="R1558">
        <v>309988</v>
      </c>
    </row>
    <row r="1559" spans="1:18" x14ac:dyDescent="0.25">
      <c r="A1559" s="170">
        <v>44301</v>
      </c>
      <c r="B1559" s="116">
        <v>1320.575</v>
      </c>
      <c r="C1559" s="116">
        <v>1283.1500000000001</v>
      </c>
      <c r="D1559" s="116">
        <v>1277</v>
      </c>
      <c r="E1559" s="116">
        <v>1288.5</v>
      </c>
      <c r="F1559" s="116">
        <v>2566.3000000000002</v>
      </c>
      <c r="G1559">
        <v>7641</v>
      </c>
      <c r="H1559" s="116"/>
      <c r="I1559" s="116"/>
      <c r="L1559" s="170">
        <v>44301</v>
      </c>
      <c r="M1559" s="116">
        <v>1282.5</v>
      </c>
      <c r="N1559" s="116">
        <v>1322.075</v>
      </c>
      <c r="O1559" s="116">
        <v>1276.4749999999999</v>
      </c>
      <c r="P1559" s="116">
        <v>1284.4000000000001</v>
      </c>
      <c r="Q1559" s="116">
        <v>2565</v>
      </c>
      <c r="R1559">
        <v>303834</v>
      </c>
    </row>
    <row r="1560" spans="1:18" x14ac:dyDescent="0.25">
      <c r="A1560" s="170">
        <v>44302</v>
      </c>
      <c r="B1560" s="116">
        <v>1315</v>
      </c>
      <c r="C1560" s="116">
        <v>1309.575</v>
      </c>
      <c r="D1560" s="116">
        <v>1276</v>
      </c>
      <c r="E1560" s="116">
        <v>1285.45</v>
      </c>
      <c r="F1560" s="116">
        <v>2619.15</v>
      </c>
      <c r="G1560">
        <v>11720</v>
      </c>
      <c r="H1560" s="116"/>
      <c r="I1560" s="116"/>
      <c r="L1560" s="170">
        <v>44302</v>
      </c>
      <c r="M1560" s="116">
        <v>1309.75</v>
      </c>
      <c r="N1560" s="116">
        <v>1315.5</v>
      </c>
      <c r="O1560" s="116">
        <v>1276.05</v>
      </c>
      <c r="P1560" s="116">
        <v>1285</v>
      </c>
      <c r="Q1560" s="116">
        <v>2619.5</v>
      </c>
      <c r="R1560">
        <v>274608</v>
      </c>
    </row>
    <row r="1561" spans="1:18" x14ac:dyDescent="0.25">
      <c r="A1561" s="170">
        <v>44305</v>
      </c>
      <c r="B1561" s="116">
        <v>1323.15</v>
      </c>
      <c r="C1561" s="116">
        <v>1297.7</v>
      </c>
      <c r="D1561" s="116">
        <v>1282.8</v>
      </c>
      <c r="E1561" s="116">
        <v>1320</v>
      </c>
      <c r="F1561" s="116">
        <v>2595.4</v>
      </c>
      <c r="G1561">
        <v>14585</v>
      </c>
      <c r="H1561" s="116"/>
      <c r="I1561" s="116"/>
      <c r="L1561" s="170">
        <v>44305</v>
      </c>
      <c r="M1561" s="116">
        <v>1298.0999999999999</v>
      </c>
      <c r="N1561" s="116">
        <v>1324</v>
      </c>
      <c r="O1561" s="116">
        <v>1281.3499999999999</v>
      </c>
      <c r="P1561" s="116">
        <v>1309.75</v>
      </c>
      <c r="Q1561" s="116">
        <v>2596.1999999999998</v>
      </c>
      <c r="R1561">
        <v>389841</v>
      </c>
    </row>
    <row r="1562" spans="1:18" x14ac:dyDescent="0.25">
      <c r="A1562" s="170">
        <v>44306</v>
      </c>
      <c r="B1562" s="116">
        <v>1316.175</v>
      </c>
      <c r="C1562" s="116">
        <v>1302.375</v>
      </c>
      <c r="D1562" s="116">
        <v>1290.5</v>
      </c>
      <c r="E1562" s="116">
        <v>1302.5</v>
      </c>
      <c r="F1562" s="116">
        <v>2604.75</v>
      </c>
      <c r="G1562">
        <v>7286</v>
      </c>
      <c r="H1562" s="116"/>
      <c r="I1562" s="116"/>
      <c r="L1562" s="170">
        <v>44306</v>
      </c>
      <c r="M1562" s="116">
        <v>1302.425</v>
      </c>
      <c r="N1562" s="116">
        <v>1317.5</v>
      </c>
      <c r="O1562" s="116">
        <v>1289.0250000000001</v>
      </c>
      <c r="P1562" s="116">
        <v>1304.575</v>
      </c>
      <c r="Q1562" s="116">
        <v>2604.85</v>
      </c>
      <c r="R1562">
        <v>260221</v>
      </c>
    </row>
    <row r="1563" spans="1:18" x14ac:dyDescent="0.25">
      <c r="A1563" s="170">
        <v>44308</v>
      </c>
      <c r="B1563" s="116">
        <v>1317</v>
      </c>
      <c r="C1563" s="116">
        <v>1288.375</v>
      </c>
      <c r="D1563" s="116">
        <v>1283.875</v>
      </c>
      <c r="E1563" s="116">
        <v>1302</v>
      </c>
      <c r="F1563" s="116">
        <v>2576.75</v>
      </c>
      <c r="G1563">
        <v>7674</v>
      </c>
      <c r="H1563" s="116"/>
      <c r="I1563" s="116"/>
      <c r="L1563" s="170">
        <v>44308</v>
      </c>
      <c r="M1563" s="116">
        <v>1288.3499999999999</v>
      </c>
      <c r="N1563" s="116">
        <v>1317.5</v>
      </c>
      <c r="O1563" s="116">
        <v>1283</v>
      </c>
      <c r="P1563" s="116">
        <v>1306.1500000000001</v>
      </c>
      <c r="Q1563" s="116">
        <v>2576.6999999999998</v>
      </c>
      <c r="R1563">
        <v>235260</v>
      </c>
    </row>
    <row r="1564" spans="1:18" x14ac:dyDescent="0.25">
      <c r="A1564" s="170">
        <v>44309</v>
      </c>
      <c r="B1564" s="116">
        <v>1304.8499999999999</v>
      </c>
      <c r="C1564" s="116">
        <v>1265.8</v>
      </c>
      <c r="D1564" s="116">
        <v>1256</v>
      </c>
      <c r="E1564" s="116">
        <v>1304.8499999999999</v>
      </c>
      <c r="F1564" s="116">
        <v>2531.6</v>
      </c>
      <c r="G1564">
        <v>16758</v>
      </c>
      <c r="H1564" s="116"/>
      <c r="I1564" s="116"/>
      <c r="L1564" s="170">
        <v>44309</v>
      </c>
      <c r="M1564" s="116">
        <v>1265.9749999999999</v>
      </c>
      <c r="N1564" s="116">
        <v>1299.5</v>
      </c>
      <c r="O1564" s="116">
        <v>1254.825</v>
      </c>
      <c r="P1564" s="116">
        <v>1296.4749999999999</v>
      </c>
      <c r="Q1564" s="116">
        <v>2531.9499999999998</v>
      </c>
      <c r="R1564">
        <v>299523</v>
      </c>
    </row>
    <row r="1565" spans="1:18" x14ac:dyDescent="0.25">
      <c r="A1565" s="170">
        <v>44312</v>
      </c>
      <c r="B1565" s="116">
        <v>1270.575</v>
      </c>
      <c r="C1565" s="116">
        <v>1255.05</v>
      </c>
      <c r="D1565" s="116">
        <v>1253</v>
      </c>
      <c r="E1565" s="116">
        <v>1262.5</v>
      </c>
      <c r="F1565" s="116">
        <v>2510.1</v>
      </c>
      <c r="G1565">
        <v>3657</v>
      </c>
      <c r="H1565" s="116"/>
      <c r="I1565" s="116"/>
      <c r="L1565" s="170">
        <v>44312</v>
      </c>
      <c r="M1565" s="116">
        <v>1255.7249999999999</v>
      </c>
      <c r="N1565" s="116">
        <v>1272.2750000000001</v>
      </c>
      <c r="O1565" s="116">
        <v>1253.3</v>
      </c>
      <c r="P1565" s="116">
        <v>1260</v>
      </c>
      <c r="Q1565" s="116">
        <v>2511.4499999999998</v>
      </c>
      <c r="R1565">
        <v>150499</v>
      </c>
    </row>
    <row r="1566" spans="1:18" x14ac:dyDescent="0.25">
      <c r="A1566" s="170">
        <v>44313</v>
      </c>
      <c r="B1566" s="116">
        <v>1270.575</v>
      </c>
      <c r="C1566" s="116">
        <v>1262.5</v>
      </c>
      <c r="D1566" s="116">
        <v>1246.5</v>
      </c>
      <c r="E1566" s="116">
        <v>1253</v>
      </c>
      <c r="F1566" s="116">
        <v>2525</v>
      </c>
      <c r="G1566">
        <v>12135</v>
      </c>
      <c r="H1566" s="116"/>
      <c r="I1566" s="116"/>
      <c r="L1566" s="170">
        <v>44313</v>
      </c>
      <c r="M1566" s="116">
        <v>1262.4000000000001</v>
      </c>
      <c r="N1566" s="116">
        <v>1270.9749999999999</v>
      </c>
      <c r="O1566" s="116">
        <v>1245.0250000000001</v>
      </c>
      <c r="P1566" s="116">
        <v>1260</v>
      </c>
      <c r="Q1566" s="116">
        <v>2524.8000000000002</v>
      </c>
      <c r="R1566">
        <v>246584</v>
      </c>
    </row>
    <row r="1567" spans="1:18" x14ac:dyDescent="0.25">
      <c r="A1567" s="170">
        <v>44314</v>
      </c>
      <c r="B1567" s="116">
        <v>1269.5</v>
      </c>
      <c r="C1567" s="116">
        <v>1250.675</v>
      </c>
      <c r="D1567" s="116">
        <v>1246.5250000000001</v>
      </c>
      <c r="E1567" s="116">
        <v>1262.5</v>
      </c>
      <c r="F1567" s="116">
        <v>2501.35</v>
      </c>
      <c r="G1567">
        <v>7736</v>
      </c>
      <c r="H1567" s="116"/>
      <c r="I1567" s="116"/>
      <c r="L1567" s="170">
        <v>44314</v>
      </c>
      <c r="M1567" s="116">
        <v>1251.1500000000001</v>
      </c>
      <c r="N1567" s="116">
        <v>1270.6500000000001</v>
      </c>
      <c r="O1567" s="116">
        <v>1246.5</v>
      </c>
      <c r="P1567" s="116">
        <v>1268.7</v>
      </c>
      <c r="Q1567" s="116">
        <v>2502.3000000000002</v>
      </c>
      <c r="R1567">
        <v>157286</v>
      </c>
    </row>
    <row r="1568" spans="1:18" x14ac:dyDescent="0.25">
      <c r="A1568" s="170">
        <v>44315</v>
      </c>
      <c r="B1568" s="116">
        <v>1263.8</v>
      </c>
      <c r="C1568" s="116">
        <v>1249.875</v>
      </c>
      <c r="D1568" s="116">
        <v>1238.825</v>
      </c>
      <c r="E1568" s="116">
        <v>1263.75</v>
      </c>
      <c r="F1568" s="116">
        <v>2499.75</v>
      </c>
      <c r="G1568">
        <v>10256</v>
      </c>
      <c r="H1568" s="116"/>
      <c r="I1568" s="116"/>
      <c r="L1568" s="170">
        <v>44315</v>
      </c>
      <c r="M1568" s="116">
        <v>1250.2249999999999</v>
      </c>
      <c r="N1568" s="116">
        <v>1267.4000000000001</v>
      </c>
      <c r="O1568" s="116">
        <v>1237.75</v>
      </c>
      <c r="P1568" s="116">
        <v>1267.4000000000001</v>
      </c>
      <c r="Q1568" s="116">
        <v>2500.4499999999998</v>
      </c>
      <c r="R1568">
        <v>383210</v>
      </c>
    </row>
    <row r="1569" spans="1:18" x14ac:dyDescent="0.25">
      <c r="A1569" s="170">
        <v>44316</v>
      </c>
      <c r="B1569" s="116">
        <v>1271.875</v>
      </c>
      <c r="C1569" s="116">
        <v>1254.8499999999999</v>
      </c>
      <c r="D1569" s="116">
        <v>1243.625</v>
      </c>
      <c r="E1569" s="116">
        <v>1247.5</v>
      </c>
      <c r="F1569" s="116">
        <v>2509.6999999999998</v>
      </c>
      <c r="G1569">
        <v>8535</v>
      </c>
      <c r="H1569" s="116"/>
      <c r="I1569" s="116"/>
      <c r="L1569" s="170">
        <v>44316</v>
      </c>
      <c r="M1569" s="116">
        <v>1254.625</v>
      </c>
      <c r="N1569" s="116">
        <v>1272.4000000000001</v>
      </c>
      <c r="O1569" s="116">
        <v>1240.4749999999999</v>
      </c>
      <c r="P1569" s="116">
        <v>1240.5</v>
      </c>
      <c r="Q1569" s="116">
        <v>2509.25</v>
      </c>
      <c r="R1569">
        <v>183152</v>
      </c>
    </row>
    <row r="1570" spans="1:18" x14ac:dyDescent="0.25">
      <c r="A1570" s="170">
        <v>44319</v>
      </c>
      <c r="B1570" s="116">
        <v>1267.7750000000001</v>
      </c>
      <c r="C1570" s="116">
        <v>1262.9000000000001</v>
      </c>
      <c r="D1570" s="116">
        <v>1245.0999999999999</v>
      </c>
      <c r="E1570" s="116">
        <v>1245.0999999999999</v>
      </c>
      <c r="F1570" s="116">
        <v>2525.8000000000002</v>
      </c>
      <c r="G1570">
        <v>7701</v>
      </c>
      <c r="H1570" s="116"/>
      <c r="I1570" s="116"/>
      <c r="L1570" s="170">
        <v>44319</v>
      </c>
      <c r="M1570" s="116">
        <v>1263.2750000000001</v>
      </c>
      <c r="N1570" s="116">
        <v>1268.75</v>
      </c>
      <c r="O1570" s="116">
        <v>1248.25</v>
      </c>
      <c r="P1570" s="116">
        <v>1254.5</v>
      </c>
      <c r="Q1570" s="116">
        <v>2526.5500000000002</v>
      </c>
      <c r="R1570">
        <v>135289</v>
      </c>
    </row>
    <row r="1571" spans="1:18" x14ac:dyDescent="0.25">
      <c r="A1571" s="170">
        <v>44320</v>
      </c>
      <c r="B1571" s="116">
        <v>1278.8</v>
      </c>
      <c r="C1571" s="116">
        <v>1253.125</v>
      </c>
      <c r="D1571" s="116">
        <v>1248.95</v>
      </c>
      <c r="E1571" s="116">
        <v>1255.575</v>
      </c>
      <c r="F1571" s="116">
        <v>2506.25</v>
      </c>
      <c r="G1571">
        <v>7002</v>
      </c>
      <c r="H1571" s="116"/>
      <c r="I1571" s="116"/>
      <c r="L1571" s="170">
        <v>44320</v>
      </c>
      <c r="M1571" s="116">
        <v>1253.0999999999999</v>
      </c>
      <c r="N1571" s="116">
        <v>1279</v>
      </c>
      <c r="O1571" s="116">
        <v>1248.0999999999999</v>
      </c>
      <c r="P1571" s="116">
        <v>1268.0999999999999</v>
      </c>
      <c r="Q1571" s="116">
        <v>2506.1999999999998</v>
      </c>
      <c r="R1571">
        <v>152369</v>
      </c>
    </row>
    <row r="1572" spans="1:18" x14ac:dyDescent="0.25">
      <c r="A1572" s="170">
        <v>44321</v>
      </c>
      <c r="B1572" s="116">
        <v>1316.4749999999999</v>
      </c>
      <c r="C1572" s="116">
        <v>1311.75</v>
      </c>
      <c r="D1572" s="116">
        <v>1243.3</v>
      </c>
      <c r="E1572" s="116">
        <v>1261.9749999999999</v>
      </c>
      <c r="F1572" s="116">
        <v>2623.5</v>
      </c>
      <c r="G1572">
        <v>30697</v>
      </c>
      <c r="H1572" s="116"/>
      <c r="I1572" s="116"/>
      <c r="L1572" s="170">
        <v>44321</v>
      </c>
      <c r="M1572" s="116">
        <v>1312.15</v>
      </c>
      <c r="N1572" s="116">
        <v>1317.5</v>
      </c>
      <c r="O1572" s="116">
        <v>1242.4749999999999</v>
      </c>
      <c r="P1572" s="116">
        <v>1263.4000000000001</v>
      </c>
      <c r="Q1572" s="116">
        <v>2624.3</v>
      </c>
      <c r="R1572">
        <v>630735</v>
      </c>
    </row>
    <row r="1573" spans="1:18" x14ac:dyDescent="0.25">
      <c r="A1573" s="170">
        <v>44322</v>
      </c>
      <c r="B1573" s="116">
        <v>1337.75</v>
      </c>
      <c r="C1573" s="116">
        <v>1304.7</v>
      </c>
      <c r="D1573" s="116">
        <v>1293.05</v>
      </c>
      <c r="E1573" s="116">
        <v>1322.5</v>
      </c>
      <c r="F1573" s="116">
        <v>2609.4</v>
      </c>
      <c r="G1573">
        <v>10895</v>
      </c>
      <c r="H1573" s="116"/>
      <c r="I1573" s="116"/>
      <c r="L1573" s="170">
        <v>44322</v>
      </c>
      <c r="M1573" s="116">
        <v>1303.5250000000001</v>
      </c>
      <c r="N1573" s="116">
        <v>1337.9</v>
      </c>
      <c r="O1573" s="116">
        <v>1292.55</v>
      </c>
      <c r="P1573" s="116">
        <v>1317</v>
      </c>
      <c r="Q1573" s="116">
        <v>2607.0500000000002</v>
      </c>
      <c r="R1573">
        <v>256430</v>
      </c>
    </row>
    <row r="1574" spans="1:18" x14ac:dyDescent="0.25">
      <c r="A1574" s="170">
        <v>44323</v>
      </c>
      <c r="B1574" s="116">
        <v>1329.3</v>
      </c>
      <c r="C1574" s="116">
        <v>1308.075</v>
      </c>
      <c r="D1574" s="116">
        <v>1301.7750000000001</v>
      </c>
      <c r="E1574" s="116">
        <v>1304.5</v>
      </c>
      <c r="F1574" s="116">
        <v>2616.15</v>
      </c>
      <c r="G1574">
        <v>16934</v>
      </c>
      <c r="H1574" s="116"/>
      <c r="I1574" s="116"/>
      <c r="L1574" s="170">
        <v>44323</v>
      </c>
      <c r="M1574" s="116">
        <v>1308.0250000000001</v>
      </c>
      <c r="N1574" s="116">
        <v>1329.9</v>
      </c>
      <c r="O1574" s="116">
        <v>1304.875</v>
      </c>
      <c r="P1574" s="116">
        <v>1318.15</v>
      </c>
      <c r="Q1574" s="116">
        <v>2616.0500000000002</v>
      </c>
      <c r="R1574">
        <v>270174</v>
      </c>
    </row>
    <row r="1575" spans="1:18" x14ac:dyDescent="0.25">
      <c r="A1575" s="170">
        <v>44326</v>
      </c>
      <c r="B1575" s="116">
        <v>1390.5</v>
      </c>
      <c r="C1575" s="116">
        <v>1383.2249999999999</v>
      </c>
      <c r="D1575" s="116">
        <v>1307.5</v>
      </c>
      <c r="E1575" s="116">
        <v>1307.5</v>
      </c>
      <c r="F1575" s="116">
        <v>2766.45</v>
      </c>
      <c r="G1575">
        <v>56743</v>
      </c>
      <c r="H1575" s="116"/>
      <c r="I1575" s="116"/>
      <c r="L1575" s="170">
        <v>44326</v>
      </c>
      <c r="M1575" s="116">
        <v>1383.4</v>
      </c>
      <c r="N1575" s="116">
        <v>1391.425</v>
      </c>
      <c r="O1575" s="116">
        <v>1309.5</v>
      </c>
      <c r="P1575" s="116">
        <v>1309.5</v>
      </c>
      <c r="Q1575" s="116">
        <v>2766.8</v>
      </c>
      <c r="R1575">
        <v>1004172</v>
      </c>
    </row>
    <row r="1576" spans="1:18" x14ac:dyDescent="0.25">
      <c r="A1576" s="170">
        <v>44327</v>
      </c>
      <c r="B1576" s="116">
        <v>1384.7249999999999</v>
      </c>
      <c r="C1576" s="116">
        <v>1357.45</v>
      </c>
      <c r="D1576" s="116">
        <v>1354.4</v>
      </c>
      <c r="E1576" s="116">
        <v>1384</v>
      </c>
      <c r="F1576" s="116">
        <v>2714.9</v>
      </c>
      <c r="G1576">
        <v>11404</v>
      </c>
      <c r="H1576" s="116"/>
      <c r="I1576" s="116"/>
      <c r="L1576" s="170">
        <v>44327</v>
      </c>
      <c r="M1576" s="116">
        <v>1357.2249999999999</v>
      </c>
      <c r="N1576" s="116">
        <v>1386.5</v>
      </c>
      <c r="O1576" s="116">
        <v>1354</v>
      </c>
      <c r="P1576" s="116">
        <v>1381.4</v>
      </c>
      <c r="Q1576" s="116">
        <v>2714.45</v>
      </c>
      <c r="R1576">
        <v>358588</v>
      </c>
    </row>
    <row r="1577" spans="1:18" x14ac:dyDescent="0.25">
      <c r="A1577" s="170">
        <v>44328</v>
      </c>
      <c r="B1577" s="116">
        <v>1377</v>
      </c>
      <c r="C1577" s="116">
        <v>1362.825</v>
      </c>
      <c r="D1577" s="116">
        <v>1347.95</v>
      </c>
      <c r="E1577" s="116">
        <v>1365</v>
      </c>
      <c r="F1577" s="116">
        <v>2725.65</v>
      </c>
      <c r="G1577">
        <v>16001</v>
      </c>
      <c r="H1577" s="116"/>
      <c r="I1577" s="116"/>
      <c r="L1577" s="170">
        <v>44328</v>
      </c>
      <c r="M1577" s="116">
        <v>1362.925</v>
      </c>
      <c r="N1577" s="116">
        <v>1378.2750000000001</v>
      </c>
      <c r="O1577" s="116">
        <v>1346.5250000000001</v>
      </c>
      <c r="P1577" s="116">
        <v>1366.9749999999999</v>
      </c>
      <c r="Q1577" s="116">
        <v>2725.85</v>
      </c>
      <c r="R1577">
        <v>304600</v>
      </c>
    </row>
    <row r="1578" spans="1:18" x14ac:dyDescent="0.25">
      <c r="A1578" s="170">
        <v>44330</v>
      </c>
      <c r="B1578" s="116">
        <v>1411.95</v>
      </c>
      <c r="C1578" s="116">
        <v>1361.25</v>
      </c>
      <c r="D1578" s="116">
        <v>1353.675</v>
      </c>
      <c r="E1578" s="116">
        <v>1389.35</v>
      </c>
      <c r="F1578" s="116">
        <v>2722.5</v>
      </c>
      <c r="G1578">
        <v>24496</v>
      </c>
      <c r="H1578" s="116"/>
      <c r="I1578" s="116"/>
      <c r="L1578" s="170">
        <v>44330</v>
      </c>
      <c r="M1578" s="116">
        <v>1361.15</v>
      </c>
      <c r="N1578" s="116">
        <v>1410</v>
      </c>
      <c r="O1578" s="116">
        <v>1352.5</v>
      </c>
      <c r="P1578" s="116">
        <v>1380</v>
      </c>
      <c r="Q1578" s="116">
        <v>2722.3</v>
      </c>
      <c r="R1578">
        <v>476789</v>
      </c>
    </row>
    <row r="1579" spans="1:18" x14ac:dyDescent="0.25">
      <c r="A1579" s="170">
        <v>44333</v>
      </c>
      <c r="B1579" s="116">
        <v>1391.0250000000001</v>
      </c>
      <c r="C1579" s="116">
        <v>1382.375</v>
      </c>
      <c r="D1579" s="116">
        <v>1360.9749999999999</v>
      </c>
      <c r="E1579" s="116">
        <v>1362.5</v>
      </c>
      <c r="F1579" s="116">
        <v>2764.75</v>
      </c>
      <c r="G1579">
        <v>15522</v>
      </c>
      <c r="H1579" s="116"/>
      <c r="I1579" s="116"/>
      <c r="L1579" s="170">
        <v>44333</v>
      </c>
      <c r="M1579" s="116">
        <v>1382.825</v>
      </c>
      <c r="N1579" s="116">
        <v>1391.35</v>
      </c>
      <c r="O1579" s="116">
        <v>1360.5</v>
      </c>
      <c r="P1579" s="116">
        <v>1370</v>
      </c>
      <c r="Q1579" s="116">
        <v>2765.65</v>
      </c>
      <c r="R1579">
        <v>217134</v>
      </c>
    </row>
    <row r="1580" spans="1:18" x14ac:dyDescent="0.25">
      <c r="A1580" s="170">
        <v>44334</v>
      </c>
      <c r="B1580" s="116">
        <v>1400</v>
      </c>
      <c r="C1580" s="116">
        <v>1361.7</v>
      </c>
      <c r="D1580" s="116">
        <v>1357.85</v>
      </c>
      <c r="E1580" s="116">
        <v>1377.5</v>
      </c>
      <c r="F1580" s="116">
        <v>2723.4</v>
      </c>
      <c r="G1580">
        <v>11175</v>
      </c>
      <c r="H1580" s="116"/>
      <c r="I1580" s="116"/>
      <c r="L1580" s="170">
        <v>44334</v>
      </c>
      <c r="M1580" s="116">
        <v>1361.85</v>
      </c>
      <c r="N1580" s="116">
        <v>1400</v>
      </c>
      <c r="O1580" s="116">
        <v>1355.75</v>
      </c>
      <c r="P1580" s="116">
        <v>1390</v>
      </c>
      <c r="Q1580" s="116">
        <v>2723.7</v>
      </c>
      <c r="R1580">
        <v>305984</v>
      </c>
    </row>
    <row r="1581" spans="1:18" x14ac:dyDescent="0.25">
      <c r="A1581" s="170">
        <v>44335</v>
      </c>
      <c r="B1581" s="116">
        <v>1445.7750000000001</v>
      </c>
      <c r="C1581" s="116">
        <v>1376.325</v>
      </c>
      <c r="D1581" s="116">
        <v>1337.75</v>
      </c>
      <c r="E1581" s="116">
        <v>1349</v>
      </c>
      <c r="F1581" s="116">
        <v>2752.65</v>
      </c>
      <c r="G1581">
        <v>95247</v>
      </c>
      <c r="H1581" s="116"/>
      <c r="I1581" s="116"/>
      <c r="L1581" s="170">
        <v>44335</v>
      </c>
      <c r="M1581" s="116">
        <v>1377.2</v>
      </c>
      <c r="N1581" s="116">
        <v>1446</v>
      </c>
      <c r="O1581" s="116">
        <v>1335.75</v>
      </c>
      <c r="P1581" s="116">
        <v>1343</v>
      </c>
      <c r="Q1581" s="116">
        <v>2754.4</v>
      </c>
      <c r="R1581">
        <v>2389450</v>
      </c>
    </row>
    <row r="1582" spans="1:18" x14ac:dyDescent="0.25">
      <c r="A1582" s="170">
        <v>44336</v>
      </c>
      <c r="B1582" s="116">
        <v>1394.9749999999999</v>
      </c>
      <c r="C1582" s="116">
        <v>1362.85</v>
      </c>
      <c r="D1582" s="116">
        <v>1351.425</v>
      </c>
      <c r="E1582" s="116">
        <v>1390</v>
      </c>
      <c r="F1582" s="116">
        <v>2725.7</v>
      </c>
      <c r="G1582">
        <v>11687</v>
      </c>
      <c r="H1582" s="116"/>
      <c r="I1582" s="116"/>
      <c r="L1582" s="170">
        <v>44336</v>
      </c>
      <c r="M1582" s="116">
        <v>1361.65</v>
      </c>
      <c r="N1582" s="116">
        <v>1397.5</v>
      </c>
      <c r="O1582" s="116">
        <v>1351</v>
      </c>
      <c r="P1582" s="116">
        <v>1385</v>
      </c>
      <c r="Q1582" s="116">
        <v>2723.3</v>
      </c>
      <c r="R1582">
        <v>382417</v>
      </c>
    </row>
    <row r="1583" spans="1:18" x14ac:dyDescent="0.25">
      <c r="A1583" s="170">
        <v>44337</v>
      </c>
      <c r="B1583" s="116">
        <v>1381.45</v>
      </c>
      <c r="C1583" s="116">
        <v>1358.65</v>
      </c>
      <c r="D1583" s="116">
        <v>1352.6</v>
      </c>
      <c r="E1583" s="116">
        <v>1380</v>
      </c>
      <c r="F1583" s="116">
        <v>2717.3</v>
      </c>
      <c r="G1583">
        <v>8323</v>
      </c>
      <c r="H1583" s="116"/>
      <c r="I1583" s="116"/>
      <c r="L1583" s="170">
        <v>44337</v>
      </c>
      <c r="M1583" s="116">
        <v>1358.9749999999999</v>
      </c>
      <c r="N1583" s="116">
        <v>1382.2249999999999</v>
      </c>
      <c r="O1583" s="116">
        <v>1352.5</v>
      </c>
      <c r="P1583" s="116">
        <v>1375.5</v>
      </c>
      <c r="Q1583" s="116">
        <v>2717.95</v>
      </c>
      <c r="R1583">
        <v>280190</v>
      </c>
    </row>
    <row r="1584" spans="1:18" x14ac:dyDescent="0.25">
      <c r="A1584" s="170">
        <v>44340</v>
      </c>
      <c r="B1584" s="116">
        <v>1367.675</v>
      </c>
      <c r="C1584" s="116">
        <v>1358.925</v>
      </c>
      <c r="D1584" s="116">
        <v>1352.5</v>
      </c>
      <c r="E1584" s="116">
        <v>1359.2249999999999</v>
      </c>
      <c r="F1584" s="116">
        <v>2717.85</v>
      </c>
      <c r="G1584">
        <v>6407</v>
      </c>
      <c r="H1584" s="116"/>
      <c r="I1584" s="116"/>
      <c r="L1584" s="170">
        <v>44340</v>
      </c>
      <c r="M1584" s="116">
        <v>1359.0250000000001</v>
      </c>
      <c r="N1584" s="116">
        <v>1367.95</v>
      </c>
      <c r="O1584" s="116">
        <v>1351.65</v>
      </c>
      <c r="P1584" s="116">
        <v>1361.075</v>
      </c>
      <c r="Q1584" s="116">
        <v>2718.05</v>
      </c>
      <c r="R1584">
        <v>199808</v>
      </c>
    </row>
    <row r="1585" spans="1:18" x14ac:dyDescent="0.25">
      <c r="A1585" s="170">
        <v>44341</v>
      </c>
      <c r="B1585" s="116">
        <v>1365.8</v>
      </c>
      <c r="C1585" s="116">
        <v>1361.925</v>
      </c>
      <c r="D1585" s="116">
        <v>1348.85</v>
      </c>
      <c r="E1585" s="116">
        <v>1363.125</v>
      </c>
      <c r="F1585" s="116">
        <v>2723.85</v>
      </c>
      <c r="G1585">
        <v>4029</v>
      </c>
      <c r="H1585" s="116"/>
      <c r="I1585" s="116"/>
      <c r="L1585" s="170">
        <v>44341</v>
      </c>
      <c r="M1585" s="116">
        <v>1361.85</v>
      </c>
      <c r="N1585" s="116">
        <v>1364.9</v>
      </c>
      <c r="O1585" s="116">
        <v>1347.875</v>
      </c>
      <c r="P1585" s="116">
        <v>1362</v>
      </c>
      <c r="Q1585" s="116">
        <v>2723.7</v>
      </c>
      <c r="R1585">
        <v>170536</v>
      </c>
    </row>
    <row r="1586" spans="1:18" x14ac:dyDescent="0.25">
      <c r="A1586" s="170">
        <v>44342</v>
      </c>
      <c r="B1586" s="116">
        <v>1375</v>
      </c>
      <c r="C1586" s="116">
        <v>1354.95</v>
      </c>
      <c r="D1586" s="116">
        <v>1351</v>
      </c>
      <c r="E1586" s="116">
        <v>1361.925</v>
      </c>
      <c r="F1586" s="116">
        <v>2709.9</v>
      </c>
      <c r="G1586">
        <v>6669</v>
      </c>
      <c r="H1586" s="116"/>
      <c r="I1586" s="116"/>
      <c r="L1586" s="170">
        <v>44342</v>
      </c>
      <c r="M1586" s="116">
        <v>1355.1</v>
      </c>
      <c r="N1586" s="116">
        <v>1375.1</v>
      </c>
      <c r="O1586" s="116">
        <v>1350.825</v>
      </c>
      <c r="P1586" s="116">
        <v>1366.85</v>
      </c>
      <c r="Q1586" s="116">
        <v>2710.2</v>
      </c>
      <c r="R1586">
        <v>153851</v>
      </c>
    </row>
    <row r="1587" spans="1:18" x14ac:dyDescent="0.25">
      <c r="A1587" s="170">
        <v>44343</v>
      </c>
      <c r="B1587" s="116">
        <v>1366.75</v>
      </c>
      <c r="C1587" s="116">
        <v>1359.4</v>
      </c>
      <c r="D1587" s="116">
        <v>1342.075</v>
      </c>
      <c r="E1587" s="116">
        <v>1359.15</v>
      </c>
      <c r="F1587" s="116">
        <v>2718.8</v>
      </c>
      <c r="G1587">
        <v>5717</v>
      </c>
      <c r="H1587" s="116"/>
      <c r="I1587" s="116"/>
      <c r="L1587" s="170">
        <v>44343</v>
      </c>
      <c r="M1587" s="116">
        <v>1359.625</v>
      </c>
      <c r="N1587" s="116">
        <v>1367.4749999999999</v>
      </c>
      <c r="O1587" s="116">
        <v>1341.55</v>
      </c>
      <c r="P1587" s="116">
        <v>1357.9</v>
      </c>
      <c r="Q1587" s="116">
        <v>2719.25</v>
      </c>
      <c r="R1587">
        <v>242132</v>
      </c>
    </row>
    <row r="1588" spans="1:18" x14ac:dyDescent="0.25">
      <c r="A1588" s="170">
        <v>44344</v>
      </c>
      <c r="B1588" s="116">
        <v>1362.75</v>
      </c>
      <c r="C1588" s="116">
        <v>1358.575</v>
      </c>
      <c r="D1588" s="116">
        <v>1349.95</v>
      </c>
      <c r="E1588" s="116">
        <v>1360.2</v>
      </c>
      <c r="F1588" s="116">
        <v>2717.15</v>
      </c>
      <c r="G1588">
        <v>2412</v>
      </c>
      <c r="H1588" s="116"/>
      <c r="I1588" s="116"/>
      <c r="L1588" s="170">
        <v>44344</v>
      </c>
      <c r="M1588" s="116">
        <v>1357.0250000000001</v>
      </c>
      <c r="N1588" s="116">
        <v>1367.5</v>
      </c>
      <c r="O1588" s="116">
        <v>1350.075</v>
      </c>
      <c r="P1588" s="116">
        <v>1367.5</v>
      </c>
      <c r="Q1588" s="116">
        <v>2714.05</v>
      </c>
      <c r="R1588">
        <v>79925</v>
      </c>
    </row>
    <row r="1589" spans="1:18" x14ac:dyDescent="0.25">
      <c r="A1589" s="170">
        <v>44347</v>
      </c>
      <c r="B1589" s="116">
        <v>1374.75</v>
      </c>
      <c r="C1589" s="116">
        <v>1370</v>
      </c>
      <c r="D1589" s="116">
        <v>1351.2</v>
      </c>
      <c r="E1589" s="116">
        <v>1353</v>
      </c>
      <c r="F1589" s="116">
        <v>2740</v>
      </c>
      <c r="G1589">
        <v>11303</v>
      </c>
      <c r="H1589" s="116"/>
      <c r="I1589" s="116"/>
      <c r="L1589" s="170">
        <v>44347</v>
      </c>
      <c r="M1589" s="116">
        <v>1370.675</v>
      </c>
      <c r="N1589" s="116">
        <v>1375</v>
      </c>
      <c r="O1589" s="116">
        <v>1351.1</v>
      </c>
      <c r="P1589" s="116">
        <v>1358.85</v>
      </c>
      <c r="Q1589" s="116">
        <v>2741.35</v>
      </c>
      <c r="R1589">
        <v>103596</v>
      </c>
    </row>
    <row r="1590" spans="1:18" x14ac:dyDescent="0.25">
      <c r="A1590" s="170">
        <v>44348</v>
      </c>
      <c r="B1590" s="116">
        <v>1396.45</v>
      </c>
      <c r="C1590" s="116">
        <v>1393.4749999999999</v>
      </c>
      <c r="D1590" s="116">
        <v>1357.5</v>
      </c>
      <c r="E1590" s="116">
        <v>1374.5</v>
      </c>
      <c r="F1590" s="116">
        <v>2786.95</v>
      </c>
      <c r="G1590">
        <v>9941</v>
      </c>
      <c r="H1590" s="116"/>
      <c r="I1590" s="116"/>
      <c r="L1590" s="170">
        <v>44348</v>
      </c>
      <c r="M1590" s="116">
        <v>1392.825</v>
      </c>
      <c r="N1590" s="116">
        <v>1396.5</v>
      </c>
      <c r="O1590" s="116">
        <v>1357.5</v>
      </c>
      <c r="P1590" s="116">
        <v>1377</v>
      </c>
      <c r="Q1590" s="116">
        <v>2785.65</v>
      </c>
      <c r="R1590">
        <v>382614</v>
      </c>
    </row>
    <row r="1591" spans="1:18" x14ac:dyDescent="0.25">
      <c r="A1591" s="170">
        <v>44349</v>
      </c>
      <c r="B1591" s="116">
        <v>1410</v>
      </c>
      <c r="C1591" s="116">
        <v>1397.175</v>
      </c>
      <c r="D1591" s="116">
        <v>1386</v>
      </c>
      <c r="E1591" s="116">
        <v>1395</v>
      </c>
      <c r="F1591" s="116">
        <v>2794.35</v>
      </c>
      <c r="G1591">
        <v>12233</v>
      </c>
      <c r="H1591" s="116"/>
      <c r="I1591" s="116"/>
      <c r="L1591" s="170">
        <v>44349</v>
      </c>
      <c r="M1591" s="116">
        <v>1397.5</v>
      </c>
      <c r="N1591" s="116">
        <v>1411</v>
      </c>
      <c r="O1591" s="116">
        <v>1387.5</v>
      </c>
      <c r="P1591" s="116">
        <v>1398</v>
      </c>
      <c r="Q1591" s="116">
        <v>2795</v>
      </c>
      <c r="R1591">
        <v>276579</v>
      </c>
    </row>
    <row r="1592" spans="1:18" x14ac:dyDescent="0.25">
      <c r="A1592" s="170">
        <v>44350</v>
      </c>
      <c r="B1592" s="116">
        <v>1409.95</v>
      </c>
      <c r="C1592" s="116">
        <v>1388.1</v>
      </c>
      <c r="D1592" s="116">
        <v>1380</v>
      </c>
      <c r="E1592" s="116">
        <v>1395</v>
      </c>
      <c r="F1592" s="116">
        <v>2776.2</v>
      </c>
      <c r="G1592">
        <v>4278</v>
      </c>
      <c r="H1592" s="116"/>
      <c r="I1592" s="116"/>
      <c r="L1592" s="170">
        <v>44350</v>
      </c>
      <c r="M1592" s="116">
        <v>1387.6</v>
      </c>
      <c r="N1592" s="116">
        <v>1410.7</v>
      </c>
      <c r="O1592" s="116">
        <v>1378.825</v>
      </c>
      <c r="P1592" s="116">
        <v>1402.0250000000001</v>
      </c>
      <c r="Q1592" s="116">
        <v>2775.2</v>
      </c>
      <c r="R1592">
        <v>142496</v>
      </c>
    </row>
    <row r="1593" spans="1:18" x14ac:dyDescent="0.25">
      <c r="A1593" s="170">
        <v>44351</v>
      </c>
      <c r="B1593" s="116">
        <v>1409.5</v>
      </c>
      <c r="C1593" s="116">
        <v>1405.375</v>
      </c>
      <c r="D1593" s="116">
        <v>1385.35</v>
      </c>
      <c r="E1593" s="116">
        <v>1387</v>
      </c>
      <c r="F1593" s="116">
        <v>2810.75</v>
      </c>
      <c r="G1593">
        <v>8869</v>
      </c>
      <c r="H1593" s="116"/>
      <c r="I1593" s="116"/>
      <c r="L1593" s="170">
        <v>44351</v>
      </c>
      <c r="M1593" s="116">
        <v>1405.7750000000001</v>
      </c>
      <c r="N1593" s="116">
        <v>1409.95</v>
      </c>
      <c r="O1593" s="116">
        <v>1385.25</v>
      </c>
      <c r="P1593" s="116">
        <v>1394</v>
      </c>
      <c r="Q1593" s="116">
        <v>2811.55</v>
      </c>
      <c r="R1593">
        <v>159634</v>
      </c>
    </row>
    <row r="1594" spans="1:18" x14ac:dyDescent="0.25">
      <c r="A1594" s="170">
        <v>44354</v>
      </c>
      <c r="B1594" s="116">
        <v>1418.4</v>
      </c>
      <c r="C1594" s="116">
        <v>1412.075</v>
      </c>
      <c r="D1594" s="116">
        <v>1395.825</v>
      </c>
      <c r="E1594" s="116">
        <v>1413</v>
      </c>
      <c r="F1594" s="116">
        <v>2824.15</v>
      </c>
      <c r="G1594">
        <v>5359</v>
      </c>
      <c r="H1594" s="116"/>
      <c r="I1594" s="116"/>
      <c r="L1594" s="170">
        <v>44354</v>
      </c>
      <c r="M1594" s="116">
        <v>1412.4</v>
      </c>
      <c r="N1594" s="116">
        <v>1418.675</v>
      </c>
      <c r="O1594" s="116">
        <v>1395.075</v>
      </c>
      <c r="P1594" s="116">
        <v>1410</v>
      </c>
      <c r="Q1594" s="116">
        <v>2824.8</v>
      </c>
      <c r="R1594">
        <v>208895</v>
      </c>
    </row>
    <row r="1595" spans="1:18" x14ac:dyDescent="0.25">
      <c r="A1595" s="170">
        <v>44355</v>
      </c>
      <c r="B1595" s="116">
        <v>1422.5</v>
      </c>
      <c r="C1595" s="116">
        <v>1417.425</v>
      </c>
      <c r="D1595" s="116">
        <v>1410.05</v>
      </c>
      <c r="E1595" s="116">
        <v>1413</v>
      </c>
      <c r="F1595" s="116">
        <v>2834.85</v>
      </c>
      <c r="G1595">
        <v>4409</v>
      </c>
      <c r="H1595" s="116"/>
      <c r="I1595" s="116"/>
      <c r="L1595" s="170">
        <v>44355</v>
      </c>
      <c r="M1595" s="116">
        <v>1417.175</v>
      </c>
      <c r="N1595" s="116">
        <v>1423.2</v>
      </c>
      <c r="O1595" s="116">
        <v>1409</v>
      </c>
      <c r="P1595" s="116">
        <v>1409.55</v>
      </c>
      <c r="Q1595" s="116">
        <v>2834.35</v>
      </c>
      <c r="R1595">
        <v>108764</v>
      </c>
    </row>
    <row r="1596" spans="1:18" x14ac:dyDescent="0.25">
      <c r="A1596" s="170">
        <v>44356</v>
      </c>
      <c r="B1596" s="116">
        <v>1449</v>
      </c>
      <c r="C1596" s="116">
        <v>1396.95</v>
      </c>
      <c r="D1596" s="116">
        <v>1384.575</v>
      </c>
      <c r="E1596" s="116">
        <v>1414.45</v>
      </c>
      <c r="F1596" s="116">
        <v>2793.9</v>
      </c>
      <c r="G1596">
        <v>23532</v>
      </c>
      <c r="H1596" s="116"/>
      <c r="I1596" s="116"/>
      <c r="L1596" s="170">
        <v>44356</v>
      </c>
      <c r="M1596" s="116">
        <v>1399.325</v>
      </c>
      <c r="N1596" s="116">
        <v>1449.5</v>
      </c>
      <c r="O1596" s="116">
        <v>1385.5</v>
      </c>
      <c r="P1596" s="116">
        <v>1414.5</v>
      </c>
      <c r="Q1596" s="116">
        <v>2798.65</v>
      </c>
      <c r="R1596">
        <v>444850</v>
      </c>
    </row>
    <row r="1597" spans="1:18" x14ac:dyDescent="0.25">
      <c r="A1597" s="170">
        <v>44357</v>
      </c>
      <c r="B1597" s="116">
        <v>1437.35</v>
      </c>
      <c r="C1597" s="116">
        <v>1429.925</v>
      </c>
      <c r="D1597" s="116">
        <v>1397.5</v>
      </c>
      <c r="E1597" s="116">
        <v>1397.5</v>
      </c>
      <c r="F1597" s="116">
        <v>2859.85</v>
      </c>
      <c r="G1597">
        <v>5693</v>
      </c>
      <c r="H1597" s="116"/>
      <c r="I1597" s="116"/>
      <c r="L1597" s="170">
        <v>44357</v>
      </c>
      <c r="M1597" s="116">
        <v>1429.9</v>
      </c>
      <c r="N1597" s="116">
        <v>1438</v>
      </c>
      <c r="O1597" s="116">
        <v>1402.5</v>
      </c>
      <c r="P1597" s="116">
        <v>1405</v>
      </c>
      <c r="Q1597" s="116">
        <v>2859.8</v>
      </c>
      <c r="R1597">
        <v>154358</v>
      </c>
    </row>
    <row r="1598" spans="1:18" x14ac:dyDescent="0.25">
      <c r="A1598" s="170">
        <v>44358</v>
      </c>
      <c r="B1598" s="116">
        <v>1455.7249999999999</v>
      </c>
      <c r="C1598" s="116">
        <v>1440</v>
      </c>
      <c r="D1598" s="116">
        <v>1425</v>
      </c>
      <c r="E1598" s="116">
        <v>1437.375</v>
      </c>
      <c r="F1598" s="116">
        <v>2880</v>
      </c>
      <c r="G1598">
        <v>12021</v>
      </c>
      <c r="H1598" s="116"/>
      <c r="I1598" s="116"/>
      <c r="L1598" s="170">
        <v>44358</v>
      </c>
      <c r="M1598" s="116">
        <v>1439.9</v>
      </c>
      <c r="N1598" s="116">
        <v>1456.65</v>
      </c>
      <c r="O1598" s="116">
        <v>1425</v>
      </c>
      <c r="P1598" s="116">
        <v>1429.8</v>
      </c>
      <c r="Q1598" s="116">
        <v>2879.8</v>
      </c>
      <c r="R1598">
        <v>229916</v>
      </c>
    </row>
    <row r="1599" spans="1:18" x14ac:dyDescent="0.25">
      <c r="A1599" s="170">
        <v>44361</v>
      </c>
      <c r="B1599" s="116">
        <v>1497.7750000000001</v>
      </c>
      <c r="C1599" s="116">
        <v>1489.825</v>
      </c>
      <c r="D1599" s="116">
        <v>1419.3</v>
      </c>
      <c r="E1599" s="116">
        <v>1430</v>
      </c>
      <c r="F1599" s="116">
        <v>2979.65</v>
      </c>
      <c r="G1599">
        <v>45303</v>
      </c>
      <c r="H1599" s="116"/>
      <c r="I1599" s="116"/>
      <c r="L1599" s="170">
        <v>44361</v>
      </c>
      <c r="M1599" s="116">
        <v>1489.875</v>
      </c>
      <c r="N1599" s="116">
        <v>1498</v>
      </c>
      <c r="O1599" s="116">
        <v>1419.5</v>
      </c>
      <c r="P1599" s="116">
        <v>1437.5</v>
      </c>
      <c r="Q1599" s="116">
        <v>2979.75</v>
      </c>
      <c r="R1599">
        <v>861814</v>
      </c>
    </row>
    <row r="1600" spans="1:18" x14ac:dyDescent="0.25">
      <c r="A1600" s="170">
        <v>44362</v>
      </c>
      <c r="B1600" s="116">
        <v>1503.5</v>
      </c>
      <c r="C1600" s="116">
        <v>1462.5</v>
      </c>
      <c r="D1600" s="116">
        <v>1456.5</v>
      </c>
      <c r="E1600" s="116">
        <v>1499.5</v>
      </c>
      <c r="F1600" s="116">
        <v>2925</v>
      </c>
      <c r="G1600">
        <v>9014</v>
      </c>
      <c r="H1600" s="116"/>
      <c r="I1600" s="116"/>
      <c r="L1600" s="170">
        <v>44362</v>
      </c>
      <c r="M1600" s="116">
        <v>1463.825</v>
      </c>
      <c r="N1600" s="116">
        <v>1504.75</v>
      </c>
      <c r="O1600" s="116">
        <v>1458</v>
      </c>
      <c r="P1600" s="116">
        <v>1494.7</v>
      </c>
      <c r="Q1600" s="116">
        <v>2927.65</v>
      </c>
      <c r="R1600">
        <v>233622</v>
      </c>
    </row>
    <row r="1601" spans="1:18" x14ac:dyDescent="0.25">
      <c r="A1601" s="170">
        <v>44363</v>
      </c>
      <c r="B1601" s="116">
        <v>1479</v>
      </c>
      <c r="C1601" s="116">
        <v>1444.4</v>
      </c>
      <c r="D1601" s="116">
        <v>1440.85</v>
      </c>
      <c r="E1601" s="116">
        <v>1479</v>
      </c>
      <c r="F1601" s="116">
        <v>2888.8</v>
      </c>
      <c r="G1601">
        <v>5121</v>
      </c>
      <c r="H1601" s="116"/>
      <c r="I1601" s="116"/>
      <c r="L1601" s="170">
        <v>44363</v>
      </c>
      <c r="M1601" s="116">
        <v>1445.1</v>
      </c>
      <c r="N1601" s="116">
        <v>1474.5</v>
      </c>
      <c r="O1601" s="116">
        <v>1440</v>
      </c>
      <c r="P1601" s="116">
        <v>1469.95</v>
      </c>
      <c r="Q1601" s="116">
        <v>2890.2</v>
      </c>
      <c r="R1601">
        <v>172861</v>
      </c>
    </row>
    <row r="1602" spans="1:18" x14ac:dyDescent="0.25">
      <c r="A1602" s="170">
        <v>44364</v>
      </c>
      <c r="B1602" s="116">
        <v>1482.5</v>
      </c>
      <c r="C1602" s="116">
        <v>1476.65</v>
      </c>
      <c r="D1602" s="116">
        <v>1434.95</v>
      </c>
      <c r="E1602" s="116">
        <v>1437.5</v>
      </c>
      <c r="F1602" s="116">
        <v>2953.3</v>
      </c>
      <c r="G1602">
        <v>21982</v>
      </c>
      <c r="H1602" s="116"/>
      <c r="I1602" s="116"/>
      <c r="L1602" s="170">
        <v>44364</v>
      </c>
      <c r="M1602" s="116">
        <v>1476.95</v>
      </c>
      <c r="N1602" s="116">
        <v>1480.375</v>
      </c>
      <c r="O1602" s="116">
        <v>1427.05</v>
      </c>
      <c r="P1602" s="116">
        <v>1437.05</v>
      </c>
      <c r="Q1602" s="116">
        <v>2953.9</v>
      </c>
      <c r="R1602">
        <v>595837</v>
      </c>
    </row>
    <row r="1603" spans="1:18" x14ac:dyDescent="0.25">
      <c r="A1603" s="170">
        <v>44365</v>
      </c>
      <c r="B1603" s="116">
        <v>1478.4749999999999</v>
      </c>
      <c r="C1603" s="116">
        <v>1449.175</v>
      </c>
      <c r="D1603" s="116">
        <v>1430.825</v>
      </c>
      <c r="E1603" s="116">
        <v>1477</v>
      </c>
      <c r="F1603" s="116">
        <v>2898.35</v>
      </c>
      <c r="G1603">
        <v>8601</v>
      </c>
      <c r="H1603" s="116"/>
      <c r="I1603" s="116"/>
      <c r="L1603" s="170">
        <v>44365</v>
      </c>
      <c r="M1603" s="116">
        <v>1448.85</v>
      </c>
      <c r="N1603" s="116">
        <v>1479.95</v>
      </c>
      <c r="O1603" s="116">
        <v>1431</v>
      </c>
      <c r="P1603" s="116">
        <v>1479.95</v>
      </c>
      <c r="Q1603" s="116">
        <v>2897.7</v>
      </c>
      <c r="R1603">
        <v>200557</v>
      </c>
    </row>
    <row r="1604" spans="1:18" x14ac:dyDescent="0.25">
      <c r="A1604" s="170">
        <v>44368</v>
      </c>
      <c r="B1604" s="116">
        <v>1468.65</v>
      </c>
      <c r="C1604" s="116">
        <v>1459.25</v>
      </c>
      <c r="D1604" s="116">
        <v>1432.6</v>
      </c>
      <c r="E1604" s="116">
        <v>1445</v>
      </c>
      <c r="F1604" s="116">
        <v>2918.5</v>
      </c>
      <c r="G1604">
        <v>7510</v>
      </c>
      <c r="H1604" s="116"/>
      <c r="I1604" s="116"/>
      <c r="L1604" s="170">
        <v>44368</v>
      </c>
      <c r="M1604" s="116">
        <v>1460.2</v>
      </c>
      <c r="N1604" s="116">
        <v>1469</v>
      </c>
      <c r="O1604" s="116">
        <v>1431.7</v>
      </c>
      <c r="P1604" s="116">
        <v>1432.5</v>
      </c>
      <c r="Q1604" s="116">
        <v>2920.4</v>
      </c>
      <c r="R1604">
        <v>111420</v>
      </c>
    </row>
    <row r="1605" spans="1:18" x14ac:dyDescent="0.25">
      <c r="A1605" s="170">
        <v>44369</v>
      </c>
      <c r="B1605" s="116">
        <v>1476.1</v>
      </c>
      <c r="C1605" s="116">
        <v>1463.45</v>
      </c>
      <c r="D1605" s="116">
        <v>1443.2</v>
      </c>
      <c r="E1605" s="116">
        <v>1457.575</v>
      </c>
      <c r="F1605" s="116">
        <v>2926.9</v>
      </c>
      <c r="G1605">
        <v>7019</v>
      </c>
      <c r="H1605" s="116"/>
      <c r="I1605" s="116"/>
      <c r="L1605" s="170">
        <v>44369</v>
      </c>
      <c r="M1605" s="116">
        <v>1462.4749999999999</v>
      </c>
      <c r="N1605" s="116">
        <v>1476.425</v>
      </c>
      <c r="O1605" s="116">
        <v>1442.5250000000001</v>
      </c>
      <c r="P1605" s="116">
        <v>1463.125</v>
      </c>
      <c r="Q1605" s="116">
        <v>2924.95</v>
      </c>
      <c r="R1605">
        <v>160414</v>
      </c>
    </row>
    <row r="1606" spans="1:18" x14ac:dyDescent="0.25">
      <c r="A1606" s="170">
        <v>44370</v>
      </c>
      <c r="B1606" s="116">
        <v>1469.9749999999999</v>
      </c>
      <c r="C1606" s="116">
        <v>1453.2</v>
      </c>
      <c r="D1606" s="116">
        <v>1449.5250000000001</v>
      </c>
      <c r="E1606" s="116">
        <v>1464.85</v>
      </c>
      <c r="F1606" s="116">
        <v>2906.4</v>
      </c>
      <c r="G1606">
        <v>5010</v>
      </c>
      <c r="H1606" s="116"/>
      <c r="I1606" s="116"/>
      <c r="L1606" s="170">
        <v>44370</v>
      </c>
      <c r="M1606" s="116">
        <v>1451.85</v>
      </c>
      <c r="N1606" s="116">
        <v>1470.35</v>
      </c>
      <c r="O1606" s="116">
        <v>1449.9749999999999</v>
      </c>
      <c r="P1606" s="116">
        <v>1465</v>
      </c>
      <c r="Q1606" s="116">
        <v>2903.7</v>
      </c>
      <c r="R1606">
        <v>84925</v>
      </c>
    </row>
    <row r="1607" spans="1:18" x14ac:dyDescent="0.25">
      <c r="A1607" s="170">
        <v>44371</v>
      </c>
      <c r="B1607" s="116">
        <v>1461.05</v>
      </c>
      <c r="C1607" s="116">
        <v>1442.1</v>
      </c>
      <c r="D1607" s="116">
        <v>1439.2249999999999</v>
      </c>
      <c r="E1607" s="116">
        <v>1455</v>
      </c>
      <c r="F1607" s="116">
        <v>2884.2</v>
      </c>
      <c r="G1607">
        <v>4298</v>
      </c>
      <c r="H1607" s="116"/>
      <c r="I1607" s="116"/>
      <c r="L1607" s="170">
        <v>44371</v>
      </c>
      <c r="M1607" s="116">
        <v>1442.65</v>
      </c>
      <c r="N1607" s="116">
        <v>1461.175</v>
      </c>
      <c r="O1607" s="116">
        <v>1438</v>
      </c>
      <c r="P1607" s="116">
        <v>1454</v>
      </c>
      <c r="Q1607" s="116">
        <v>2885.3</v>
      </c>
      <c r="R1607">
        <v>110967</v>
      </c>
    </row>
    <row r="1608" spans="1:18" x14ac:dyDescent="0.25">
      <c r="A1608" s="170">
        <v>44372</v>
      </c>
      <c r="B1608" s="116">
        <v>1451.55</v>
      </c>
      <c r="C1608" s="116">
        <v>1442.2249999999999</v>
      </c>
      <c r="D1608" s="116">
        <v>1437.0250000000001</v>
      </c>
      <c r="E1608" s="116">
        <v>1444.4749999999999</v>
      </c>
      <c r="F1608" s="116">
        <v>2884.45</v>
      </c>
      <c r="G1608">
        <v>2705</v>
      </c>
      <c r="H1608" s="116"/>
      <c r="I1608" s="116"/>
      <c r="L1608" s="170">
        <v>44372</v>
      </c>
      <c r="M1608" s="116">
        <v>1443.125</v>
      </c>
      <c r="N1608" s="116">
        <v>1453.7750000000001</v>
      </c>
      <c r="O1608" s="116">
        <v>1437.5</v>
      </c>
      <c r="P1608" s="116">
        <v>1443.25</v>
      </c>
      <c r="Q1608" s="116">
        <v>2886.25</v>
      </c>
      <c r="R1608">
        <v>66296</v>
      </c>
    </row>
    <row r="1609" spans="1:18" x14ac:dyDescent="0.25">
      <c r="A1609" s="170">
        <v>44375</v>
      </c>
      <c r="B1609" s="116">
        <v>1490</v>
      </c>
      <c r="C1609" s="116">
        <v>1469.5250000000001</v>
      </c>
      <c r="D1609" s="116">
        <v>1437.375</v>
      </c>
      <c r="E1609" s="116">
        <v>1437.375</v>
      </c>
      <c r="F1609" s="116">
        <v>2939.05</v>
      </c>
      <c r="G1609">
        <v>11535</v>
      </c>
      <c r="H1609" s="116"/>
      <c r="I1609" s="116"/>
      <c r="L1609" s="170">
        <v>44375</v>
      </c>
      <c r="M1609" s="116">
        <v>1468.0250000000001</v>
      </c>
      <c r="N1609" s="116">
        <v>1490</v>
      </c>
      <c r="O1609" s="116">
        <v>1437.5</v>
      </c>
      <c r="P1609" s="116">
        <v>1447.5</v>
      </c>
      <c r="Q1609" s="116">
        <v>2936.05</v>
      </c>
      <c r="R1609">
        <v>252977</v>
      </c>
    </row>
    <row r="1610" spans="1:18" x14ac:dyDescent="0.25">
      <c r="A1610" s="170">
        <v>44376</v>
      </c>
      <c r="B1610" s="116">
        <v>1473.8</v>
      </c>
      <c r="C1610" s="116">
        <v>1460.85</v>
      </c>
      <c r="D1610" s="116">
        <v>1445</v>
      </c>
      <c r="E1610" s="116">
        <v>1466.875</v>
      </c>
      <c r="F1610" s="116">
        <v>2921.7</v>
      </c>
      <c r="G1610">
        <v>7824</v>
      </c>
      <c r="H1610" s="116"/>
      <c r="I1610" s="116"/>
      <c r="L1610" s="170">
        <v>44376</v>
      </c>
      <c r="M1610" s="116">
        <v>1461.125</v>
      </c>
      <c r="N1610" s="116">
        <v>1474.375</v>
      </c>
      <c r="O1610" s="116">
        <v>1444</v>
      </c>
      <c r="P1610" s="116">
        <v>1466.5</v>
      </c>
      <c r="Q1610" s="116">
        <v>2922.25</v>
      </c>
      <c r="R1610">
        <v>192105</v>
      </c>
    </row>
    <row r="1611" spans="1:18" x14ac:dyDescent="0.25">
      <c r="A1611" s="170">
        <v>44377</v>
      </c>
      <c r="B1611" s="116">
        <v>1466.625</v>
      </c>
      <c r="C1611" s="116">
        <v>1451.325</v>
      </c>
      <c r="D1611" s="116">
        <v>1446.5</v>
      </c>
      <c r="E1611" s="116">
        <v>1462.8</v>
      </c>
      <c r="F1611" s="116">
        <v>2902.65</v>
      </c>
      <c r="G1611">
        <v>3356</v>
      </c>
      <c r="H1611" s="116"/>
      <c r="I1611" s="116"/>
      <c r="L1611" s="170">
        <v>44377</v>
      </c>
      <c r="M1611" s="116">
        <v>1450.8</v>
      </c>
      <c r="N1611" s="116">
        <v>1466.925</v>
      </c>
      <c r="O1611" s="116">
        <v>1445.55</v>
      </c>
      <c r="P1611" s="116">
        <v>1463.4</v>
      </c>
      <c r="Q1611" s="116">
        <v>2901.6</v>
      </c>
      <c r="R1611">
        <v>116754</v>
      </c>
    </row>
    <row r="1612" spans="1:18" x14ac:dyDescent="0.25">
      <c r="A1612" s="170">
        <v>44378</v>
      </c>
      <c r="B1612" s="116">
        <v>1465.5250000000001</v>
      </c>
      <c r="C1612" s="116">
        <v>1461.9749999999999</v>
      </c>
      <c r="D1612" s="116">
        <v>1441.4749999999999</v>
      </c>
      <c r="E1612" s="116">
        <v>1454.25</v>
      </c>
      <c r="F1612" s="116">
        <v>2923.95</v>
      </c>
      <c r="G1612">
        <v>4231</v>
      </c>
      <c r="H1612" s="116"/>
      <c r="I1612" s="116"/>
      <c r="L1612" s="170">
        <v>44378</v>
      </c>
      <c r="M1612" s="116">
        <v>1462.1</v>
      </c>
      <c r="N1612" s="116">
        <v>1466</v>
      </c>
      <c r="O1612" s="116">
        <v>1441.5</v>
      </c>
      <c r="P1612" s="116">
        <v>1454</v>
      </c>
      <c r="Q1612" s="116">
        <v>2924.2</v>
      </c>
      <c r="R1612">
        <v>88011</v>
      </c>
    </row>
    <row r="1613" spans="1:18" x14ac:dyDescent="0.25">
      <c r="A1613" s="170">
        <v>44379</v>
      </c>
      <c r="B1613" s="116">
        <v>1519.0250000000001</v>
      </c>
      <c r="C1613" s="116">
        <v>1474.0250000000001</v>
      </c>
      <c r="D1613" s="116">
        <v>1461.15</v>
      </c>
      <c r="E1613" s="116">
        <v>1464.7249999999999</v>
      </c>
      <c r="F1613" s="116">
        <v>2948.05</v>
      </c>
      <c r="G1613">
        <v>35545</v>
      </c>
      <c r="H1613" s="116"/>
      <c r="I1613" s="116"/>
      <c r="L1613" s="170">
        <v>44379</v>
      </c>
      <c r="M1613" s="116">
        <v>1475.175</v>
      </c>
      <c r="N1613" s="116">
        <v>1517.5</v>
      </c>
      <c r="O1613" s="116">
        <v>1460</v>
      </c>
      <c r="P1613" s="116">
        <v>1467.5</v>
      </c>
      <c r="Q1613" s="116">
        <v>2950.35</v>
      </c>
      <c r="R1613">
        <v>775949</v>
      </c>
    </row>
    <row r="1614" spans="1:18" x14ac:dyDescent="0.25">
      <c r="A1614" s="170">
        <v>44382</v>
      </c>
      <c r="B1614" s="116">
        <v>1487.925</v>
      </c>
      <c r="C1614" s="116">
        <v>1471.3</v>
      </c>
      <c r="D1614" s="116">
        <v>1465.175</v>
      </c>
      <c r="E1614" s="116">
        <v>1474.5</v>
      </c>
      <c r="F1614" s="116">
        <v>2942.6</v>
      </c>
      <c r="G1614">
        <v>3163</v>
      </c>
      <c r="H1614" s="116"/>
      <c r="I1614" s="116"/>
      <c r="L1614" s="170">
        <v>44382</v>
      </c>
      <c r="M1614" s="116">
        <v>1469.425</v>
      </c>
      <c r="N1614" s="116">
        <v>1491.05</v>
      </c>
      <c r="O1614" s="116">
        <v>1464.25</v>
      </c>
      <c r="P1614" s="116">
        <v>1491.05</v>
      </c>
      <c r="Q1614" s="116">
        <v>2938.85</v>
      </c>
      <c r="R1614">
        <v>115033</v>
      </c>
    </row>
    <row r="1615" spans="1:18" x14ac:dyDescent="0.25">
      <c r="A1615" s="170">
        <v>44383</v>
      </c>
      <c r="B1615" s="116">
        <v>1473.375</v>
      </c>
      <c r="C1615" s="116">
        <v>1465.575</v>
      </c>
      <c r="D1615" s="116">
        <v>1454.55</v>
      </c>
      <c r="E1615" s="116">
        <v>1470</v>
      </c>
      <c r="F1615" s="116">
        <v>2931.15</v>
      </c>
      <c r="G1615">
        <v>3874</v>
      </c>
      <c r="H1615" s="116"/>
      <c r="I1615" s="116"/>
      <c r="L1615" s="170">
        <v>44383</v>
      </c>
      <c r="M1615" s="116">
        <v>1465.95</v>
      </c>
      <c r="N1615" s="116">
        <v>1473.55</v>
      </c>
      <c r="O1615" s="116">
        <v>1455</v>
      </c>
      <c r="P1615" s="116">
        <v>1470.5</v>
      </c>
      <c r="Q1615" s="116">
        <v>2931.9</v>
      </c>
      <c r="R1615">
        <v>106631</v>
      </c>
    </row>
    <row r="1616" spans="1:18" x14ac:dyDescent="0.25">
      <c r="A1616" s="170">
        <v>44384</v>
      </c>
      <c r="B1616" s="116">
        <v>1477.7249999999999</v>
      </c>
      <c r="C1616" s="116">
        <v>1475.45</v>
      </c>
      <c r="D1616" s="116">
        <v>1458.675</v>
      </c>
      <c r="E1616" s="116">
        <v>1461.875</v>
      </c>
      <c r="F1616" s="116">
        <v>2950.9</v>
      </c>
      <c r="G1616">
        <v>2610</v>
      </c>
      <c r="H1616" s="116"/>
      <c r="I1616" s="116"/>
      <c r="L1616" s="170">
        <v>44384</v>
      </c>
      <c r="M1616" s="116">
        <v>1474.7750000000001</v>
      </c>
      <c r="N1616" s="116">
        <v>1477.95</v>
      </c>
      <c r="O1616" s="116">
        <v>1458.4</v>
      </c>
      <c r="P1616" s="116">
        <v>1464.95</v>
      </c>
      <c r="Q1616" s="116">
        <v>2949.55</v>
      </c>
      <c r="R1616">
        <v>112436</v>
      </c>
    </row>
    <row r="1617" spans="1:18" x14ac:dyDescent="0.25">
      <c r="A1617" s="170">
        <v>44385</v>
      </c>
      <c r="B1617" s="116">
        <v>1488.5</v>
      </c>
      <c r="C1617" s="116">
        <v>1471.925</v>
      </c>
      <c r="D1617" s="116">
        <v>1467.2750000000001</v>
      </c>
      <c r="E1617" s="116">
        <v>1472.575</v>
      </c>
      <c r="F1617" s="116">
        <v>2943.85</v>
      </c>
      <c r="G1617">
        <v>4102</v>
      </c>
      <c r="H1617" s="116"/>
      <c r="I1617" s="116"/>
      <c r="L1617" s="170">
        <v>44385</v>
      </c>
      <c r="M1617" s="116">
        <v>1472.75</v>
      </c>
      <c r="N1617" s="116">
        <v>1488.75</v>
      </c>
      <c r="O1617" s="116">
        <v>1466.1</v>
      </c>
      <c r="P1617" s="116">
        <v>1474.55</v>
      </c>
      <c r="Q1617" s="116">
        <v>2945.5</v>
      </c>
      <c r="R1617">
        <v>119434</v>
      </c>
    </row>
    <row r="1618" spans="1:18" x14ac:dyDescent="0.25">
      <c r="A1618" s="170">
        <v>44386</v>
      </c>
      <c r="B1618" s="116">
        <v>1506.4749999999999</v>
      </c>
      <c r="C1618" s="116">
        <v>1502.825</v>
      </c>
      <c r="D1618" s="116">
        <v>1462</v>
      </c>
      <c r="E1618" s="116">
        <v>1462.5</v>
      </c>
      <c r="F1618" s="116">
        <v>3005.65</v>
      </c>
      <c r="G1618">
        <v>9631</v>
      </c>
      <c r="H1618" s="116"/>
      <c r="I1618" s="116"/>
      <c r="L1618" s="170">
        <v>44386</v>
      </c>
      <c r="M1618" s="116">
        <v>1502.5250000000001</v>
      </c>
      <c r="N1618" s="116">
        <v>1507</v>
      </c>
      <c r="O1618" s="116">
        <v>1462</v>
      </c>
      <c r="P1618" s="116">
        <v>1472.25</v>
      </c>
      <c r="Q1618" s="116">
        <v>3005.05</v>
      </c>
      <c r="R1618">
        <v>283378</v>
      </c>
    </row>
    <row r="1619" spans="1:18" x14ac:dyDescent="0.25">
      <c r="A1619" s="170">
        <v>44389</v>
      </c>
      <c r="B1619" s="116">
        <v>1514.8</v>
      </c>
      <c r="C1619" s="116">
        <v>1505.875</v>
      </c>
      <c r="D1619" s="116">
        <v>1495.825</v>
      </c>
      <c r="E1619" s="116">
        <v>1504.675</v>
      </c>
      <c r="F1619" s="116">
        <v>3011.75</v>
      </c>
      <c r="G1619">
        <v>28977</v>
      </c>
      <c r="H1619" s="116"/>
      <c r="I1619" s="116"/>
      <c r="L1619" s="170">
        <v>44389</v>
      </c>
      <c r="M1619" s="116">
        <v>1506.35</v>
      </c>
      <c r="N1619" s="116">
        <v>1514.95</v>
      </c>
      <c r="O1619" s="116">
        <v>1496</v>
      </c>
      <c r="P1619" s="116">
        <v>1508.5</v>
      </c>
      <c r="Q1619" s="116">
        <v>3012.7</v>
      </c>
      <c r="R1619">
        <v>85161</v>
      </c>
    </row>
    <row r="1620" spans="1:18" x14ac:dyDescent="0.25">
      <c r="A1620" s="170">
        <v>44390</v>
      </c>
      <c r="B1620" s="116">
        <v>1542.425</v>
      </c>
      <c r="C1620" s="116">
        <v>1507.55</v>
      </c>
      <c r="D1620" s="116">
        <v>1500.1</v>
      </c>
      <c r="E1620" s="116">
        <v>1506</v>
      </c>
      <c r="F1620" s="116">
        <v>3015.1</v>
      </c>
      <c r="G1620">
        <v>10335</v>
      </c>
      <c r="H1620" s="116"/>
      <c r="I1620" s="116"/>
      <c r="L1620" s="170">
        <v>44390</v>
      </c>
      <c r="M1620" s="116">
        <v>1507.7249999999999</v>
      </c>
      <c r="N1620" s="116">
        <v>1542.8</v>
      </c>
      <c r="O1620" s="116">
        <v>1498.75</v>
      </c>
      <c r="P1620" s="116">
        <v>1515</v>
      </c>
      <c r="Q1620" s="116">
        <v>3015.45</v>
      </c>
      <c r="R1620">
        <v>384241</v>
      </c>
    </row>
    <row r="1621" spans="1:18" x14ac:dyDescent="0.25">
      <c r="A1621" s="170">
        <v>44391</v>
      </c>
      <c r="B1621" s="116">
        <v>1513.175</v>
      </c>
      <c r="C1621" s="116">
        <v>1505.125</v>
      </c>
      <c r="D1621" s="116">
        <v>1495</v>
      </c>
      <c r="E1621" s="116">
        <v>1513.0250000000001</v>
      </c>
      <c r="F1621" s="116">
        <v>3010.25</v>
      </c>
      <c r="G1621">
        <v>19485</v>
      </c>
      <c r="H1621" s="116"/>
      <c r="I1621" s="116"/>
      <c r="L1621" s="170">
        <v>44391</v>
      </c>
      <c r="M1621" s="116">
        <v>1505.825</v>
      </c>
      <c r="N1621" s="116">
        <v>1514.1</v>
      </c>
      <c r="O1621" s="116">
        <v>1493.6</v>
      </c>
      <c r="P1621" s="116">
        <v>1502.5</v>
      </c>
      <c r="Q1621" s="116">
        <v>3011.65</v>
      </c>
      <c r="R1621">
        <v>121400</v>
      </c>
    </row>
    <row r="1622" spans="1:18" x14ac:dyDescent="0.25">
      <c r="A1622" s="170">
        <v>44392</v>
      </c>
      <c r="B1622" s="116">
        <v>1522.175</v>
      </c>
      <c r="C1622" s="116">
        <v>1499.625</v>
      </c>
      <c r="D1622" s="116">
        <v>1496.9</v>
      </c>
      <c r="E1622" s="116">
        <v>1507.5</v>
      </c>
      <c r="F1622" s="116">
        <v>2999.25</v>
      </c>
      <c r="G1622">
        <v>1483</v>
      </c>
      <c r="H1622" s="116"/>
      <c r="I1622" s="116"/>
      <c r="L1622" s="170">
        <v>44392</v>
      </c>
      <c r="M1622" s="116">
        <v>1500.65</v>
      </c>
      <c r="N1622" s="116">
        <v>1523.2750000000001</v>
      </c>
      <c r="O1622" s="116">
        <v>1497.0250000000001</v>
      </c>
      <c r="P1622" s="116">
        <v>1507.5</v>
      </c>
      <c r="Q1622" s="116">
        <v>3001.3</v>
      </c>
      <c r="R1622">
        <v>99451</v>
      </c>
    </row>
    <row r="1623" spans="1:18" x14ac:dyDescent="0.25">
      <c r="A1623" s="170">
        <v>44393</v>
      </c>
      <c r="B1623" s="116">
        <v>1515.125</v>
      </c>
      <c r="C1623" s="116">
        <v>1495.05</v>
      </c>
      <c r="D1623" s="116">
        <v>1489.675</v>
      </c>
      <c r="E1623" s="116">
        <v>1495</v>
      </c>
      <c r="F1623" s="116">
        <v>2990.1</v>
      </c>
      <c r="G1623">
        <v>26561</v>
      </c>
      <c r="H1623" s="116"/>
      <c r="I1623" s="116"/>
      <c r="L1623" s="170">
        <v>44393</v>
      </c>
      <c r="M1623" s="116">
        <v>1495.375</v>
      </c>
      <c r="N1623" s="116">
        <v>1516</v>
      </c>
      <c r="O1623" s="116">
        <v>1489.2</v>
      </c>
      <c r="P1623" s="116">
        <v>1495.5</v>
      </c>
      <c r="Q1623" s="116">
        <v>2990.75</v>
      </c>
      <c r="R1623">
        <v>158918</v>
      </c>
    </row>
    <row r="1624" spans="1:18" x14ac:dyDescent="0.25">
      <c r="A1624" s="170">
        <v>44396</v>
      </c>
      <c r="B1624" s="116">
        <v>1500.1</v>
      </c>
      <c r="C1624" s="116">
        <v>1485.2750000000001</v>
      </c>
      <c r="D1624" s="116">
        <v>1478.675</v>
      </c>
      <c r="E1624" s="116">
        <v>1495.05</v>
      </c>
      <c r="F1624" s="116">
        <v>2970.55</v>
      </c>
      <c r="G1624">
        <v>24608</v>
      </c>
      <c r="H1624" s="116"/>
      <c r="I1624" s="116"/>
      <c r="L1624" s="170">
        <v>44396</v>
      </c>
      <c r="M1624" s="116">
        <v>1484.6</v>
      </c>
      <c r="N1624" s="116">
        <v>1501.75</v>
      </c>
      <c r="O1624" s="116">
        <v>1477.25</v>
      </c>
      <c r="P1624" s="116">
        <v>1492.5</v>
      </c>
      <c r="Q1624" s="116">
        <v>2969.2</v>
      </c>
      <c r="R1624">
        <v>94987</v>
      </c>
    </row>
    <row r="1625" spans="1:18" x14ac:dyDescent="0.25">
      <c r="A1625" s="170">
        <v>44397</v>
      </c>
      <c r="B1625" s="116">
        <v>1505.875</v>
      </c>
      <c r="C1625" s="116">
        <v>1481.3</v>
      </c>
      <c r="D1625" s="116">
        <v>1473.375</v>
      </c>
      <c r="E1625" s="116">
        <v>1490.375</v>
      </c>
      <c r="F1625" s="116">
        <v>2962.6</v>
      </c>
      <c r="G1625">
        <v>4134</v>
      </c>
      <c r="H1625" s="116"/>
      <c r="I1625" s="116"/>
      <c r="L1625" s="170">
        <v>44397</v>
      </c>
      <c r="M1625" s="116">
        <v>1480.75</v>
      </c>
      <c r="N1625" s="116">
        <v>1506.9</v>
      </c>
      <c r="O1625" s="116">
        <v>1472.5</v>
      </c>
      <c r="P1625" s="116">
        <v>1480</v>
      </c>
      <c r="Q1625" s="116">
        <v>2961.5</v>
      </c>
      <c r="R1625">
        <v>126619</v>
      </c>
    </row>
    <row r="1626" spans="1:18" x14ac:dyDescent="0.25">
      <c r="A1626" s="170">
        <v>44399</v>
      </c>
      <c r="B1626" s="116">
        <v>1508.2</v>
      </c>
      <c r="C1626" s="116">
        <v>1506.15</v>
      </c>
      <c r="D1626" s="116">
        <v>1477</v>
      </c>
      <c r="E1626" s="116">
        <v>1480.075</v>
      </c>
      <c r="F1626" s="116">
        <v>3012.3</v>
      </c>
      <c r="G1626">
        <v>6736</v>
      </c>
      <c r="H1626" s="116"/>
      <c r="I1626" s="116"/>
      <c r="L1626" s="170">
        <v>44399</v>
      </c>
      <c r="M1626" s="116">
        <v>1506.7750000000001</v>
      </c>
      <c r="N1626" s="116">
        <v>1508.95</v>
      </c>
      <c r="O1626" s="116">
        <v>1477.5</v>
      </c>
      <c r="P1626" s="116">
        <v>1491.175</v>
      </c>
      <c r="Q1626" s="116">
        <v>3013.55</v>
      </c>
      <c r="R1626">
        <v>137567</v>
      </c>
    </row>
    <row r="1627" spans="1:18" x14ac:dyDescent="0.25">
      <c r="A1627" s="170">
        <v>44400</v>
      </c>
      <c r="B1627" s="116">
        <v>1534.2750000000001</v>
      </c>
      <c r="C1627" s="116">
        <v>1521.925</v>
      </c>
      <c r="D1627" s="116">
        <v>1498.9</v>
      </c>
      <c r="E1627" s="116">
        <v>1505.9749999999999</v>
      </c>
      <c r="F1627" s="116">
        <v>3043.85</v>
      </c>
      <c r="G1627">
        <v>5292</v>
      </c>
      <c r="H1627" s="116"/>
      <c r="I1627" s="116"/>
      <c r="L1627" s="170">
        <v>44400</v>
      </c>
      <c r="M1627" s="116">
        <v>1521.6</v>
      </c>
      <c r="N1627" s="116">
        <v>1534.5</v>
      </c>
      <c r="O1627" s="116">
        <v>1497.9749999999999</v>
      </c>
      <c r="P1627" s="116">
        <v>1506</v>
      </c>
      <c r="Q1627" s="116">
        <v>3043.2</v>
      </c>
      <c r="R1627">
        <v>228574</v>
      </c>
    </row>
    <row r="1628" spans="1:18" x14ac:dyDescent="0.25">
      <c r="A1628" s="170">
        <v>44403</v>
      </c>
      <c r="B1628" s="116">
        <v>1554</v>
      </c>
      <c r="C1628" s="116">
        <v>1539.5250000000001</v>
      </c>
      <c r="D1628" s="116">
        <v>1515.2750000000001</v>
      </c>
      <c r="E1628" s="116">
        <v>1527.5</v>
      </c>
      <c r="F1628" s="116">
        <v>3079.05</v>
      </c>
      <c r="G1628">
        <v>8712</v>
      </c>
      <c r="H1628" s="116"/>
      <c r="I1628" s="116"/>
      <c r="L1628" s="170">
        <v>44403</v>
      </c>
      <c r="M1628" s="116">
        <v>1539.6</v>
      </c>
      <c r="N1628" s="116">
        <v>1554.5</v>
      </c>
      <c r="O1628" s="116">
        <v>1514</v>
      </c>
      <c r="P1628" s="116">
        <v>1522.5</v>
      </c>
      <c r="Q1628" s="116">
        <v>3079.2</v>
      </c>
      <c r="R1628">
        <v>263353</v>
      </c>
    </row>
    <row r="1629" spans="1:18" x14ac:dyDescent="0.25">
      <c r="A1629" s="170">
        <v>44404</v>
      </c>
      <c r="B1629" s="116">
        <v>1560.7249999999999</v>
      </c>
      <c r="C1629" s="116">
        <v>1501.875</v>
      </c>
      <c r="D1629" s="116">
        <v>1483.45</v>
      </c>
      <c r="E1629" s="116">
        <v>1555</v>
      </c>
      <c r="F1629" s="116">
        <v>3003.75</v>
      </c>
      <c r="G1629">
        <v>10780</v>
      </c>
      <c r="H1629" s="116"/>
      <c r="I1629" s="116"/>
      <c r="L1629" s="170">
        <v>44404</v>
      </c>
      <c r="M1629" s="116">
        <v>1501.425</v>
      </c>
      <c r="N1629" s="116">
        <v>1572</v>
      </c>
      <c r="O1629" s="116">
        <v>1480.1</v>
      </c>
      <c r="P1629" s="116">
        <v>1548.15</v>
      </c>
      <c r="Q1629" s="116">
        <v>3002.85</v>
      </c>
      <c r="R1629">
        <v>389562</v>
      </c>
    </row>
    <row r="1630" spans="1:18" x14ac:dyDescent="0.25">
      <c r="A1630" s="170">
        <v>44405</v>
      </c>
      <c r="B1630" s="116">
        <v>1552.925</v>
      </c>
      <c r="C1630" s="116">
        <v>1542.05</v>
      </c>
      <c r="D1630" s="116">
        <v>1445</v>
      </c>
      <c r="E1630" s="116">
        <v>1515</v>
      </c>
      <c r="F1630" s="116">
        <v>3084.1</v>
      </c>
      <c r="G1630">
        <v>46565</v>
      </c>
      <c r="H1630" s="116"/>
      <c r="I1630" s="116"/>
      <c r="L1630" s="170">
        <v>44405</v>
      </c>
      <c r="M1630" s="116">
        <v>1542.35</v>
      </c>
      <c r="N1630" s="116">
        <v>1553.4</v>
      </c>
      <c r="O1630" s="116">
        <v>1444</v>
      </c>
      <c r="P1630" s="116">
        <v>1512.45</v>
      </c>
      <c r="Q1630" s="116">
        <v>3084.7</v>
      </c>
      <c r="R1630">
        <v>916364</v>
      </c>
    </row>
    <row r="1631" spans="1:18" x14ac:dyDescent="0.25">
      <c r="A1631" s="170">
        <v>44406</v>
      </c>
      <c r="B1631" s="116">
        <v>1554.5</v>
      </c>
      <c r="C1631" s="116">
        <v>1518.5250000000001</v>
      </c>
      <c r="D1631" s="116">
        <v>1504.7249999999999</v>
      </c>
      <c r="E1631" s="116">
        <v>1554.5</v>
      </c>
      <c r="F1631" s="116">
        <v>3037.05</v>
      </c>
      <c r="G1631">
        <v>6240</v>
      </c>
      <c r="H1631" s="116"/>
      <c r="I1631" s="116"/>
      <c r="L1631" s="170">
        <v>44406</v>
      </c>
      <c r="M1631" s="116">
        <v>1518.7</v>
      </c>
      <c r="N1631" s="116">
        <v>1550.675</v>
      </c>
      <c r="O1631" s="116">
        <v>1503.1</v>
      </c>
      <c r="P1631" s="116">
        <v>1550</v>
      </c>
      <c r="Q1631" s="116">
        <v>3037.4</v>
      </c>
      <c r="R1631">
        <v>142879</v>
      </c>
    </row>
    <row r="1632" spans="1:18" x14ac:dyDescent="0.25">
      <c r="A1632" s="170">
        <v>44407</v>
      </c>
      <c r="B1632" s="116">
        <v>1551.2</v>
      </c>
      <c r="C1632" s="116">
        <v>1534.85</v>
      </c>
      <c r="D1632" s="116">
        <v>1513.2</v>
      </c>
      <c r="E1632" s="116">
        <v>1523.1</v>
      </c>
      <c r="F1632" s="116">
        <v>3069.7</v>
      </c>
      <c r="G1632">
        <v>28025</v>
      </c>
      <c r="H1632" s="116"/>
      <c r="I1632" s="116"/>
      <c r="L1632" s="170">
        <v>44407</v>
      </c>
      <c r="M1632" s="116">
        <v>1535.55</v>
      </c>
      <c r="N1632" s="116">
        <v>1552.875</v>
      </c>
      <c r="O1632" s="116">
        <v>1511.825</v>
      </c>
      <c r="P1632" s="116">
        <v>1523.1</v>
      </c>
      <c r="Q1632" s="116">
        <v>3071.1</v>
      </c>
      <c r="R1632">
        <v>189894</v>
      </c>
    </row>
    <row r="1633" spans="1:18" x14ac:dyDescent="0.25">
      <c r="A1633" s="170">
        <v>44410</v>
      </c>
      <c r="B1633" s="116">
        <v>1553</v>
      </c>
      <c r="C1633" s="116">
        <v>1538.175</v>
      </c>
      <c r="D1633" s="116">
        <v>1529.5</v>
      </c>
      <c r="E1633" s="116">
        <v>1537.4</v>
      </c>
      <c r="F1633" s="116">
        <v>3076.35</v>
      </c>
      <c r="G1633">
        <v>7127</v>
      </c>
      <c r="H1633" s="116"/>
      <c r="I1633" s="116"/>
      <c r="L1633" s="170">
        <v>44410</v>
      </c>
      <c r="M1633" s="116">
        <v>1538.175</v>
      </c>
      <c r="N1633" s="116">
        <v>1552.5</v>
      </c>
      <c r="O1633" s="116">
        <v>1529.05</v>
      </c>
      <c r="P1633" s="116">
        <v>1544</v>
      </c>
      <c r="Q1633" s="116">
        <v>3076.35</v>
      </c>
      <c r="R1633">
        <v>130297</v>
      </c>
    </row>
    <row r="1634" spans="1:18" x14ac:dyDescent="0.25">
      <c r="A1634" s="170">
        <v>44411</v>
      </c>
      <c r="B1634" s="116">
        <v>1561.8</v>
      </c>
      <c r="C1634" s="116">
        <v>1551.25</v>
      </c>
      <c r="D1634" s="116">
        <v>1533.5</v>
      </c>
      <c r="E1634" s="116">
        <v>1533.5</v>
      </c>
      <c r="F1634" s="116">
        <v>3102.5</v>
      </c>
      <c r="G1634">
        <v>3433</v>
      </c>
      <c r="H1634" s="116"/>
      <c r="I1634" s="116"/>
      <c r="L1634" s="170">
        <v>44411</v>
      </c>
      <c r="M1634" s="116">
        <v>1550.75</v>
      </c>
      <c r="N1634" s="116">
        <v>1562.4749999999999</v>
      </c>
      <c r="O1634" s="116">
        <v>1534.075</v>
      </c>
      <c r="P1634" s="116">
        <v>1539.75</v>
      </c>
      <c r="Q1634" s="116">
        <v>3101.5</v>
      </c>
      <c r="R1634">
        <v>85118</v>
      </c>
    </row>
    <row r="1635" spans="1:18" x14ac:dyDescent="0.25">
      <c r="A1635" s="170">
        <v>44412</v>
      </c>
      <c r="B1635" s="116">
        <v>1564.75</v>
      </c>
      <c r="C1635" s="116">
        <v>1537.6</v>
      </c>
      <c r="D1635" s="116">
        <v>1530.9749999999999</v>
      </c>
      <c r="E1635" s="116">
        <v>1559.9</v>
      </c>
      <c r="F1635" s="116">
        <v>3075.2</v>
      </c>
      <c r="G1635">
        <v>4368</v>
      </c>
      <c r="H1635" s="116"/>
      <c r="I1635" s="116"/>
      <c r="L1635" s="170">
        <v>44412</v>
      </c>
      <c r="M1635" s="116">
        <v>1536.9</v>
      </c>
      <c r="N1635" s="116">
        <v>1565.65</v>
      </c>
      <c r="O1635" s="116">
        <v>1530.65</v>
      </c>
      <c r="P1635" s="116">
        <v>1564</v>
      </c>
      <c r="Q1635" s="116">
        <v>3073.8</v>
      </c>
      <c r="R1635">
        <v>87418</v>
      </c>
    </row>
    <row r="1636" spans="1:18" x14ac:dyDescent="0.25">
      <c r="A1636" s="170">
        <v>44413</v>
      </c>
      <c r="B1636" s="116">
        <v>1543</v>
      </c>
      <c r="C1636" s="116">
        <v>1529.05</v>
      </c>
      <c r="D1636" s="116">
        <v>1524.35</v>
      </c>
      <c r="E1636" s="116">
        <v>1540.85</v>
      </c>
      <c r="F1636" s="116">
        <v>3058.1</v>
      </c>
      <c r="G1636">
        <v>2504</v>
      </c>
      <c r="H1636" s="116"/>
      <c r="I1636" s="116"/>
      <c r="L1636" s="170">
        <v>44413</v>
      </c>
      <c r="M1636" s="116">
        <v>1528.35</v>
      </c>
      <c r="N1636" s="116">
        <v>1543.25</v>
      </c>
      <c r="O1636" s="116">
        <v>1523.95</v>
      </c>
      <c r="P1636" s="116">
        <v>1541.4749999999999</v>
      </c>
      <c r="Q1636" s="116">
        <v>3056.7</v>
      </c>
      <c r="R1636">
        <v>58410</v>
      </c>
    </row>
    <row r="1637" spans="1:18" x14ac:dyDescent="0.25">
      <c r="A1637" s="170">
        <v>44414</v>
      </c>
      <c r="B1637" s="116">
        <v>1535</v>
      </c>
      <c r="C1637" s="116">
        <v>1531.575</v>
      </c>
      <c r="D1637" s="116">
        <v>1517.05</v>
      </c>
      <c r="E1637" s="116">
        <v>1525.075</v>
      </c>
      <c r="F1637" s="116">
        <v>3063.15</v>
      </c>
      <c r="G1637">
        <v>1522</v>
      </c>
      <c r="H1637" s="116"/>
      <c r="I1637" s="116"/>
      <c r="L1637" s="170">
        <v>44414</v>
      </c>
      <c r="M1637" s="116">
        <v>1531.9749999999999</v>
      </c>
      <c r="N1637" s="116">
        <v>1536.5</v>
      </c>
      <c r="O1637" s="116">
        <v>1516.5</v>
      </c>
      <c r="P1637" s="116">
        <v>1533</v>
      </c>
      <c r="Q1637" s="116">
        <v>3063.95</v>
      </c>
      <c r="R1637">
        <v>119110</v>
      </c>
    </row>
    <row r="1638" spans="1:18" x14ac:dyDescent="0.25">
      <c r="A1638" s="170">
        <v>44417</v>
      </c>
      <c r="B1638" s="116">
        <v>1559</v>
      </c>
      <c r="C1638" s="116">
        <v>1536.95</v>
      </c>
      <c r="D1638" s="116">
        <v>1524.5</v>
      </c>
      <c r="E1638" s="116">
        <v>1559</v>
      </c>
      <c r="F1638" s="116">
        <v>3073.9</v>
      </c>
      <c r="G1638">
        <v>2327</v>
      </c>
      <c r="H1638" s="116"/>
      <c r="I1638" s="116"/>
      <c r="L1638" s="170">
        <v>44417</v>
      </c>
      <c r="M1638" s="116">
        <v>1536.75</v>
      </c>
      <c r="N1638" s="116">
        <v>1559.5</v>
      </c>
      <c r="O1638" s="116">
        <v>1523.85</v>
      </c>
      <c r="P1638" s="116">
        <v>1559.5</v>
      </c>
      <c r="Q1638" s="116">
        <v>3073.5</v>
      </c>
      <c r="R1638">
        <v>110093</v>
      </c>
    </row>
    <row r="1639" spans="1:18" x14ac:dyDescent="0.25">
      <c r="A1639" s="170">
        <v>44418</v>
      </c>
      <c r="B1639" s="116">
        <v>1552.3</v>
      </c>
      <c r="C1639" s="116">
        <v>1513.925</v>
      </c>
      <c r="D1639" s="116">
        <v>1496.95</v>
      </c>
      <c r="E1639" s="116">
        <v>1552.3</v>
      </c>
      <c r="F1639" s="116">
        <v>3027.85</v>
      </c>
      <c r="G1639">
        <v>4582</v>
      </c>
      <c r="H1639" s="116"/>
      <c r="I1639" s="116"/>
      <c r="L1639" s="170">
        <v>44418</v>
      </c>
      <c r="M1639" s="116">
        <v>1513.325</v>
      </c>
      <c r="N1639" s="116">
        <v>1551.575</v>
      </c>
      <c r="O1639" s="116">
        <v>1497.5</v>
      </c>
      <c r="P1639" s="116">
        <v>1541.5</v>
      </c>
      <c r="Q1639" s="116">
        <v>3026.65</v>
      </c>
      <c r="R1639">
        <v>238315</v>
      </c>
    </row>
    <row r="1640" spans="1:18" x14ac:dyDescent="0.25">
      <c r="A1640" s="170">
        <v>44419</v>
      </c>
      <c r="B1640" s="116">
        <v>1523.5</v>
      </c>
      <c r="C1640" s="116">
        <v>1451.125</v>
      </c>
      <c r="D1640" s="116">
        <v>1440.5</v>
      </c>
      <c r="E1640" s="116">
        <v>1515.5</v>
      </c>
      <c r="F1640" s="116">
        <v>2902.25</v>
      </c>
      <c r="G1640">
        <v>16909</v>
      </c>
      <c r="H1640" s="116"/>
      <c r="I1640" s="116"/>
      <c r="L1640" s="170">
        <v>44419</v>
      </c>
      <c r="M1640" s="116">
        <v>1451.0250000000001</v>
      </c>
      <c r="N1640" s="116">
        <v>1523.3</v>
      </c>
      <c r="O1640" s="116">
        <v>1440.7249999999999</v>
      </c>
      <c r="P1640" s="116">
        <v>1514.5</v>
      </c>
      <c r="Q1640" s="116">
        <v>2902.05</v>
      </c>
      <c r="R1640">
        <v>737709</v>
      </c>
    </row>
    <row r="1641" spans="1:18" x14ac:dyDescent="0.25">
      <c r="A1641" s="170">
        <v>44420</v>
      </c>
      <c r="B1641" s="116">
        <v>1470</v>
      </c>
      <c r="C1641" s="116">
        <v>1455.675</v>
      </c>
      <c r="D1641" s="116">
        <v>1434.375</v>
      </c>
      <c r="E1641" s="116">
        <v>1445.8</v>
      </c>
      <c r="F1641" s="116">
        <v>2911.35</v>
      </c>
      <c r="G1641">
        <v>8727</v>
      </c>
      <c r="H1641" s="116"/>
      <c r="I1641" s="116"/>
      <c r="L1641" s="170">
        <v>44420</v>
      </c>
      <c r="M1641" s="116">
        <v>1455.925</v>
      </c>
      <c r="N1641" s="116">
        <v>1471.075</v>
      </c>
      <c r="O1641" s="116">
        <v>1434.45</v>
      </c>
      <c r="P1641" s="116">
        <v>1457.5</v>
      </c>
      <c r="Q1641" s="116">
        <v>2911.85</v>
      </c>
      <c r="R1641">
        <v>287152</v>
      </c>
    </row>
    <row r="1642" spans="1:18" x14ac:dyDescent="0.25">
      <c r="A1642" s="170">
        <v>44421</v>
      </c>
      <c r="B1642" s="116">
        <v>1485</v>
      </c>
      <c r="C1642" s="116">
        <v>1482.175</v>
      </c>
      <c r="D1642" s="116">
        <v>1427.925</v>
      </c>
      <c r="E1642" s="116">
        <v>1454.9749999999999</v>
      </c>
      <c r="F1642" s="116">
        <v>2964.35</v>
      </c>
      <c r="G1642">
        <v>8954</v>
      </c>
      <c r="H1642" s="116"/>
      <c r="I1642" s="116"/>
      <c r="L1642" s="170">
        <v>44421</v>
      </c>
      <c r="M1642" s="116">
        <v>1481.875</v>
      </c>
      <c r="N1642" s="116">
        <v>1487.5</v>
      </c>
      <c r="O1642" s="116">
        <v>1427</v>
      </c>
      <c r="P1642" s="116">
        <v>1455.5</v>
      </c>
      <c r="Q1642" s="116">
        <v>2963.75</v>
      </c>
      <c r="R1642">
        <v>237801</v>
      </c>
    </row>
    <row r="1643" spans="1:18" x14ac:dyDescent="0.25">
      <c r="A1643" s="170">
        <v>44424</v>
      </c>
      <c r="B1643" s="116">
        <v>1493.175</v>
      </c>
      <c r="C1643" s="116">
        <v>1477.575</v>
      </c>
      <c r="D1643" s="116">
        <v>1460.5</v>
      </c>
      <c r="E1643" s="116">
        <v>1488</v>
      </c>
      <c r="F1643" s="116">
        <v>2955.15</v>
      </c>
      <c r="G1643">
        <v>6829</v>
      </c>
      <c r="H1643" s="116"/>
      <c r="I1643" s="116"/>
      <c r="L1643" s="170">
        <v>44424</v>
      </c>
      <c r="M1643" s="116">
        <v>1477.425</v>
      </c>
      <c r="N1643" s="116">
        <v>1494.425</v>
      </c>
      <c r="O1643" s="116">
        <v>1460</v>
      </c>
      <c r="P1643" s="116">
        <v>1486.5</v>
      </c>
      <c r="Q1643" s="116">
        <v>2954.85</v>
      </c>
      <c r="R1643">
        <v>93978</v>
      </c>
    </row>
    <row r="1644" spans="1:18" x14ac:dyDescent="0.25">
      <c r="A1644" s="170">
        <v>44425</v>
      </c>
      <c r="B1644" s="116">
        <v>1520.625</v>
      </c>
      <c r="C1644" s="116">
        <v>1503.35</v>
      </c>
      <c r="D1644" s="116">
        <v>1470.075</v>
      </c>
      <c r="E1644" s="116">
        <v>1470.075</v>
      </c>
      <c r="F1644" s="116">
        <v>3006.7</v>
      </c>
      <c r="G1644">
        <v>15583</v>
      </c>
      <c r="H1644" s="116"/>
      <c r="I1644" s="116"/>
      <c r="L1644" s="170">
        <v>44425</v>
      </c>
      <c r="M1644" s="116">
        <v>1504.0250000000001</v>
      </c>
      <c r="N1644" s="116">
        <v>1521.075</v>
      </c>
      <c r="O1644" s="116">
        <v>1475.875</v>
      </c>
      <c r="P1644" s="116">
        <v>1479</v>
      </c>
      <c r="Q1644" s="116">
        <v>3008.05</v>
      </c>
      <c r="R1644">
        <v>240714</v>
      </c>
    </row>
    <row r="1645" spans="1:18" x14ac:dyDescent="0.25">
      <c r="A1645" s="170">
        <v>44426</v>
      </c>
      <c r="B1645" s="116">
        <v>1533.2</v>
      </c>
      <c r="C1645" s="116">
        <v>1526.7</v>
      </c>
      <c r="D1645" s="116">
        <v>1491.05</v>
      </c>
      <c r="E1645" s="116">
        <v>1491.05</v>
      </c>
      <c r="F1645" s="116">
        <v>3053.4</v>
      </c>
      <c r="G1645">
        <v>2536</v>
      </c>
      <c r="H1645" s="116"/>
      <c r="I1645" s="116"/>
      <c r="L1645" s="170">
        <v>44426</v>
      </c>
      <c r="M1645" s="116">
        <v>1526.125</v>
      </c>
      <c r="N1645" s="116">
        <v>1533.9749999999999</v>
      </c>
      <c r="O1645" s="116">
        <v>1503.125</v>
      </c>
      <c r="P1645" s="116">
        <v>1505.375</v>
      </c>
      <c r="Q1645" s="116">
        <v>3052.25</v>
      </c>
      <c r="R1645">
        <v>78854</v>
      </c>
    </row>
    <row r="1646" spans="1:18" x14ac:dyDescent="0.25">
      <c r="A1646" s="170">
        <v>44428</v>
      </c>
      <c r="B1646" s="116">
        <v>1552.5</v>
      </c>
      <c r="C1646" s="116">
        <v>1517.9749999999999</v>
      </c>
      <c r="D1646" s="116">
        <v>1485.8</v>
      </c>
      <c r="E1646" s="116">
        <v>1529</v>
      </c>
      <c r="F1646" s="116">
        <v>3035.95</v>
      </c>
      <c r="G1646">
        <v>10545</v>
      </c>
      <c r="H1646" s="116"/>
      <c r="I1646" s="116"/>
      <c r="L1646" s="170">
        <v>44428</v>
      </c>
      <c r="M1646" s="116">
        <v>1518.05</v>
      </c>
      <c r="N1646" s="116">
        <v>1552.5</v>
      </c>
      <c r="O1646" s="116">
        <v>1485.0250000000001</v>
      </c>
      <c r="P1646" s="116">
        <v>1526</v>
      </c>
      <c r="Q1646" s="116">
        <v>3036.1</v>
      </c>
      <c r="R1646">
        <v>265107</v>
      </c>
    </row>
    <row r="1647" spans="1:18" x14ac:dyDescent="0.25">
      <c r="A1647" s="170">
        <v>44431</v>
      </c>
      <c r="B1647" s="116">
        <v>1535.3</v>
      </c>
      <c r="C1647" s="116">
        <v>1531.05</v>
      </c>
      <c r="D1647" s="116">
        <v>1500.675</v>
      </c>
      <c r="E1647" s="116">
        <v>1510</v>
      </c>
      <c r="F1647" s="116">
        <v>3062.1</v>
      </c>
      <c r="G1647">
        <v>3903</v>
      </c>
      <c r="H1647" s="116"/>
      <c r="I1647" s="116"/>
      <c r="L1647" s="170">
        <v>44431</v>
      </c>
      <c r="M1647" s="116">
        <v>1530.9749999999999</v>
      </c>
      <c r="N1647" s="116">
        <v>1535.4749999999999</v>
      </c>
      <c r="O1647" s="116">
        <v>1500</v>
      </c>
      <c r="P1647" s="116">
        <v>1523</v>
      </c>
      <c r="Q1647" s="116">
        <v>3061.95</v>
      </c>
      <c r="R1647">
        <v>101868</v>
      </c>
    </row>
    <row r="1648" spans="1:18" x14ac:dyDescent="0.25">
      <c r="A1648" s="170">
        <v>44432</v>
      </c>
      <c r="B1648" s="116">
        <v>1542.7249999999999</v>
      </c>
      <c r="C1648" s="116">
        <v>1528.375</v>
      </c>
      <c r="D1648" s="116">
        <v>1503.3</v>
      </c>
      <c r="E1648" s="116">
        <v>1536</v>
      </c>
      <c r="F1648" s="116">
        <v>3056.75</v>
      </c>
      <c r="G1648">
        <v>4353</v>
      </c>
      <c r="H1648" s="116"/>
      <c r="I1648" s="116"/>
      <c r="L1648" s="170">
        <v>44432</v>
      </c>
      <c r="M1648" s="116">
        <v>1528.2750000000001</v>
      </c>
      <c r="N1648" s="116">
        <v>1545.75</v>
      </c>
      <c r="O1648" s="116">
        <v>1503.4</v>
      </c>
      <c r="P1648" s="116">
        <v>1534.5</v>
      </c>
      <c r="Q1648" s="116">
        <v>3056.55</v>
      </c>
      <c r="R1648">
        <v>107024</v>
      </c>
    </row>
    <row r="1649" spans="1:18" x14ac:dyDescent="0.25">
      <c r="A1649" s="170">
        <v>44433</v>
      </c>
      <c r="B1649" s="116">
        <v>1540.15</v>
      </c>
      <c r="C1649" s="116">
        <v>1527.45</v>
      </c>
      <c r="D1649" s="116">
        <v>1517.4749999999999</v>
      </c>
      <c r="E1649" s="116">
        <v>1531.2249999999999</v>
      </c>
      <c r="F1649" s="116">
        <v>3054.9</v>
      </c>
      <c r="G1649">
        <v>3149</v>
      </c>
      <c r="H1649" s="116"/>
      <c r="I1649" s="116"/>
      <c r="L1649" s="170">
        <v>44433</v>
      </c>
      <c r="M1649" s="116">
        <v>1527.125</v>
      </c>
      <c r="N1649" s="116">
        <v>1536.9</v>
      </c>
      <c r="O1649" s="116">
        <v>1517.4</v>
      </c>
      <c r="P1649" s="116">
        <v>1531.5</v>
      </c>
      <c r="Q1649" s="116">
        <v>3054.25</v>
      </c>
      <c r="R1649">
        <v>70285</v>
      </c>
    </row>
    <row r="1650" spans="1:18" x14ac:dyDescent="0.25">
      <c r="A1650" s="170">
        <v>44434</v>
      </c>
      <c r="B1650" s="116">
        <v>1542.875</v>
      </c>
      <c r="C1650" s="116">
        <v>1525.7249999999999</v>
      </c>
      <c r="D1650" s="116">
        <v>1519.7</v>
      </c>
      <c r="E1650" s="116">
        <v>1525.1</v>
      </c>
      <c r="F1650" s="116">
        <v>3051.45</v>
      </c>
      <c r="G1650">
        <v>2247</v>
      </c>
      <c r="H1650" s="116"/>
      <c r="I1650" s="116"/>
      <c r="L1650" s="170">
        <v>44434</v>
      </c>
      <c r="M1650" s="116">
        <v>1526.375</v>
      </c>
      <c r="N1650" s="116">
        <v>1543.5250000000001</v>
      </c>
      <c r="O1650" s="116">
        <v>1518.3</v>
      </c>
      <c r="P1650" s="116">
        <v>1527</v>
      </c>
      <c r="Q1650" s="116">
        <v>3052.75</v>
      </c>
      <c r="R1650">
        <v>120644</v>
      </c>
    </row>
    <row r="1651" spans="1:18" x14ac:dyDescent="0.25">
      <c r="A1651" s="170">
        <v>44435</v>
      </c>
      <c r="B1651" s="116">
        <v>1541.175</v>
      </c>
      <c r="C1651" s="116">
        <v>1526.1</v>
      </c>
      <c r="D1651" s="116">
        <v>1518.325</v>
      </c>
      <c r="E1651" s="116">
        <v>1528.075</v>
      </c>
      <c r="F1651" s="116">
        <v>3052.2</v>
      </c>
      <c r="G1651">
        <v>2720</v>
      </c>
      <c r="H1651" s="116"/>
      <c r="I1651" s="116"/>
      <c r="L1651" s="170">
        <v>44435</v>
      </c>
      <c r="M1651" s="116">
        <v>1523.45</v>
      </c>
      <c r="N1651" s="116">
        <v>1543.4</v>
      </c>
      <c r="O1651" s="116">
        <v>1517.9749999999999</v>
      </c>
      <c r="P1651" s="116">
        <v>1530</v>
      </c>
      <c r="Q1651" s="116">
        <v>3046.9</v>
      </c>
      <c r="R1651">
        <v>85375</v>
      </c>
    </row>
    <row r="1652" spans="1:18" x14ac:dyDescent="0.25">
      <c r="A1652" s="170">
        <v>44438</v>
      </c>
      <c r="B1652" s="116">
        <v>1562.5</v>
      </c>
      <c r="C1652" s="116">
        <v>1545.45</v>
      </c>
      <c r="D1652" s="116">
        <v>1521.05</v>
      </c>
      <c r="E1652" s="116">
        <v>1530</v>
      </c>
      <c r="F1652" s="116">
        <v>3090.9</v>
      </c>
      <c r="G1652">
        <v>8027</v>
      </c>
      <c r="H1652" s="116"/>
      <c r="I1652" s="116"/>
      <c r="L1652" s="170">
        <v>44438</v>
      </c>
      <c r="M1652" s="116">
        <v>1546.2</v>
      </c>
      <c r="N1652" s="116">
        <v>1564.9</v>
      </c>
      <c r="O1652" s="116">
        <v>1520</v>
      </c>
      <c r="P1652" s="116">
        <v>1527.5</v>
      </c>
      <c r="Q1652" s="116">
        <v>3092.4</v>
      </c>
      <c r="R1652">
        <v>269592</v>
      </c>
    </row>
    <row r="1653" spans="1:18" x14ac:dyDescent="0.25">
      <c r="A1653" s="170">
        <v>44439</v>
      </c>
      <c r="B1653" s="116">
        <v>1578.2249999999999</v>
      </c>
      <c r="C1653" s="116">
        <v>1552.2</v>
      </c>
      <c r="D1653" s="116">
        <v>1535.9</v>
      </c>
      <c r="E1653" s="116">
        <v>1546.5</v>
      </c>
      <c r="F1653" s="116">
        <v>3104.4</v>
      </c>
      <c r="G1653">
        <v>51532</v>
      </c>
      <c r="H1653" s="116"/>
      <c r="I1653" s="116"/>
      <c r="L1653" s="170">
        <v>44439</v>
      </c>
      <c r="M1653" s="116">
        <v>1552.95</v>
      </c>
      <c r="N1653" s="116">
        <v>1578.95</v>
      </c>
      <c r="O1653" s="116">
        <v>1535.2</v>
      </c>
      <c r="P1653" s="116">
        <v>1544.6</v>
      </c>
      <c r="Q1653" s="116">
        <v>3105.9</v>
      </c>
      <c r="R1653">
        <v>303454</v>
      </c>
    </row>
    <row r="1654" spans="1:18" x14ac:dyDescent="0.25">
      <c r="A1654" s="170">
        <v>44440</v>
      </c>
      <c r="B1654" s="116">
        <v>1589.9749999999999</v>
      </c>
      <c r="C1654" s="116">
        <v>1583.9749999999999</v>
      </c>
      <c r="D1654" s="116">
        <v>1546.7</v>
      </c>
      <c r="E1654" s="116">
        <v>1552.075</v>
      </c>
      <c r="F1654" s="116">
        <v>3167.95</v>
      </c>
      <c r="G1654">
        <v>4201</v>
      </c>
      <c r="H1654" s="116"/>
      <c r="I1654" s="116"/>
      <c r="L1654" s="170">
        <v>44440</v>
      </c>
      <c r="M1654" s="116">
        <v>1583.75</v>
      </c>
      <c r="N1654" s="116">
        <v>1590</v>
      </c>
      <c r="O1654" s="116">
        <v>1546.175</v>
      </c>
      <c r="P1654" s="116">
        <v>1553.5</v>
      </c>
      <c r="Q1654" s="116">
        <v>3167.5</v>
      </c>
      <c r="R1654">
        <v>166202</v>
      </c>
    </row>
    <row r="1655" spans="1:18" x14ac:dyDescent="0.25">
      <c r="A1655" s="170">
        <v>44441</v>
      </c>
      <c r="B1655" s="116">
        <v>1592.85</v>
      </c>
      <c r="C1655" s="116">
        <v>1572.3</v>
      </c>
      <c r="D1655" s="116">
        <v>1566.95</v>
      </c>
      <c r="E1655" s="116">
        <v>1585.5250000000001</v>
      </c>
      <c r="F1655" s="116">
        <v>3144.6</v>
      </c>
      <c r="G1655">
        <v>4229</v>
      </c>
      <c r="H1655" s="116"/>
      <c r="I1655" s="116"/>
      <c r="L1655" s="170">
        <v>44441</v>
      </c>
      <c r="M1655" s="116">
        <v>1571.575</v>
      </c>
      <c r="N1655" s="116">
        <v>1593.95</v>
      </c>
      <c r="O1655" s="116">
        <v>1565</v>
      </c>
      <c r="P1655" s="116">
        <v>1585</v>
      </c>
      <c r="Q1655" s="116">
        <v>3143.15</v>
      </c>
      <c r="R1655">
        <v>94069</v>
      </c>
    </row>
    <row r="1656" spans="1:18" x14ac:dyDescent="0.25">
      <c r="A1656" s="170">
        <v>44442</v>
      </c>
      <c r="B1656" s="116">
        <v>1613.0250000000001</v>
      </c>
      <c r="C1656" s="116">
        <v>1596.375</v>
      </c>
      <c r="D1656" s="116">
        <v>1569.5250000000001</v>
      </c>
      <c r="E1656" s="116">
        <v>1570</v>
      </c>
      <c r="F1656" s="116">
        <v>3192.75</v>
      </c>
      <c r="G1656">
        <v>6883</v>
      </c>
      <c r="H1656" s="116"/>
      <c r="I1656" s="116"/>
      <c r="L1656" s="170">
        <v>44442</v>
      </c>
      <c r="M1656" s="116">
        <v>1594.825</v>
      </c>
      <c r="N1656" s="116">
        <v>1613.45</v>
      </c>
      <c r="O1656" s="116">
        <v>1570</v>
      </c>
      <c r="P1656" s="116">
        <v>1575.8</v>
      </c>
      <c r="Q1656" s="116">
        <v>3189.65</v>
      </c>
      <c r="R1656">
        <v>221589</v>
      </c>
    </row>
    <row r="1657" spans="1:18" x14ac:dyDescent="0.25">
      <c r="A1657" s="170">
        <v>44445</v>
      </c>
      <c r="B1657" s="116">
        <v>1598.4</v>
      </c>
      <c r="C1657" s="116">
        <v>1565.425</v>
      </c>
      <c r="D1657" s="116">
        <v>1561</v>
      </c>
      <c r="E1657" s="116">
        <v>1596.1</v>
      </c>
      <c r="F1657" s="116">
        <v>3130.85</v>
      </c>
      <c r="G1657">
        <v>4414</v>
      </c>
      <c r="H1657" s="116"/>
      <c r="I1657" s="116"/>
      <c r="L1657" s="170">
        <v>44445</v>
      </c>
      <c r="M1657" s="116">
        <v>1565.25</v>
      </c>
      <c r="N1657" s="116">
        <v>1599.5</v>
      </c>
      <c r="O1657" s="116">
        <v>1560.8</v>
      </c>
      <c r="P1657" s="116">
        <v>1597.5</v>
      </c>
      <c r="Q1657" s="116">
        <v>3130.5</v>
      </c>
      <c r="R1657">
        <v>79109</v>
      </c>
    </row>
    <row r="1658" spans="1:18" x14ac:dyDescent="0.25">
      <c r="A1658" s="170">
        <v>44446</v>
      </c>
      <c r="B1658" s="116">
        <v>1568.4749999999999</v>
      </c>
      <c r="C1658" s="116">
        <v>1547.2</v>
      </c>
      <c r="D1658" s="116">
        <v>1532.55</v>
      </c>
      <c r="E1658" s="116">
        <v>1567.675</v>
      </c>
      <c r="F1658" s="116">
        <v>3094.4</v>
      </c>
      <c r="G1658">
        <v>3250</v>
      </c>
      <c r="H1658" s="116"/>
      <c r="I1658" s="116"/>
      <c r="L1658" s="170">
        <v>44446</v>
      </c>
      <c r="M1658" s="116">
        <v>1547.2750000000001</v>
      </c>
      <c r="N1658" s="116">
        <v>1573.05</v>
      </c>
      <c r="O1658" s="116">
        <v>1532.5</v>
      </c>
      <c r="P1658" s="116">
        <v>1572.4</v>
      </c>
      <c r="Q1658" s="116">
        <v>3094.55</v>
      </c>
      <c r="R1658">
        <v>89092</v>
      </c>
    </row>
    <row r="1659" spans="1:18" x14ac:dyDescent="0.25">
      <c r="A1659" s="170">
        <v>44447</v>
      </c>
      <c r="B1659" s="116">
        <v>1554.45</v>
      </c>
      <c r="C1659" s="116">
        <v>1549.15</v>
      </c>
      <c r="D1659" s="116">
        <v>1525.125</v>
      </c>
      <c r="E1659" s="116">
        <v>1541.125</v>
      </c>
      <c r="F1659" s="116">
        <v>3098.3</v>
      </c>
      <c r="G1659">
        <v>3894</v>
      </c>
      <c r="H1659" s="116"/>
      <c r="I1659" s="116"/>
      <c r="L1659" s="170">
        <v>44447</v>
      </c>
      <c r="M1659" s="116">
        <v>1550.2750000000001</v>
      </c>
      <c r="N1659" s="116">
        <v>1555.5</v>
      </c>
      <c r="O1659" s="116">
        <v>1524.825</v>
      </c>
      <c r="P1659" s="116">
        <v>1552</v>
      </c>
      <c r="Q1659" s="116">
        <v>3100.55</v>
      </c>
      <c r="R1659">
        <v>82154</v>
      </c>
    </row>
    <row r="1660" spans="1:18" x14ac:dyDescent="0.25">
      <c r="A1660" s="170">
        <v>44448</v>
      </c>
      <c r="B1660" s="116">
        <v>1557.875</v>
      </c>
      <c r="C1660" s="116">
        <v>1553.15</v>
      </c>
      <c r="D1660" s="116">
        <v>1530.875</v>
      </c>
      <c r="E1660" s="116">
        <v>1549.45</v>
      </c>
      <c r="F1660" s="116">
        <v>3106.3</v>
      </c>
      <c r="G1660">
        <v>3967</v>
      </c>
      <c r="H1660" s="116"/>
      <c r="I1660" s="116"/>
      <c r="L1660" s="170">
        <v>44448</v>
      </c>
      <c r="M1660" s="116">
        <v>1554.175</v>
      </c>
      <c r="N1660" s="116">
        <v>1557.575</v>
      </c>
      <c r="O1660" s="116">
        <v>1530</v>
      </c>
      <c r="P1660" s="116">
        <v>1542.5</v>
      </c>
      <c r="Q1660" s="116">
        <v>3108.35</v>
      </c>
      <c r="R1660">
        <v>72201</v>
      </c>
    </row>
    <row r="1661" spans="1:18" x14ac:dyDescent="0.25">
      <c r="A1661" s="170">
        <v>44452</v>
      </c>
      <c r="B1661" s="116">
        <v>1567.925</v>
      </c>
      <c r="C1661" s="116">
        <v>1562.45</v>
      </c>
      <c r="D1661" s="116">
        <v>1539.65</v>
      </c>
      <c r="E1661" s="116">
        <v>1558.325</v>
      </c>
      <c r="F1661" s="116">
        <v>3124.9</v>
      </c>
      <c r="G1661">
        <v>1851</v>
      </c>
      <c r="H1661" s="116"/>
      <c r="I1661" s="116"/>
      <c r="L1661" s="170">
        <v>44452</v>
      </c>
      <c r="M1661" s="116">
        <v>1563.0250000000001</v>
      </c>
      <c r="N1661" s="116">
        <v>1568.4</v>
      </c>
      <c r="O1661" s="116">
        <v>1538</v>
      </c>
      <c r="P1661" s="116">
        <v>1549</v>
      </c>
      <c r="Q1661" s="116">
        <v>3126.05</v>
      </c>
      <c r="R1661">
        <v>49785</v>
      </c>
    </row>
    <row r="1662" spans="1:18" x14ac:dyDescent="0.25">
      <c r="A1662" s="170">
        <v>44453</v>
      </c>
      <c r="B1662" s="116">
        <v>1570.925</v>
      </c>
      <c r="C1662" s="116">
        <v>1567.2</v>
      </c>
      <c r="D1662" s="116">
        <v>1553.575</v>
      </c>
      <c r="E1662" s="116">
        <v>1561.3</v>
      </c>
      <c r="F1662" s="116">
        <v>3134.4</v>
      </c>
      <c r="G1662">
        <v>2400</v>
      </c>
      <c r="H1662" s="116"/>
      <c r="I1662" s="116"/>
      <c r="L1662" s="170">
        <v>44453</v>
      </c>
      <c r="M1662" s="116">
        <v>1566.55</v>
      </c>
      <c r="N1662" s="116">
        <v>1571.9749999999999</v>
      </c>
      <c r="O1662" s="116">
        <v>1552.5</v>
      </c>
      <c r="P1662" s="116">
        <v>1564.5</v>
      </c>
      <c r="Q1662" s="116">
        <v>3133.1</v>
      </c>
      <c r="R1662">
        <v>88648</v>
      </c>
    </row>
    <row r="1663" spans="1:18" x14ac:dyDescent="0.25">
      <c r="A1663" s="170">
        <v>44454</v>
      </c>
      <c r="B1663" s="116">
        <v>1568.175</v>
      </c>
      <c r="C1663" s="116">
        <v>1561.55</v>
      </c>
      <c r="D1663" s="116">
        <v>1553.9749999999999</v>
      </c>
      <c r="E1663" s="116">
        <v>1567.4749999999999</v>
      </c>
      <c r="F1663" s="116">
        <v>3123.1</v>
      </c>
      <c r="G1663">
        <v>2854</v>
      </c>
      <c r="H1663" s="116"/>
      <c r="I1663" s="116"/>
      <c r="L1663" s="170">
        <v>44454</v>
      </c>
      <c r="M1663" s="116">
        <v>1561.2249999999999</v>
      </c>
      <c r="N1663" s="116">
        <v>1569.95</v>
      </c>
      <c r="O1663" s="116">
        <v>1553.825</v>
      </c>
      <c r="P1663" s="116">
        <v>1569.9</v>
      </c>
      <c r="Q1663" s="116">
        <v>3122.45</v>
      </c>
      <c r="R1663">
        <v>69058</v>
      </c>
    </row>
    <row r="1664" spans="1:18" x14ac:dyDescent="0.25">
      <c r="A1664" s="170">
        <v>44455</v>
      </c>
      <c r="B1664" s="116">
        <v>1581.7</v>
      </c>
      <c r="C1664" s="116">
        <v>1555.875</v>
      </c>
      <c r="D1664" s="116">
        <v>1552</v>
      </c>
      <c r="E1664" s="116">
        <v>1555.5</v>
      </c>
      <c r="F1664" s="116">
        <v>3111.75</v>
      </c>
      <c r="G1664">
        <v>2759</v>
      </c>
      <c r="H1664" s="116"/>
      <c r="I1664" s="116"/>
      <c r="L1664" s="170">
        <v>44455</v>
      </c>
      <c r="M1664" s="116">
        <v>1557.125</v>
      </c>
      <c r="N1664" s="116">
        <v>1582.5</v>
      </c>
      <c r="O1664" s="116">
        <v>1551.2750000000001</v>
      </c>
      <c r="P1664" s="116">
        <v>1562.5</v>
      </c>
      <c r="Q1664" s="116">
        <v>3114.25</v>
      </c>
      <c r="R1664">
        <v>85400</v>
      </c>
    </row>
    <row r="1665" spans="1:18" x14ac:dyDescent="0.25">
      <c r="A1665" s="170">
        <v>44456</v>
      </c>
      <c r="B1665" s="116">
        <v>1577.4749999999999</v>
      </c>
      <c r="C1665" s="116">
        <v>1548.2249999999999</v>
      </c>
      <c r="D1665" s="116">
        <v>1542.625</v>
      </c>
      <c r="E1665" s="116">
        <v>1559.6</v>
      </c>
      <c r="F1665" s="116">
        <v>3096.45</v>
      </c>
      <c r="G1665">
        <v>2447</v>
      </c>
      <c r="H1665" s="116"/>
      <c r="I1665" s="116"/>
      <c r="L1665" s="170">
        <v>44456</v>
      </c>
      <c r="M1665" s="116">
        <v>1548.6</v>
      </c>
      <c r="N1665" s="116">
        <v>1577.5</v>
      </c>
      <c r="O1665" s="116">
        <v>1541</v>
      </c>
      <c r="P1665" s="116">
        <v>1560.9749999999999</v>
      </c>
      <c r="Q1665" s="116">
        <v>3097.2</v>
      </c>
      <c r="R1665">
        <v>124770</v>
      </c>
    </row>
    <row r="1666" spans="1:18" x14ac:dyDescent="0.25">
      <c r="A1666" s="170">
        <v>44459</v>
      </c>
      <c r="B1666" s="116">
        <v>1557.5</v>
      </c>
      <c r="C1666" s="116">
        <v>1524.5</v>
      </c>
      <c r="D1666" s="116">
        <v>1514.7</v>
      </c>
      <c r="E1666" s="116">
        <v>1545.4749999999999</v>
      </c>
      <c r="F1666" s="116">
        <v>3049</v>
      </c>
      <c r="G1666">
        <v>1864</v>
      </c>
      <c r="H1666" s="116"/>
      <c r="I1666" s="116"/>
      <c r="L1666" s="170">
        <v>44459</v>
      </c>
      <c r="M1666" s="116">
        <v>1528.925</v>
      </c>
      <c r="N1666" s="116">
        <v>1559.7249999999999</v>
      </c>
      <c r="O1666" s="116">
        <v>1518.7750000000001</v>
      </c>
      <c r="P1666" s="116">
        <v>1548.6</v>
      </c>
      <c r="Q1666" s="116">
        <v>3057.85</v>
      </c>
      <c r="R1666">
        <v>63781</v>
      </c>
    </row>
    <row r="1667" spans="1:18" x14ac:dyDescent="0.25">
      <c r="A1667" s="170">
        <v>44460</v>
      </c>
      <c r="B1667" s="116">
        <v>1549.2750000000001</v>
      </c>
      <c r="C1667" s="116">
        <v>1521.55</v>
      </c>
      <c r="D1667" s="116">
        <v>1508.8</v>
      </c>
      <c r="E1667" s="116">
        <v>1528.25</v>
      </c>
      <c r="F1667" s="116">
        <v>3043.1</v>
      </c>
      <c r="G1667">
        <v>3725</v>
      </c>
      <c r="H1667" s="116"/>
      <c r="I1667" s="116"/>
      <c r="L1667" s="170">
        <v>44460</v>
      </c>
      <c r="M1667" s="116">
        <v>1521.8</v>
      </c>
      <c r="N1667" s="116">
        <v>1545</v>
      </c>
      <c r="O1667" s="116">
        <v>1509.625</v>
      </c>
      <c r="P1667" s="116">
        <v>1523.75</v>
      </c>
      <c r="Q1667" s="116">
        <v>3043.6</v>
      </c>
      <c r="R1667">
        <v>77270</v>
      </c>
    </row>
    <row r="1668" spans="1:18" x14ac:dyDescent="0.25">
      <c r="A1668" s="170">
        <v>44461</v>
      </c>
      <c r="B1668" s="116">
        <v>1550.125</v>
      </c>
      <c r="C1668" s="116">
        <v>1543.675</v>
      </c>
      <c r="D1668" s="116">
        <v>1523.25</v>
      </c>
      <c r="E1668" s="116">
        <v>1533.5</v>
      </c>
      <c r="F1668" s="116">
        <v>3087.35</v>
      </c>
      <c r="G1668">
        <v>1867</v>
      </c>
      <c r="H1668" s="116"/>
      <c r="I1668" s="116"/>
      <c r="L1668" s="170">
        <v>44461</v>
      </c>
      <c r="M1668" s="116">
        <v>1542.75</v>
      </c>
      <c r="N1668" s="116">
        <v>1549.95</v>
      </c>
      <c r="O1668" s="116">
        <v>1521.8</v>
      </c>
      <c r="P1668" s="116">
        <v>1523.75</v>
      </c>
      <c r="Q1668" s="116">
        <v>3085.5</v>
      </c>
      <c r="R1668">
        <v>63049</v>
      </c>
    </row>
    <row r="1669" spans="1:18" x14ac:dyDescent="0.25">
      <c r="A1669" s="170">
        <v>44462</v>
      </c>
      <c r="B1669" s="116">
        <v>1558.9</v>
      </c>
      <c r="C1669" s="116">
        <v>1551.1</v>
      </c>
      <c r="D1669" s="116">
        <v>1522.325</v>
      </c>
      <c r="E1669" s="116">
        <v>1554.3</v>
      </c>
      <c r="F1669" s="116">
        <v>3102.2</v>
      </c>
      <c r="G1669">
        <v>50729</v>
      </c>
      <c r="H1669" s="116"/>
      <c r="I1669" s="116"/>
      <c r="L1669" s="170">
        <v>44462</v>
      </c>
      <c r="M1669" s="116">
        <v>1550.5250000000001</v>
      </c>
      <c r="N1669" s="116">
        <v>1558.4749999999999</v>
      </c>
      <c r="O1669" s="116">
        <v>1522.5250000000001</v>
      </c>
      <c r="P1669" s="116">
        <v>1549.65</v>
      </c>
      <c r="Q1669" s="116">
        <v>3101.05</v>
      </c>
      <c r="R1669">
        <v>77637</v>
      </c>
    </row>
    <row r="1670" spans="1:18" x14ac:dyDescent="0.25">
      <c r="A1670" s="170">
        <v>44463</v>
      </c>
      <c r="B1670" s="116">
        <v>1566.4</v>
      </c>
      <c r="C1670" s="116">
        <v>1550.125</v>
      </c>
      <c r="D1670" s="116">
        <v>1536</v>
      </c>
      <c r="E1670" s="116">
        <v>1566.4</v>
      </c>
      <c r="F1670" s="116">
        <v>3100.25</v>
      </c>
      <c r="G1670">
        <v>378891</v>
      </c>
      <c r="H1670" s="116"/>
      <c r="I1670" s="116"/>
      <c r="L1670" s="170">
        <v>44463</v>
      </c>
      <c r="M1670" s="116">
        <v>1550.05</v>
      </c>
      <c r="N1670" s="116">
        <v>1567.25</v>
      </c>
      <c r="O1670" s="116">
        <v>1535.075</v>
      </c>
      <c r="P1670" s="116">
        <v>1555.5</v>
      </c>
      <c r="Q1670" s="116">
        <v>3100.1</v>
      </c>
      <c r="R1670">
        <v>79887</v>
      </c>
    </row>
    <row r="1671" spans="1:18" x14ac:dyDescent="0.25">
      <c r="A1671" s="170">
        <v>44466</v>
      </c>
      <c r="B1671" s="116">
        <v>1560.25</v>
      </c>
      <c r="C1671" s="116">
        <v>1544.55</v>
      </c>
      <c r="D1671" s="116">
        <v>1536.2750000000001</v>
      </c>
      <c r="E1671" s="116">
        <v>1550</v>
      </c>
      <c r="F1671" s="116">
        <v>3089.1</v>
      </c>
      <c r="G1671">
        <v>2949</v>
      </c>
      <c r="H1671" s="116"/>
      <c r="I1671" s="116"/>
      <c r="L1671" s="170">
        <v>44466</v>
      </c>
      <c r="M1671" s="116">
        <v>1544.2750000000001</v>
      </c>
      <c r="N1671" s="116">
        <v>1561.9</v>
      </c>
      <c r="O1671" s="116">
        <v>1536.5</v>
      </c>
      <c r="P1671" s="116">
        <v>1557</v>
      </c>
      <c r="Q1671" s="116">
        <v>3088.55</v>
      </c>
      <c r="R1671">
        <v>69048</v>
      </c>
    </row>
    <row r="1672" spans="1:18" x14ac:dyDescent="0.25">
      <c r="A1672" s="170">
        <v>44467</v>
      </c>
      <c r="B1672" s="116">
        <v>1558.875</v>
      </c>
      <c r="C1672" s="116">
        <v>1552.6</v>
      </c>
      <c r="D1672" s="116">
        <v>1518.1</v>
      </c>
      <c r="E1672" s="116">
        <v>1545</v>
      </c>
      <c r="F1672" s="116">
        <v>3105.2</v>
      </c>
      <c r="G1672">
        <v>3613</v>
      </c>
      <c r="H1672" s="116"/>
      <c r="I1672" s="116"/>
      <c r="L1672" s="170">
        <v>44467</v>
      </c>
      <c r="M1672" s="116">
        <v>1553.925</v>
      </c>
      <c r="N1672" s="116">
        <v>1558.2249999999999</v>
      </c>
      <c r="O1672" s="116">
        <v>1517.9</v>
      </c>
      <c r="P1672" s="116">
        <v>1548.1</v>
      </c>
      <c r="Q1672" s="116">
        <v>3107.85</v>
      </c>
      <c r="R1672">
        <v>125147</v>
      </c>
    </row>
    <row r="1673" spans="1:18" x14ac:dyDescent="0.25">
      <c r="A1673" s="170">
        <v>44468</v>
      </c>
      <c r="B1673" s="116">
        <v>1593.075</v>
      </c>
      <c r="C1673" s="116">
        <v>1567.35</v>
      </c>
      <c r="D1673" s="116">
        <v>1542.875</v>
      </c>
      <c r="E1673" s="116">
        <v>1564.7750000000001</v>
      </c>
      <c r="F1673" s="116">
        <v>3134.7</v>
      </c>
      <c r="G1673">
        <v>5775</v>
      </c>
      <c r="H1673" s="116"/>
      <c r="I1673" s="116"/>
      <c r="L1673" s="170">
        <v>44468</v>
      </c>
      <c r="M1673" s="116">
        <v>1567.425</v>
      </c>
      <c r="N1673" s="116">
        <v>1592.5250000000001</v>
      </c>
      <c r="O1673" s="116">
        <v>1541.05</v>
      </c>
      <c r="P1673" s="116">
        <v>1553.9</v>
      </c>
      <c r="Q1673" s="116">
        <v>3134.85</v>
      </c>
      <c r="R1673">
        <v>242772</v>
      </c>
    </row>
    <row r="1674" spans="1:18" x14ac:dyDescent="0.25">
      <c r="A1674" s="170">
        <v>44469</v>
      </c>
      <c r="B1674" s="116">
        <v>1624</v>
      </c>
      <c r="C1674" s="116">
        <v>1538.4</v>
      </c>
      <c r="D1674" s="116">
        <v>1528.45</v>
      </c>
      <c r="E1674" s="116">
        <v>1570.4749999999999</v>
      </c>
      <c r="F1674" s="116">
        <v>3076.8</v>
      </c>
      <c r="G1674">
        <v>11736</v>
      </c>
      <c r="H1674" s="116"/>
      <c r="I1674" s="116"/>
      <c r="L1674" s="170">
        <v>44469</v>
      </c>
      <c r="M1674" s="116">
        <v>1542.75</v>
      </c>
      <c r="N1674" s="116">
        <v>1625.1</v>
      </c>
      <c r="O1674" s="116">
        <v>1525.5</v>
      </c>
      <c r="P1674" s="116">
        <v>1572</v>
      </c>
      <c r="Q1674" s="116">
        <v>3085.5</v>
      </c>
      <c r="R1674">
        <v>484547</v>
      </c>
    </row>
    <row r="1675" spans="1:18" x14ac:dyDescent="0.25">
      <c r="A1675" s="170">
        <v>44470</v>
      </c>
      <c r="B1675" s="116">
        <v>1555.375</v>
      </c>
      <c r="C1675" s="116">
        <v>1540.2</v>
      </c>
      <c r="D1675" s="116">
        <v>1513.9749999999999</v>
      </c>
      <c r="E1675" s="116">
        <v>1547.075</v>
      </c>
      <c r="F1675" s="116">
        <v>3080.4</v>
      </c>
      <c r="G1675">
        <v>6811</v>
      </c>
      <c r="H1675" s="116"/>
      <c r="I1675" s="116"/>
      <c r="L1675" s="170">
        <v>44470</v>
      </c>
      <c r="M1675" s="116">
        <v>1540.2750000000001</v>
      </c>
      <c r="N1675" s="116">
        <v>1557.35</v>
      </c>
      <c r="O1675" s="116">
        <v>1513.2249999999999</v>
      </c>
      <c r="P1675" s="116">
        <v>1537.5</v>
      </c>
      <c r="Q1675" s="116">
        <v>3080.55</v>
      </c>
      <c r="R1675">
        <v>154865</v>
      </c>
    </row>
    <row r="1676" spans="1:18" x14ac:dyDescent="0.25">
      <c r="A1676" s="170">
        <v>44473</v>
      </c>
      <c r="B1676" s="116">
        <v>1579.9749999999999</v>
      </c>
      <c r="C1676" s="116">
        <v>1563.325</v>
      </c>
      <c r="D1676" s="116">
        <v>1538.15</v>
      </c>
      <c r="E1676" s="116">
        <v>1538.15</v>
      </c>
      <c r="F1676" s="116">
        <v>3126.65</v>
      </c>
      <c r="G1676">
        <v>3936</v>
      </c>
      <c r="H1676" s="116"/>
      <c r="I1676" s="116"/>
      <c r="L1676" s="170">
        <v>44473</v>
      </c>
      <c r="M1676" s="116">
        <v>1564.7750000000001</v>
      </c>
      <c r="N1676" s="116">
        <v>1581</v>
      </c>
      <c r="O1676" s="116">
        <v>1536.8</v>
      </c>
      <c r="P1676" s="116">
        <v>1540.25</v>
      </c>
      <c r="Q1676" s="116">
        <v>3129.55</v>
      </c>
      <c r="R1676">
        <v>75577</v>
      </c>
    </row>
    <row r="1677" spans="1:18" x14ac:dyDescent="0.25">
      <c r="A1677" s="170">
        <v>44474</v>
      </c>
      <c r="B1677" s="116">
        <v>1573.7750000000001</v>
      </c>
      <c r="C1677" s="116">
        <v>1566.55</v>
      </c>
      <c r="D1677" s="116">
        <v>1552.0250000000001</v>
      </c>
      <c r="E1677" s="116">
        <v>1564.875</v>
      </c>
      <c r="F1677" s="116">
        <v>3133.1</v>
      </c>
      <c r="G1677">
        <v>1825</v>
      </c>
      <c r="H1677" s="116"/>
      <c r="I1677" s="116"/>
      <c r="L1677" s="170">
        <v>44474</v>
      </c>
      <c r="M1677" s="116">
        <v>1564.65</v>
      </c>
      <c r="N1677" s="116">
        <v>1574.5</v>
      </c>
      <c r="O1677" s="116">
        <v>1551</v>
      </c>
      <c r="P1677" s="116">
        <v>1564.7750000000001</v>
      </c>
      <c r="Q1677" s="116">
        <v>3129.3</v>
      </c>
      <c r="R1677">
        <v>39335</v>
      </c>
    </row>
    <row r="1678" spans="1:18" x14ac:dyDescent="0.25">
      <c r="A1678" s="170">
        <v>44475</v>
      </c>
      <c r="B1678" s="116">
        <v>1568.9</v>
      </c>
      <c r="C1678" s="116">
        <v>1533.75</v>
      </c>
      <c r="D1678" s="116">
        <v>1529.375</v>
      </c>
      <c r="E1678" s="116">
        <v>1563.075</v>
      </c>
      <c r="F1678" s="116">
        <v>3067.5</v>
      </c>
      <c r="G1678">
        <v>2981</v>
      </c>
      <c r="H1678" s="116"/>
      <c r="I1678" s="116"/>
      <c r="L1678" s="170">
        <v>44475</v>
      </c>
      <c r="M1678" s="116">
        <v>1532.4749999999999</v>
      </c>
      <c r="N1678" s="116">
        <v>1570.75</v>
      </c>
      <c r="O1678" s="116">
        <v>1529.0250000000001</v>
      </c>
      <c r="P1678" s="116">
        <v>1564.95</v>
      </c>
      <c r="Q1678" s="116">
        <v>3064.95</v>
      </c>
      <c r="R1678">
        <v>56256</v>
      </c>
    </row>
    <row r="1679" spans="1:18" x14ac:dyDescent="0.25">
      <c r="A1679" s="170">
        <v>44476</v>
      </c>
      <c r="B1679" s="116">
        <v>1553.5</v>
      </c>
      <c r="C1679" s="116">
        <v>1537.075</v>
      </c>
      <c r="D1679" s="116">
        <v>1531.25</v>
      </c>
      <c r="E1679" s="116">
        <v>1532.5</v>
      </c>
      <c r="F1679" s="116">
        <v>3074.15</v>
      </c>
      <c r="G1679">
        <v>3557</v>
      </c>
      <c r="H1679" s="116"/>
      <c r="I1679" s="116"/>
      <c r="L1679" s="170">
        <v>44476</v>
      </c>
      <c r="M1679" s="116">
        <v>1537.125</v>
      </c>
      <c r="N1679" s="116">
        <v>1555</v>
      </c>
      <c r="O1679" s="116">
        <v>1531.05</v>
      </c>
      <c r="P1679" s="116">
        <v>1533.5</v>
      </c>
      <c r="Q1679" s="116">
        <v>3074.25</v>
      </c>
      <c r="R1679">
        <v>61332</v>
      </c>
    </row>
    <row r="1680" spans="1:18" x14ac:dyDescent="0.25">
      <c r="A1680" s="170">
        <v>44477</v>
      </c>
      <c r="B1680" s="116">
        <v>1555.325</v>
      </c>
      <c r="C1680" s="116">
        <v>1536.2249999999999</v>
      </c>
      <c r="D1680" s="116">
        <v>1525.85</v>
      </c>
      <c r="E1680" s="116">
        <v>1542.7750000000001</v>
      </c>
      <c r="F1680" s="116">
        <v>3072.45</v>
      </c>
      <c r="G1680">
        <v>1081</v>
      </c>
      <c r="H1680" s="116"/>
      <c r="I1680" s="116"/>
      <c r="L1680" s="170">
        <v>44477</v>
      </c>
      <c r="M1680" s="116">
        <v>1537.65</v>
      </c>
      <c r="N1680" s="116">
        <v>1556</v>
      </c>
      <c r="O1680" s="116">
        <v>1525.5250000000001</v>
      </c>
      <c r="P1680" s="116">
        <v>1540.6</v>
      </c>
      <c r="Q1680" s="116">
        <v>3075.3</v>
      </c>
      <c r="R1680">
        <v>53696</v>
      </c>
    </row>
    <row r="1681" spans="1:18" x14ac:dyDescent="0.25">
      <c r="A1681" s="170">
        <v>44480</v>
      </c>
      <c r="B1681" s="116">
        <v>1600</v>
      </c>
      <c r="C1681" s="116">
        <v>1584.7</v>
      </c>
      <c r="D1681" s="116">
        <v>1542.25</v>
      </c>
      <c r="E1681" s="116">
        <v>1543.925</v>
      </c>
      <c r="F1681" s="116">
        <v>3169.4</v>
      </c>
      <c r="G1681">
        <v>50512</v>
      </c>
      <c r="H1681" s="116"/>
      <c r="I1681" s="116"/>
      <c r="L1681" s="170">
        <v>44480</v>
      </c>
      <c r="M1681" s="116">
        <v>1583.6</v>
      </c>
      <c r="N1681" s="116">
        <v>1601.5</v>
      </c>
      <c r="O1681" s="116">
        <v>1542.0250000000001</v>
      </c>
      <c r="P1681" s="116">
        <v>1542.5</v>
      </c>
      <c r="Q1681" s="116">
        <v>3167.2</v>
      </c>
      <c r="R1681">
        <v>101490</v>
      </c>
    </row>
    <row r="1682" spans="1:18" x14ac:dyDescent="0.25">
      <c r="A1682" s="170">
        <v>44481</v>
      </c>
      <c r="B1682" s="116">
        <v>1597</v>
      </c>
      <c r="C1682" s="116">
        <v>1557.125</v>
      </c>
      <c r="D1682" s="116">
        <v>1534.45</v>
      </c>
      <c r="E1682" s="116">
        <v>1594.5250000000001</v>
      </c>
      <c r="F1682" s="116">
        <v>3114.25</v>
      </c>
      <c r="G1682">
        <v>4540</v>
      </c>
      <c r="H1682" s="116"/>
      <c r="I1682" s="116"/>
      <c r="L1682" s="170">
        <v>44481</v>
      </c>
      <c r="M1682" s="116">
        <v>1556.7750000000001</v>
      </c>
      <c r="N1682" s="116">
        <v>1597.9</v>
      </c>
      <c r="O1682" s="116">
        <v>1533.7</v>
      </c>
      <c r="P1682" s="116">
        <v>1583.45</v>
      </c>
      <c r="Q1682" s="116">
        <v>3113.55</v>
      </c>
      <c r="R1682">
        <v>155550</v>
      </c>
    </row>
    <row r="1683" spans="1:18" x14ac:dyDescent="0.25">
      <c r="A1683" s="170">
        <v>44482</v>
      </c>
      <c r="B1683" s="116">
        <v>1579.625</v>
      </c>
      <c r="C1683" s="116">
        <v>1564.325</v>
      </c>
      <c r="D1683" s="116">
        <v>1550.425</v>
      </c>
      <c r="E1683" s="116">
        <v>1557</v>
      </c>
      <c r="F1683" s="116">
        <v>3128.65</v>
      </c>
      <c r="G1683">
        <v>2289</v>
      </c>
      <c r="H1683" s="116"/>
      <c r="I1683" s="116"/>
      <c r="L1683" s="170">
        <v>44482</v>
      </c>
      <c r="M1683" s="116">
        <v>1563.675</v>
      </c>
      <c r="N1683" s="116">
        <v>1580.05</v>
      </c>
      <c r="O1683" s="116">
        <v>1551.3</v>
      </c>
      <c r="P1683" s="116">
        <v>1564.2750000000001</v>
      </c>
      <c r="Q1683" s="116">
        <v>3127.35</v>
      </c>
      <c r="R1683">
        <v>65625</v>
      </c>
    </row>
    <row r="1684" spans="1:18" x14ac:dyDescent="0.25">
      <c r="A1684" s="170">
        <v>44483</v>
      </c>
      <c r="B1684" s="116">
        <v>1588.65</v>
      </c>
      <c r="C1684" s="116">
        <v>1565.35</v>
      </c>
      <c r="D1684" s="116">
        <v>1555.45</v>
      </c>
      <c r="E1684" s="116">
        <v>1565.4749999999999</v>
      </c>
      <c r="F1684" s="116">
        <v>3130.7</v>
      </c>
      <c r="G1684">
        <v>3297</v>
      </c>
      <c r="H1684" s="116"/>
      <c r="I1684" s="116"/>
      <c r="L1684" s="170">
        <v>44483</v>
      </c>
      <c r="M1684" s="116">
        <v>1565.2</v>
      </c>
      <c r="N1684" s="116">
        <v>1590</v>
      </c>
      <c r="O1684" s="116">
        <v>1554.75</v>
      </c>
      <c r="P1684" s="116">
        <v>1567.5</v>
      </c>
      <c r="Q1684" s="116">
        <v>3130.4</v>
      </c>
      <c r="R1684">
        <v>51346</v>
      </c>
    </row>
    <row r="1685" spans="1:18" x14ac:dyDescent="0.25">
      <c r="A1685" s="170">
        <v>44487</v>
      </c>
      <c r="B1685" s="116">
        <v>1570.5</v>
      </c>
      <c r="C1685" s="116">
        <v>1555.55</v>
      </c>
      <c r="D1685" s="116">
        <v>1540.6</v>
      </c>
      <c r="E1685" s="116">
        <v>1555</v>
      </c>
      <c r="F1685" s="116">
        <v>3111.1</v>
      </c>
      <c r="G1685">
        <v>3406</v>
      </c>
      <c r="H1685" s="116"/>
      <c r="I1685" s="116"/>
      <c r="L1685" s="170">
        <v>44487</v>
      </c>
      <c r="M1685" s="116">
        <v>1555.875</v>
      </c>
      <c r="N1685" s="116">
        <v>1570</v>
      </c>
      <c r="O1685" s="116">
        <v>1540.925</v>
      </c>
      <c r="P1685" s="116">
        <v>1570</v>
      </c>
      <c r="Q1685" s="116">
        <v>3111.75</v>
      </c>
      <c r="R1685">
        <v>76368</v>
      </c>
    </row>
    <row r="1686" spans="1:18" x14ac:dyDescent="0.25">
      <c r="A1686" s="170">
        <v>44488</v>
      </c>
      <c r="B1686" s="116">
        <v>1571.0250000000001</v>
      </c>
      <c r="C1686" s="116">
        <v>1535.25</v>
      </c>
      <c r="D1686" s="116">
        <v>1532.2750000000001</v>
      </c>
      <c r="E1686" s="116">
        <v>1559.85</v>
      </c>
      <c r="F1686" s="116">
        <v>3070.5</v>
      </c>
      <c r="G1686">
        <v>2761</v>
      </c>
      <c r="H1686" s="116"/>
      <c r="I1686" s="116"/>
      <c r="L1686" s="170">
        <v>44488</v>
      </c>
      <c r="M1686" s="116">
        <v>1536.4749999999999</v>
      </c>
      <c r="N1686" s="116">
        <v>1572.925</v>
      </c>
      <c r="O1686" s="116">
        <v>1531.675</v>
      </c>
      <c r="P1686" s="116">
        <v>1560</v>
      </c>
      <c r="Q1686" s="116">
        <v>3072.95</v>
      </c>
      <c r="R1686">
        <v>99484</v>
      </c>
    </row>
    <row r="1687" spans="1:18" x14ac:dyDescent="0.25">
      <c r="A1687" s="170">
        <v>44489</v>
      </c>
      <c r="B1687" s="116">
        <v>1538.35</v>
      </c>
      <c r="C1687" s="116">
        <v>1489.8</v>
      </c>
      <c r="D1687" s="116">
        <v>1468.2249999999999</v>
      </c>
      <c r="E1687" s="116">
        <v>1535.55</v>
      </c>
      <c r="F1687" s="116">
        <v>2979.6</v>
      </c>
      <c r="G1687">
        <v>55598</v>
      </c>
      <c r="H1687" s="116"/>
      <c r="I1687" s="116"/>
      <c r="L1687" s="170">
        <v>44489</v>
      </c>
      <c r="M1687" s="116">
        <v>1491.125</v>
      </c>
      <c r="N1687" s="116">
        <v>1547.625</v>
      </c>
      <c r="O1687" s="116">
        <v>1467.8</v>
      </c>
      <c r="P1687" s="116">
        <v>1547.625</v>
      </c>
      <c r="Q1687" s="116">
        <v>2982.25</v>
      </c>
      <c r="R1687">
        <v>189888</v>
      </c>
    </row>
    <row r="1688" spans="1:18" x14ac:dyDescent="0.25">
      <c r="A1688" s="170">
        <v>44490</v>
      </c>
      <c r="B1688" s="116">
        <v>1514.075</v>
      </c>
      <c r="C1688" s="116">
        <v>1504</v>
      </c>
      <c r="D1688" s="116">
        <v>1476.85</v>
      </c>
      <c r="E1688" s="116">
        <v>1504.075</v>
      </c>
      <c r="F1688" s="116">
        <v>3008</v>
      </c>
      <c r="G1688">
        <v>4254</v>
      </c>
      <c r="H1688" s="116"/>
      <c r="I1688" s="116"/>
      <c r="L1688" s="170">
        <v>44490</v>
      </c>
      <c r="M1688" s="116">
        <v>1506.2750000000001</v>
      </c>
      <c r="N1688" s="116">
        <v>1514.55</v>
      </c>
      <c r="O1688" s="116">
        <v>1475.675</v>
      </c>
      <c r="P1688" s="116">
        <v>1506.0250000000001</v>
      </c>
      <c r="Q1688" s="116">
        <v>3012.55</v>
      </c>
      <c r="R1688">
        <v>117058</v>
      </c>
    </row>
    <row r="1689" spans="1:18" x14ac:dyDescent="0.25">
      <c r="A1689" s="170">
        <v>44491</v>
      </c>
      <c r="B1689" s="116">
        <v>1527.575</v>
      </c>
      <c r="C1689" s="116">
        <v>1484.2</v>
      </c>
      <c r="D1689" s="116">
        <v>1477</v>
      </c>
      <c r="E1689" s="116">
        <v>1508.575</v>
      </c>
      <c r="F1689" s="116">
        <v>2968.4</v>
      </c>
      <c r="G1689">
        <v>4153</v>
      </c>
      <c r="H1689" s="116"/>
      <c r="I1689" s="116"/>
      <c r="L1689" s="170">
        <v>44491</v>
      </c>
      <c r="M1689" s="116">
        <v>1484.7</v>
      </c>
      <c r="N1689" s="116">
        <v>1528.675</v>
      </c>
      <c r="O1689" s="116">
        <v>1476.5250000000001</v>
      </c>
      <c r="P1689" s="116">
        <v>1511.2750000000001</v>
      </c>
      <c r="Q1689" s="116">
        <v>2969.4</v>
      </c>
      <c r="R1689">
        <v>72499</v>
      </c>
    </row>
    <row r="1690" spans="1:18" x14ac:dyDescent="0.25">
      <c r="A1690" s="170">
        <v>44494</v>
      </c>
      <c r="B1690" s="116">
        <v>1584</v>
      </c>
      <c r="C1690" s="116">
        <v>1542.2750000000001</v>
      </c>
      <c r="D1690" s="116">
        <v>1442.675</v>
      </c>
      <c r="E1690" s="116">
        <v>1488.625</v>
      </c>
      <c r="F1690" s="116">
        <v>3084.55</v>
      </c>
      <c r="G1690">
        <v>8915</v>
      </c>
      <c r="H1690" s="116"/>
      <c r="I1690" s="116"/>
      <c r="L1690" s="170">
        <v>44494</v>
      </c>
      <c r="M1690" s="116">
        <v>1542</v>
      </c>
      <c r="N1690" s="116">
        <v>1574.9749999999999</v>
      </c>
      <c r="O1690" s="116">
        <v>1440.5</v>
      </c>
      <c r="P1690" s="116">
        <v>1492.4749999999999</v>
      </c>
      <c r="Q1690" s="116">
        <v>3084</v>
      </c>
      <c r="R1690">
        <v>202556</v>
      </c>
    </row>
    <row r="1691" spans="1:18" x14ac:dyDescent="0.25">
      <c r="A1691" s="170">
        <v>44495</v>
      </c>
      <c r="B1691" s="116">
        <v>1552.1</v>
      </c>
      <c r="C1691" s="116">
        <v>1471.15</v>
      </c>
      <c r="D1691" s="116">
        <v>1469.5250000000001</v>
      </c>
      <c r="E1691" s="116">
        <v>1546.5</v>
      </c>
      <c r="F1691" s="116">
        <v>2942.3</v>
      </c>
      <c r="G1691">
        <v>13488</v>
      </c>
      <c r="H1691" s="116"/>
      <c r="I1691" s="116"/>
      <c r="L1691" s="170">
        <v>44495</v>
      </c>
      <c r="M1691" s="116">
        <v>1472.125</v>
      </c>
      <c r="N1691" s="116">
        <v>1557.4</v>
      </c>
      <c r="O1691" s="116">
        <v>1467.5250000000001</v>
      </c>
      <c r="P1691" s="116">
        <v>1557</v>
      </c>
      <c r="Q1691" s="116">
        <v>2944.25</v>
      </c>
      <c r="R1691">
        <v>252759</v>
      </c>
    </row>
    <row r="1692" spans="1:18" x14ac:dyDescent="0.25">
      <c r="A1692" s="170">
        <v>44496</v>
      </c>
      <c r="B1692" s="116">
        <v>1480.05</v>
      </c>
      <c r="C1692" s="116">
        <v>1409.6</v>
      </c>
      <c r="D1692" s="116">
        <v>1405</v>
      </c>
      <c r="E1692" s="116">
        <v>1461</v>
      </c>
      <c r="F1692" s="116">
        <v>2819.2</v>
      </c>
      <c r="G1692">
        <v>13122</v>
      </c>
      <c r="H1692" s="116"/>
      <c r="I1692" s="116"/>
      <c r="L1692" s="170">
        <v>44496</v>
      </c>
      <c r="M1692" s="116">
        <v>1410.7249999999999</v>
      </c>
      <c r="N1692" s="116">
        <v>1479.4749999999999</v>
      </c>
      <c r="O1692" s="116">
        <v>1405</v>
      </c>
      <c r="P1692" s="116">
        <v>1464.4749999999999</v>
      </c>
      <c r="Q1692" s="116">
        <v>2821.45</v>
      </c>
      <c r="R1692">
        <v>438648</v>
      </c>
    </row>
    <row r="1693" spans="1:18" x14ac:dyDescent="0.25">
      <c r="A1693" s="170">
        <v>44497</v>
      </c>
      <c r="B1693" s="116">
        <v>1428.875</v>
      </c>
      <c r="C1693" s="116">
        <v>1393.075</v>
      </c>
      <c r="D1693" s="116">
        <v>1383.95</v>
      </c>
      <c r="E1693" s="116">
        <v>1409.6</v>
      </c>
      <c r="F1693" s="116">
        <v>2786.15</v>
      </c>
      <c r="G1693">
        <v>4595</v>
      </c>
      <c r="H1693" s="116"/>
      <c r="I1693" s="116"/>
      <c r="L1693" s="170">
        <v>44497</v>
      </c>
      <c r="M1693" s="116">
        <v>1391.65</v>
      </c>
      <c r="N1693" s="116">
        <v>1424.5</v>
      </c>
      <c r="O1693" s="116">
        <v>1383</v>
      </c>
      <c r="P1693" s="116">
        <v>1410.75</v>
      </c>
      <c r="Q1693" s="116">
        <v>2783.3</v>
      </c>
      <c r="R1693">
        <v>274092</v>
      </c>
    </row>
    <row r="1694" spans="1:18" x14ac:dyDescent="0.25">
      <c r="A1694" s="170">
        <v>44498</v>
      </c>
      <c r="B1694" s="116">
        <v>1445.0250000000001</v>
      </c>
      <c r="C1694" s="116">
        <v>1430.125</v>
      </c>
      <c r="D1694" s="116">
        <v>1382.825</v>
      </c>
      <c r="E1694" s="116">
        <v>1412.575</v>
      </c>
      <c r="F1694" s="116">
        <v>2860.25</v>
      </c>
      <c r="G1694">
        <v>10706</v>
      </c>
      <c r="H1694" s="116"/>
      <c r="I1694" s="116"/>
      <c r="L1694" s="170">
        <v>44498</v>
      </c>
      <c r="M1694" s="116">
        <v>1430.2</v>
      </c>
      <c r="N1694" s="116">
        <v>1445</v>
      </c>
      <c r="O1694" s="116">
        <v>1384</v>
      </c>
      <c r="P1694" s="116">
        <v>1401.675</v>
      </c>
      <c r="Q1694" s="116">
        <v>2860.4</v>
      </c>
      <c r="R1694">
        <v>168887</v>
      </c>
    </row>
    <row r="1695" spans="1:18" x14ac:dyDescent="0.25">
      <c r="A1695" s="170">
        <v>44501</v>
      </c>
      <c r="B1695" s="116">
        <v>1443.05</v>
      </c>
      <c r="C1695" s="116">
        <v>1439.325</v>
      </c>
      <c r="D1695" s="116">
        <v>1425.7750000000001</v>
      </c>
      <c r="E1695" s="116">
        <v>1433</v>
      </c>
      <c r="F1695" s="116">
        <v>2878.65</v>
      </c>
      <c r="G1695">
        <v>3854</v>
      </c>
      <c r="H1695" s="116"/>
      <c r="I1695" s="116"/>
      <c r="L1695" s="170">
        <v>44501</v>
      </c>
      <c r="M1695" s="116">
        <v>1439.7</v>
      </c>
      <c r="N1695" s="116">
        <v>1445</v>
      </c>
      <c r="O1695" s="116">
        <v>1424.4749999999999</v>
      </c>
      <c r="P1695" s="116">
        <v>1437.5</v>
      </c>
      <c r="Q1695" s="116">
        <v>2879.4</v>
      </c>
      <c r="R1695">
        <v>74742</v>
      </c>
    </row>
    <row r="1696" spans="1:18" x14ac:dyDescent="0.25">
      <c r="A1696" s="170">
        <v>44502</v>
      </c>
      <c r="B1696" s="116">
        <v>1449.7750000000001</v>
      </c>
      <c r="C1696" s="116">
        <v>1418.35</v>
      </c>
      <c r="D1696" s="116">
        <v>1413.5</v>
      </c>
      <c r="E1696" s="116">
        <v>1433.2</v>
      </c>
      <c r="F1696" s="116">
        <v>2836.7</v>
      </c>
      <c r="G1696">
        <v>3400</v>
      </c>
      <c r="H1696" s="116"/>
      <c r="I1696" s="116"/>
      <c r="L1696" s="170">
        <v>44502</v>
      </c>
      <c r="M1696" s="116">
        <v>1419.5250000000001</v>
      </c>
      <c r="N1696" s="116">
        <v>1449.5</v>
      </c>
      <c r="O1696" s="116">
        <v>1412</v>
      </c>
      <c r="P1696" s="116">
        <v>1444.75</v>
      </c>
      <c r="Q1696" s="116">
        <v>2839.05</v>
      </c>
      <c r="R1696">
        <v>242634</v>
      </c>
    </row>
    <row r="1697" spans="1:18" x14ac:dyDescent="0.25">
      <c r="A1697" s="170">
        <v>44503</v>
      </c>
      <c r="B1697" s="116">
        <v>1421.95</v>
      </c>
      <c r="C1697" s="116">
        <v>1402.45</v>
      </c>
      <c r="D1697" s="116">
        <v>1395.375</v>
      </c>
      <c r="E1697" s="116">
        <v>1417.625</v>
      </c>
      <c r="F1697" s="116">
        <v>2804.9</v>
      </c>
      <c r="G1697">
        <v>3890</v>
      </c>
      <c r="H1697" s="116"/>
      <c r="I1697" s="116"/>
      <c r="L1697" s="170">
        <v>44503</v>
      </c>
      <c r="M1697" s="116">
        <v>1402.125</v>
      </c>
      <c r="N1697" s="116">
        <v>1422.25</v>
      </c>
      <c r="O1697" s="116">
        <v>1394.2249999999999</v>
      </c>
      <c r="P1697" s="116">
        <v>1415.5</v>
      </c>
      <c r="Q1697" s="116">
        <v>2804.25</v>
      </c>
      <c r="R1697">
        <v>231376</v>
      </c>
    </row>
    <row r="1698" spans="1:18" x14ac:dyDescent="0.25">
      <c r="A1698" s="170">
        <v>44504</v>
      </c>
      <c r="B1698" s="116">
        <v>1419.125</v>
      </c>
      <c r="C1698" s="116">
        <v>1408.7750000000001</v>
      </c>
      <c r="D1698" s="116">
        <v>1406.175</v>
      </c>
      <c r="E1698" s="116">
        <v>1412.05</v>
      </c>
      <c r="F1698" s="116">
        <v>2817.55</v>
      </c>
      <c r="G1698">
        <v>471</v>
      </c>
      <c r="H1698" s="116"/>
      <c r="I1698" s="116"/>
      <c r="L1698" s="170">
        <v>44504</v>
      </c>
      <c r="M1698" s="116">
        <v>1409.675</v>
      </c>
      <c r="N1698" s="116">
        <v>1414.05</v>
      </c>
      <c r="O1698" s="116">
        <v>1407.5</v>
      </c>
      <c r="P1698" s="116">
        <v>1407.5</v>
      </c>
      <c r="Q1698" s="116">
        <v>2819.35</v>
      </c>
      <c r="R1698">
        <v>5187</v>
      </c>
    </row>
    <row r="1699" spans="1:18" x14ac:dyDescent="0.25">
      <c r="A1699" s="170">
        <v>44508</v>
      </c>
      <c r="B1699" s="116">
        <v>1456.65</v>
      </c>
      <c r="C1699" s="116">
        <v>1449.425</v>
      </c>
      <c r="D1699" s="116">
        <v>1393</v>
      </c>
      <c r="E1699" s="116">
        <v>1408.75</v>
      </c>
      <c r="F1699" s="116">
        <v>2898.85</v>
      </c>
      <c r="G1699">
        <v>35875</v>
      </c>
      <c r="H1699" s="116"/>
      <c r="I1699" s="116"/>
      <c r="L1699" s="170">
        <v>44508</v>
      </c>
      <c r="M1699" s="116">
        <v>1451.375</v>
      </c>
      <c r="N1699" s="116">
        <v>1456.5</v>
      </c>
      <c r="O1699" s="116">
        <v>1392.35</v>
      </c>
      <c r="P1699" s="116">
        <v>1414.675</v>
      </c>
      <c r="Q1699" s="116">
        <v>2902.75</v>
      </c>
      <c r="R1699">
        <v>159535</v>
      </c>
    </row>
    <row r="1700" spans="1:18" x14ac:dyDescent="0.25">
      <c r="A1700" s="170">
        <v>44509</v>
      </c>
      <c r="B1700" s="116">
        <v>1457.5</v>
      </c>
      <c r="C1700" s="116">
        <v>1423.2750000000001</v>
      </c>
      <c r="D1700" s="116">
        <v>1418.6</v>
      </c>
      <c r="E1700" s="116">
        <v>1450</v>
      </c>
      <c r="F1700" s="116">
        <v>2846.55</v>
      </c>
      <c r="G1700">
        <v>21523</v>
      </c>
      <c r="H1700" s="116"/>
      <c r="I1700" s="116"/>
      <c r="L1700" s="170">
        <v>44509</v>
      </c>
      <c r="M1700" s="116">
        <v>1423.675</v>
      </c>
      <c r="N1700" s="116">
        <v>1457.5</v>
      </c>
      <c r="O1700" s="116">
        <v>1417.2</v>
      </c>
      <c r="P1700" s="116">
        <v>1451</v>
      </c>
      <c r="Q1700" s="116">
        <v>2847.35</v>
      </c>
      <c r="R1700">
        <v>134575</v>
      </c>
    </row>
    <row r="1701" spans="1:18" x14ac:dyDescent="0.25">
      <c r="A1701" s="170">
        <v>44510</v>
      </c>
      <c r="B1701" s="116">
        <v>1417.575</v>
      </c>
      <c r="C1701" s="116">
        <v>1412.55</v>
      </c>
      <c r="D1701" s="116">
        <v>1381.35</v>
      </c>
      <c r="E1701" s="116">
        <v>1406.0250000000001</v>
      </c>
      <c r="F1701" s="116">
        <v>2825.1</v>
      </c>
      <c r="G1701">
        <v>19476</v>
      </c>
      <c r="H1701" s="116"/>
      <c r="I1701" s="116"/>
      <c r="L1701" s="170">
        <v>44510</v>
      </c>
      <c r="M1701" s="116">
        <v>1412.9749999999999</v>
      </c>
      <c r="N1701" s="116">
        <v>1417.35</v>
      </c>
      <c r="O1701" s="116">
        <v>1381.3</v>
      </c>
      <c r="P1701" s="116">
        <v>1415</v>
      </c>
      <c r="Q1701" s="116">
        <v>2825.95</v>
      </c>
      <c r="R1701">
        <v>518105</v>
      </c>
    </row>
    <row r="1702" spans="1:18" x14ac:dyDescent="0.25">
      <c r="A1702" s="170">
        <v>44511</v>
      </c>
      <c r="B1702" s="116">
        <v>1448.925</v>
      </c>
      <c r="C1702" s="116">
        <v>1417.7750000000001</v>
      </c>
      <c r="D1702" s="116">
        <v>1407.3</v>
      </c>
      <c r="E1702" s="116">
        <v>1412.9749999999999</v>
      </c>
      <c r="F1702" s="116">
        <v>2835.55</v>
      </c>
      <c r="G1702">
        <v>59570</v>
      </c>
      <c r="H1702" s="116"/>
      <c r="I1702" s="116"/>
      <c r="L1702" s="170">
        <v>44511</v>
      </c>
      <c r="M1702" s="116">
        <v>1417.3</v>
      </c>
      <c r="N1702" s="116">
        <v>1449.4</v>
      </c>
      <c r="O1702" s="116">
        <v>1405.125</v>
      </c>
      <c r="P1702" s="116">
        <v>1412.9749999999999</v>
      </c>
      <c r="Q1702" s="116">
        <v>2834.6</v>
      </c>
      <c r="R1702">
        <v>315774</v>
      </c>
    </row>
    <row r="1703" spans="1:18" x14ac:dyDescent="0.25">
      <c r="A1703" s="170">
        <v>44512</v>
      </c>
      <c r="B1703" s="116">
        <v>1411.5</v>
      </c>
      <c r="C1703" s="116">
        <v>1394.75</v>
      </c>
      <c r="D1703" s="116">
        <v>1375.5</v>
      </c>
      <c r="E1703" s="116">
        <v>1411.5</v>
      </c>
      <c r="F1703" s="116">
        <v>2789.5</v>
      </c>
      <c r="G1703">
        <v>48929</v>
      </c>
      <c r="H1703" s="116"/>
      <c r="I1703" s="116"/>
      <c r="L1703" s="170">
        <v>44512</v>
      </c>
      <c r="M1703" s="116">
        <v>1395.675</v>
      </c>
      <c r="N1703" s="116">
        <v>1420</v>
      </c>
      <c r="O1703" s="116">
        <v>1375.5</v>
      </c>
      <c r="P1703" s="116">
        <v>1417.3</v>
      </c>
      <c r="Q1703" s="116">
        <v>2791.35</v>
      </c>
      <c r="R1703">
        <v>754595</v>
      </c>
    </row>
    <row r="1704" spans="1:18" x14ac:dyDescent="0.25">
      <c r="A1704" s="170">
        <v>44515</v>
      </c>
      <c r="B1704" s="116">
        <v>1407.075</v>
      </c>
      <c r="C1704" s="116">
        <v>1397.7</v>
      </c>
      <c r="D1704" s="116">
        <v>1385.5</v>
      </c>
      <c r="E1704" s="116">
        <v>1394.75</v>
      </c>
      <c r="F1704" s="116">
        <v>2795.4</v>
      </c>
      <c r="G1704">
        <v>3847</v>
      </c>
      <c r="H1704" s="116"/>
      <c r="I1704" s="116"/>
      <c r="L1704" s="170">
        <v>44515</v>
      </c>
      <c r="M1704" s="116">
        <v>1397.325</v>
      </c>
      <c r="N1704" s="116">
        <v>1407.9</v>
      </c>
      <c r="O1704" s="116">
        <v>1385.0250000000001</v>
      </c>
      <c r="P1704" s="116">
        <v>1407.9</v>
      </c>
      <c r="Q1704" s="116">
        <v>2794.65</v>
      </c>
      <c r="R1704">
        <v>303181</v>
      </c>
    </row>
    <row r="1705" spans="1:18" x14ac:dyDescent="0.25">
      <c r="A1705" s="170">
        <v>44516</v>
      </c>
      <c r="B1705" s="116">
        <v>1419.9749999999999</v>
      </c>
      <c r="C1705" s="116">
        <v>1391.2249999999999</v>
      </c>
      <c r="D1705" s="116">
        <v>1385</v>
      </c>
      <c r="E1705" s="116">
        <v>1396.575</v>
      </c>
      <c r="F1705" s="116">
        <v>2782.45</v>
      </c>
      <c r="G1705">
        <v>6429</v>
      </c>
      <c r="H1705" s="116"/>
      <c r="I1705" s="116"/>
      <c r="L1705" s="170">
        <v>44516</v>
      </c>
      <c r="M1705" s="116">
        <v>1394.5250000000001</v>
      </c>
      <c r="N1705" s="116">
        <v>1420</v>
      </c>
      <c r="O1705" s="116">
        <v>1385</v>
      </c>
      <c r="P1705" s="116">
        <v>1397.325</v>
      </c>
      <c r="Q1705" s="116">
        <v>2789.05</v>
      </c>
      <c r="R1705">
        <v>249852</v>
      </c>
    </row>
    <row r="1706" spans="1:18" x14ac:dyDescent="0.25">
      <c r="A1706" s="170">
        <v>44517</v>
      </c>
      <c r="B1706" s="116">
        <v>1420.625</v>
      </c>
      <c r="C1706" s="116">
        <v>1417.0250000000001</v>
      </c>
      <c r="D1706" s="116">
        <v>1375</v>
      </c>
      <c r="E1706" s="116">
        <v>1375</v>
      </c>
      <c r="F1706" s="116">
        <v>2834.05</v>
      </c>
      <c r="G1706">
        <v>17698</v>
      </c>
      <c r="H1706" s="116"/>
      <c r="I1706" s="116"/>
      <c r="L1706" s="170">
        <v>44517</v>
      </c>
      <c r="M1706" s="116">
        <v>1417.2</v>
      </c>
      <c r="N1706" s="116">
        <v>1421.15</v>
      </c>
      <c r="O1706" s="116">
        <v>1375.825</v>
      </c>
      <c r="P1706" s="116">
        <v>1394.5250000000001</v>
      </c>
      <c r="Q1706" s="116">
        <v>2834.4</v>
      </c>
      <c r="R1706">
        <v>125980</v>
      </c>
    </row>
    <row r="1707" spans="1:18" x14ac:dyDescent="0.25">
      <c r="A1707" s="170">
        <v>44518</v>
      </c>
      <c r="B1707" s="116">
        <v>1417.2</v>
      </c>
      <c r="C1707" s="116">
        <v>1392.75</v>
      </c>
      <c r="D1707" s="116">
        <v>1385.85</v>
      </c>
      <c r="E1707" s="116">
        <v>1417.2</v>
      </c>
      <c r="F1707" s="116">
        <v>2785.5</v>
      </c>
      <c r="G1707">
        <v>7523</v>
      </c>
      <c r="H1707" s="116"/>
      <c r="I1707" s="116"/>
      <c r="L1707" s="170">
        <v>44518</v>
      </c>
      <c r="M1707" s="116">
        <v>1395.65</v>
      </c>
      <c r="N1707" s="116">
        <v>1419.7</v>
      </c>
      <c r="O1707" s="116">
        <v>1385.0250000000001</v>
      </c>
      <c r="P1707" s="116">
        <v>1419</v>
      </c>
      <c r="Q1707" s="116">
        <v>2791.3</v>
      </c>
      <c r="R1707">
        <v>179956</v>
      </c>
    </row>
    <row r="1708" spans="1:18" x14ac:dyDescent="0.25">
      <c r="A1708" s="170">
        <v>44522</v>
      </c>
      <c r="B1708" s="116">
        <v>1402.625</v>
      </c>
      <c r="C1708" s="116">
        <v>1377.2</v>
      </c>
      <c r="D1708" s="116">
        <v>1369.075</v>
      </c>
      <c r="E1708" s="116">
        <v>1390</v>
      </c>
      <c r="F1708" s="116">
        <v>2754.4</v>
      </c>
      <c r="G1708">
        <v>3289</v>
      </c>
      <c r="H1708" s="116"/>
      <c r="I1708" s="116"/>
      <c r="L1708" s="170">
        <v>44522</v>
      </c>
      <c r="M1708" s="116">
        <v>1376.575</v>
      </c>
      <c r="N1708" s="116">
        <v>1403</v>
      </c>
      <c r="O1708" s="116">
        <v>1367.65</v>
      </c>
      <c r="P1708" s="116">
        <v>1395.65</v>
      </c>
      <c r="Q1708" s="116">
        <v>2753.15</v>
      </c>
      <c r="R1708">
        <v>127850</v>
      </c>
    </row>
    <row r="1709" spans="1:18" x14ac:dyDescent="0.25">
      <c r="A1709" s="170">
        <v>44523</v>
      </c>
      <c r="B1709" s="116">
        <v>1416</v>
      </c>
      <c r="C1709" s="116">
        <v>1410.375</v>
      </c>
      <c r="D1709" s="116">
        <v>1367.25</v>
      </c>
      <c r="E1709" s="116">
        <v>1367.25</v>
      </c>
      <c r="F1709" s="116">
        <v>2820.75</v>
      </c>
      <c r="G1709">
        <v>5308</v>
      </c>
      <c r="H1709" s="116"/>
      <c r="I1709" s="116"/>
      <c r="L1709" s="170">
        <v>44523</v>
      </c>
      <c r="M1709" s="116">
        <v>1410.75</v>
      </c>
      <c r="N1709" s="116">
        <v>1416.45</v>
      </c>
      <c r="O1709" s="116">
        <v>1372.25</v>
      </c>
      <c r="P1709" s="116">
        <v>1376.9</v>
      </c>
      <c r="Q1709" s="116">
        <v>2821.5</v>
      </c>
      <c r="R1709">
        <v>118889</v>
      </c>
    </row>
    <row r="1710" spans="1:18" x14ac:dyDescent="0.25">
      <c r="A1710" s="170">
        <v>44524</v>
      </c>
      <c r="B1710" s="116">
        <v>1428.075</v>
      </c>
      <c r="C1710" s="116">
        <v>1408</v>
      </c>
      <c r="D1710" s="116">
        <v>1405.6</v>
      </c>
      <c r="E1710" s="116">
        <v>1416.8</v>
      </c>
      <c r="F1710" s="116">
        <v>2816</v>
      </c>
      <c r="G1710">
        <v>4279</v>
      </c>
      <c r="H1710" s="116"/>
      <c r="I1710" s="116"/>
      <c r="L1710" s="170">
        <v>44524</v>
      </c>
      <c r="M1710" s="116">
        <v>1408.75</v>
      </c>
      <c r="N1710" s="116">
        <v>1427.85</v>
      </c>
      <c r="O1710" s="116">
        <v>1400.5</v>
      </c>
      <c r="P1710" s="116">
        <v>1412.5</v>
      </c>
      <c r="Q1710" s="116">
        <v>2817.5</v>
      </c>
      <c r="R1710">
        <v>181642</v>
      </c>
    </row>
    <row r="1711" spans="1:18" x14ac:dyDescent="0.25">
      <c r="A1711" s="170">
        <v>44525</v>
      </c>
      <c r="B1711" s="116">
        <v>1509.75</v>
      </c>
      <c r="C1711" s="116">
        <v>1497.2</v>
      </c>
      <c r="D1711" s="116">
        <v>1411.7750000000001</v>
      </c>
      <c r="E1711" s="116">
        <v>1411.7750000000001</v>
      </c>
      <c r="F1711" s="116">
        <v>2994.4</v>
      </c>
      <c r="G1711">
        <v>44731</v>
      </c>
      <c r="H1711" s="116"/>
      <c r="I1711" s="116"/>
      <c r="L1711" s="170">
        <v>44525</v>
      </c>
      <c r="M1711" s="116">
        <v>1495.2750000000001</v>
      </c>
      <c r="N1711" s="116">
        <v>1507.5</v>
      </c>
      <c r="O1711" s="116">
        <v>1408.7750000000001</v>
      </c>
      <c r="P1711" s="116">
        <v>1418.95</v>
      </c>
      <c r="Q1711" s="116">
        <v>2990.55</v>
      </c>
      <c r="R1711">
        <v>1070021</v>
      </c>
    </row>
    <row r="1712" spans="1:18" x14ac:dyDescent="0.25">
      <c r="A1712" s="170">
        <v>44526</v>
      </c>
      <c r="B1712" s="116">
        <v>1543.175</v>
      </c>
      <c r="C1712" s="116">
        <v>1518.1</v>
      </c>
      <c r="D1712" s="116">
        <v>1465.7750000000001</v>
      </c>
      <c r="E1712" s="116">
        <v>1484.5</v>
      </c>
      <c r="F1712" s="116">
        <v>3036.2</v>
      </c>
      <c r="G1712">
        <v>16220</v>
      </c>
      <c r="H1712" s="116"/>
      <c r="I1712" s="116"/>
      <c r="L1712" s="170">
        <v>44526</v>
      </c>
      <c r="M1712" s="116">
        <v>1518.05</v>
      </c>
      <c r="N1712" s="116">
        <v>1542.9749999999999</v>
      </c>
      <c r="O1712" s="116">
        <v>1465.65</v>
      </c>
      <c r="P1712" s="116">
        <v>1481.75</v>
      </c>
      <c r="Q1712" s="116">
        <v>3036.1</v>
      </c>
      <c r="R1712">
        <v>526866</v>
      </c>
    </row>
    <row r="1713" spans="1:18" x14ac:dyDescent="0.25">
      <c r="A1713" s="170">
        <v>44529</v>
      </c>
      <c r="B1713" s="116">
        <v>1624</v>
      </c>
      <c r="C1713" s="116">
        <v>1517</v>
      </c>
      <c r="D1713" s="116">
        <v>1508.125</v>
      </c>
      <c r="E1713" s="116">
        <v>1525</v>
      </c>
      <c r="F1713" s="116">
        <v>3034</v>
      </c>
      <c r="G1713">
        <v>53169</v>
      </c>
      <c r="H1713" s="116"/>
      <c r="I1713" s="116"/>
      <c r="L1713" s="170">
        <v>44529</v>
      </c>
      <c r="M1713" s="116">
        <v>1518.65</v>
      </c>
      <c r="N1713" s="116">
        <v>1624.4</v>
      </c>
      <c r="O1713" s="116">
        <v>1507.3</v>
      </c>
      <c r="P1713" s="116">
        <v>1550</v>
      </c>
      <c r="Q1713" s="116">
        <v>3037.3</v>
      </c>
      <c r="R1713">
        <v>1195238</v>
      </c>
    </row>
    <row r="1714" spans="1:18" x14ac:dyDescent="0.25">
      <c r="A1714" s="170">
        <v>44530</v>
      </c>
      <c r="B1714" s="116">
        <v>1554.925</v>
      </c>
      <c r="C1714" s="116">
        <v>1521.675</v>
      </c>
      <c r="D1714" s="116">
        <v>1495.7249999999999</v>
      </c>
      <c r="E1714" s="116">
        <v>1507.625</v>
      </c>
      <c r="F1714" s="116">
        <v>3043.35</v>
      </c>
      <c r="G1714">
        <v>11777</v>
      </c>
      <c r="H1714" s="116"/>
      <c r="I1714" s="116"/>
      <c r="L1714" s="170">
        <v>44530</v>
      </c>
      <c r="M1714" s="116">
        <v>1521.0250000000001</v>
      </c>
      <c r="N1714" s="116">
        <v>1555</v>
      </c>
      <c r="O1714" s="116">
        <v>1495.05</v>
      </c>
      <c r="P1714" s="116">
        <v>1518.05</v>
      </c>
      <c r="Q1714" s="116">
        <v>3042.05</v>
      </c>
      <c r="R1714">
        <v>474966</v>
      </c>
    </row>
    <row r="1715" spans="1:18" x14ac:dyDescent="0.25">
      <c r="A1715" s="170">
        <v>44531</v>
      </c>
      <c r="B1715" s="116">
        <v>1521.675</v>
      </c>
      <c r="C1715" s="116">
        <v>1487.125</v>
      </c>
      <c r="D1715" s="116">
        <v>1473.4749999999999</v>
      </c>
      <c r="E1715" s="116">
        <v>1521.675</v>
      </c>
      <c r="F1715" s="116">
        <v>2974.25</v>
      </c>
      <c r="G1715">
        <v>9677</v>
      </c>
      <c r="H1715" s="116"/>
      <c r="I1715" s="116"/>
      <c r="L1715" s="170">
        <v>44531</v>
      </c>
      <c r="M1715" s="116">
        <v>1487.825</v>
      </c>
      <c r="N1715" s="116">
        <v>1517.5</v>
      </c>
      <c r="O1715" s="116">
        <v>1475.4</v>
      </c>
      <c r="P1715" s="116">
        <v>1517.5</v>
      </c>
      <c r="Q1715" s="116">
        <v>2975.65</v>
      </c>
      <c r="R1715">
        <v>364444</v>
      </c>
    </row>
    <row r="1716" spans="1:18" x14ac:dyDescent="0.25">
      <c r="A1716" s="170">
        <v>44532</v>
      </c>
      <c r="B1716" s="116">
        <v>1501.9</v>
      </c>
      <c r="C1716" s="116">
        <v>1486.2249999999999</v>
      </c>
      <c r="D1716" s="116">
        <v>1477.625</v>
      </c>
      <c r="E1716" s="116">
        <v>1477.625</v>
      </c>
      <c r="F1716" s="116">
        <v>2972.45</v>
      </c>
      <c r="G1716">
        <v>3667</v>
      </c>
      <c r="H1716" s="116"/>
      <c r="I1716" s="116"/>
      <c r="L1716" s="170">
        <v>44532</v>
      </c>
      <c r="M1716" s="116">
        <v>1485.575</v>
      </c>
      <c r="N1716" s="116">
        <v>1502.925</v>
      </c>
      <c r="O1716" s="116">
        <v>1476</v>
      </c>
      <c r="P1716" s="116">
        <v>1488.05</v>
      </c>
      <c r="Q1716" s="116">
        <v>2971.15</v>
      </c>
      <c r="R1716">
        <v>242805</v>
      </c>
    </row>
    <row r="1717" spans="1:18" x14ac:dyDescent="0.25">
      <c r="A1717" s="170">
        <v>44533</v>
      </c>
      <c r="B1717" s="116">
        <v>1510.4749999999999</v>
      </c>
      <c r="C1717" s="116">
        <v>1492.175</v>
      </c>
      <c r="D1717" s="116">
        <v>1475.6</v>
      </c>
      <c r="E1717" s="116">
        <v>1475.6</v>
      </c>
      <c r="F1717" s="116">
        <v>2984.35</v>
      </c>
      <c r="G1717">
        <v>4898</v>
      </c>
      <c r="H1717" s="116"/>
      <c r="I1717" s="116"/>
      <c r="L1717" s="170">
        <v>44533</v>
      </c>
      <c r="M1717" s="116">
        <v>1490.9</v>
      </c>
      <c r="N1717" s="116">
        <v>1511.4749999999999</v>
      </c>
      <c r="O1717" s="116">
        <v>1478.5</v>
      </c>
      <c r="P1717" s="116">
        <v>1486</v>
      </c>
      <c r="Q1717" s="116">
        <v>2981.8</v>
      </c>
      <c r="R1717">
        <v>150753</v>
      </c>
    </row>
    <row r="1718" spans="1:18" x14ac:dyDescent="0.25">
      <c r="A1718" s="170">
        <v>44536</v>
      </c>
      <c r="B1718" s="116">
        <v>1507.2</v>
      </c>
      <c r="C1718" s="116">
        <v>1468.075</v>
      </c>
      <c r="D1718" s="116">
        <v>1462.125</v>
      </c>
      <c r="E1718" s="116">
        <v>1485.0250000000001</v>
      </c>
      <c r="F1718" s="116">
        <v>2936.15</v>
      </c>
      <c r="G1718">
        <v>3103</v>
      </c>
      <c r="H1718" s="116"/>
      <c r="I1718" s="116"/>
      <c r="L1718" s="170">
        <v>44536</v>
      </c>
      <c r="M1718" s="116">
        <v>1468.4749999999999</v>
      </c>
      <c r="N1718" s="116">
        <v>1507.4749999999999</v>
      </c>
      <c r="O1718" s="116">
        <v>1462.375</v>
      </c>
      <c r="P1718" s="116">
        <v>1490.9</v>
      </c>
      <c r="Q1718" s="116">
        <v>2936.95</v>
      </c>
      <c r="R1718">
        <v>112379</v>
      </c>
    </row>
    <row r="1719" spans="1:18" x14ac:dyDescent="0.25">
      <c r="A1719" s="170">
        <v>44537</v>
      </c>
      <c r="B1719" s="116">
        <v>1553</v>
      </c>
      <c r="C1719" s="116">
        <v>1537.5250000000001</v>
      </c>
      <c r="D1719" s="116">
        <v>1459.6</v>
      </c>
      <c r="E1719" s="116">
        <v>1459.6</v>
      </c>
      <c r="F1719" s="116">
        <v>3075.05</v>
      </c>
      <c r="G1719">
        <v>11370</v>
      </c>
      <c r="H1719" s="116"/>
      <c r="I1719" s="116"/>
      <c r="L1719" s="170">
        <v>44537</v>
      </c>
      <c r="M1719" s="116">
        <v>1537.3</v>
      </c>
      <c r="N1719" s="116">
        <v>1553.5</v>
      </c>
      <c r="O1719" s="116">
        <v>1465.075</v>
      </c>
      <c r="P1719" s="116">
        <v>1470.25</v>
      </c>
      <c r="Q1719" s="116">
        <v>3074.6</v>
      </c>
      <c r="R1719">
        <v>841172</v>
      </c>
    </row>
    <row r="1720" spans="1:18" x14ac:dyDescent="0.25">
      <c r="A1720" s="170">
        <v>44538</v>
      </c>
      <c r="B1720" s="116">
        <v>1572.5</v>
      </c>
      <c r="C1720" s="116">
        <v>1567.875</v>
      </c>
      <c r="D1720" s="116">
        <v>1537.5250000000001</v>
      </c>
      <c r="E1720" s="116">
        <v>1550</v>
      </c>
      <c r="F1720" s="116">
        <v>3135.75</v>
      </c>
      <c r="G1720">
        <v>5554</v>
      </c>
      <c r="H1720" s="116"/>
      <c r="I1720" s="116"/>
      <c r="L1720" s="170">
        <v>44538</v>
      </c>
      <c r="M1720" s="116">
        <v>1568.95</v>
      </c>
      <c r="N1720" s="116">
        <v>1573.8</v>
      </c>
      <c r="O1720" s="116">
        <v>1537.5</v>
      </c>
      <c r="P1720" s="116">
        <v>1549.5</v>
      </c>
      <c r="Q1720" s="116">
        <v>3137.9</v>
      </c>
      <c r="R1720">
        <v>392496</v>
      </c>
    </row>
    <row r="1721" spans="1:18" x14ac:dyDescent="0.25">
      <c r="A1721" s="170">
        <v>44539</v>
      </c>
      <c r="B1721" s="116">
        <v>1575</v>
      </c>
      <c r="C1721" s="116">
        <v>1557.5250000000001</v>
      </c>
      <c r="D1721" s="116">
        <v>1547.675</v>
      </c>
      <c r="E1721" s="116">
        <v>1550</v>
      </c>
      <c r="F1721" s="116">
        <v>3115.05</v>
      </c>
      <c r="G1721">
        <v>4273</v>
      </c>
      <c r="H1721" s="116"/>
      <c r="I1721" s="116"/>
      <c r="L1721" s="170">
        <v>44539</v>
      </c>
      <c r="M1721" s="116">
        <v>1556.4</v>
      </c>
      <c r="N1721" s="116">
        <v>1575.925</v>
      </c>
      <c r="O1721" s="116">
        <v>1547</v>
      </c>
      <c r="P1721" s="116">
        <v>1565</v>
      </c>
      <c r="Q1721" s="116">
        <v>3112.8</v>
      </c>
      <c r="R1721">
        <v>89457</v>
      </c>
    </row>
    <row r="1722" spans="1:18" x14ac:dyDescent="0.25">
      <c r="A1722" s="170">
        <v>44540</v>
      </c>
      <c r="B1722" s="116">
        <v>1564.45</v>
      </c>
      <c r="C1722" s="116">
        <v>1543.35</v>
      </c>
      <c r="D1722" s="116">
        <v>1525.2750000000001</v>
      </c>
      <c r="E1722" s="116">
        <v>1525.2750000000001</v>
      </c>
      <c r="F1722" s="116">
        <v>3086.7</v>
      </c>
      <c r="G1722">
        <v>3193</v>
      </c>
      <c r="H1722" s="116"/>
      <c r="I1722" s="116"/>
      <c r="L1722" s="170">
        <v>44540</v>
      </c>
      <c r="M1722" s="116">
        <v>1543.325</v>
      </c>
      <c r="N1722" s="116">
        <v>1564.325</v>
      </c>
      <c r="O1722" s="116">
        <v>1536.0250000000001</v>
      </c>
      <c r="P1722" s="116">
        <v>1541.25</v>
      </c>
      <c r="Q1722" s="116">
        <v>3086.65</v>
      </c>
      <c r="R1722">
        <v>67678</v>
      </c>
    </row>
    <row r="1723" spans="1:18" x14ac:dyDescent="0.25">
      <c r="A1723" s="170">
        <v>44543</v>
      </c>
      <c r="B1723" s="116">
        <v>1561</v>
      </c>
      <c r="C1723" s="116">
        <v>1533.7249999999999</v>
      </c>
      <c r="D1723" s="116">
        <v>1529.175</v>
      </c>
      <c r="E1723" s="116">
        <v>1560.675</v>
      </c>
      <c r="F1723" s="116">
        <v>3067.45</v>
      </c>
      <c r="G1723">
        <v>2646</v>
      </c>
      <c r="H1723" s="116"/>
      <c r="I1723" s="116"/>
      <c r="L1723" s="170">
        <v>44543</v>
      </c>
      <c r="M1723" s="116">
        <v>1537.5</v>
      </c>
      <c r="N1723" s="116">
        <v>1562.7249999999999</v>
      </c>
      <c r="O1723" s="116">
        <v>1529.65</v>
      </c>
      <c r="P1723" s="116">
        <v>1547.5</v>
      </c>
      <c r="Q1723" s="116">
        <v>3075</v>
      </c>
      <c r="R1723">
        <v>119230</v>
      </c>
    </row>
    <row r="1724" spans="1:18" x14ac:dyDescent="0.25">
      <c r="A1724" s="170">
        <v>44544</v>
      </c>
      <c r="B1724" s="116">
        <v>1581.2</v>
      </c>
      <c r="C1724" s="116">
        <v>1560.35</v>
      </c>
      <c r="D1724" s="116">
        <v>1491.5</v>
      </c>
      <c r="E1724" s="116">
        <v>1491.5</v>
      </c>
      <c r="F1724" s="116">
        <v>3120.7</v>
      </c>
      <c r="G1724">
        <v>5853</v>
      </c>
      <c r="H1724" s="116"/>
      <c r="I1724" s="116"/>
      <c r="L1724" s="170">
        <v>44544</v>
      </c>
      <c r="M1724" s="116">
        <v>1560.2750000000001</v>
      </c>
      <c r="N1724" s="116">
        <v>1583.05</v>
      </c>
      <c r="O1724" s="116">
        <v>1530.4749999999999</v>
      </c>
      <c r="P1724" s="116">
        <v>1537.5</v>
      </c>
      <c r="Q1724" s="116">
        <v>3120.55</v>
      </c>
      <c r="R1724">
        <v>135929</v>
      </c>
    </row>
    <row r="1725" spans="1:18" x14ac:dyDescent="0.25">
      <c r="A1725" s="170">
        <v>44545</v>
      </c>
      <c r="B1725" s="116">
        <v>1582.05</v>
      </c>
      <c r="C1725" s="116">
        <v>1556</v>
      </c>
      <c r="D1725" s="116">
        <v>1530.0250000000001</v>
      </c>
      <c r="E1725" s="116">
        <v>1530.0250000000001</v>
      </c>
      <c r="F1725" s="116">
        <v>3112</v>
      </c>
      <c r="G1725">
        <v>8436</v>
      </c>
      <c r="H1725" s="116"/>
      <c r="I1725" s="116"/>
      <c r="L1725" s="170">
        <v>44545</v>
      </c>
      <c r="M1725" s="116">
        <v>1557.2750000000001</v>
      </c>
      <c r="N1725" s="116">
        <v>1582</v>
      </c>
      <c r="O1725" s="116">
        <v>1546</v>
      </c>
      <c r="P1725" s="116">
        <v>1560.2750000000001</v>
      </c>
      <c r="Q1725" s="116">
        <v>3114.55</v>
      </c>
      <c r="R1725">
        <v>188339</v>
      </c>
    </row>
    <row r="1726" spans="1:18" x14ac:dyDescent="0.25">
      <c r="A1726" s="170">
        <v>44546</v>
      </c>
      <c r="B1726" s="116">
        <v>1568</v>
      </c>
      <c r="C1726" s="116">
        <v>1546.65</v>
      </c>
      <c r="D1726" s="116">
        <v>1529.575</v>
      </c>
      <c r="E1726" s="116">
        <v>1557.175</v>
      </c>
      <c r="F1726" s="116">
        <v>3093.3</v>
      </c>
      <c r="G1726">
        <v>9963</v>
      </c>
      <c r="H1726" s="116"/>
      <c r="I1726" s="116"/>
      <c r="L1726" s="170">
        <v>44546</v>
      </c>
      <c r="M1726" s="116">
        <v>1546.0250000000001</v>
      </c>
      <c r="N1726" s="116">
        <v>1569</v>
      </c>
      <c r="O1726" s="116">
        <v>1529.1</v>
      </c>
      <c r="P1726" s="116">
        <v>1557.25</v>
      </c>
      <c r="Q1726" s="116">
        <v>3092.05</v>
      </c>
      <c r="R1726">
        <v>181767</v>
      </c>
    </row>
    <row r="1727" spans="1:18" x14ac:dyDescent="0.25">
      <c r="A1727" s="170">
        <v>44547</v>
      </c>
      <c r="B1727" s="116">
        <v>1555</v>
      </c>
      <c r="C1727" s="116">
        <v>1541.575</v>
      </c>
      <c r="D1727" s="116">
        <v>1525.425</v>
      </c>
      <c r="E1727" s="116">
        <v>1538.9</v>
      </c>
      <c r="F1727" s="116">
        <v>3083.15</v>
      </c>
      <c r="G1727">
        <v>6716</v>
      </c>
      <c r="H1727" s="116"/>
      <c r="I1727" s="116"/>
      <c r="L1727" s="170">
        <v>44547</v>
      </c>
      <c r="M1727" s="116">
        <v>1540.65</v>
      </c>
      <c r="N1727" s="116">
        <v>1556</v>
      </c>
      <c r="O1727" s="116">
        <v>1524.6</v>
      </c>
      <c r="P1727" s="116">
        <v>1549.75</v>
      </c>
      <c r="Q1727" s="116">
        <v>3081.3</v>
      </c>
      <c r="R1727">
        <v>160595</v>
      </c>
    </row>
    <row r="1728" spans="1:18" x14ac:dyDescent="0.25">
      <c r="A1728" s="170">
        <v>44550</v>
      </c>
      <c r="B1728" s="116">
        <v>1542</v>
      </c>
      <c r="C1728" s="116">
        <v>1529.7</v>
      </c>
      <c r="D1728" s="116">
        <v>1502.9</v>
      </c>
      <c r="E1728" s="116">
        <v>1519.35</v>
      </c>
      <c r="F1728" s="116">
        <v>3059.4</v>
      </c>
      <c r="G1728">
        <v>6742</v>
      </c>
      <c r="H1728" s="116"/>
      <c r="I1728" s="116"/>
      <c r="L1728" s="170">
        <v>44550</v>
      </c>
      <c r="M1728" s="116">
        <v>1533.925</v>
      </c>
      <c r="N1728" s="116">
        <v>1542.4</v>
      </c>
      <c r="O1728" s="116">
        <v>1500.875</v>
      </c>
      <c r="P1728" s="116">
        <v>1530.05</v>
      </c>
      <c r="Q1728" s="116">
        <v>3067.85</v>
      </c>
      <c r="R1728">
        <v>136571</v>
      </c>
    </row>
    <row r="1729" spans="1:18" x14ac:dyDescent="0.25">
      <c r="A1729" s="170">
        <v>44551</v>
      </c>
      <c r="B1729" s="116">
        <v>1567.625</v>
      </c>
      <c r="C1729" s="116">
        <v>1537.175</v>
      </c>
      <c r="D1729" s="116">
        <v>1517.7</v>
      </c>
      <c r="E1729" s="116">
        <v>1536.675</v>
      </c>
      <c r="F1729" s="116">
        <v>3074.35</v>
      </c>
      <c r="G1729">
        <v>6561</v>
      </c>
      <c r="H1729" s="116"/>
      <c r="I1729" s="116"/>
      <c r="L1729" s="170">
        <v>44551</v>
      </c>
      <c r="M1729" s="116">
        <v>1536.675</v>
      </c>
      <c r="N1729" s="116">
        <v>1568.3</v>
      </c>
      <c r="O1729" s="116">
        <v>1516.25</v>
      </c>
      <c r="P1729" s="116">
        <v>1527.5</v>
      </c>
      <c r="Q1729" s="116">
        <v>3073.35</v>
      </c>
      <c r="R1729">
        <v>118278</v>
      </c>
    </row>
    <row r="1730" spans="1:18" x14ac:dyDescent="0.25">
      <c r="A1730" s="170">
        <v>44552</v>
      </c>
      <c r="B1730" s="116">
        <v>1548.2249999999999</v>
      </c>
      <c r="C1730" s="116">
        <v>1541.425</v>
      </c>
      <c r="D1730" s="116">
        <v>1527.85</v>
      </c>
      <c r="E1730" s="116">
        <v>1530.125</v>
      </c>
      <c r="F1730" s="116">
        <v>3082.85</v>
      </c>
      <c r="G1730">
        <v>4368</v>
      </c>
      <c r="H1730" s="116"/>
      <c r="I1730" s="116"/>
      <c r="L1730" s="170">
        <v>44552</v>
      </c>
      <c r="M1730" s="116">
        <v>1540.9</v>
      </c>
      <c r="N1730" s="116">
        <v>1547.85</v>
      </c>
      <c r="O1730" s="116">
        <v>1526.825</v>
      </c>
      <c r="P1730" s="116">
        <v>1540</v>
      </c>
      <c r="Q1730" s="116">
        <v>3081.8</v>
      </c>
      <c r="R1730">
        <v>250422</v>
      </c>
    </row>
    <row r="1731" spans="1:18" x14ac:dyDescent="0.25">
      <c r="A1731" s="170">
        <v>44553</v>
      </c>
      <c r="B1731" s="116">
        <v>1587.5</v>
      </c>
      <c r="C1731" s="116">
        <v>1579.2249999999999</v>
      </c>
      <c r="D1731" s="116">
        <v>1544.7750000000001</v>
      </c>
      <c r="E1731" s="116">
        <v>1544.7750000000001</v>
      </c>
      <c r="F1731" s="116">
        <v>3158.45</v>
      </c>
      <c r="G1731">
        <v>5818</v>
      </c>
      <c r="H1731" s="116"/>
      <c r="I1731" s="116"/>
      <c r="L1731" s="170">
        <v>44553</v>
      </c>
      <c r="M1731" s="116">
        <v>1581.25</v>
      </c>
      <c r="N1731" s="116">
        <v>1590</v>
      </c>
      <c r="O1731" s="116">
        <v>1540.5</v>
      </c>
      <c r="P1731" s="116">
        <v>1544.425</v>
      </c>
      <c r="Q1731" s="116">
        <v>3162.5</v>
      </c>
      <c r="R1731">
        <v>100449</v>
      </c>
    </row>
    <row r="1732" spans="1:18" x14ac:dyDescent="0.25">
      <c r="A1732" s="170">
        <v>44554</v>
      </c>
      <c r="B1732" s="116">
        <v>1599</v>
      </c>
      <c r="C1732" s="116">
        <v>1522.4749999999999</v>
      </c>
      <c r="D1732" s="116">
        <v>1517.5</v>
      </c>
      <c r="E1732" s="116">
        <v>1587.925</v>
      </c>
      <c r="F1732" s="116">
        <v>3044.95</v>
      </c>
      <c r="G1732">
        <v>12698</v>
      </c>
      <c r="H1732" s="116"/>
      <c r="I1732" s="116"/>
      <c r="L1732" s="170">
        <v>44554</v>
      </c>
      <c r="M1732" s="116">
        <v>1523.1</v>
      </c>
      <c r="N1732" s="116">
        <v>1599.5</v>
      </c>
      <c r="O1732" s="116">
        <v>1518.175</v>
      </c>
      <c r="P1732" s="116">
        <v>1590</v>
      </c>
      <c r="Q1732" s="116">
        <v>3046.2</v>
      </c>
      <c r="R1732">
        <v>280601</v>
      </c>
    </row>
    <row r="1733" spans="1:18" x14ac:dyDescent="0.25">
      <c r="A1733" s="170">
        <v>44557</v>
      </c>
      <c r="B1733" s="116">
        <v>1579.85</v>
      </c>
      <c r="C1733" s="116">
        <v>1574.4749999999999</v>
      </c>
      <c r="D1733" s="116">
        <v>1520.125</v>
      </c>
      <c r="E1733" s="116">
        <v>1521.175</v>
      </c>
      <c r="F1733" s="116">
        <v>3148.95</v>
      </c>
      <c r="G1733">
        <v>10090</v>
      </c>
      <c r="H1733" s="116"/>
      <c r="I1733" s="116"/>
      <c r="L1733" s="170">
        <v>44557</v>
      </c>
      <c r="M1733" s="116">
        <v>1574.375</v>
      </c>
      <c r="N1733" s="116">
        <v>1580.1</v>
      </c>
      <c r="O1733" s="116">
        <v>1515.325</v>
      </c>
      <c r="P1733" s="116">
        <v>1523.125</v>
      </c>
      <c r="Q1733" s="116">
        <v>3148.75</v>
      </c>
      <c r="R1733">
        <v>439659</v>
      </c>
    </row>
    <row r="1734" spans="1:18" x14ac:dyDescent="0.25">
      <c r="A1734" s="170">
        <v>44558</v>
      </c>
      <c r="B1734" s="116">
        <v>1588.75</v>
      </c>
      <c r="C1734" s="116">
        <v>1571.075</v>
      </c>
      <c r="D1734" s="116">
        <v>1559.05</v>
      </c>
      <c r="E1734" s="116">
        <v>1559.05</v>
      </c>
      <c r="F1734" s="116">
        <v>3142.15</v>
      </c>
      <c r="G1734">
        <v>5063</v>
      </c>
      <c r="H1734" s="116"/>
      <c r="I1734" s="116"/>
      <c r="L1734" s="170">
        <v>44558</v>
      </c>
      <c r="M1734" s="116">
        <v>1571.2</v>
      </c>
      <c r="N1734" s="116">
        <v>1588.85</v>
      </c>
      <c r="O1734" s="116">
        <v>1558.5250000000001</v>
      </c>
      <c r="P1734" s="116">
        <v>1572.75</v>
      </c>
      <c r="Q1734" s="116">
        <v>3142.4</v>
      </c>
      <c r="R1734">
        <v>130389</v>
      </c>
    </row>
    <row r="1735" spans="1:18" x14ac:dyDescent="0.25">
      <c r="A1735" s="170">
        <v>44559</v>
      </c>
      <c r="B1735" s="116">
        <v>1611.8</v>
      </c>
      <c r="C1735" s="116">
        <v>1594.2</v>
      </c>
      <c r="D1735" s="116">
        <v>1565.8</v>
      </c>
      <c r="E1735" s="116">
        <v>1570</v>
      </c>
      <c r="F1735" s="116">
        <v>3188.4</v>
      </c>
      <c r="G1735">
        <v>15114</v>
      </c>
      <c r="H1735" s="116"/>
      <c r="I1735" s="116"/>
      <c r="L1735" s="170">
        <v>44559</v>
      </c>
      <c r="M1735" s="116">
        <v>1592.85</v>
      </c>
      <c r="N1735" s="116">
        <v>1612.5</v>
      </c>
      <c r="O1735" s="116">
        <v>1560</v>
      </c>
      <c r="P1735" s="116">
        <v>1571.2</v>
      </c>
      <c r="Q1735" s="116">
        <v>3185.7</v>
      </c>
      <c r="R1735">
        <v>268441</v>
      </c>
    </row>
    <row r="1736" spans="1:18" x14ac:dyDescent="0.25">
      <c r="A1736" s="170">
        <v>44560</v>
      </c>
      <c r="B1736" s="116">
        <v>1617.5</v>
      </c>
      <c r="C1736" s="116">
        <v>1594.5250000000001</v>
      </c>
      <c r="D1736" s="116">
        <v>1587.6</v>
      </c>
      <c r="E1736" s="116">
        <v>1588.7</v>
      </c>
      <c r="F1736" s="116">
        <v>3189.05</v>
      </c>
      <c r="G1736">
        <v>8932</v>
      </c>
      <c r="H1736" s="116"/>
      <c r="I1736" s="116"/>
      <c r="L1736" s="170">
        <v>44560</v>
      </c>
      <c r="M1736" s="116">
        <v>1595.4749999999999</v>
      </c>
      <c r="N1736" s="116">
        <v>1619</v>
      </c>
      <c r="O1736" s="116">
        <v>1586.55</v>
      </c>
      <c r="P1736" s="116">
        <v>1591.175</v>
      </c>
      <c r="Q1736" s="116">
        <v>3190.95</v>
      </c>
      <c r="R1736">
        <v>211882</v>
      </c>
    </row>
    <row r="1737" spans="1:18" x14ac:dyDescent="0.25">
      <c r="A1737" s="170">
        <v>44561</v>
      </c>
      <c r="B1737" s="116">
        <v>1652.2249999999999</v>
      </c>
      <c r="C1737" s="116">
        <v>1639.575</v>
      </c>
      <c r="D1737" s="116">
        <v>1596.75</v>
      </c>
      <c r="E1737" s="116">
        <v>1602.5250000000001</v>
      </c>
      <c r="F1737" s="116">
        <v>3279.15</v>
      </c>
      <c r="G1737">
        <v>12544</v>
      </c>
      <c r="H1737" s="116"/>
      <c r="I1737" s="116"/>
      <c r="L1737" s="170">
        <v>44561</v>
      </c>
      <c r="M1737" s="116">
        <v>1639.2249999999999</v>
      </c>
      <c r="N1737" s="116">
        <v>1649.25</v>
      </c>
      <c r="O1737" s="116">
        <v>1591.4</v>
      </c>
      <c r="P1737" s="116">
        <v>1591.4</v>
      </c>
      <c r="Q1737" s="116">
        <v>3278.45</v>
      </c>
      <c r="R1737">
        <v>358118</v>
      </c>
    </row>
    <row r="1738" spans="1:18" x14ac:dyDescent="0.25">
      <c r="A1738" s="170">
        <v>44564</v>
      </c>
      <c r="B1738" s="116">
        <v>1649.95</v>
      </c>
      <c r="C1738" s="116">
        <v>1626.25</v>
      </c>
      <c r="D1738" s="116">
        <v>1623.2249999999999</v>
      </c>
      <c r="E1738" s="116">
        <v>1649.95</v>
      </c>
      <c r="F1738" s="116">
        <v>3252.5</v>
      </c>
      <c r="G1738">
        <v>5671</v>
      </c>
      <c r="H1738" s="116"/>
      <c r="I1738" s="116"/>
      <c r="L1738" s="170">
        <v>44564</v>
      </c>
      <c r="M1738" s="116">
        <v>1626.05</v>
      </c>
      <c r="N1738" s="116">
        <v>1647.9749999999999</v>
      </c>
      <c r="O1738" s="116">
        <v>1623.7249999999999</v>
      </c>
      <c r="P1738" s="116">
        <v>1639.25</v>
      </c>
      <c r="Q1738" s="116">
        <v>3252.1</v>
      </c>
      <c r="R1738">
        <v>98348</v>
      </c>
    </row>
    <row r="1739" spans="1:18" x14ac:dyDescent="0.25">
      <c r="A1739" s="170">
        <v>44565</v>
      </c>
      <c r="B1739" s="116">
        <v>1632.875</v>
      </c>
      <c r="C1739" s="116">
        <v>1603.2249999999999</v>
      </c>
      <c r="D1739" s="116">
        <v>1593.575</v>
      </c>
      <c r="E1739" s="116">
        <v>1630.075</v>
      </c>
      <c r="F1739" s="116">
        <v>3206.45</v>
      </c>
      <c r="G1739">
        <v>5855</v>
      </c>
      <c r="H1739" s="116"/>
      <c r="I1739" s="116"/>
      <c r="L1739" s="170">
        <v>44565</v>
      </c>
      <c r="M1739" s="116">
        <v>1604.425</v>
      </c>
      <c r="N1739" s="116">
        <v>1636.25</v>
      </c>
      <c r="O1739" s="116">
        <v>1594</v>
      </c>
      <c r="P1739" s="116">
        <v>1636.25</v>
      </c>
      <c r="Q1739" s="116">
        <v>3208.85</v>
      </c>
      <c r="R1739">
        <v>139846</v>
      </c>
    </row>
    <row r="1740" spans="1:18" x14ac:dyDescent="0.25">
      <c r="A1740" s="170">
        <v>44566</v>
      </c>
      <c r="B1740" s="116">
        <v>1621.1</v>
      </c>
      <c r="C1740" s="116">
        <v>1598.2750000000001</v>
      </c>
      <c r="D1740" s="116">
        <v>1592.85</v>
      </c>
      <c r="E1740" s="116">
        <v>1600.2249999999999</v>
      </c>
      <c r="F1740" s="116">
        <v>3196.55</v>
      </c>
      <c r="G1740">
        <v>3522</v>
      </c>
      <c r="H1740" s="116"/>
      <c r="I1740" s="116"/>
      <c r="L1740" s="170">
        <v>44566</v>
      </c>
      <c r="M1740" s="116">
        <v>1599.9749999999999</v>
      </c>
      <c r="N1740" s="116">
        <v>1624.25</v>
      </c>
      <c r="O1740" s="116">
        <v>1593</v>
      </c>
      <c r="P1740" s="116">
        <v>1611.5</v>
      </c>
      <c r="Q1740" s="116">
        <v>3199.95</v>
      </c>
      <c r="R1740">
        <v>77081</v>
      </c>
    </row>
    <row r="1741" spans="1:18" x14ac:dyDescent="0.25">
      <c r="A1741" s="170">
        <v>44567</v>
      </c>
      <c r="B1741" s="116">
        <v>1617.5</v>
      </c>
      <c r="C1741" s="116">
        <v>1577.75</v>
      </c>
      <c r="D1741" s="116">
        <v>1573.2</v>
      </c>
      <c r="E1741" s="116">
        <v>1599.125</v>
      </c>
      <c r="F1741" s="116">
        <v>3155.5</v>
      </c>
      <c r="G1741">
        <v>3933</v>
      </c>
      <c r="H1741" s="116"/>
      <c r="I1741" s="116"/>
      <c r="L1741" s="170">
        <v>44567</v>
      </c>
      <c r="M1741" s="116">
        <v>1579.425</v>
      </c>
      <c r="N1741" s="116">
        <v>1619.425</v>
      </c>
      <c r="O1741" s="116">
        <v>1573.6</v>
      </c>
      <c r="P1741" s="116">
        <v>1595</v>
      </c>
      <c r="Q1741" s="116">
        <v>3158.85</v>
      </c>
      <c r="R1741">
        <v>117890</v>
      </c>
    </row>
    <row r="1742" spans="1:18" x14ac:dyDescent="0.25">
      <c r="A1742" s="170">
        <v>44568</v>
      </c>
      <c r="B1742" s="116">
        <v>1594.425</v>
      </c>
      <c r="C1742" s="116">
        <v>1569.5250000000001</v>
      </c>
      <c r="D1742" s="116">
        <v>1566.175</v>
      </c>
      <c r="E1742" s="116">
        <v>1579.45</v>
      </c>
      <c r="F1742" s="116">
        <v>3139.05</v>
      </c>
      <c r="G1742">
        <v>3334</v>
      </c>
      <c r="H1742" s="116"/>
      <c r="I1742" s="116"/>
      <c r="L1742" s="170">
        <v>44568</v>
      </c>
      <c r="M1742" s="116">
        <v>1570.25</v>
      </c>
      <c r="N1742" s="116">
        <v>1595</v>
      </c>
      <c r="O1742" s="116">
        <v>1557.875</v>
      </c>
      <c r="P1742" s="116">
        <v>1581.5</v>
      </c>
      <c r="Q1742" s="116">
        <v>3140.5</v>
      </c>
      <c r="R1742">
        <v>76370</v>
      </c>
    </row>
    <row r="1743" spans="1:18" x14ac:dyDescent="0.25">
      <c r="A1743" s="170">
        <v>44571</v>
      </c>
      <c r="B1743" s="116">
        <v>1583.1</v>
      </c>
      <c r="C1743" s="116">
        <v>1572.25</v>
      </c>
      <c r="D1743" s="116">
        <v>1563.65</v>
      </c>
      <c r="E1743" s="116">
        <v>1572.8</v>
      </c>
      <c r="F1743" s="116">
        <v>3144.5</v>
      </c>
      <c r="G1743">
        <v>1206</v>
      </c>
      <c r="H1743" s="116"/>
      <c r="I1743" s="116"/>
      <c r="L1743" s="170">
        <v>44571</v>
      </c>
      <c r="M1743" s="116">
        <v>1572.175</v>
      </c>
      <c r="N1743" s="116">
        <v>1584.5</v>
      </c>
      <c r="O1743" s="116">
        <v>1562.5</v>
      </c>
      <c r="P1743" s="116">
        <v>1572.5</v>
      </c>
      <c r="Q1743" s="116">
        <v>3144.35</v>
      </c>
      <c r="R1743">
        <v>58345</v>
      </c>
    </row>
    <row r="1744" spans="1:18" x14ac:dyDescent="0.25">
      <c r="A1744" s="170">
        <v>44572</v>
      </c>
      <c r="B1744" s="116">
        <v>1587.5</v>
      </c>
      <c r="C1744" s="116">
        <v>1562.625</v>
      </c>
      <c r="D1744" s="116">
        <v>1556.35</v>
      </c>
      <c r="E1744" s="116">
        <v>1574.2750000000001</v>
      </c>
      <c r="F1744" s="116">
        <v>3125.25</v>
      </c>
      <c r="G1744">
        <v>4885</v>
      </c>
      <c r="H1744" s="116"/>
      <c r="I1744" s="116"/>
      <c r="L1744" s="170">
        <v>44572</v>
      </c>
      <c r="M1744" s="116">
        <v>1562.9</v>
      </c>
      <c r="N1744" s="116">
        <v>1587.1</v>
      </c>
      <c r="O1744" s="116">
        <v>1557.65</v>
      </c>
      <c r="P1744" s="116">
        <v>1577.175</v>
      </c>
      <c r="Q1744" s="116">
        <v>3125.8</v>
      </c>
      <c r="R1744">
        <v>67044</v>
      </c>
    </row>
    <row r="1745" spans="1:18" x14ac:dyDescent="0.25">
      <c r="A1745" s="170">
        <v>44573</v>
      </c>
      <c r="B1745" s="116">
        <v>1584.4</v>
      </c>
      <c r="C1745" s="116">
        <v>1578.85</v>
      </c>
      <c r="D1745" s="116">
        <v>1553.6</v>
      </c>
      <c r="E1745" s="116">
        <v>1561.7249999999999</v>
      </c>
      <c r="F1745" s="116">
        <v>3157.7</v>
      </c>
      <c r="G1745">
        <v>4396</v>
      </c>
      <c r="H1745" s="116"/>
      <c r="I1745" s="116"/>
      <c r="L1745" s="170">
        <v>44573</v>
      </c>
      <c r="M1745" s="116">
        <v>1579.95</v>
      </c>
      <c r="N1745" s="116">
        <v>1587.25</v>
      </c>
      <c r="O1745" s="116">
        <v>1552.7750000000001</v>
      </c>
      <c r="P1745" s="116">
        <v>1570</v>
      </c>
      <c r="Q1745" s="116">
        <v>3159.9</v>
      </c>
      <c r="R1745">
        <v>97274</v>
      </c>
    </row>
    <row r="1746" spans="1:18" x14ac:dyDescent="0.25">
      <c r="A1746" s="170">
        <v>44574</v>
      </c>
      <c r="B1746" s="116">
        <v>1608.9749999999999</v>
      </c>
      <c r="C1746" s="116">
        <v>1594.2750000000001</v>
      </c>
      <c r="D1746" s="116">
        <v>1572.9</v>
      </c>
      <c r="E1746" s="116">
        <v>1591.05</v>
      </c>
      <c r="F1746" s="116">
        <v>3188.55</v>
      </c>
      <c r="G1746">
        <v>2509</v>
      </c>
      <c r="H1746" s="116"/>
      <c r="I1746" s="116"/>
      <c r="L1746" s="170">
        <v>44574</v>
      </c>
      <c r="M1746" s="116">
        <v>1594.6</v>
      </c>
      <c r="N1746" s="116">
        <v>1609</v>
      </c>
      <c r="O1746" s="116">
        <v>1572.075</v>
      </c>
      <c r="P1746" s="116">
        <v>1592.625</v>
      </c>
      <c r="Q1746" s="116">
        <v>3189.2</v>
      </c>
      <c r="R1746">
        <v>101421</v>
      </c>
    </row>
    <row r="1747" spans="1:18" x14ac:dyDescent="0.25">
      <c r="A1747" s="170">
        <v>44575</v>
      </c>
      <c r="B1747" s="116">
        <v>1603.35</v>
      </c>
      <c r="C1747" s="116">
        <v>1595.15</v>
      </c>
      <c r="D1747" s="116">
        <v>1572.9749999999999</v>
      </c>
      <c r="E1747" s="116">
        <v>1591.875</v>
      </c>
      <c r="F1747" s="116">
        <v>3190.3</v>
      </c>
      <c r="G1747">
        <v>2612</v>
      </c>
      <c r="H1747" s="116"/>
      <c r="I1747" s="116"/>
      <c r="L1747" s="170">
        <v>44575</v>
      </c>
      <c r="M1747" s="116">
        <v>1597.1</v>
      </c>
      <c r="N1747" s="116">
        <v>1604.375</v>
      </c>
      <c r="O1747" s="116">
        <v>1572</v>
      </c>
      <c r="P1747" s="116">
        <v>1594.5</v>
      </c>
      <c r="Q1747" s="116">
        <v>3194.2</v>
      </c>
      <c r="R1747">
        <v>169729</v>
      </c>
    </row>
    <row r="1748" spans="1:18" x14ac:dyDescent="0.25">
      <c r="A1748" s="170">
        <v>44578</v>
      </c>
      <c r="B1748" s="116">
        <v>1603.65</v>
      </c>
      <c r="C1748" s="116">
        <v>1593.65</v>
      </c>
      <c r="D1748" s="116">
        <v>1580</v>
      </c>
      <c r="E1748" s="116">
        <v>1580</v>
      </c>
      <c r="F1748" s="116">
        <v>3187.3</v>
      </c>
      <c r="G1748">
        <v>3455</v>
      </c>
      <c r="H1748" s="116"/>
      <c r="I1748" s="116"/>
      <c r="L1748" s="170">
        <v>44578</v>
      </c>
      <c r="M1748" s="116">
        <v>1595.5</v>
      </c>
      <c r="N1748" s="116">
        <v>1604.95</v>
      </c>
      <c r="O1748" s="116">
        <v>1581</v>
      </c>
      <c r="P1748" s="116">
        <v>1586</v>
      </c>
      <c r="Q1748" s="116">
        <v>3191</v>
      </c>
      <c r="R1748">
        <v>80963</v>
      </c>
    </row>
    <row r="1749" spans="1:18" x14ac:dyDescent="0.25">
      <c r="A1749" s="170">
        <v>44579</v>
      </c>
      <c r="B1749" s="116">
        <v>1616.95</v>
      </c>
      <c r="C1749" s="116">
        <v>1592.325</v>
      </c>
      <c r="D1749" s="116">
        <v>1579.65</v>
      </c>
      <c r="E1749" s="116">
        <v>1600.8</v>
      </c>
      <c r="F1749" s="116">
        <v>3184.65</v>
      </c>
      <c r="G1749">
        <v>4684</v>
      </c>
      <c r="H1749" s="116"/>
      <c r="I1749" s="116"/>
      <c r="L1749" s="170">
        <v>44579</v>
      </c>
      <c r="M1749" s="116">
        <v>1593.4</v>
      </c>
      <c r="N1749" s="116">
        <v>1616.875</v>
      </c>
      <c r="O1749" s="116">
        <v>1579.05</v>
      </c>
      <c r="P1749" s="116">
        <v>1599</v>
      </c>
      <c r="Q1749" s="116">
        <v>3186.8</v>
      </c>
      <c r="R1749">
        <v>141011</v>
      </c>
    </row>
    <row r="1750" spans="1:18" x14ac:dyDescent="0.25">
      <c r="A1750" s="170">
        <v>44580</v>
      </c>
      <c r="B1750" s="116">
        <v>1612.55</v>
      </c>
      <c r="C1750" s="116">
        <v>1599.125</v>
      </c>
      <c r="D1750" s="116">
        <v>1575.7</v>
      </c>
      <c r="E1750" s="116">
        <v>1589.425</v>
      </c>
      <c r="F1750" s="116">
        <v>3198.25</v>
      </c>
      <c r="G1750">
        <v>3181</v>
      </c>
      <c r="H1750" s="116"/>
      <c r="I1750" s="116"/>
      <c r="L1750" s="170">
        <v>44580</v>
      </c>
      <c r="M1750" s="116">
        <v>1600.575</v>
      </c>
      <c r="N1750" s="116">
        <v>1612.7750000000001</v>
      </c>
      <c r="O1750" s="116">
        <v>1574.2249999999999</v>
      </c>
      <c r="P1750" s="116">
        <v>1589</v>
      </c>
      <c r="Q1750" s="116">
        <v>3201.15</v>
      </c>
      <c r="R1750">
        <v>129845</v>
      </c>
    </row>
    <row r="1751" spans="1:18" x14ac:dyDescent="0.25">
      <c r="A1751" s="170">
        <v>44581</v>
      </c>
      <c r="B1751" s="116">
        <v>1612.7750000000001</v>
      </c>
      <c r="C1751" s="116">
        <v>1603.375</v>
      </c>
      <c r="D1751" s="116">
        <v>1598.5</v>
      </c>
      <c r="E1751" s="116">
        <v>1599.075</v>
      </c>
      <c r="F1751" s="116">
        <v>3206.75</v>
      </c>
      <c r="G1751">
        <v>3448</v>
      </c>
      <c r="H1751" s="116"/>
      <c r="I1751" s="116"/>
      <c r="L1751" s="170">
        <v>44581</v>
      </c>
      <c r="M1751" s="116">
        <v>1602.4</v>
      </c>
      <c r="N1751" s="116">
        <v>1614</v>
      </c>
      <c r="O1751" s="116">
        <v>1587.5</v>
      </c>
      <c r="P1751" s="116">
        <v>1587.5</v>
      </c>
      <c r="Q1751" s="116">
        <v>3204.8</v>
      </c>
      <c r="R1751">
        <v>83652</v>
      </c>
    </row>
    <row r="1752" spans="1:18" x14ac:dyDescent="0.25">
      <c r="A1752" s="170">
        <v>44582</v>
      </c>
      <c r="B1752" s="116">
        <v>1610.25</v>
      </c>
      <c r="C1752" s="116">
        <v>1580.25</v>
      </c>
      <c r="D1752" s="116">
        <v>1570.4749999999999</v>
      </c>
      <c r="E1752" s="116">
        <v>1607.5</v>
      </c>
      <c r="F1752" s="116">
        <v>3160.5</v>
      </c>
      <c r="G1752">
        <v>4243</v>
      </c>
      <c r="H1752" s="116"/>
      <c r="I1752" s="116"/>
      <c r="L1752" s="170">
        <v>44582</v>
      </c>
      <c r="M1752" s="116">
        <v>1582.575</v>
      </c>
      <c r="N1752" s="116">
        <v>1609.875</v>
      </c>
      <c r="O1752" s="116">
        <v>1570.575</v>
      </c>
      <c r="P1752" s="116">
        <v>1595.15</v>
      </c>
      <c r="Q1752" s="116">
        <v>3165.15</v>
      </c>
      <c r="R1752">
        <v>95976</v>
      </c>
    </row>
    <row r="1753" spans="1:18" x14ac:dyDescent="0.25">
      <c r="A1753" s="170">
        <v>44585</v>
      </c>
      <c r="B1753" s="116">
        <v>1584.125</v>
      </c>
      <c r="C1753" s="116">
        <v>1552.425</v>
      </c>
      <c r="D1753" s="116">
        <v>1537.075</v>
      </c>
      <c r="E1753" s="116">
        <v>1569.875</v>
      </c>
      <c r="F1753" s="116">
        <v>3104.85</v>
      </c>
      <c r="G1753">
        <v>5277</v>
      </c>
      <c r="H1753" s="116"/>
      <c r="I1753" s="116"/>
      <c r="L1753" s="170">
        <v>44585</v>
      </c>
      <c r="M1753" s="116">
        <v>1558.925</v>
      </c>
      <c r="N1753" s="116">
        <v>1587.35</v>
      </c>
      <c r="O1753" s="116">
        <v>1535.075</v>
      </c>
      <c r="P1753" s="116">
        <v>1579.85</v>
      </c>
      <c r="Q1753" s="116">
        <v>3117.85</v>
      </c>
      <c r="R1753">
        <v>116797</v>
      </c>
    </row>
    <row r="1754" spans="1:18" x14ac:dyDescent="0.25">
      <c r="A1754" s="170">
        <v>44586</v>
      </c>
      <c r="B1754" s="116">
        <v>1589.5</v>
      </c>
      <c r="C1754" s="116">
        <v>1580.2750000000001</v>
      </c>
      <c r="D1754" s="116">
        <v>1521.4</v>
      </c>
      <c r="E1754" s="116">
        <v>1521.4</v>
      </c>
      <c r="F1754" s="116">
        <v>3160.55</v>
      </c>
      <c r="G1754">
        <v>3477</v>
      </c>
      <c r="H1754" s="116"/>
      <c r="I1754" s="116"/>
      <c r="L1754" s="170">
        <v>44586</v>
      </c>
      <c r="M1754" s="116">
        <v>1580.5</v>
      </c>
      <c r="N1754" s="116">
        <v>1593.9</v>
      </c>
      <c r="O1754" s="116">
        <v>1536</v>
      </c>
      <c r="P1754" s="116">
        <v>1545</v>
      </c>
      <c r="Q1754" s="116">
        <v>3161</v>
      </c>
      <c r="R1754">
        <v>101255</v>
      </c>
    </row>
    <row r="1755" spans="1:18" x14ac:dyDescent="0.25">
      <c r="A1755" s="170">
        <v>44588</v>
      </c>
      <c r="B1755" s="116">
        <v>1470</v>
      </c>
      <c r="C1755" s="116">
        <v>1326.075</v>
      </c>
      <c r="D1755" s="116">
        <v>1300.6500000000001</v>
      </c>
      <c r="E1755" s="116">
        <v>1470</v>
      </c>
      <c r="F1755" s="116">
        <v>2652.15</v>
      </c>
      <c r="G1755">
        <v>65139</v>
      </c>
      <c r="H1755" s="116"/>
      <c r="I1755" s="116"/>
      <c r="L1755" s="170">
        <v>44588</v>
      </c>
      <c r="M1755" s="116">
        <v>1341.75</v>
      </c>
      <c r="N1755" s="116">
        <v>1470.0250000000001</v>
      </c>
      <c r="O1755" s="116">
        <v>1317.9</v>
      </c>
      <c r="P1755" s="116">
        <v>1470.0250000000001</v>
      </c>
      <c r="Q1755" s="116">
        <v>2683.5</v>
      </c>
      <c r="R1755">
        <v>2696248</v>
      </c>
    </row>
    <row r="1756" spans="1:18" x14ac:dyDescent="0.25">
      <c r="A1756" s="170">
        <v>44589</v>
      </c>
      <c r="B1756" s="116">
        <v>1361.9749999999999</v>
      </c>
      <c r="C1756" s="116">
        <v>1328.3</v>
      </c>
      <c r="D1756" s="116">
        <v>1310.5</v>
      </c>
      <c r="E1756" s="116">
        <v>1361.9749999999999</v>
      </c>
      <c r="F1756" s="116">
        <v>2656.6</v>
      </c>
      <c r="G1756">
        <v>14502</v>
      </c>
      <c r="H1756" s="116"/>
      <c r="I1756" s="116"/>
      <c r="L1756" s="170">
        <v>44589</v>
      </c>
      <c r="M1756" s="116">
        <v>1328.825</v>
      </c>
      <c r="N1756" s="116">
        <v>1359</v>
      </c>
      <c r="O1756" s="116">
        <v>1310.1500000000001</v>
      </c>
      <c r="P1756" s="116">
        <v>1352.5</v>
      </c>
      <c r="Q1756" s="116">
        <v>2657.65</v>
      </c>
      <c r="R1756">
        <v>815402</v>
      </c>
    </row>
    <row r="1757" spans="1:18" x14ac:dyDescent="0.25">
      <c r="A1757" s="170">
        <v>44592</v>
      </c>
      <c r="B1757" s="116">
        <v>1345.2</v>
      </c>
      <c r="C1757" s="116">
        <v>1335.8</v>
      </c>
      <c r="D1757" s="116">
        <v>1308.05</v>
      </c>
      <c r="E1757" s="116">
        <v>1320</v>
      </c>
      <c r="F1757" s="116">
        <v>2671.6</v>
      </c>
      <c r="G1757">
        <v>47726</v>
      </c>
      <c r="H1757" s="116"/>
      <c r="I1757" s="116"/>
      <c r="L1757" s="170">
        <v>44592</v>
      </c>
      <c r="M1757" s="116">
        <v>1335.7249999999999</v>
      </c>
      <c r="N1757" s="116">
        <v>1346</v>
      </c>
      <c r="O1757" s="116">
        <v>1307.5</v>
      </c>
      <c r="P1757" s="116">
        <v>1315</v>
      </c>
      <c r="Q1757" s="116">
        <v>2671.45</v>
      </c>
      <c r="R1757">
        <v>567500</v>
      </c>
    </row>
    <row r="1758" spans="1:18" x14ac:dyDescent="0.25">
      <c r="A1758" s="170">
        <v>44593</v>
      </c>
      <c r="B1758" s="116">
        <v>1342.8</v>
      </c>
      <c r="C1758" s="116">
        <v>1339.4749999999999</v>
      </c>
      <c r="D1758" s="116">
        <v>1326.2750000000001</v>
      </c>
      <c r="E1758" s="116">
        <v>1330.2750000000001</v>
      </c>
      <c r="F1758" s="116">
        <v>2678.95</v>
      </c>
      <c r="G1758">
        <v>29053</v>
      </c>
      <c r="H1758" s="116"/>
      <c r="I1758" s="116"/>
      <c r="L1758" s="170">
        <v>44593</v>
      </c>
      <c r="M1758" s="116">
        <v>1339.325</v>
      </c>
      <c r="N1758" s="116">
        <v>1343.825</v>
      </c>
      <c r="O1758" s="116">
        <v>1326</v>
      </c>
      <c r="P1758" s="116">
        <v>1341.95</v>
      </c>
      <c r="Q1758" s="116">
        <v>2678.65</v>
      </c>
      <c r="R1758">
        <v>224427</v>
      </c>
    </row>
    <row r="1759" spans="1:18" x14ac:dyDescent="0.25">
      <c r="A1759" s="170">
        <v>44594</v>
      </c>
      <c r="B1759" s="116">
        <v>1372.375</v>
      </c>
      <c r="C1759" s="116">
        <v>1367.9749999999999</v>
      </c>
      <c r="D1759" s="116">
        <v>1327.9749999999999</v>
      </c>
      <c r="E1759" s="116">
        <v>1335</v>
      </c>
      <c r="F1759" s="116">
        <v>2735.95</v>
      </c>
      <c r="G1759">
        <v>7278</v>
      </c>
      <c r="H1759" s="116"/>
      <c r="I1759" s="116"/>
      <c r="L1759" s="170">
        <v>44594</v>
      </c>
      <c r="M1759" s="116">
        <v>1369.2750000000001</v>
      </c>
      <c r="N1759" s="116">
        <v>1372.5</v>
      </c>
      <c r="O1759" s="116">
        <v>1328</v>
      </c>
      <c r="P1759" s="116">
        <v>1329.9</v>
      </c>
      <c r="Q1759" s="116">
        <v>2738.55</v>
      </c>
      <c r="R1759">
        <v>205983</v>
      </c>
    </row>
    <row r="1760" spans="1:18" x14ac:dyDescent="0.25">
      <c r="A1760" s="170">
        <v>44595</v>
      </c>
      <c r="B1760" s="116">
        <v>1372.5</v>
      </c>
      <c r="C1760" s="116">
        <v>1352.25</v>
      </c>
      <c r="D1760" s="116">
        <v>1346.675</v>
      </c>
      <c r="E1760" s="116">
        <v>1372.5</v>
      </c>
      <c r="F1760" s="116">
        <v>2704.5</v>
      </c>
      <c r="G1760">
        <v>2151</v>
      </c>
      <c r="H1760" s="116"/>
      <c r="I1760" s="116"/>
      <c r="L1760" s="170">
        <v>44595</v>
      </c>
      <c r="M1760" s="116">
        <v>1353.675</v>
      </c>
      <c r="N1760" s="116">
        <v>1367.2</v>
      </c>
      <c r="O1760" s="116">
        <v>1346</v>
      </c>
      <c r="P1760" s="116">
        <v>1366.175</v>
      </c>
      <c r="Q1760" s="116">
        <v>2707.35</v>
      </c>
      <c r="R1760">
        <v>108990</v>
      </c>
    </row>
    <row r="1761" spans="1:18" x14ac:dyDescent="0.25">
      <c r="A1761" s="170">
        <v>44596</v>
      </c>
      <c r="B1761" s="116">
        <v>1386.45</v>
      </c>
      <c r="C1761" s="116">
        <v>1341.375</v>
      </c>
      <c r="D1761" s="116">
        <v>1336.7750000000001</v>
      </c>
      <c r="E1761" s="116">
        <v>1386.45</v>
      </c>
      <c r="F1761" s="116">
        <v>2682.75</v>
      </c>
      <c r="G1761">
        <v>2956</v>
      </c>
      <c r="H1761" s="116"/>
      <c r="I1761" s="116"/>
      <c r="L1761" s="170">
        <v>44596</v>
      </c>
      <c r="M1761" s="116">
        <v>1341.45</v>
      </c>
      <c r="N1761" s="116">
        <v>1359.65</v>
      </c>
      <c r="O1761" s="116">
        <v>1334</v>
      </c>
      <c r="P1761" s="116">
        <v>1359.4749999999999</v>
      </c>
      <c r="Q1761" s="116">
        <v>2682.9</v>
      </c>
      <c r="R1761">
        <v>176440</v>
      </c>
    </row>
    <row r="1762" spans="1:18" x14ac:dyDescent="0.25">
      <c r="A1762" s="170">
        <v>44599</v>
      </c>
      <c r="B1762" s="116">
        <v>1340</v>
      </c>
      <c r="C1762" s="116">
        <v>1306.1500000000001</v>
      </c>
      <c r="D1762" s="116">
        <v>1300</v>
      </c>
      <c r="E1762" s="116">
        <v>1330.4</v>
      </c>
      <c r="F1762" s="116">
        <v>2612.3000000000002</v>
      </c>
      <c r="G1762">
        <v>3679</v>
      </c>
      <c r="H1762" s="116"/>
      <c r="I1762" s="116"/>
      <c r="L1762" s="170">
        <v>44599</v>
      </c>
      <c r="M1762" s="116">
        <v>1307.175</v>
      </c>
      <c r="N1762" s="116">
        <v>1341.425</v>
      </c>
      <c r="O1762" s="116">
        <v>1295.125</v>
      </c>
      <c r="P1762" s="116">
        <v>1340</v>
      </c>
      <c r="Q1762" s="116">
        <v>2614.35</v>
      </c>
      <c r="R1762">
        <v>158464</v>
      </c>
    </row>
    <row r="1763" spans="1:18" x14ac:dyDescent="0.25">
      <c r="A1763" s="170">
        <v>44600</v>
      </c>
      <c r="B1763" s="116">
        <v>1323.875</v>
      </c>
      <c r="C1763" s="116">
        <v>1299.55</v>
      </c>
      <c r="D1763" s="116">
        <v>1291</v>
      </c>
      <c r="E1763" s="116">
        <v>1323.875</v>
      </c>
      <c r="F1763" s="116">
        <v>2599.1</v>
      </c>
      <c r="G1763">
        <v>4212</v>
      </c>
      <c r="H1763" s="116"/>
      <c r="I1763" s="116"/>
      <c r="L1763" s="170">
        <v>44600</v>
      </c>
      <c r="M1763" s="116">
        <v>1300.1500000000001</v>
      </c>
      <c r="N1763" s="116">
        <v>1319.2</v>
      </c>
      <c r="O1763" s="116">
        <v>1290.05</v>
      </c>
      <c r="P1763" s="116">
        <v>1314</v>
      </c>
      <c r="Q1763" s="116">
        <v>2600.3000000000002</v>
      </c>
      <c r="R1763">
        <v>357202</v>
      </c>
    </row>
    <row r="1764" spans="1:18" x14ac:dyDescent="0.25">
      <c r="A1764" s="170">
        <v>44601</v>
      </c>
      <c r="B1764" s="116">
        <v>1309.8</v>
      </c>
      <c r="C1764" s="116">
        <v>1300.45</v>
      </c>
      <c r="D1764" s="116">
        <v>1286.3</v>
      </c>
      <c r="E1764" s="116">
        <v>1304.0250000000001</v>
      </c>
      <c r="F1764" s="116">
        <v>2600.9</v>
      </c>
      <c r="G1764">
        <v>4729</v>
      </c>
      <c r="H1764" s="116"/>
      <c r="I1764" s="116"/>
      <c r="L1764" s="170">
        <v>44601</v>
      </c>
      <c r="M1764" s="116">
        <v>1300.575</v>
      </c>
      <c r="N1764" s="116">
        <v>1310.0999999999999</v>
      </c>
      <c r="O1764" s="116">
        <v>1286</v>
      </c>
      <c r="P1764" s="116">
        <v>1304.25</v>
      </c>
      <c r="Q1764" s="116">
        <v>2601.15</v>
      </c>
      <c r="R1764">
        <v>250400</v>
      </c>
    </row>
    <row r="1765" spans="1:18" x14ac:dyDescent="0.25">
      <c r="A1765" s="170">
        <v>44602</v>
      </c>
      <c r="B1765" s="116">
        <v>1316.625</v>
      </c>
      <c r="C1765" s="116">
        <v>1298.5999999999999</v>
      </c>
      <c r="D1765" s="116">
        <v>1289.375</v>
      </c>
      <c r="E1765" s="116">
        <v>1304.425</v>
      </c>
      <c r="F1765" s="116">
        <v>2597.1999999999998</v>
      </c>
      <c r="G1765">
        <v>3158</v>
      </c>
      <c r="H1765" s="116"/>
      <c r="I1765" s="116"/>
      <c r="L1765" s="170">
        <v>44602</v>
      </c>
      <c r="M1765" s="116">
        <v>1298.575</v>
      </c>
      <c r="N1765" s="116">
        <v>1316.45</v>
      </c>
      <c r="O1765" s="116">
        <v>1288.125</v>
      </c>
      <c r="P1765" s="116">
        <v>1308.4749999999999</v>
      </c>
      <c r="Q1765" s="116">
        <v>2597.15</v>
      </c>
      <c r="R1765">
        <v>261929</v>
      </c>
    </row>
    <row r="1766" spans="1:18" x14ac:dyDescent="0.25">
      <c r="A1766" s="170">
        <v>44603</v>
      </c>
      <c r="B1766" s="116">
        <v>1298.425</v>
      </c>
      <c r="C1766" s="116">
        <v>1293.2</v>
      </c>
      <c r="D1766" s="116">
        <v>1280.2750000000001</v>
      </c>
      <c r="E1766" s="116">
        <v>1290.2750000000001</v>
      </c>
      <c r="F1766" s="116">
        <v>2586.4</v>
      </c>
      <c r="G1766">
        <v>2588</v>
      </c>
      <c r="H1766" s="116"/>
      <c r="I1766" s="116"/>
      <c r="L1766" s="170">
        <v>44603</v>
      </c>
      <c r="M1766" s="116">
        <v>1295.3</v>
      </c>
      <c r="N1766" s="116">
        <v>1299</v>
      </c>
      <c r="O1766" s="116">
        <v>1280.5</v>
      </c>
      <c r="P1766" s="116">
        <v>1292.5</v>
      </c>
      <c r="Q1766" s="116">
        <v>2590.6</v>
      </c>
      <c r="R1766">
        <v>60231</v>
      </c>
    </row>
    <row r="1767" spans="1:18" x14ac:dyDescent="0.25">
      <c r="A1767" s="170">
        <v>44606</v>
      </c>
      <c r="B1767" s="116">
        <v>1312.675</v>
      </c>
      <c r="C1767" s="116">
        <v>1276.1500000000001</v>
      </c>
      <c r="D1767" s="116">
        <v>1270</v>
      </c>
      <c r="E1767" s="116">
        <v>1275</v>
      </c>
      <c r="F1767" s="116">
        <v>2552.3000000000002</v>
      </c>
      <c r="G1767">
        <v>3856</v>
      </c>
      <c r="H1767" s="116"/>
      <c r="I1767" s="116"/>
      <c r="L1767" s="170">
        <v>44606</v>
      </c>
      <c r="M1767" s="116">
        <v>1275.5999999999999</v>
      </c>
      <c r="N1767" s="116">
        <v>1313</v>
      </c>
      <c r="O1767" s="116">
        <v>1265.0250000000001</v>
      </c>
      <c r="P1767" s="116">
        <v>1275</v>
      </c>
      <c r="Q1767" s="116">
        <v>2551.1999999999998</v>
      </c>
      <c r="R1767">
        <v>208608</v>
      </c>
    </row>
    <row r="1768" spans="1:18" x14ac:dyDescent="0.25">
      <c r="A1768" s="170">
        <v>44607</v>
      </c>
      <c r="B1768" s="116">
        <v>1299.3499999999999</v>
      </c>
      <c r="C1768" s="116">
        <v>1295.8</v>
      </c>
      <c r="D1768" s="116">
        <v>1270.5</v>
      </c>
      <c r="E1768" s="116">
        <v>1270.5</v>
      </c>
      <c r="F1768" s="116">
        <v>2591.6</v>
      </c>
      <c r="G1768">
        <v>2304</v>
      </c>
      <c r="H1768" s="116"/>
      <c r="I1768" s="116"/>
      <c r="L1768" s="170">
        <v>44607</v>
      </c>
      <c r="M1768" s="116">
        <v>1296.45</v>
      </c>
      <c r="N1768" s="116">
        <v>1299.4749999999999</v>
      </c>
      <c r="O1768" s="116">
        <v>1272.5999999999999</v>
      </c>
      <c r="P1768" s="116">
        <v>1280</v>
      </c>
      <c r="Q1768" s="116">
        <v>2592.9</v>
      </c>
      <c r="R1768">
        <v>82836</v>
      </c>
    </row>
    <row r="1769" spans="1:18" x14ac:dyDescent="0.25">
      <c r="A1769" s="170">
        <v>44608</v>
      </c>
      <c r="B1769" s="116">
        <v>1320.825</v>
      </c>
      <c r="C1769" s="116">
        <v>1309.6500000000001</v>
      </c>
      <c r="D1769" s="116">
        <v>1296.7249999999999</v>
      </c>
      <c r="E1769" s="116">
        <v>1309.9749999999999</v>
      </c>
      <c r="F1769" s="116">
        <v>2619.3000000000002</v>
      </c>
      <c r="G1769">
        <v>1936</v>
      </c>
      <c r="H1769" s="116"/>
      <c r="I1769" s="116"/>
      <c r="L1769" s="170">
        <v>44608</v>
      </c>
      <c r="M1769" s="116">
        <v>1313.4749999999999</v>
      </c>
      <c r="N1769" s="116">
        <v>1322.65</v>
      </c>
      <c r="O1769" s="116">
        <v>1295.95</v>
      </c>
      <c r="P1769" s="116">
        <v>1299.95</v>
      </c>
      <c r="Q1769" s="116">
        <v>2626.95</v>
      </c>
      <c r="R1769">
        <v>134849</v>
      </c>
    </row>
    <row r="1770" spans="1:18" x14ac:dyDescent="0.25">
      <c r="A1770" s="170">
        <v>44609</v>
      </c>
      <c r="B1770" s="116">
        <v>1317.5</v>
      </c>
      <c r="C1770" s="116">
        <v>1295.5999999999999</v>
      </c>
      <c r="D1770" s="116">
        <v>1291.325</v>
      </c>
      <c r="E1770" s="116">
        <v>1305.7750000000001</v>
      </c>
      <c r="F1770" s="116">
        <v>2591.1999999999998</v>
      </c>
      <c r="G1770">
        <v>2028</v>
      </c>
      <c r="H1770" s="116"/>
      <c r="I1770" s="116"/>
      <c r="L1770" s="170">
        <v>44609</v>
      </c>
      <c r="M1770" s="116">
        <v>1296.2249999999999</v>
      </c>
      <c r="N1770" s="116">
        <v>1323.35</v>
      </c>
      <c r="O1770" s="116">
        <v>1291.0250000000001</v>
      </c>
      <c r="P1770" s="116">
        <v>1320</v>
      </c>
      <c r="Q1770" s="116">
        <v>2592.4499999999998</v>
      </c>
      <c r="R1770">
        <v>179295</v>
      </c>
    </row>
    <row r="1771" spans="1:18" x14ac:dyDescent="0.25">
      <c r="A1771" s="170">
        <v>44610</v>
      </c>
      <c r="B1771" s="116">
        <v>1336.7750000000001</v>
      </c>
      <c r="C1771" s="116">
        <v>1330.35</v>
      </c>
      <c r="D1771" s="116">
        <v>1286</v>
      </c>
      <c r="E1771" s="116">
        <v>1297.825</v>
      </c>
      <c r="F1771" s="116">
        <v>2660.7</v>
      </c>
      <c r="G1771">
        <v>2640</v>
      </c>
      <c r="H1771" s="116"/>
      <c r="I1771" s="116"/>
      <c r="L1771" s="170">
        <v>44610</v>
      </c>
      <c r="M1771" s="116">
        <v>1331.9749999999999</v>
      </c>
      <c r="N1771" s="116">
        <v>1337.45</v>
      </c>
      <c r="O1771" s="116">
        <v>1285.2249999999999</v>
      </c>
      <c r="P1771" s="116">
        <v>1300</v>
      </c>
      <c r="Q1771" s="116">
        <v>2663.95</v>
      </c>
      <c r="R1771">
        <v>173233</v>
      </c>
    </row>
    <row r="1772" spans="1:18" x14ac:dyDescent="0.25">
      <c r="A1772" s="170">
        <v>44613</v>
      </c>
      <c r="B1772" s="116">
        <v>1332.175</v>
      </c>
      <c r="C1772" s="116">
        <v>1327.925</v>
      </c>
      <c r="D1772" s="116">
        <v>1309.3</v>
      </c>
      <c r="E1772" s="116">
        <v>1330</v>
      </c>
      <c r="F1772" s="116">
        <v>2655.85</v>
      </c>
      <c r="G1772">
        <v>2535</v>
      </c>
      <c r="H1772" s="116"/>
      <c r="I1772" s="116"/>
      <c r="L1772" s="170">
        <v>44613</v>
      </c>
      <c r="M1772" s="116">
        <v>1327.45</v>
      </c>
      <c r="N1772" s="116">
        <v>1334.35</v>
      </c>
      <c r="O1772" s="116">
        <v>1307.55</v>
      </c>
      <c r="P1772" s="116">
        <v>1325.1</v>
      </c>
      <c r="Q1772" s="116">
        <v>2654.9</v>
      </c>
      <c r="R1772">
        <v>87567</v>
      </c>
    </row>
    <row r="1773" spans="1:18" x14ac:dyDescent="0.25">
      <c r="A1773" s="170">
        <v>44614</v>
      </c>
      <c r="B1773" s="116">
        <v>1359.25</v>
      </c>
      <c r="C1773" s="116">
        <v>1352.3</v>
      </c>
      <c r="D1773" s="116">
        <v>1300</v>
      </c>
      <c r="E1773" s="116">
        <v>1300</v>
      </c>
      <c r="F1773" s="116">
        <v>2704.6</v>
      </c>
      <c r="G1773">
        <v>12331</v>
      </c>
      <c r="H1773" s="116"/>
      <c r="I1773" s="116"/>
      <c r="L1773" s="170">
        <v>44614</v>
      </c>
      <c r="M1773" s="116">
        <v>1350.2</v>
      </c>
      <c r="N1773" s="116">
        <v>1355.925</v>
      </c>
      <c r="O1773" s="116">
        <v>1292.825</v>
      </c>
      <c r="P1773" s="116">
        <v>1301</v>
      </c>
      <c r="Q1773" s="116">
        <v>2700.4</v>
      </c>
      <c r="R1773">
        <v>359345</v>
      </c>
    </row>
    <row r="1774" spans="1:18" x14ac:dyDescent="0.25">
      <c r="A1774" s="170">
        <v>44615</v>
      </c>
      <c r="B1774" s="116">
        <v>1373.825</v>
      </c>
      <c r="C1774" s="116">
        <v>1368.3</v>
      </c>
      <c r="D1774" s="116">
        <v>1325.05</v>
      </c>
      <c r="E1774" s="116">
        <v>1325.05</v>
      </c>
      <c r="F1774" s="116">
        <v>2736.6</v>
      </c>
      <c r="G1774">
        <v>5079</v>
      </c>
      <c r="H1774" s="116"/>
      <c r="I1774" s="116"/>
      <c r="L1774" s="170">
        <v>44615</v>
      </c>
      <c r="M1774" s="116">
        <v>1369.075</v>
      </c>
      <c r="N1774" s="116">
        <v>1374.85</v>
      </c>
      <c r="O1774" s="116">
        <v>1355.05</v>
      </c>
      <c r="P1774" s="116">
        <v>1360.5</v>
      </c>
      <c r="Q1774" s="116">
        <v>2738.15</v>
      </c>
      <c r="R1774">
        <v>142532</v>
      </c>
    </row>
    <row r="1775" spans="1:18" x14ac:dyDescent="0.25">
      <c r="A1775" s="170">
        <v>44616</v>
      </c>
      <c r="B1775" s="116">
        <v>1382.375</v>
      </c>
      <c r="C1775" s="116">
        <v>1336.175</v>
      </c>
      <c r="D1775" s="116">
        <v>1318.75</v>
      </c>
      <c r="E1775" s="116">
        <v>1382.05</v>
      </c>
      <c r="F1775" s="116">
        <v>2672.35</v>
      </c>
      <c r="G1775">
        <v>8099</v>
      </c>
      <c r="H1775" s="116"/>
      <c r="I1775" s="116"/>
      <c r="L1775" s="170">
        <v>44616</v>
      </c>
      <c r="M1775" s="116">
        <v>1334.5</v>
      </c>
      <c r="N1775" s="116">
        <v>1383.35</v>
      </c>
      <c r="O1775" s="116">
        <v>1310</v>
      </c>
      <c r="P1775" s="116">
        <v>1310</v>
      </c>
      <c r="Q1775" s="116">
        <v>2669</v>
      </c>
      <c r="R1775">
        <v>413169</v>
      </c>
    </row>
    <row r="1776" spans="1:18" x14ac:dyDescent="0.25">
      <c r="A1776" s="170">
        <v>44617</v>
      </c>
      <c r="B1776" s="116">
        <v>1357.4</v>
      </c>
      <c r="C1776" s="116">
        <v>1352.925</v>
      </c>
      <c r="D1776" s="116">
        <v>1329.75</v>
      </c>
      <c r="E1776" s="116">
        <v>1349.5</v>
      </c>
      <c r="F1776" s="116">
        <v>2705.85</v>
      </c>
      <c r="G1776">
        <v>4227</v>
      </c>
      <c r="H1776" s="116"/>
      <c r="I1776" s="116"/>
      <c r="L1776" s="170">
        <v>44617</v>
      </c>
      <c r="M1776" s="116">
        <v>1352.85</v>
      </c>
      <c r="N1776" s="116">
        <v>1362.4749999999999</v>
      </c>
      <c r="O1776" s="116">
        <v>1331.325</v>
      </c>
      <c r="P1776" s="116">
        <v>1359.95</v>
      </c>
      <c r="Q1776" s="116">
        <v>2705.7</v>
      </c>
      <c r="R1776">
        <v>84333</v>
      </c>
    </row>
    <row r="1777" spans="1:18" x14ac:dyDescent="0.25">
      <c r="A1777" s="170">
        <v>44620</v>
      </c>
      <c r="B1777" s="116">
        <v>1387.5</v>
      </c>
      <c r="C1777" s="116">
        <v>1378.45</v>
      </c>
      <c r="D1777" s="116">
        <v>1335</v>
      </c>
      <c r="E1777" s="116">
        <v>1335</v>
      </c>
      <c r="F1777" s="116">
        <v>2756.9</v>
      </c>
      <c r="G1777">
        <v>3195</v>
      </c>
      <c r="H1777" s="116"/>
      <c r="I1777" s="116"/>
      <c r="L1777" s="170">
        <v>44620</v>
      </c>
      <c r="M1777" s="116">
        <v>1374.95</v>
      </c>
      <c r="N1777" s="116">
        <v>1389.4749999999999</v>
      </c>
      <c r="O1777" s="116">
        <v>1339.85</v>
      </c>
      <c r="P1777" s="116">
        <v>1343.65</v>
      </c>
      <c r="Q1777" s="116">
        <v>2749.9</v>
      </c>
      <c r="R1777">
        <v>246720</v>
      </c>
    </row>
    <row r="1778" spans="1:18" x14ac:dyDescent="0.25">
      <c r="A1778" s="170">
        <v>44622</v>
      </c>
      <c r="B1778" s="116">
        <v>1396.2</v>
      </c>
      <c r="C1778" s="116">
        <v>1383.9</v>
      </c>
      <c r="D1778" s="116">
        <v>1360</v>
      </c>
      <c r="E1778" s="116">
        <v>1360</v>
      </c>
      <c r="F1778" s="116">
        <v>2767.8</v>
      </c>
      <c r="G1778">
        <v>4038</v>
      </c>
      <c r="H1778" s="116"/>
      <c r="I1778" s="116"/>
      <c r="L1778" s="170">
        <v>44622</v>
      </c>
      <c r="M1778" s="116">
        <v>1386.075</v>
      </c>
      <c r="N1778" s="116">
        <v>1396.575</v>
      </c>
      <c r="O1778" s="116">
        <v>1363.9</v>
      </c>
      <c r="P1778" s="116">
        <v>1369.95</v>
      </c>
      <c r="Q1778" s="116">
        <v>2772.15</v>
      </c>
      <c r="R1778">
        <v>110221</v>
      </c>
    </row>
    <row r="1779" spans="1:18" x14ac:dyDescent="0.25">
      <c r="A1779" s="170">
        <v>44623</v>
      </c>
      <c r="B1779" s="116">
        <v>1410.425</v>
      </c>
      <c r="C1779" s="116">
        <v>1399.5250000000001</v>
      </c>
      <c r="D1779" s="116">
        <v>1384.9</v>
      </c>
      <c r="E1779" s="116">
        <v>1384.925</v>
      </c>
      <c r="F1779" s="116">
        <v>2799.05</v>
      </c>
      <c r="G1779">
        <v>1598</v>
      </c>
      <c r="H1779" s="116"/>
      <c r="I1779" s="116"/>
      <c r="L1779" s="170">
        <v>44623</v>
      </c>
      <c r="M1779" s="116">
        <v>1400.425</v>
      </c>
      <c r="N1779" s="116">
        <v>1410.85</v>
      </c>
      <c r="O1779" s="116">
        <v>1381.65</v>
      </c>
      <c r="P1779" s="116">
        <v>1385.7249999999999</v>
      </c>
      <c r="Q1779" s="116">
        <v>2800.85</v>
      </c>
      <c r="R1779">
        <v>125349</v>
      </c>
    </row>
    <row r="1780" spans="1:18" x14ac:dyDescent="0.25">
      <c r="A1780" s="170">
        <v>44624</v>
      </c>
      <c r="B1780" s="116">
        <v>1401.0250000000001</v>
      </c>
      <c r="C1780" s="116">
        <v>1372.2</v>
      </c>
      <c r="D1780" s="116">
        <v>1364.925</v>
      </c>
      <c r="E1780" s="116">
        <v>1387.7249999999999</v>
      </c>
      <c r="F1780" s="116">
        <v>2744.4</v>
      </c>
      <c r="G1780">
        <v>1115</v>
      </c>
      <c r="H1780" s="116"/>
      <c r="I1780" s="116"/>
      <c r="L1780" s="170">
        <v>44624</v>
      </c>
      <c r="M1780" s="116">
        <v>1370.25</v>
      </c>
      <c r="N1780" s="116">
        <v>1401.75</v>
      </c>
      <c r="O1780" s="116">
        <v>1364.55</v>
      </c>
      <c r="P1780" s="116">
        <v>1395</v>
      </c>
      <c r="Q1780" s="116">
        <v>2740.5</v>
      </c>
      <c r="R1780">
        <v>115233</v>
      </c>
    </row>
    <row r="1781" spans="1:18" x14ac:dyDescent="0.25">
      <c r="A1781" s="170">
        <v>44627</v>
      </c>
      <c r="B1781" s="116">
        <v>1390</v>
      </c>
      <c r="C1781" s="116">
        <v>1344.7750000000001</v>
      </c>
      <c r="D1781" s="116">
        <v>1330.05</v>
      </c>
      <c r="E1781" s="116">
        <v>1390</v>
      </c>
      <c r="F1781" s="116">
        <v>2689.55</v>
      </c>
      <c r="G1781">
        <v>3915</v>
      </c>
      <c r="H1781" s="116"/>
      <c r="I1781" s="116"/>
      <c r="L1781" s="170">
        <v>44627</v>
      </c>
      <c r="M1781" s="116">
        <v>1349.2750000000001</v>
      </c>
      <c r="N1781" s="116">
        <v>1372.75</v>
      </c>
      <c r="O1781" s="116">
        <v>1330.5</v>
      </c>
      <c r="P1781" s="116">
        <v>1362.5</v>
      </c>
      <c r="Q1781" s="116">
        <v>2698.55</v>
      </c>
      <c r="R1781">
        <v>130931</v>
      </c>
    </row>
    <row r="1782" spans="1:18" x14ac:dyDescent="0.25">
      <c r="A1782" s="170">
        <v>44628</v>
      </c>
      <c r="B1782" s="116">
        <v>1383.575</v>
      </c>
      <c r="C1782" s="116">
        <v>1375.15</v>
      </c>
      <c r="D1782" s="116">
        <v>1325.95</v>
      </c>
      <c r="E1782" s="116">
        <v>1329.7249999999999</v>
      </c>
      <c r="F1782" s="116">
        <v>2750.3</v>
      </c>
      <c r="G1782">
        <v>3198</v>
      </c>
      <c r="H1782" s="116"/>
      <c r="I1782" s="116"/>
      <c r="L1782" s="170">
        <v>44628</v>
      </c>
      <c r="M1782" s="116">
        <v>1372.5</v>
      </c>
      <c r="N1782" s="116">
        <v>1384.375</v>
      </c>
      <c r="O1782" s="116">
        <v>1325.5</v>
      </c>
      <c r="P1782" s="116">
        <v>1325.5</v>
      </c>
      <c r="Q1782" s="116">
        <v>2745</v>
      </c>
      <c r="R1782">
        <v>126372</v>
      </c>
    </row>
    <row r="1783" spans="1:18" x14ac:dyDescent="0.25">
      <c r="A1783" s="170">
        <v>44629</v>
      </c>
      <c r="B1783" s="116">
        <v>1409.375</v>
      </c>
      <c r="C1783" s="116">
        <v>1385.575</v>
      </c>
      <c r="D1783" s="116">
        <v>1371.6</v>
      </c>
      <c r="E1783" s="116">
        <v>1371.875</v>
      </c>
      <c r="F1783" s="116">
        <v>2771.15</v>
      </c>
      <c r="G1783">
        <v>1873</v>
      </c>
      <c r="H1783" s="116"/>
      <c r="I1783" s="116"/>
      <c r="L1783" s="170">
        <v>44629</v>
      </c>
      <c r="M1783" s="116">
        <v>1387.3</v>
      </c>
      <c r="N1783" s="116">
        <v>1409.375</v>
      </c>
      <c r="O1783" s="116">
        <v>1340</v>
      </c>
      <c r="P1783" s="116">
        <v>1372.5</v>
      </c>
      <c r="Q1783" s="116">
        <v>2774.6</v>
      </c>
      <c r="R1783">
        <v>96030</v>
      </c>
    </row>
    <row r="1784" spans="1:18" x14ac:dyDescent="0.25">
      <c r="A1784" s="170">
        <v>44630</v>
      </c>
      <c r="B1784" s="116">
        <v>1400</v>
      </c>
      <c r="C1784" s="116">
        <v>1384.2249999999999</v>
      </c>
      <c r="D1784" s="116">
        <v>1375.0250000000001</v>
      </c>
      <c r="E1784" s="116">
        <v>1375.0250000000001</v>
      </c>
      <c r="F1784" s="116">
        <v>2768.45</v>
      </c>
      <c r="G1784">
        <v>1754</v>
      </c>
      <c r="H1784" s="116"/>
      <c r="I1784" s="116"/>
      <c r="L1784" s="170">
        <v>44630</v>
      </c>
      <c r="M1784" s="116">
        <v>1384.6</v>
      </c>
      <c r="N1784" s="116">
        <v>1405.45</v>
      </c>
      <c r="O1784" s="116">
        <v>1377.35</v>
      </c>
      <c r="P1784" s="116">
        <v>1405.45</v>
      </c>
      <c r="Q1784" s="116">
        <v>2769.2</v>
      </c>
      <c r="R1784">
        <v>79110</v>
      </c>
    </row>
    <row r="1785" spans="1:18" x14ac:dyDescent="0.25">
      <c r="A1785" s="170">
        <v>44631</v>
      </c>
      <c r="B1785" s="116">
        <v>1420.175</v>
      </c>
      <c r="C1785" s="116">
        <v>1410.825</v>
      </c>
      <c r="D1785" s="116">
        <v>1375</v>
      </c>
      <c r="E1785" s="116">
        <v>1375</v>
      </c>
      <c r="F1785" s="116">
        <v>2821.65</v>
      </c>
      <c r="G1785">
        <v>940</v>
      </c>
      <c r="H1785" s="116"/>
      <c r="I1785" s="116"/>
      <c r="L1785" s="170">
        <v>44631</v>
      </c>
      <c r="M1785" s="116">
        <v>1411.625</v>
      </c>
      <c r="N1785" s="116">
        <v>1420.85</v>
      </c>
      <c r="O1785" s="116">
        <v>1376.2750000000001</v>
      </c>
      <c r="P1785" s="116">
        <v>1376.3</v>
      </c>
      <c r="Q1785" s="116">
        <v>2823.25</v>
      </c>
      <c r="R1785">
        <v>96883</v>
      </c>
    </row>
    <row r="1786" spans="1:18" x14ac:dyDescent="0.25">
      <c r="A1786" s="170">
        <v>44634</v>
      </c>
      <c r="B1786" s="116">
        <v>1421.2</v>
      </c>
      <c r="C1786" s="116">
        <v>1413.2750000000001</v>
      </c>
      <c r="D1786" s="116">
        <v>1395</v>
      </c>
      <c r="E1786" s="116">
        <v>1408.375</v>
      </c>
      <c r="F1786" s="116">
        <v>2826.55</v>
      </c>
      <c r="G1786">
        <v>1341</v>
      </c>
      <c r="H1786" s="116"/>
      <c r="I1786" s="116"/>
      <c r="L1786" s="170">
        <v>44634</v>
      </c>
      <c r="M1786" s="116">
        <v>1414.5</v>
      </c>
      <c r="N1786" s="116">
        <v>1423.175</v>
      </c>
      <c r="O1786" s="116">
        <v>1393.625</v>
      </c>
      <c r="P1786" s="116">
        <v>1410.05</v>
      </c>
      <c r="Q1786" s="116">
        <v>2829</v>
      </c>
      <c r="R1786">
        <v>68519</v>
      </c>
    </row>
    <row r="1787" spans="1:18" x14ac:dyDescent="0.25">
      <c r="A1787" s="170">
        <v>44635</v>
      </c>
      <c r="B1787" s="116">
        <v>1463.5</v>
      </c>
      <c r="C1787" s="116">
        <v>1433.7</v>
      </c>
      <c r="D1787" s="116">
        <v>1419.625</v>
      </c>
      <c r="E1787" s="116">
        <v>1421.0250000000001</v>
      </c>
      <c r="F1787" s="116">
        <v>2867.4</v>
      </c>
      <c r="G1787">
        <v>3277</v>
      </c>
      <c r="H1787" s="116"/>
      <c r="I1787" s="116"/>
      <c r="L1787" s="170">
        <v>44635</v>
      </c>
      <c r="M1787" s="116">
        <v>1435.3</v>
      </c>
      <c r="N1787" s="116">
        <v>1462.5</v>
      </c>
      <c r="O1787" s="116">
        <v>1416</v>
      </c>
      <c r="P1787" s="116">
        <v>1416</v>
      </c>
      <c r="Q1787" s="116">
        <v>2870.6</v>
      </c>
      <c r="R1787">
        <v>203438</v>
      </c>
    </row>
    <row r="1788" spans="1:18" x14ac:dyDescent="0.25">
      <c r="A1788" s="170">
        <v>44636</v>
      </c>
      <c r="B1788" s="116">
        <v>1462.375</v>
      </c>
      <c r="C1788" s="116">
        <v>1423.925</v>
      </c>
      <c r="D1788" s="116">
        <v>1415.7750000000001</v>
      </c>
      <c r="E1788" s="116">
        <v>1462.375</v>
      </c>
      <c r="F1788" s="116">
        <v>2847.85</v>
      </c>
      <c r="G1788">
        <v>2605</v>
      </c>
      <c r="H1788" s="116"/>
      <c r="I1788" s="116"/>
      <c r="L1788" s="170">
        <v>44636</v>
      </c>
      <c r="M1788" s="116">
        <v>1425</v>
      </c>
      <c r="N1788" s="116">
        <v>1446.3</v>
      </c>
      <c r="O1788" s="116">
        <v>1415.0250000000001</v>
      </c>
      <c r="P1788" s="116">
        <v>1444</v>
      </c>
      <c r="Q1788" s="116">
        <v>2850</v>
      </c>
      <c r="R1788">
        <v>98663</v>
      </c>
    </row>
    <row r="1789" spans="1:18" x14ac:dyDescent="0.25">
      <c r="A1789" s="170">
        <v>44637</v>
      </c>
      <c r="B1789" s="116">
        <v>1492.825</v>
      </c>
      <c r="C1789" s="116">
        <v>1435.925</v>
      </c>
      <c r="D1789" s="116">
        <v>1425.0250000000001</v>
      </c>
      <c r="E1789" s="116">
        <v>1440.0250000000001</v>
      </c>
      <c r="F1789" s="116">
        <v>2871.85</v>
      </c>
      <c r="G1789">
        <v>7731</v>
      </c>
      <c r="H1789" s="116"/>
      <c r="I1789" s="116"/>
      <c r="L1789" s="170">
        <v>44637</v>
      </c>
      <c r="M1789" s="116">
        <v>1437.3</v>
      </c>
      <c r="N1789" s="116">
        <v>1493.875</v>
      </c>
      <c r="O1789" s="116">
        <v>1425</v>
      </c>
      <c r="P1789" s="116">
        <v>1439.7</v>
      </c>
      <c r="Q1789" s="116">
        <v>2874.6</v>
      </c>
      <c r="R1789">
        <v>432664</v>
      </c>
    </row>
    <row r="1790" spans="1:18" x14ac:dyDescent="0.25">
      <c r="A1790" s="170">
        <v>44641</v>
      </c>
      <c r="B1790" s="116">
        <v>1465.675</v>
      </c>
      <c r="C1790" s="116">
        <v>1382</v>
      </c>
      <c r="D1790" s="116">
        <v>1368.5</v>
      </c>
      <c r="E1790" s="116">
        <v>1465.675</v>
      </c>
      <c r="F1790" s="116">
        <v>2764</v>
      </c>
      <c r="G1790">
        <v>5460</v>
      </c>
      <c r="H1790" s="116"/>
      <c r="I1790" s="116"/>
      <c r="L1790" s="170">
        <v>44641</v>
      </c>
      <c r="M1790" s="116">
        <v>1381.8</v>
      </c>
      <c r="N1790" s="116">
        <v>1456.175</v>
      </c>
      <c r="O1790" s="116">
        <v>1365.8</v>
      </c>
      <c r="P1790" s="116">
        <v>1454</v>
      </c>
      <c r="Q1790" s="116">
        <v>2763.6</v>
      </c>
      <c r="R1790">
        <v>277947</v>
      </c>
    </row>
    <row r="1791" spans="1:18" x14ac:dyDescent="0.25">
      <c r="A1791" s="170">
        <v>44642</v>
      </c>
      <c r="B1791" s="116">
        <v>1400.875</v>
      </c>
      <c r="C1791" s="116">
        <v>1380.7</v>
      </c>
      <c r="D1791" s="116">
        <v>1353.325</v>
      </c>
      <c r="E1791" s="116">
        <v>1400.875</v>
      </c>
      <c r="F1791" s="116">
        <v>2761.4</v>
      </c>
      <c r="G1791">
        <v>3063</v>
      </c>
      <c r="H1791" s="116"/>
      <c r="I1791" s="116"/>
      <c r="L1791" s="170">
        <v>44642</v>
      </c>
      <c r="M1791" s="116">
        <v>1381.1</v>
      </c>
      <c r="N1791" s="116">
        <v>1387.35</v>
      </c>
      <c r="O1791" s="116">
        <v>1352.85</v>
      </c>
      <c r="P1791" s="116">
        <v>1381.8</v>
      </c>
      <c r="Q1791" s="116">
        <v>2762.2</v>
      </c>
      <c r="R1791">
        <v>192811</v>
      </c>
    </row>
    <row r="1792" spans="1:18" x14ac:dyDescent="0.25">
      <c r="A1792" s="170">
        <v>44643</v>
      </c>
      <c r="B1792" s="116">
        <v>1430</v>
      </c>
      <c r="C1792" s="116">
        <v>1412.9749999999999</v>
      </c>
      <c r="D1792" s="116">
        <v>1385.175</v>
      </c>
      <c r="E1792" s="116">
        <v>1385.175</v>
      </c>
      <c r="F1792" s="116">
        <v>2825.95</v>
      </c>
      <c r="G1792">
        <v>6681</v>
      </c>
      <c r="H1792" s="116"/>
      <c r="I1792" s="116"/>
      <c r="L1792" s="170">
        <v>44643</v>
      </c>
      <c r="M1792" s="116">
        <v>1415.55</v>
      </c>
      <c r="N1792" s="116">
        <v>1430</v>
      </c>
      <c r="O1792" s="116">
        <v>1382.4749999999999</v>
      </c>
      <c r="P1792" s="116">
        <v>1382.4749999999999</v>
      </c>
      <c r="Q1792" s="116">
        <v>2831.1</v>
      </c>
      <c r="R1792">
        <v>408885</v>
      </c>
    </row>
    <row r="1793" spans="1:18" x14ac:dyDescent="0.25">
      <c r="A1793" s="170">
        <v>44644</v>
      </c>
      <c r="B1793" s="116">
        <v>1432.375</v>
      </c>
      <c r="C1793" s="116">
        <v>1415.2249999999999</v>
      </c>
      <c r="D1793" s="116">
        <v>1399.25</v>
      </c>
      <c r="E1793" s="116">
        <v>1399.25</v>
      </c>
      <c r="F1793" s="116">
        <v>2830.45</v>
      </c>
      <c r="G1793">
        <v>1826</v>
      </c>
      <c r="H1793" s="116"/>
      <c r="I1793" s="116"/>
      <c r="L1793" s="170">
        <v>44644</v>
      </c>
      <c r="M1793" s="116">
        <v>1414.2</v>
      </c>
      <c r="N1793" s="116">
        <v>1432.825</v>
      </c>
      <c r="O1793" s="116">
        <v>1396.325</v>
      </c>
      <c r="P1793" s="116">
        <v>1401.4</v>
      </c>
      <c r="Q1793" s="116">
        <v>2828.4</v>
      </c>
      <c r="R1793">
        <v>148987</v>
      </c>
    </row>
    <row r="1794" spans="1:18" x14ac:dyDescent="0.25">
      <c r="A1794" s="170">
        <v>44645</v>
      </c>
      <c r="B1794" s="116">
        <v>1415.9749999999999</v>
      </c>
      <c r="C1794" s="116">
        <v>1371.875</v>
      </c>
      <c r="D1794" s="116">
        <v>1367</v>
      </c>
      <c r="E1794" s="116">
        <v>1407.4</v>
      </c>
      <c r="F1794" s="116">
        <v>2743.75</v>
      </c>
      <c r="G1794">
        <v>3877</v>
      </c>
      <c r="H1794" s="116"/>
      <c r="I1794" s="116"/>
      <c r="L1794" s="170">
        <v>44645</v>
      </c>
      <c r="M1794" s="116">
        <v>1371.575</v>
      </c>
      <c r="N1794" s="116">
        <v>1421.7</v>
      </c>
      <c r="O1794" s="116">
        <v>1366.65</v>
      </c>
      <c r="P1794" s="116">
        <v>1417.5</v>
      </c>
      <c r="Q1794" s="116">
        <v>2743.15</v>
      </c>
      <c r="R1794">
        <v>189657</v>
      </c>
    </row>
    <row r="1795" spans="1:18" x14ac:dyDescent="0.25">
      <c r="A1795" s="170">
        <v>44648</v>
      </c>
      <c r="B1795" s="116">
        <v>1369.7750000000001</v>
      </c>
      <c r="C1795" s="116">
        <v>1363.8</v>
      </c>
      <c r="D1795" s="116">
        <v>1343.35</v>
      </c>
      <c r="E1795" s="116">
        <v>1355</v>
      </c>
      <c r="F1795" s="116">
        <v>2727.6</v>
      </c>
      <c r="G1795">
        <v>2829</v>
      </c>
      <c r="H1795" s="116"/>
      <c r="I1795" s="116"/>
      <c r="L1795" s="170">
        <v>44648</v>
      </c>
      <c r="M1795" s="116">
        <v>1364.15</v>
      </c>
      <c r="N1795" s="116">
        <v>1371.55</v>
      </c>
      <c r="O1795" s="116">
        <v>1342.8</v>
      </c>
      <c r="P1795" s="116">
        <v>1365</v>
      </c>
      <c r="Q1795" s="116">
        <v>2728.3</v>
      </c>
      <c r="R1795">
        <v>201197</v>
      </c>
    </row>
    <row r="1796" spans="1:18" x14ac:dyDescent="0.25">
      <c r="A1796" s="170">
        <v>44649</v>
      </c>
      <c r="B1796" s="116">
        <v>1409.9</v>
      </c>
      <c r="C1796" s="116">
        <v>1404.55</v>
      </c>
      <c r="D1796" s="116">
        <v>1365.7</v>
      </c>
      <c r="E1796" s="116">
        <v>1367.5</v>
      </c>
      <c r="F1796" s="116">
        <v>2809.1</v>
      </c>
      <c r="G1796">
        <v>2481</v>
      </c>
      <c r="H1796" s="116"/>
      <c r="I1796" s="116"/>
      <c r="L1796" s="170">
        <v>44649</v>
      </c>
      <c r="M1796" s="116">
        <v>1404.95</v>
      </c>
      <c r="N1796" s="116">
        <v>1409.95</v>
      </c>
      <c r="O1796" s="116">
        <v>1363.75</v>
      </c>
      <c r="P1796" s="116">
        <v>1374.575</v>
      </c>
      <c r="Q1796" s="116">
        <v>2809.9</v>
      </c>
      <c r="R1796">
        <v>265373</v>
      </c>
    </row>
    <row r="1797" spans="1:18" x14ac:dyDescent="0.25">
      <c r="A1797" s="170">
        <v>44650</v>
      </c>
      <c r="B1797" s="116">
        <v>1416.5</v>
      </c>
      <c r="C1797" s="116">
        <v>1410.65</v>
      </c>
      <c r="D1797" s="116">
        <v>1385.15</v>
      </c>
      <c r="E1797" s="116">
        <v>1408.45</v>
      </c>
      <c r="F1797" s="116">
        <v>2821.3</v>
      </c>
      <c r="G1797">
        <v>1407</v>
      </c>
      <c r="H1797" s="116"/>
      <c r="I1797" s="116"/>
      <c r="L1797" s="170">
        <v>44650</v>
      </c>
      <c r="M1797" s="116">
        <v>1414.175</v>
      </c>
      <c r="N1797" s="116">
        <v>1417.5</v>
      </c>
      <c r="O1797" s="116">
        <v>1383.5</v>
      </c>
      <c r="P1797" s="116">
        <v>1406.05</v>
      </c>
      <c r="Q1797" s="116">
        <v>2828.35</v>
      </c>
      <c r="R1797">
        <v>130562</v>
      </c>
    </row>
    <row r="1798" spans="1:18" x14ac:dyDescent="0.25">
      <c r="A1798" s="170">
        <v>44651</v>
      </c>
      <c r="B1798" s="116">
        <v>1415.0250000000001</v>
      </c>
      <c r="C1798" s="116">
        <v>1398.15</v>
      </c>
      <c r="D1798" s="116">
        <v>1388.55</v>
      </c>
      <c r="E1798" s="116">
        <v>1407.95</v>
      </c>
      <c r="F1798" s="116">
        <v>2796.3</v>
      </c>
      <c r="G1798">
        <v>1749</v>
      </c>
      <c r="H1798" s="116"/>
      <c r="I1798" s="116"/>
      <c r="L1798" s="170">
        <v>44651</v>
      </c>
      <c r="M1798" s="116">
        <v>1395.9749999999999</v>
      </c>
      <c r="N1798" s="116">
        <v>1418.35</v>
      </c>
      <c r="O1798" s="116">
        <v>1386.2</v>
      </c>
      <c r="P1798" s="116">
        <v>1414.2</v>
      </c>
      <c r="Q1798" s="116">
        <v>2791.95</v>
      </c>
      <c r="R1798">
        <v>195689</v>
      </c>
    </row>
    <row r="1799" spans="1:18" x14ac:dyDescent="0.25">
      <c r="A1799" s="170">
        <v>44652</v>
      </c>
      <c r="B1799" s="116">
        <v>1399.6</v>
      </c>
      <c r="C1799" s="116">
        <v>1393.825</v>
      </c>
      <c r="D1799" s="116">
        <v>1385</v>
      </c>
      <c r="E1799" s="116">
        <v>1399.6</v>
      </c>
      <c r="F1799" s="116">
        <v>2787.65</v>
      </c>
      <c r="G1799">
        <v>1693</v>
      </c>
      <c r="H1799" s="116"/>
      <c r="I1799" s="116"/>
      <c r="L1799" s="170">
        <v>44652</v>
      </c>
      <c r="M1799" s="116">
        <v>1393.35</v>
      </c>
      <c r="N1799" s="116">
        <v>1401</v>
      </c>
      <c r="O1799" s="116">
        <v>1382.6</v>
      </c>
      <c r="P1799" s="116">
        <v>1397.5</v>
      </c>
      <c r="Q1799" s="116">
        <v>2786.7</v>
      </c>
      <c r="R1799">
        <v>92468</v>
      </c>
    </row>
    <row r="1800" spans="1:18" x14ac:dyDescent="0.25">
      <c r="A1800" s="170">
        <v>44655</v>
      </c>
      <c r="B1800" s="116">
        <v>1417.85</v>
      </c>
      <c r="C1800" s="116">
        <v>1415.25</v>
      </c>
      <c r="D1800" s="116">
        <v>1388.875</v>
      </c>
      <c r="E1800" s="116">
        <v>1398.4</v>
      </c>
      <c r="F1800" s="116">
        <v>2830.5</v>
      </c>
      <c r="G1800">
        <v>4098</v>
      </c>
      <c r="H1800" s="116"/>
      <c r="I1800" s="116"/>
      <c r="L1800" s="170">
        <v>44655</v>
      </c>
      <c r="M1800" s="116">
        <v>1415.325</v>
      </c>
      <c r="N1800" s="116">
        <v>1419</v>
      </c>
      <c r="O1800" s="116">
        <v>1388.45</v>
      </c>
      <c r="P1800" s="116">
        <v>1397.4749999999999</v>
      </c>
      <c r="Q1800" s="116">
        <v>2830.65</v>
      </c>
      <c r="R1800">
        <v>76191</v>
      </c>
    </row>
    <row r="1801" spans="1:18" x14ac:dyDescent="0.25">
      <c r="A1801" s="170">
        <v>44656</v>
      </c>
      <c r="B1801" s="116">
        <v>1419.5250000000001</v>
      </c>
      <c r="C1801" s="116">
        <v>1393.7249999999999</v>
      </c>
      <c r="D1801" s="116">
        <v>1390</v>
      </c>
      <c r="E1801" s="116">
        <v>1417.5</v>
      </c>
      <c r="F1801" s="116">
        <v>2787.45</v>
      </c>
      <c r="G1801">
        <v>1997</v>
      </c>
      <c r="H1801" s="116"/>
      <c r="I1801" s="116"/>
      <c r="L1801" s="170">
        <v>44656</v>
      </c>
      <c r="M1801" s="116">
        <v>1393.125</v>
      </c>
      <c r="N1801" s="116">
        <v>1425</v>
      </c>
      <c r="O1801" s="116">
        <v>1390.0250000000001</v>
      </c>
      <c r="P1801" s="116">
        <v>1425</v>
      </c>
      <c r="Q1801" s="116">
        <v>2786.25</v>
      </c>
      <c r="R1801">
        <v>126530</v>
      </c>
    </row>
    <row r="1802" spans="1:18" x14ac:dyDescent="0.25">
      <c r="A1802" s="170">
        <v>44657</v>
      </c>
      <c r="B1802" s="116">
        <v>1394.85</v>
      </c>
      <c r="C1802" s="116">
        <v>1366.55</v>
      </c>
      <c r="D1802" s="116">
        <v>1364.25</v>
      </c>
      <c r="E1802" s="116">
        <v>1382</v>
      </c>
      <c r="F1802" s="116">
        <v>2733.1</v>
      </c>
      <c r="G1802">
        <v>5893</v>
      </c>
      <c r="H1802" s="116"/>
      <c r="I1802" s="116"/>
      <c r="L1802" s="170">
        <v>44657</v>
      </c>
      <c r="M1802" s="116">
        <v>1366.625</v>
      </c>
      <c r="N1802" s="116">
        <v>1394</v>
      </c>
      <c r="O1802" s="116">
        <v>1363.2</v>
      </c>
      <c r="P1802" s="116">
        <v>1375</v>
      </c>
      <c r="Q1802" s="116">
        <v>2733.25</v>
      </c>
      <c r="R1802">
        <v>152465</v>
      </c>
    </row>
    <row r="1803" spans="1:18" x14ac:dyDescent="0.25">
      <c r="A1803" s="170">
        <v>44658</v>
      </c>
      <c r="B1803" s="116">
        <v>1378</v>
      </c>
      <c r="C1803" s="116">
        <v>1375.375</v>
      </c>
      <c r="D1803" s="116">
        <v>1359.375</v>
      </c>
      <c r="E1803" s="116">
        <v>1362.45</v>
      </c>
      <c r="F1803" s="116">
        <v>2750.75</v>
      </c>
      <c r="G1803">
        <v>1285</v>
      </c>
      <c r="H1803" s="116"/>
      <c r="I1803" s="116"/>
      <c r="L1803" s="170">
        <v>44658</v>
      </c>
      <c r="M1803" s="116">
        <v>1376.25</v>
      </c>
      <c r="N1803" s="116">
        <v>1379.4749999999999</v>
      </c>
      <c r="O1803" s="116">
        <v>1358.7</v>
      </c>
      <c r="P1803" s="116">
        <v>1375</v>
      </c>
      <c r="Q1803" s="116">
        <v>2752.5</v>
      </c>
      <c r="R1803">
        <v>107881</v>
      </c>
    </row>
    <row r="1804" spans="1:18" x14ac:dyDescent="0.25">
      <c r="A1804" s="170">
        <v>44659</v>
      </c>
      <c r="B1804" s="116">
        <v>1405</v>
      </c>
      <c r="C1804" s="116">
        <v>1400.15</v>
      </c>
      <c r="D1804" s="116">
        <v>1375</v>
      </c>
      <c r="E1804" s="116">
        <v>1384.85</v>
      </c>
      <c r="F1804" s="116">
        <v>2800.3</v>
      </c>
      <c r="G1804">
        <v>3848</v>
      </c>
      <c r="H1804" s="116"/>
      <c r="I1804" s="116"/>
      <c r="L1804" s="170">
        <v>44659</v>
      </c>
      <c r="M1804" s="116">
        <v>1400.9</v>
      </c>
      <c r="N1804" s="116">
        <v>1405.45</v>
      </c>
      <c r="O1804" s="116">
        <v>1374.15</v>
      </c>
      <c r="P1804" s="116">
        <v>1381</v>
      </c>
      <c r="Q1804" s="116">
        <v>2801.8</v>
      </c>
      <c r="R1804">
        <v>304104</v>
      </c>
    </row>
    <row r="1805" spans="1:18" x14ac:dyDescent="0.25">
      <c r="A1805" s="170">
        <v>44662</v>
      </c>
      <c r="B1805" s="116">
        <v>1422.5</v>
      </c>
      <c r="C1805" s="116">
        <v>1397.15</v>
      </c>
      <c r="D1805" s="116">
        <v>1391.4</v>
      </c>
      <c r="E1805" s="116">
        <v>1417.2</v>
      </c>
      <c r="F1805" s="116">
        <v>2794.3</v>
      </c>
      <c r="G1805">
        <v>2362</v>
      </c>
      <c r="H1805" s="116"/>
      <c r="I1805" s="116"/>
      <c r="L1805" s="170">
        <v>44662</v>
      </c>
      <c r="M1805" s="116">
        <v>1396.8</v>
      </c>
      <c r="N1805" s="116">
        <v>1422.2</v>
      </c>
      <c r="O1805" s="116">
        <v>1392.7750000000001</v>
      </c>
      <c r="P1805" s="116">
        <v>1402.1</v>
      </c>
      <c r="Q1805" s="116">
        <v>2793.6</v>
      </c>
      <c r="R1805">
        <v>132483</v>
      </c>
    </row>
    <row r="1806" spans="1:18" x14ac:dyDescent="0.25">
      <c r="A1806" s="170">
        <v>44663</v>
      </c>
      <c r="B1806" s="116">
        <v>1430.0250000000001</v>
      </c>
      <c r="C1806" s="116">
        <v>1409</v>
      </c>
      <c r="D1806" s="116">
        <v>1392.5</v>
      </c>
      <c r="E1806" s="116">
        <v>1407.5</v>
      </c>
      <c r="F1806" s="116">
        <v>2818</v>
      </c>
      <c r="G1806">
        <v>6833</v>
      </c>
      <c r="H1806" s="116"/>
      <c r="I1806" s="116"/>
      <c r="L1806" s="170">
        <v>44663</v>
      </c>
      <c r="M1806" s="116">
        <v>1403.375</v>
      </c>
      <c r="N1806" s="116">
        <v>1430</v>
      </c>
      <c r="O1806" s="116">
        <v>1387.4749999999999</v>
      </c>
      <c r="P1806" s="116">
        <v>1391</v>
      </c>
      <c r="Q1806" s="116">
        <v>2806.75</v>
      </c>
      <c r="R1806">
        <v>255567</v>
      </c>
    </row>
    <row r="1807" spans="1:18" x14ac:dyDescent="0.25">
      <c r="A1807" s="170">
        <v>44664</v>
      </c>
      <c r="B1807" s="116">
        <v>1437.2</v>
      </c>
      <c r="C1807" s="116">
        <v>1423.55</v>
      </c>
      <c r="D1807" s="116">
        <v>1387.5</v>
      </c>
      <c r="E1807" s="116">
        <v>1420</v>
      </c>
      <c r="F1807" s="116">
        <v>2847.1</v>
      </c>
      <c r="G1807">
        <v>4575</v>
      </c>
      <c r="H1807" s="116"/>
      <c r="I1807" s="116"/>
      <c r="L1807" s="170">
        <v>44664</v>
      </c>
      <c r="M1807" s="116">
        <v>1424.75</v>
      </c>
      <c r="N1807" s="116">
        <v>1437.3</v>
      </c>
      <c r="O1807" s="116">
        <v>1387.2750000000001</v>
      </c>
      <c r="P1807" s="116">
        <v>1402</v>
      </c>
      <c r="Q1807" s="116">
        <v>2849.5</v>
      </c>
      <c r="R1807">
        <v>179458</v>
      </c>
    </row>
    <row r="1808" spans="1:18" x14ac:dyDescent="0.25">
      <c r="A1808" s="170">
        <v>44669</v>
      </c>
      <c r="B1808" s="116">
        <v>1444</v>
      </c>
      <c r="C1808" s="116">
        <v>1426.75</v>
      </c>
      <c r="D1808" s="116">
        <v>1416.075</v>
      </c>
      <c r="E1808" s="116">
        <v>1416.075</v>
      </c>
      <c r="F1808" s="116">
        <v>2853.5</v>
      </c>
      <c r="G1808">
        <v>1821</v>
      </c>
      <c r="H1808" s="116"/>
      <c r="I1808" s="116"/>
      <c r="L1808" s="170">
        <v>44669</v>
      </c>
      <c r="M1808" s="116">
        <v>1426.85</v>
      </c>
      <c r="N1808" s="116">
        <v>1445</v>
      </c>
      <c r="O1808" s="116">
        <v>1411</v>
      </c>
      <c r="P1808" s="116">
        <v>1412.5</v>
      </c>
      <c r="Q1808" s="116">
        <v>2853.7</v>
      </c>
      <c r="R1808">
        <v>154952</v>
      </c>
    </row>
    <row r="1809" spans="1:18" x14ac:dyDescent="0.25">
      <c r="A1809" s="170">
        <v>44670</v>
      </c>
      <c r="B1809" s="116">
        <v>1452.2750000000001</v>
      </c>
      <c r="C1809" s="116">
        <v>1420.8</v>
      </c>
      <c r="D1809" s="116">
        <v>1406.375</v>
      </c>
      <c r="E1809" s="116">
        <v>1439.5</v>
      </c>
      <c r="F1809" s="116">
        <v>2841.6</v>
      </c>
      <c r="G1809">
        <v>2872</v>
      </c>
      <c r="H1809" s="116"/>
      <c r="I1809" s="116"/>
      <c r="L1809" s="170">
        <v>44670</v>
      </c>
      <c r="M1809" s="116">
        <v>1420.175</v>
      </c>
      <c r="N1809" s="116">
        <v>1451.9749999999999</v>
      </c>
      <c r="O1809" s="116">
        <v>1407.625</v>
      </c>
      <c r="P1809" s="116">
        <v>1438</v>
      </c>
      <c r="Q1809" s="116">
        <v>2840.35</v>
      </c>
      <c r="R1809">
        <v>155000</v>
      </c>
    </row>
    <row r="1810" spans="1:18" x14ac:dyDescent="0.25">
      <c r="A1810" s="170">
        <v>44671</v>
      </c>
      <c r="B1810" s="116">
        <v>1450.7750000000001</v>
      </c>
      <c r="C1810" s="116">
        <v>1430.85</v>
      </c>
      <c r="D1810" s="116">
        <v>1425</v>
      </c>
      <c r="E1810" s="116">
        <v>1427.45</v>
      </c>
      <c r="F1810" s="116">
        <v>2861.7</v>
      </c>
      <c r="G1810">
        <v>13864</v>
      </c>
      <c r="H1810" s="116"/>
      <c r="I1810" s="116"/>
      <c r="L1810" s="170">
        <v>44671</v>
      </c>
      <c r="M1810" s="116">
        <v>1429.825</v>
      </c>
      <c r="N1810" s="116">
        <v>1450</v>
      </c>
      <c r="O1810" s="116">
        <v>1421.575</v>
      </c>
      <c r="P1810" s="116">
        <v>1425</v>
      </c>
      <c r="Q1810" s="116">
        <v>2859.65</v>
      </c>
      <c r="R1810">
        <v>153316</v>
      </c>
    </row>
    <row r="1811" spans="1:18" x14ac:dyDescent="0.25">
      <c r="A1811" s="170">
        <v>44672</v>
      </c>
      <c r="B1811" s="116">
        <v>1445.125</v>
      </c>
      <c r="C1811" s="116">
        <v>1414.1</v>
      </c>
      <c r="D1811" s="116">
        <v>1411.875</v>
      </c>
      <c r="E1811" s="116">
        <v>1435.2</v>
      </c>
      <c r="F1811" s="116">
        <v>2828.2</v>
      </c>
      <c r="G1811">
        <v>1802</v>
      </c>
      <c r="H1811" s="116"/>
      <c r="I1811" s="116"/>
      <c r="L1811" s="170">
        <v>44672</v>
      </c>
      <c r="M1811" s="116">
        <v>1414.9749999999999</v>
      </c>
      <c r="N1811" s="116">
        <v>1447</v>
      </c>
      <c r="O1811" s="116">
        <v>1412.0250000000001</v>
      </c>
      <c r="P1811" s="116">
        <v>1436.95</v>
      </c>
      <c r="Q1811" s="116">
        <v>2829.95</v>
      </c>
      <c r="R1811">
        <v>108945</v>
      </c>
    </row>
    <row r="1812" spans="1:18" x14ac:dyDescent="0.25">
      <c r="A1812" s="170">
        <v>44673</v>
      </c>
      <c r="B1812" s="116">
        <v>1408.2</v>
      </c>
      <c r="C1812" s="116">
        <v>1367.3</v>
      </c>
      <c r="D1812" s="116">
        <v>1356.5</v>
      </c>
      <c r="E1812" s="116">
        <v>1408.2</v>
      </c>
      <c r="F1812" s="116">
        <v>2734.6</v>
      </c>
      <c r="G1812">
        <v>3962</v>
      </c>
      <c r="H1812" s="116"/>
      <c r="I1812" s="116"/>
      <c r="L1812" s="170">
        <v>44673</v>
      </c>
      <c r="M1812" s="116">
        <v>1368.7750000000001</v>
      </c>
      <c r="N1812" s="116">
        <v>1413.4749999999999</v>
      </c>
      <c r="O1812" s="116">
        <v>1356.9749999999999</v>
      </c>
      <c r="P1812" s="116">
        <v>1410</v>
      </c>
      <c r="Q1812" s="116">
        <v>2737.55</v>
      </c>
      <c r="R1812">
        <v>175983</v>
      </c>
    </row>
    <row r="1813" spans="1:18" x14ac:dyDescent="0.25">
      <c r="A1813" s="170">
        <v>44676</v>
      </c>
      <c r="B1813" s="116">
        <v>1379.425</v>
      </c>
      <c r="C1813" s="116">
        <v>1364.5</v>
      </c>
      <c r="D1813" s="116">
        <v>1354.1</v>
      </c>
      <c r="E1813" s="116">
        <v>1367.3</v>
      </c>
      <c r="F1813" s="116">
        <v>2729</v>
      </c>
      <c r="G1813">
        <v>1366</v>
      </c>
      <c r="H1813" s="116"/>
      <c r="I1813" s="116"/>
      <c r="L1813" s="170">
        <v>44676</v>
      </c>
      <c r="M1813" s="116">
        <v>1366.15</v>
      </c>
      <c r="N1813" s="116">
        <v>1380.7249999999999</v>
      </c>
      <c r="O1813" s="116">
        <v>1353.2750000000001</v>
      </c>
      <c r="P1813" s="116">
        <v>1355.075</v>
      </c>
      <c r="Q1813" s="116">
        <v>2732.3</v>
      </c>
      <c r="R1813">
        <v>86762</v>
      </c>
    </row>
    <row r="1814" spans="1:18" x14ac:dyDescent="0.25">
      <c r="A1814" s="170">
        <v>44677</v>
      </c>
      <c r="B1814" s="116">
        <v>1383</v>
      </c>
      <c r="C1814" s="116">
        <v>1367.375</v>
      </c>
      <c r="D1814" s="116">
        <v>1349.7249999999999</v>
      </c>
      <c r="E1814" s="116">
        <v>1380.05</v>
      </c>
      <c r="F1814" s="116">
        <v>2734.75</v>
      </c>
      <c r="G1814">
        <v>1196</v>
      </c>
      <c r="H1814" s="116"/>
      <c r="I1814" s="116"/>
      <c r="L1814" s="170">
        <v>44677</v>
      </c>
      <c r="M1814" s="116">
        <v>1367.5250000000001</v>
      </c>
      <c r="N1814" s="116">
        <v>1395</v>
      </c>
      <c r="O1814" s="116">
        <v>1348.9</v>
      </c>
      <c r="P1814" s="116">
        <v>1372.9749999999999</v>
      </c>
      <c r="Q1814" s="116">
        <v>2735.05</v>
      </c>
      <c r="R1814">
        <v>123072</v>
      </c>
    </row>
    <row r="1815" spans="1:18" x14ac:dyDescent="0.25">
      <c r="A1815" s="170">
        <v>44678</v>
      </c>
      <c r="B1815" s="116">
        <v>1365.85</v>
      </c>
      <c r="C1815" s="116">
        <v>1355.4</v>
      </c>
      <c r="D1815" s="116">
        <v>1345.5</v>
      </c>
      <c r="E1815" s="116">
        <v>1360.175</v>
      </c>
      <c r="F1815" s="116">
        <v>2710.8</v>
      </c>
      <c r="G1815">
        <v>940</v>
      </c>
      <c r="H1815" s="116"/>
      <c r="I1815" s="116"/>
      <c r="L1815" s="170">
        <v>44678</v>
      </c>
      <c r="M1815" s="116">
        <v>1354.8</v>
      </c>
      <c r="N1815" s="116">
        <v>1369.55</v>
      </c>
      <c r="O1815" s="116">
        <v>1345.05</v>
      </c>
      <c r="P1815" s="116">
        <v>1367.5250000000001</v>
      </c>
      <c r="Q1815" s="116">
        <v>2709.6</v>
      </c>
      <c r="R1815">
        <v>62267</v>
      </c>
    </row>
    <row r="1816" spans="1:18" x14ac:dyDescent="0.25">
      <c r="A1816" s="170">
        <v>44679</v>
      </c>
      <c r="B1816" s="116">
        <v>1396.4749999999999</v>
      </c>
      <c r="C1816" s="116">
        <v>1392.125</v>
      </c>
      <c r="D1816" s="116">
        <v>1362.65</v>
      </c>
      <c r="E1816" s="116">
        <v>1367.7750000000001</v>
      </c>
      <c r="F1816" s="116">
        <v>2784.25</v>
      </c>
      <c r="G1816">
        <v>1870</v>
      </c>
      <c r="H1816" s="116"/>
      <c r="I1816" s="116"/>
      <c r="L1816" s="170">
        <v>44679</v>
      </c>
      <c r="M1816" s="116">
        <v>1392.55</v>
      </c>
      <c r="N1816" s="116">
        <v>1398.4749999999999</v>
      </c>
      <c r="O1816" s="116">
        <v>1362.5</v>
      </c>
      <c r="P1816" s="116">
        <v>1372.5</v>
      </c>
      <c r="Q1816" s="116">
        <v>2785.1</v>
      </c>
      <c r="R1816">
        <v>118304</v>
      </c>
    </row>
    <row r="1817" spans="1:18" x14ac:dyDescent="0.25">
      <c r="A1817" s="170">
        <v>44680</v>
      </c>
      <c r="B1817" s="116">
        <v>1418.125</v>
      </c>
      <c r="C1817" s="116">
        <v>1403.925</v>
      </c>
      <c r="D1817" s="116">
        <v>1383.5</v>
      </c>
      <c r="E1817" s="116">
        <v>1391.65</v>
      </c>
      <c r="F1817" s="116">
        <v>2807.85</v>
      </c>
      <c r="G1817">
        <v>13149</v>
      </c>
      <c r="H1817" s="116"/>
      <c r="I1817" s="116"/>
      <c r="L1817" s="170">
        <v>44680</v>
      </c>
      <c r="M1817" s="116">
        <v>1407.175</v>
      </c>
      <c r="N1817" s="116">
        <v>1418.625</v>
      </c>
      <c r="O1817" s="116">
        <v>1382.825</v>
      </c>
      <c r="P1817" s="116">
        <v>1394</v>
      </c>
      <c r="Q1817" s="116">
        <v>2814.35</v>
      </c>
      <c r="R1817">
        <v>203461</v>
      </c>
    </row>
    <row r="1818" spans="1:18" x14ac:dyDescent="0.25">
      <c r="A1818" s="170">
        <v>44683</v>
      </c>
      <c r="B1818" s="116">
        <v>1413.2</v>
      </c>
      <c r="C1818" s="116">
        <v>1395.7</v>
      </c>
      <c r="D1818" s="116">
        <v>1376.575</v>
      </c>
      <c r="E1818" s="116">
        <v>1407.25</v>
      </c>
      <c r="F1818" s="116">
        <v>2791.4</v>
      </c>
      <c r="G1818">
        <v>1614</v>
      </c>
      <c r="H1818" s="116"/>
      <c r="I1818" s="116"/>
      <c r="L1818" s="170">
        <v>44683</v>
      </c>
      <c r="M1818" s="116">
        <v>1396.25</v>
      </c>
      <c r="N1818" s="116">
        <v>1415.5</v>
      </c>
      <c r="O1818" s="116">
        <v>1376.7750000000001</v>
      </c>
      <c r="P1818" s="116">
        <v>1395</v>
      </c>
      <c r="Q1818" s="116">
        <v>2792.5</v>
      </c>
      <c r="R1818">
        <v>47341</v>
      </c>
    </row>
    <row r="1819" spans="1:18" x14ac:dyDescent="0.25">
      <c r="A1819" s="170">
        <v>44685</v>
      </c>
      <c r="B1819" s="116">
        <v>1399.125</v>
      </c>
      <c r="C1819" s="116">
        <v>1345.55</v>
      </c>
      <c r="D1819" s="116">
        <v>1341.075</v>
      </c>
      <c r="E1819" s="116">
        <v>1395.625</v>
      </c>
      <c r="F1819" s="116">
        <v>2691.1</v>
      </c>
      <c r="G1819">
        <v>76740</v>
      </c>
      <c r="H1819" s="116"/>
      <c r="I1819" s="116"/>
      <c r="L1819" s="170">
        <v>44685</v>
      </c>
      <c r="M1819" s="116">
        <v>1346.125</v>
      </c>
      <c r="N1819" s="116">
        <v>1399.925</v>
      </c>
      <c r="O1819" s="116">
        <v>1339.2</v>
      </c>
      <c r="P1819" s="116">
        <v>1396.5</v>
      </c>
      <c r="Q1819" s="116">
        <v>2692.25</v>
      </c>
      <c r="R1819">
        <v>90699</v>
      </c>
    </row>
    <row r="1820" spans="1:18" x14ac:dyDescent="0.25">
      <c r="A1820" s="170">
        <v>44686</v>
      </c>
      <c r="B1820" s="116">
        <v>1362.85</v>
      </c>
      <c r="C1820" s="116">
        <v>1340.4749999999999</v>
      </c>
      <c r="D1820" s="116">
        <v>1333.7750000000001</v>
      </c>
      <c r="E1820" s="116">
        <v>1357.9749999999999</v>
      </c>
      <c r="F1820" s="116">
        <v>2680.95</v>
      </c>
      <c r="G1820">
        <v>1099</v>
      </c>
      <c r="H1820" s="116"/>
      <c r="I1820" s="116"/>
      <c r="L1820" s="170">
        <v>44686</v>
      </c>
      <c r="M1820" s="116">
        <v>1341.7249999999999</v>
      </c>
      <c r="N1820" s="116">
        <v>1364.5</v>
      </c>
      <c r="O1820" s="116">
        <v>1330.5250000000001</v>
      </c>
      <c r="P1820" s="116">
        <v>1348.5</v>
      </c>
      <c r="Q1820" s="116">
        <v>2683.45</v>
      </c>
      <c r="R1820">
        <v>58648</v>
      </c>
    </row>
    <row r="1821" spans="1:18" x14ac:dyDescent="0.25">
      <c r="A1821" s="170">
        <v>44687</v>
      </c>
      <c r="B1821" s="116">
        <v>1340.95</v>
      </c>
      <c r="C1821" s="116">
        <v>1324.65</v>
      </c>
      <c r="D1821" s="116">
        <v>1314.9</v>
      </c>
      <c r="E1821" s="116">
        <v>1314.9</v>
      </c>
      <c r="F1821" s="116">
        <v>2649.3</v>
      </c>
      <c r="G1821">
        <v>2116</v>
      </c>
      <c r="H1821" s="116"/>
      <c r="I1821" s="116"/>
      <c r="L1821" s="170">
        <v>44687</v>
      </c>
      <c r="M1821" s="116">
        <v>1325.425</v>
      </c>
      <c r="N1821" s="116">
        <v>1341.5</v>
      </c>
      <c r="O1821" s="116">
        <v>1317.375</v>
      </c>
      <c r="P1821" s="116">
        <v>1331</v>
      </c>
      <c r="Q1821" s="116">
        <v>2650.85</v>
      </c>
      <c r="R1821">
        <v>123040</v>
      </c>
    </row>
    <row r="1822" spans="1:18" x14ac:dyDescent="0.25">
      <c r="A1822" s="170">
        <v>44690</v>
      </c>
      <c r="B1822" s="116">
        <v>1331.4749999999999</v>
      </c>
      <c r="C1822" s="116">
        <v>1298.625</v>
      </c>
      <c r="D1822" s="116">
        <v>1287.5</v>
      </c>
      <c r="E1822" s="116">
        <v>1323.1</v>
      </c>
      <c r="F1822" s="116">
        <v>2597.25</v>
      </c>
      <c r="G1822">
        <v>1640</v>
      </c>
      <c r="H1822" s="116"/>
      <c r="I1822" s="116"/>
      <c r="L1822" s="170">
        <v>44690</v>
      </c>
      <c r="M1822" s="116">
        <v>1298.5999999999999</v>
      </c>
      <c r="N1822" s="116">
        <v>1330.7750000000001</v>
      </c>
      <c r="O1822" s="116">
        <v>1286.0250000000001</v>
      </c>
      <c r="P1822" s="116">
        <v>1321.1</v>
      </c>
      <c r="Q1822" s="116">
        <v>2597.1999999999998</v>
      </c>
      <c r="R1822">
        <v>134440</v>
      </c>
    </row>
    <row r="1823" spans="1:18" x14ac:dyDescent="0.25">
      <c r="A1823" s="170">
        <v>44691</v>
      </c>
      <c r="B1823" s="116">
        <v>1313.6</v>
      </c>
      <c r="C1823" s="116">
        <v>1289.7</v>
      </c>
      <c r="D1823" s="116">
        <v>1287.425</v>
      </c>
      <c r="E1823" s="116">
        <v>1298.875</v>
      </c>
      <c r="F1823" s="116">
        <v>2579.4</v>
      </c>
      <c r="G1823">
        <v>1324</v>
      </c>
      <c r="H1823" s="116"/>
      <c r="I1823" s="116"/>
      <c r="L1823" s="170">
        <v>44691</v>
      </c>
      <c r="M1823" s="116">
        <v>1289.575</v>
      </c>
      <c r="N1823" s="116">
        <v>1314.9</v>
      </c>
      <c r="O1823" s="116">
        <v>1280.825</v>
      </c>
      <c r="P1823" s="116">
        <v>1296.25</v>
      </c>
      <c r="Q1823" s="116">
        <v>2579.15</v>
      </c>
      <c r="R1823">
        <v>65506</v>
      </c>
    </row>
    <row r="1824" spans="1:18" x14ac:dyDescent="0.25">
      <c r="A1824" s="170">
        <v>44692</v>
      </c>
      <c r="B1824" s="116">
        <v>1306.425</v>
      </c>
      <c r="C1824" s="116">
        <v>1277.5250000000001</v>
      </c>
      <c r="D1824" s="116">
        <v>1260.0250000000001</v>
      </c>
      <c r="E1824" s="116">
        <v>1289.3</v>
      </c>
      <c r="F1824" s="116">
        <v>2555.0500000000002</v>
      </c>
      <c r="G1824">
        <v>3278</v>
      </c>
      <c r="H1824" s="116"/>
      <c r="I1824" s="116"/>
      <c r="L1824" s="170">
        <v>44692</v>
      </c>
      <c r="M1824" s="116">
        <v>1276.45</v>
      </c>
      <c r="N1824" s="116">
        <v>1307.8</v>
      </c>
      <c r="O1824" s="116">
        <v>1261.075</v>
      </c>
      <c r="P1824" s="116">
        <v>1287.5</v>
      </c>
      <c r="Q1824" s="116">
        <v>2552.9</v>
      </c>
      <c r="R1824">
        <v>145808</v>
      </c>
    </row>
    <row r="1825" spans="1:18" x14ac:dyDescent="0.25">
      <c r="A1825" s="170">
        <v>44693</v>
      </c>
      <c r="B1825" s="116">
        <v>1276.875</v>
      </c>
      <c r="C1825" s="116">
        <v>1251.7</v>
      </c>
      <c r="D1825" s="116">
        <v>1242.5</v>
      </c>
      <c r="E1825" s="116">
        <v>1273.8</v>
      </c>
      <c r="F1825" s="116">
        <v>2503.4</v>
      </c>
      <c r="G1825">
        <v>3899</v>
      </c>
      <c r="H1825" s="116"/>
      <c r="I1825" s="116"/>
      <c r="L1825" s="170">
        <v>44693</v>
      </c>
      <c r="M1825" s="116">
        <v>1252.2</v>
      </c>
      <c r="N1825" s="116">
        <v>1275.2249999999999</v>
      </c>
      <c r="O1825" s="116">
        <v>1242.075</v>
      </c>
      <c r="P1825" s="116">
        <v>1275</v>
      </c>
      <c r="Q1825" s="116">
        <v>2504.4</v>
      </c>
      <c r="R1825">
        <v>166181</v>
      </c>
    </row>
    <row r="1826" spans="1:18" x14ac:dyDescent="0.25">
      <c r="A1826" s="170">
        <v>44694</v>
      </c>
      <c r="B1826" s="116">
        <v>1314.45</v>
      </c>
      <c r="C1826" s="116">
        <v>1290.675</v>
      </c>
      <c r="D1826" s="116">
        <v>1257.0250000000001</v>
      </c>
      <c r="E1826" s="116">
        <v>1259.375</v>
      </c>
      <c r="F1826" s="116">
        <v>2581.35</v>
      </c>
      <c r="G1826">
        <v>3462</v>
      </c>
      <c r="H1826" s="116"/>
      <c r="I1826" s="116"/>
      <c r="L1826" s="170">
        <v>44694</v>
      </c>
      <c r="M1826" s="116">
        <v>1291.3</v>
      </c>
      <c r="N1826" s="116">
        <v>1315</v>
      </c>
      <c r="O1826" s="116">
        <v>1256.3</v>
      </c>
      <c r="P1826" s="116">
        <v>1262.0250000000001</v>
      </c>
      <c r="Q1826" s="116">
        <v>2582.6</v>
      </c>
      <c r="R1826">
        <v>229109</v>
      </c>
    </row>
    <row r="1827" spans="1:18" x14ac:dyDescent="0.25">
      <c r="A1827" s="170">
        <v>44697</v>
      </c>
      <c r="B1827" s="116">
        <v>1304</v>
      </c>
      <c r="C1827" s="116">
        <v>1292.2249999999999</v>
      </c>
      <c r="D1827" s="116">
        <v>1280.675</v>
      </c>
      <c r="E1827" s="116">
        <v>1301</v>
      </c>
      <c r="F1827" s="116">
        <v>2584.4499999999998</v>
      </c>
      <c r="G1827">
        <v>805</v>
      </c>
      <c r="H1827" s="116"/>
      <c r="I1827" s="116"/>
      <c r="L1827" s="170">
        <v>44697</v>
      </c>
      <c r="M1827" s="116">
        <v>1290.625</v>
      </c>
      <c r="N1827" s="116">
        <v>1305.575</v>
      </c>
      <c r="O1827" s="116">
        <v>1278.0250000000001</v>
      </c>
      <c r="P1827" s="116">
        <v>1290</v>
      </c>
      <c r="Q1827" s="116">
        <v>2581.25</v>
      </c>
      <c r="R1827">
        <v>87518</v>
      </c>
    </row>
    <row r="1828" spans="1:18" x14ac:dyDescent="0.25">
      <c r="A1828" s="170">
        <v>44698</v>
      </c>
      <c r="B1828" s="116">
        <v>1313.0250000000001</v>
      </c>
      <c r="C1828" s="116">
        <v>1308.875</v>
      </c>
      <c r="D1828" s="116">
        <v>1268.95</v>
      </c>
      <c r="E1828" s="116">
        <v>1288.9749999999999</v>
      </c>
      <c r="F1828" s="116">
        <v>2617.75</v>
      </c>
      <c r="G1828">
        <v>2678</v>
      </c>
      <c r="H1828" s="116"/>
      <c r="I1828" s="116"/>
      <c r="L1828" s="170">
        <v>44698</v>
      </c>
      <c r="M1828" s="116">
        <v>1309.05</v>
      </c>
      <c r="N1828" s="116">
        <v>1314.15</v>
      </c>
      <c r="O1828" s="116">
        <v>1267.0250000000001</v>
      </c>
      <c r="P1828" s="116">
        <v>1291.5</v>
      </c>
      <c r="Q1828" s="116">
        <v>2618.1</v>
      </c>
      <c r="R1828">
        <v>227326</v>
      </c>
    </row>
    <row r="1829" spans="1:18" x14ac:dyDescent="0.25">
      <c r="A1829" s="170">
        <v>44699</v>
      </c>
      <c r="B1829" s="116">
        <v>1323.05</v>
      </c>
      <c r="C1829" s="116">
        <v>1319.575</v>
      </c>
      <c r="D1829" s="116">
        <v>1290.2</v>
      </c>
      <c r="E1829" s="116">
        <v>1310.5</v>
      </c>
      <c r="F1829" s="116">
        <v>2639.15</v>
      </c>
      <c r="G1829">
        <v>2239</v>
      </c>
      <c r="H1829" s="116"/>
      <c r="I1829" s="116"/>
      <c r="L1829" s="170">
        <v>44699</v>
      </c>
      <c r="M1829" s="116">
        <v>1318.4749999999999</v>
      </c>
      <c r="N1829" s="116">
        <v>1324.1</v>
      </c>
      <c r="O1829" s="116">
        <v>1290.0250000000001</v>
      </c>
      <c r="P1829" s="116">
        <v>1309.5</v>
      </c>
      <c r="Q1829" s="116">
        <v>2636.95</v>
      </c>
      <c r="R1829">
        <v>162448</v>
      </c>
    </row>
    <row r="1830" spans="1:18" x14ac:dyDescent="0.25">
      <c r="A1830" s="170">
        <v>44700</v>
      </c>
      <c r="B1830" s="116">
        <v>1303.95</v>
      </c>
      <c r="C1830" s="116">
        <v>1295.675</v>
      </c>
      <c r="D1830" s="116">
        <v>1275.55</v>
      </c>
      <c r="E1830" s="116">
        <v>1287</v>
      </c>
      <c r="F1830" s="116">
        <v>2591.35</v>
      </c>
      <c r="G1830">
        <v>1489</v>
      </c>
      <c r="H1830" s="116"/>
      <c r="I1830" s="116"/>
      <c r="L1830" s="170">
        <v>44700</v>
      </c>
      <c r="M1830" s="116">
        <v>1296.1500000000001</v>
      </c>
      <c r="N1830" s="116">
        <v>1304</v>
      </c>
      <c r="O1830" s="116">
        <v>1275</v>
      </c>
      <c r="P1830" s="116">
        <v>1283.95</v>
      </c>
      <c r="Q1830" s="116">
        <v>2592.3000000000002</v>
      </c>
      <c r="R1830">
        <v>115940</v>
      </c>
    </row>
    <row r="1831" spans="1:18" x14ac:dyDescent="0.25">
      <c r="A1831" s="170">
        <v>44701</v>
      </c>
      <c r="B1831" s="116">
        <v>1340.9</v>
      </c>
      <c r="C1831" s="116">
        <v>1332.2249999999999</v>
      </c>
      <c r="D1831" s="116">
        <v>1296.0999999999999</v>
      </c>
      <c r="E1831" s="116">
        <v>1305.7249999999999</v>
      </c>
      <c r="F1831" s="116">
        <v>2664.45</v>
      </c>
      <c r="G1831">
        <v>2730</v>
      </c>
      <c r="H1831" s="116"/>
      <c r="I1831" s="116"/>
      <c r="L1831" s="170">
        <v>44701</v>
      </c>
      <c r="M1831" s="116">
        <v>1332.35</v>
      </c>
      <c r="N1831" s="116">
        <v>1339.95</v>
      </c>
      <c r="O1831" s="116">
        <v>1295.5</v>
      </c>
      <c r="P1831" s="116">
        <v>1306.25</v>
      </c>
      <c r="Q1831" s="116">
        <v>2664.7</v>
      </c>
      <c r="R1831">
        <v>435196</v>
      </c>
    </row>
    <row r="1832" spans="1:18" x14ac:dyDescent="0.25">
      <c r="A1832" s="170">
        <v>44704</v>
      </c>
      <c r="B1832" s="116">
        <v>1365</v>
      </c>
      <c r="C1832" s="116">
        <v>1308.05</v>
      </c>
      <c r="D1832" s="116">
        <v>1301.5250000000001</v>
      </c>
      <c r="E1832" s="116">
        <v>1365</v>
      </c>
      <c r="F1832" s="116">
        <v>2616.1</v>
      </c>
      <c r="G1832">
        <v>6444</v>
      </c>
      <c r="H1832" s="116"/>
      <c r="I1832" s="116"/>
      <c r="L1832" s="170">
        <v>44704</v>
      </c>
      <c r="M1832" s="116">
        <v>1308.2750000000001</v>
      </c>
      <c r="N1832" s="116">
        <v>1361.45</v>
      </c>
      <c r="O1832" s="116">
        <v>1299.7</v>
      </c>
      <c r="P1832" s="116">
        <v>1348</v>
      </c>
      <c r="Q1832" s="116">
        <v>2616.5500000000002</v>
      </c>
      <c r="R1832">
        <v>340277</v>
      </c>
    </row>
    <row r="1833" spans="1:18" x14ac:dyDescent="0.25">
      <c r="A1833" s="170">
        <v>44705</v>
      </c>
      <c r="B1833" s="116">
        <v>1313.35</v>
      </c>
      <c r="C1833" s="116">
        <v>1296.25</v>
      </c>
      <c r="D1833" s="116">
        <v>1277.125</v>
      </c>
      <c r="E1833" s="116">
        <v>1313.35</v>
      </c>
      <c r="F1833" s="116">
        <v>2592.5</v>
      </c>
      <c r="G1833">
        <v>3230</v>
      </c>
      <c r="H1833" s="116"/>
      <c r="I1833" s="116"/>
      <c r="L1833" s="170">
        <v>44705</v>
      </c>
      <c r="M1833" s="116">
        <v>1294.5999999999999</v>
      </c>
      <c r="N1833" s="116">
        <v>1314.675</v>
      </c>
      <c r="O1833" s="116">
        <v>1276.3</v>
      </c>
      <c r="P1833" s="116">
        <v>1310.05</v>
      </c>
      <c r="Q1833" s="116">
        <v>2589.1999999999998</v>
      </c>
      <c r="R1833">
        <v>263266</v>
      </c>
    </row>
    <row r="1834" spans="1:18" x14ac:dyDescent="0.25">
      <c r="A1834" s="170">
        <v>44706</v>
      </c>
      <c r="B1834" s="116">
        <v>1323.325</v>
      </c>
      <c r="C1834" s="116">
        <v>1317.2750000000001</v>
      </c>
      <c r="D1834" s="116">
        <v>1295.9000000000001</v>
      </c>
      <c r="E1834" s="116">
        <v>1305.1500000000001</v>
      </c>
      <c r="F1834" s="116">
        <v>2634.55</v>
      </c>
      <c r="G1834">
        <v>3457</v>
      </c>
      <c r="H1834" s="116"/>
      <c r="I1834" s="116"/>
      <c r="L1834" s="170">
        <v>44706</v>
      </c>
      <c r="M1834" s="116">
        <v>1317.4</v>
      </c>
      <c r="N1834" s="116">
        <v>1324.95</v>
      </c>
      <c r="O1834" s="116">
        <v>1295.075</v>
      </c>
      <c r="P1834" s="116">
        <v>1304.325</v>
      </c>
      <c r="Q1834" s="116">
        <v>2634.8</v>
      </c>
      <c r="R1834">
        <v>185538</v>
      </c>
    </row>
    <row r="1835" spans="1:18" x14ac:dyDescent="0.25">
      <c r="A1835" s="170">
        <v>44707</v>
      </c>
      <c r="B1835" s="116">
        <v>1465.5250000000001</v>
      </c>
      <c r="C1835" s="116">
        <v>1450.45</v>
      </c>
      <c r="D1835" s="116">
        <v>1375</v>
      </c>
      <c r="E1835" s="116">
        <v>1375</v>
      </c>
      <c r="F1835" s="116">
        <v>2900.9</v>
      </c>
      <c r="G1835">
        <v>61292</v>
      </c>
      <c r="H1835" s="116"/>
      <c r="I1835" s="116"/>
      <c r="L1835" s="170">
        <v>44707</v>
      </c>
      <c r="M1835" s="116">
        <v>1450.4749999999999</v>
      </c>
      <c r="N1835" s="116">
        <v>1465.575</v>
      </c>
      <c r="O1835" s="116">
        <v>1375.5</v>
      </c>
      <c r="P1835" s="116">
        <v>1375.5</v>
      </c>
      <c r="Q1835" s="116">
        <v>2900.95</v>
      </c>
      <c r="R1835">
        <v>2565837</v>
      </c>
    </row>
    <row r="1836" spans="1:18" x14ac:dyDescent="0.25">
      <c r="A1836" s="170">
        <v>44708</v>
      </c>
      <c r="B1836" s="116">
        <v>1476.35</v>
      </c>
      <c r="C1836" s="116">
        <v>1469.925</v>
      </c>
      <c r="D1836" s="116">
        <v>1439.55</v>
      </c>
      <c r="E1836" s="116">
        <v>1463.5</v>
      </c>
      <c r="F1836" s="116">
        <v>2939.85</v>
      </c>
      <c r="G1836">
        <v>8846</v>
      </c>
      <c r="H1836" s="116"/>
      <c r="I1836" s="116"/>
      <c r="L1836" s="170">
        <v>44708</v>
      </c>
      <c r="M1836" s="116">
        <v>1468.4749999999999</v>
      </c>
      <c r="N1836" s="116">
        <v>1475</v>
      </c>
      <c r="O1836" s="116">
        <v>1438.675</v>
      </c>
      <c r="P1836" s="116">
        <v>1457.5</v>
      </c>
      <c r="Q1836" s="116">
        <v>2936.95</v>
      </c>
      <c r="R1836">
        <v>386532</v>
      </c>
    </row>
    <row r="1837" spans="1:18" x14ac:dyDescent="0.25">
      <c r="A1837" s="170">
        <v>44711</v>
      </c>
      <c r="B1837" s="116">
        <v>1476.95</v>
      </c>
      <c r="C1837" s="116">
        <v>1443.575</v>
      </c>
      <c r="D1837" s="116">
        <v>1438.35</v>
      </c>
      <c r="E1837" s="116">
        <v>1474.65</v>
      </c>
      <c r="F1837" s="116">
        <v>2887.15</v>
      </c>
      <c r="G1837">
        <v>7992</v>
      </c>
      <c r="H1837" s="116"/>
      <c r="I1837" s="116"/>
      <c r="L1837" s="170">
        <v>44711</v>
      </c>
      <c r="M1837" s="116">
        <v>1442.625</v>
      </c>
      <c r="N1837" s="116">
        <v>1477.45</v>
      </c>
      <c r="O1837" s="116">
        <v>1438.7750000000001</v>
      </c>
      <c r="P1837" s="116">
        <v>1467.5</v>
      </c>
      <c r="Q1837" s="116">
        <v>2885.25</v>
      </c>
      <c r="R1837">
        <v>239519</v>
      </c>
    </row>
    <row r="1838" spans="1:18" x14ac:dyDescent="0.25">
      <c r="A1838" s="170">
        <v>44712</v>
      </c>
      <c r="B1838" s="116">
        <v>1457.5</v>
      </c>
      <c r="C1838" s="116">
        <v>1424.6</v>
      </c>
      <c r="D1838" s="116">
        <v>1406.125</v>
      </c>
      <c r="E1838" s="116">
        <v>1440</v>
      </c>
      <c r="F1838" s="116">
        <v>2849.2</v>
      </c>
      <c r="G1838">
        <v>8756</v>
      </c>
      <c r="H1838" s="116"/>
      <c r="I1838" s="116"/>
      <c r="L1838" s="170">
        <v>44712</v>
      </c>
      <c r="M1838" s="116">
        <v>1416.3</v>
      </c>
      <c r="N1838" s="116">
        <v>1459.85</v>
      </c>
      <c r="O1838" s="116">
        <v>1405.2750000000001</v>
      </c>
      <c r="P1838" s="116">
        <v>1443.75</v>
      </c>
      <c r="Q1838" s="116">
        <v>2832.6</v>
      </c>
      <c r="R1838">
        <v>849588</v>
      </c>
    </row>
    <row r="1839" spans="1:18" x14ac:dyDescent="0.25">
      <c r="A1839" s="170">
        <v>44713</v>
      </c>
      <c r="B1839" s="116">
        <v>1430.5</v>
      </c>
      <c r="C1839" s="116">
        <v>1408.15</v>
      </c>
      <c r="D1839" s="116">
        <v>1402.675</v>
      </c>
      <c r="E1839" s="116">
        <v>1430.5</v>
      </c>
      <c r="F1839" s="116">
        <v>2816.3</v>
      </c>
      <c r="G1839">
        <v>4069</v>
      </c>
      <c r="H1839" s="116"/>
      <c r="I1839" s="116"/>
      <c r="L1839" s="170">
        <v>44713</v>
      </c>
      <c r="M1839" s="116">
        <v>1408.2249999999999</v>
      </c>
      <c r="N1839" s="116">
        <v>1430.9749999999999</v>
      </c>
      <c r="O1839" s="116">
        <v>1403.05</v>
      </c>
      <c r="P1839" s="116">
        <v>1430</v>
      </c>
      <c r="Q1839" s="116">
        <v>2816.45</v>
      </c>
      <c r="R1839">
        <v>95422</v>
      </c>
    </row>
    <row r="1840" spans="1:18" x14ac:dyDescent="0.25">
      <c r="A1840" s="170">
        <v>44714</v>
      </c>
      <c r="B1840" s="116">
        <v>1465.2249999999999</v>
      </c>
      <c r="C1840" s="116">
        <v>1407.4749999999999</v>
      </c>
      <c r="D1840" s="116">
        <v>1401.85</v>
      </c>
      <c r="E1840" s="116">
        <v>1425</v>
      </c>
      <c r="F1840" s="116">
        <v>2814.95</v>
      </c>
      <c r="G1840">
        <v>11663</v>
      </c>
      <c r="H1840" s="116"/>
      <c r="I1840" s="116"/>
      <c r="L1840" s="170">
        <v>44714</v>
      </c>
      <c r="M1840" s="116">
        <v>1407.65</v>
      </c>
      <c r="N1840" s="116">
        <v>1464.5</v>
      </c>
      <c r="O1840" s="116">
        <v>1401</v>
      </c>
      <c r="P1840" s="116">
        <v>1420.0250000000001</v>
      </c>
      <c r="Q1840" s="116">
        <v>2815.3</v>
      </c>
      <c r="R1840">
        <v>422861</v>
      </c>
    </row>
    <row r="1841" spans="1:18" x14ac:dyDescent="0.25">
      <c r="A1841" s="170">
        <v>44715</v>
      </c>
      <c r="B1841" s="116">
        <v>1415.925</v>
      </c>
      <c r="C1841" s="116">
        <v>1390.325</v>
      </c>
      <c r="D1841" s="116">
        <v>1386.0250000000001</v>
      </c>
      <c r="E1841" s="116">
        <v>1410</v>
      </c>
      <c r="F1841" s="116">
        <v>2780.65</v>
      </c>
      <c r="G1841">
        <v>4812</v>
      </c>
      <c r="H1841" s="116"/>
      <c r="I1841" s="116"/>
      <c r="L1841" s="170">
        <v>44715</v>
      </c>
      <c r="M1841" s="116">
        <v>1390.15</v>
      </c>
      <c r="N1841" s="116">
        <v>1417.4</v>
      </c>
      <c r="O1841" s="116">
        <v>1385.175</v>
      </c>
      <c r="P1841" s="116">
        <v>1407.45</v>
      </c>
      <c r="Q1841" s="116">
        <v>2780.3</v>
      </c>
      <c r="R1841">
        <v>106704</v>
      </c>
    </row>
    <row r="1842" spans="1:18" x14ac:dyDescent="0.25">
      <c r="A1842" s="170">
        <v>44718</v>
      </c>
      <c r="B1842" s="116">
        <v>1398.05</v>
      </c>
      <c r="C1842" s="116">
        <v>1387.6</v>
      </c>
      <c r="D1842" s="116">
        <v>1377.5</v>
      </c>
      <c r="E1842" s="116">
        <v>1387.175</v>
      </c>
      <c r="F1842" s="116">
        <v>2775.2</v>
      </c>
      <c r="G1842">
        <v>4086</v>
      </c>
      <c r="H1842" s="116"/>
      <c r="I1842" s="116"/>
      <c r="L1842" s="170">
        <v>44718</v>
      </c>
      <c r="M1842" s="116">
        <v>1390.675</v>
      </c>
      <c r="N1842" s="116">
        <v>1400</v>
      </c>
      <c r="O1842" s="116">
        <v>1376.9749999999999</v>
      </c>
      <c r="P1842" s="116">
        <v>1390.5</v>
      </c>
      <c r="Q1842" s="116">
        <v>2781.35</v>
      </c>
      <c r="R1842">
        <v>118545</v>
      </c>
    </row>
    <row r="1843" spans="1:18" x14ac:dyDescent="0.25">
      <c r="A1843" s="170">
        <v>44719</v>
      </c>
      <c r="B1843" s="116">
        <v>1399.6</v>
      </c>
      <c r="C1843" s="116">
        <v>1395</v>
      </c>
      <c r="D1843" s="116">
        <v>1368.35</v>
      </c>
      <c r="E1843" s="116">
        <v>1378.4749999999999</v>
      </c>
      <c r="F1843" s="116">
        <v>2790</v>
      </c>
      <c r="G1843">
        <v>2035</v>
      </c>
      <c r="H1843" s="116"/>
      <c r="I1843" s="116"/>
      <c r="L1843" s="170">
        <v>44719</v>
      </c>
      <c r="M1843" s="116">
        <v>1394.925</v>
      </c>
      <c r="N1843" s="116">
        <v>1399.3</v>
      </c>
      <c r="O1843" s="116">
        <v>1368.5250000000001</v>
      </c>
      <c r="P1843" s="116">
        <v>1381</v>
      </c>
      <c r="Q1843" s="116">
        <v>2789.85</v>
      </c>
      <c r="R1843">
        <v>100698</v>
      </c>
    </row>
    <row r="1844" spans="1:18" x14ac:dyDescent="0.25">
      <c r="A1844" s="170">
        <v>44720</v>
      </c>
      <c r="B1844" s="116">
        <v>1410.425</v>
      </c>
      <c r="C1844" s="116">
        <v>1407.2</v>
      </c>
      <c r="D1844" s="116">
        <v>1383.575</v>
      </c>
      <c r="E1844" s="116">
        <v>1383.575</v>
      </c>
      <c r="F1844" s="116">
        <v>2814.4</v>
      </c>
      <c r="G1844">
        <v>1796</v>
      </c>
      <c r="H1844" s="116"/>
      <c r="I1844" s="116"/>
      <c r="L1844" s="170">
        <v>44720</v>
      </c>
      <c r="M1844" s="116">
        <v>1407.4749999999999</v>
      </c>
      <c r="N1844" s="116">
        <v>1412.2</v>
      </c>
      <c r="O1844" s="116">
        <v>1389.2249999999999</v>
      </c>
      <c r="P1844" s="116">
        <v>1395</v>
      </c>
      <c r="Q1844" s="116">
        <v>2814.95</v>
      </c>
      <c r="R1844">
        <v>75272</v>
      </c>
    </row>
    <row r="1845" spans="1:18" x14ac:dyDescent="0.25">
      <c r="A1845" s="170">
        <v>44721</v>
      </c>
      <c r="B1845" s="116">
        <v>1448</v>
      </c>
      <c r="C1845" s="116">
        <v>1445</v>
      </c>
      <c r="D1845" s="116">
        <v>1343.875</v>
      </c>
      <c r="E1845" s="116">
        <v>1400</v>
      </c>
      <c r="F1845" s="116">
        <v>2890</v>
      </c>
      <c r="G1845">
        <v>3008</v>
      </c>
      <c r="H1845" s="116"/>
      <c r="I1845" s="116"/>
      <c r="L1845" s="170">
        <v>44721</v>
      </c>
      <c r="M1845" s="116">
        <v>1444.55</v>
      </c>
      <c r="N1845" s="116">
        <v>1448.875</v>
      </c>
      <c r="O1845" s="116">
        <v>1401.375</v>
      </c>
      <c r="P1845" s="116">
        <v>1410</v>
      </c>
      <c r="Q1845" s="116">
        <v>2889.1</v>
      </c>
      <c r="R1845">
        <v>125644</v>
      </c>
    </row>
    <row r="1846" spans="1:18" x14ac:dyDescent="0.25">
      <c r="A1846" s="170">
        <v>44722</v>
      </c>
      <c r="B1846" s="116">
        <v>1445</v>
      </c>
      <c r="C1846" s="116">
        <v>1432.675</v>
      </c>
      <c r="D1846" s="116">
        <v>1415.6</v>
      </c>
      <c r="E1846" s="116">
        <v>1445</v>
      </c>
      <c r="F1846" s="116">
        <v>2865.35</v>
      </c>
      <c r="G1846">
        <v>2759</v>
      </c>
      <c r="H1846" s="116"/>
      <c r="I1846" s="116"/>
      <c r="L1846" s="170">
        <v>44722</v>
      </c>
      <c r="M1846" s="116">
        <v>1432.125</v>
      </c>
      <c r="N1846" s="116">
        <v>1437.9749999999999</v>
      </c>
      <c r="O1846" s="116">
        <v>1415.625</v>
      </c>
      <c r="P1846" s="116">
        <v>1435.55</v>
      </c>
      <c r="Q1846" s="116">
        <v>2864.25</v>
      </c>
      <c r="R1846">
        <v>122217</v>
      </c>
    </row>
    <row r="1847" spans="1:18" x14ac:dyDescent="0.25">
      <c r="A1847" s="170">
        <v>44725</v>
      </c>
      <c r="B1847" s="116">
        <v>1428.45</v>
      </c>
      <c r="C1847" s="116">
        <v>1416.8</v>
      </c>
      <c r="D1847" s="116">
        <v>1406.625</v>
      </c>
      <c r="E1847" s="116">
        <v>1427</v>
      </c>
      <c r="F1847" s="116">
        <v>2833.6</v>
      </c>
      <c r="G1847">
        <v>2197</v>
      </c>
      <c r="H1847" s="116"/>
      <c r="I1847" s="116"/>
      <c r="L1847" s="170">
        <v>44725</v>
      </c>
      <c r="M1847" s="116">
        <v>1417.1</v>
      </c>
      <c r="N1847" s="116">
        <v>1430</v>
      </c>
      <c r="O1847" s="116">
        <v>1405.5250000000001</v>
      </c>
      <c r="P1847" s="116">
        <v>1416</v>
      </c>
      <c r="Q1847" s="116">
        <v>2834.2</v>
      </c>
      <c r="R1847">
        <v>96551</v>
      </c>
    </row>
    <row r="1848" spans="1:18" x14ac:dyDescent="0.25">
      <c r="A1848" s="170">
        <v>44726</v>
      </c>
      <c r="B1848" s="116">
        <v>1429.75</v>
      </c>
      <c r="C1848" s="116">
        <v>1404.85</v>
      </c>
      <c r="D1848" s="116">
        <v>1399.85</v>
      </c>
      <c r="E1848" s="116">
        <v>1419.15</v>
      </c>
      <c r="F1848" s="116">
        <v>2809.7</v>
      </c>
      <c r="G1848">
        <v>1278</v>
      </c>
      <c r="H1848" s="116"/>
      <c r="I1848" s="116"/>
      <c r="L1848" s="170">
        <v>44726</v>
      </c>
      <c r="M1848" s="116">
        <v>1407.575</v>
      </c>
      <c r="N1848" s="116">
        <v>1430.925</v>
      </c>
      <c r="O1848" s="116">
        <v>1400</v>
      </c>
      <c r="P1848" s="116">
        <v>1414.7</v>
      </c>
      <c r="Q1848" s="116">
        <v>2815.15</v>
      </c>
      <c r="R1848">
        <v>60627</v>
      </c>
    </row>
    <row r="1849" spans="1:18" x14ac:dyDescent="0.25">
      <c r="A1849" s="170">
        <v>44727</v>
      </c>
      <c r="B1849" s="116">
        <v>1422.175</v>
      </c>
      <c r="C1849" s="116">
        <v>1407.9</v>
      </c>
      <c r="D1849" s="116">
        <v>1399</v>
      </c>
      <c r="E1849" s="116">
        <v>1405.075</v>
      </c>
      <c r="F1849" s="116">
        <v>2815.8</v>
      </c>
      <c r="G1849">
        <v>1260</v>
      </c>
      <c r="H1849" s="116"/>
      <c r="I1849" s="116"/>
      <c r="L1849" s="170">
        <v>44727</v>
      </c>
      <c r="M1849" s="116">
        <v>1408.875</v>
      </c>
      <c r="N1849" s="116">
        <v>1422.7750000000001</v>
      </c>
      <c r="O1849" s="116">
        <v>1399.1</v>
      </c>
      <c r="P1849" s="116">
        <v>1408</v>
      </c>
      <c r="Q1849" s="116">
        <v>2817.75</v>
      </c>
      <c r="R1849">
        <v>69008</v>
      </c>
    </row>
    <row r="1850" spans="1:18" x14ac:dyDescent="0.25">
      <c r="A1850" s="170">
        <v>44728</v>
      </c>
      <c r="B1850" s="116">
        <v>1414.7</v>
      </c>
      <c r="C1850" s="116">
        <v>1400.825</v>
      </c>
      <c r="D1850" s="116">
        <v>1393.25</v>
      </c>
      <c r="E1850" s="116">
        <v>1414.7</v>
      </c>
      <c r="F1850" s="116">
        <v>2801.65</v>
      </c>
      <c r="G1850">
        <v>2847</v>
      </c>
      <c r="H1850" s="116"/>
      <c r="I1850" s="116"/>
      <c r="L1850" s="170">
        <v>44728</v>
      </c>
      <c r="M1850" s="116">
        <v>1399.5250000000001</v>
      </c>
      <c r="N1850" s="116">
        <v>1419.45</v>
      </c>
      <c r="O1850" s="116">
        <v>1393.35</v>
      </c>
      <c r="P1850" s="116">
        <v>1419.45</v>
      </c>
      <c r="Q1850" s="116">
        <v>2799.05</v>
      </c>
      <c r="R1850">
        <v>198210</v>
      </c>
    </row>
    <row r="1851" spans="1:18" x14ac:dyDescent="0.25">
      <c r="A1851" s="170">
        <v>44729</v>
      </c>
      <c r="B1851" s="116">
        <v>1401.15</v>
      </c>
      <c r="C1851" s="116">
        <v>1378.3</v>
      </c>
      <c r="D1851" s="116">
        <v>1364.4</v>
      </c>
      <c r="E1851" s="116">
        <v>1395</v>
      </c>
      <c r="F1851" s="116">
        <v>2756.6</v>
      </c>
      <c r="G1851">
        <v>2059</v>
      </c>
      <c r="H1851" s="116"/>
      <c r="I1851" s="116"/>
      <c r="L1851" s="170">
        <v>44729</v>
      </c>
      <c r="M1851" s="116">
        <v>1378.95</v>
      </c>
      <c r="N1851" s="116">
        <v>1400.0250000000001</v>
      </c>
      <c r="O1851" s="116">
        <v>1364.05</v>
      </c>
      <c r="P1851" s="116">
        <v>1393.5250000000001</v>
      </c>
      <c r="Q1851" s="116">
        <v>2757.9</v>
      </c>
      <c r="R1851">
        <v>134201</v>
      </c>
    </row>
    <row r="1852" spans="1:18" x14ac:dyDescent="0.25">
      <c r="A1852" s="170">
        <v>44732</v>
      </c>
      <c r="B1852" s="116">
        <v>1385.1</v>
      </c>
      <c r="C1852" s="116">
        <v>1381.425</v>
      </c>
      <c r="D1852" s="116">
        <v>1361.0250000000001</v>
      </c>
      <c r="E1852" s="116">
        <v>1371.0250000000001</v>
      </c>
      <c r="F1852" s="116">
        <v>2762.85</v>
      </c>
      <c r="G1852">
        <v>1492</v>
      </c>
      <c r="H1852" s="116"/>
      <c r="I1852" s="116"/>
      <c r="L1852" s="170">
        <v>44732</v>
      </c>
      <c r="M1852" s="116">
        <v>1383.175</v>
      </c>
      <c r="N1852" s="116">
        <v>1386.5</v>
      </c>
      <c r="O1852" s="116">
        <v>1359.2</v>
      </c>
      <c r="P1852" s="116">
        <v>1365.25</v>
      </c>
      <c r="Q1852" s="116">
        <v>2766.35</v>
      </c>
      <c r="R1852">
        <v>60592</v>
      </c>
    </row>
    <row r="1853" spans="1:18" x14ac:dyDescent="0.25">
      <c r="A1853" s="170">
        <v>44733</v>
      </c>
      <c r="B1853" s="116">
        <v>1417.075</v>
      </c>
      <c r="C1853" s="116">
        <v>1412.1</v>
      </c>
      <c r="D1853" s="116">
        <v>1391.5250000000001</v>
      </c>
      <c r="E1853" s="116">
        <v>1392.0250000000001</v>
      </c>
      <c r="F1853" s="116">
        <v>2824.2</v>
      </c>
      <c r="G1853">
        <v>1640</v>
      </c>
      <c r="H1853" s="116"/>
      <c r="I1853" s="116"/>
      <c r="L1853" s="170">
        <v>44733</v>
      </c>
      <c r="M1853" s="116">
        <v>1411.8</v>
      </c>
      <c r="N1853" s="116">
        <v>1419.1</v>
      </c>
      <c r="O1853" s="116">
        <v>1385</v>
      </c>
      <c r="P1853" s="116">
        <v>1393.55</v>
      </c>
      <c r="Q1853" s="116">
        <v>2823.6</v>
      </c>
      <c r="R1853">
        <v>134698</v>
      </c>
    </row>
    <row r="1854" spans="1:18" x14ac:dyDescent="0.25">
      <c r="A1854" s="170">
        <v>44734</v>
      </c>
      <c r="B1854" s="116">
        <v>1424.5</v>
      </c>
      <c r="C1854" s="116">
        <v>1409.2249999999999</v>
      </c>
      <c r="D1854" s="116">
        <v>1396.4</v>
      </c>
      <c r="E1854" s="116">
        <v>1410.925</v>
      </c>
      <c r="F1854" s="116">
        <v>2818.45</v>
      </c>
      <c r="G1854">
        <v>2034</v>
      </c>
      <c r="H1854" s="116"/>
      <c r="I1854" s="116"/>
      <c r="L1854" s="170">
        <v>44734</v>
      </c>
      <c r="M1854" s="116">
        <v>1409.0250000000001</v>
      </c>
      <c r="N1854" s="116">
        <v>1428.95</v>
      </c>
      <c r="O1854" s="116">
        <v>1394.825</v>
      </c>
      <c r="P1854" s="116">
        <v>1408.3</v>
      </c>
      <c r="Q1854" s="116">
        <v>2818.05</v>
      </c>
      <c r="R1854">
        <v>67831</v>
      </c>
    </row>
    <row r="1855" spans="1:18" x14ac:dyDescent="0.25">
      <c r="A1855" s="170">
        <v>44735</v>
      </c>
      <c r="B1855" s="116">
        <v>1431.9749999999999</v>
      </c>
      <c r="C1855" s="116">
        <v>1427.25</v>
      </c>
      <c r="D1855" s="116">
        <v>1405.2750000000001</v>
      </c>
      <c r="E1855" s="116">
        <v>1416.5250000000001</v>
      </c>
      <c r="F1855" s="116">
        <v>2854.5</v>
      </c>
      <c r="G1855">
        <v>1771</v>
      </c>
      <c r="H1855" s="116"/>
      <c r="I1855" s="116"/>
      <c r="L1855" s="170">
        <v>44735</v>
      </c>
      <c r="M1855" s="116">
        <v>1427.7</v>
      </c>
      <c r="N1855" s="116">
        <v>1432.55</v>
      </c>
      <c r="O1855" s="116">
        <v>1405.0250000000001</v>
      </c>
      <c r="P1855" s="116">
        <v>1416.05</v>
      </c>
      <c r="Q1855" s="116">
        <v>2855.4</v>
      </c>
      <c r="R1855">
        <v>51516</v>
      </c>
    </row>
    <row r="1856" spans="1:18" x14ac:dyDescent="0.25">
      <c r="A1856" s="170">
        <v>44736</v>
      </c>
      <c r="B1856" s="116">
        <v>1455</v>
      </c>
      <c r="C1856" s="116">
        <v>1437.75</v>
      </c>
      <c r="D1856" s="116">
        <v>1430.5</v>
      </c>
      <c r="E1856" s="116">
        <v>1437.075</v>
      </c>
      <c r="F1856" s="116">
        <v>2875.5</v>
      </c>
      <c r="G1856">
        <v>1420</v>
      </c>
      <c r="H1856" s="116"/>
      <c r="I1856" s="116"/>
      <c r="L1856" s="170">
        <v>44736</v>
      </c>
      <c r="M1856" s="116">
        <v>1434.625</v>
      </c>
      <c r="N1856" s="116">
        <v>1455.5</v>
      </c>
      <c r="O1856" s="116">
        <v>1428.875</v>
      </c>
      <c r="P1856" s="116">
        <v>1438.875</v>
      </c>
      <c r="Q1856" s="116">
        <v>2869.25</v>
      </c>
      <c r="R1856">
        <v>72728</v>
      </c>
    </row>
    <row r="1857" spans="1:18" x14ac:dyDescent="0.25">
      <c r="A1857" s="170">
        <v>44739</v>
      </c>
      <c r="B1857" s="116">
        <v>1465</v>
      </c>
      <c r="C1857" s="116">
        <v>1430.3</v>
      </c>
      <c r="D1857" s="116">
        <v>1425.5</v>
      </c>
      <c r="E1857" s="116">
        <v>1465</v>
      </c>
      <c r="F1857" s="116">
        <v>2860.6</v>
      </c>
      <c r="G1857">
        <v>1036</v>
      </c>
      <c r="H1857" s="116"/>
      <c r="I1857" s="116"/>
      <c r="L1857" s="170">
        <v>44739</v>
      </c>
      <c r="M1857" s="116">
        <v>1431.325</v>
      </c>
      <c r="N1857" s="116">
        <v>1453.05</v>
      </c>
      <c r="O1857" s="116">
        <v>1425.0250000000001</v>
      </c>
      <c r="P1857" s="116">
        <v>1453.05</v>
      </c>
      <c r="Q1857" s="116">
        <v>2862.65</v>
      </c>
      <c r="R1857">
        <v>46511</v>
      </c>
    </row>
    <row r="1858" spans="1:18" x14ac:dyDescent="0.25">
      <c r="A1858" s="170">
        <v>44740</v>
      </c>
      <c r="B1858" s="116">
        <v>1446.35</v>
      </c>
      <c r="C1858" s="116">
        <v>1441.075</v>
      </c>
      <c r="D1858" s="116">
        <v>1415.425</v>
      </c>
      <c r="E1858" s="116">
        <v>1427</v>
      </c>
      <c r="F1858" s="116">
        <v>2882.15</v>
      </c>
      <c r="G1858">
        <v>1598</v>
      </c>
      <c r="H1858" s="116"/>
      <c r="I1858" s="116"/>
      <c r="L1858" s="170">
        <v>44740</v>
      </c>
      <c r="M1858" s="116">
        <v>1441.875</v>
      </c>
      <c r="N1858" s="116">
        <v>1447.5</v>
      </c>
      <c r="O1858" s="116">
        <v>1415.4</v>
      </c>
      <c r="P1858" s="116">
        <v>1430.675</v>
      </c>
      <c r="Q1858" s="116">
        <v>2883.75</v>
      </c>
      <c r="R1858">
        <v>163863</v>
      </c>
    </row>
    <row r="1859" spans="1:18" x14ac:dyDescent="0.25">
      <c r="A1859" s="170">
        <v>44741</v>
      </c>
      <c r="B1859" s="116">
        <v>1451.95</v>
      </c>
      <c r="C1859" s="116">
        <v>1420.15</v>
      </c>
      <c r="D1859" s="116">
        <v>1416.85</v>
      </c>
      <c r="E1859" s="116">
        <v>1435.125</v>
      </c>
      <c r="F1859" s="116">
        <v>2840.3</v>
      </c>
      <c r="G1859">
        <v>2429</v>
      </c>
      <c r="H1859" s="116"/>
      <c r="I1859" s="116"/>
      <c r="L1859" s="170">
        <v>44741</v>
      </c>
      <c r="M1859" s="116">
        <v>1420.0250000000001</v>
      </c>
      <c r="N1859" s="116">
        <v>1453.825</v>
      </c>
      <c r="O1859" s="116">
        <v>1416.1</v>
      </c>
      <c r="P1859" s="116">
        <v>1434.5</v>
      </c>
      <c r="Q1859" s="116">
        <v>2840.05</v>
      </c>
      <c r="R1859">
        <v>112229</v>
      </c>
    </row>
    <row r="1860" spans="1:18" x14ac:dyDescent="0.25">
      <c r="A1860" s="170">
        <v>44742</v>
      </c>
      <c r="B1860" s="116">
        <v>1434.675</v>
      </c>
      <c r="C1860" s="116">
        <v>1429.7</v>
      </c>
      <c r="D1860" s="116">
        <v>1410.825</v>
      </c>
      <c r="E1860" s="116">
        <v>1420</v>
      </c>
      <c r="F1860" s="116">
        <v>2859.4</v>
      </c>
      <c r="G1860">
        <v>1072</v>
      </c>
      <c r="H1860" s="116"/>
      <c r="I1860" s="116"/>
      <c r="L1860" s="170">
        <v>44742</v>
      </c>
      <c r="M1860" s="116">
        <v>1430.125</v>
      </c>
      <c r="N1860" s="116">
        <v>1434.9749999999999</v>
      </c>
      <c r="O1860" s="116">
        <v>1407.75</v>
      </c>
      <c r="P1860" s="116">
        <v>1415.0250000000001</v>
      </c>
      <c r="Q1860" s="116">
        <v>2860.25</v>
      </c>
      <c r="R1860">
        <v>95737</v>
      </c>
    </row>
    <row r="1861" spans="1:18" x14ac:dyDescent="0.25">
      <c r="A1861" s="170">
        <v>44743</v>
      </c>
      <c r="B1861" s="116">
        <v>1460.5250000000001</v>
      </c>
      <c r="C1861" s="116">
        <v>1457.5</v>
      </c>
      <c r="D1861" s="116">
        <v>1421</v>
      </c>
      <c r="E1861" s="116">
        <v>1442.5</v>
      </c>
      <c r="F1861" s="116">
        <v>2915</v>
      </c>
      <c r="G1861">
        <v>1915</v>
      </c>
      <c r="H1861" s="116"/>
      <c r="I1861" s="116"/>
      <c r="L1861" s="170">
        <v>44743</v>
      </c>
      <c r="M1861" s="116">
        <v>1458.4749999999999</v>
      </c>
      <c r="N1861" s="116">
        <v>1462.5</v>
      </c>
      <c r="O1861" s="116">
        <v>1419.0250000000001</v>
      </c>
      <c r="P1861" s="116">
        <v>1425</v>
      </c>
      <c r="Q1861" s="116">
        <v>2916.95</v>
      </c>
      <c r="R1861">
        <v>157824</v>
      </c>
    </row>
    <row r="1862" spans="1:18" x14ac:dyDescent="0.25">
      <c r="A1862" s="170">
        <v>44746</v>
      </c>
      <c r="B1862" s="116">
        <v>1482.825</v>
      </c>
      <c r="C1862" s="116">
        <v>1452.425</v>
      </c>
      <c r="D1862" s="116">
        <v>1450</v>
      </c>
      <c r="E1862" s="116">
        <v>1475</v>
      </c>
      <c r="F1862" s="116">
        <v>2904.85</v>
      </c>
      <c r="G1862">
        <v>1733</v>
      </c>
      <c r="H1862" s="116"/>
      <c r="I1862" s="116"/>
      <c r="L1862" s="170">
        <v>44746</v>
      </c>
      <c r="M1862" s="116">
        <v>1452.075</v>
      </c>
      <c r="N1862" s="116">
        <v>1482.15</v>
      </c>
      <c r="O1862" s="116">
        <v>1449</v>
      </c>
      <c r="P1862" s="116">
        <v>1463.4749999999999</v>
      </c>
      <c r="Q1862" s="116">
        <v>2904.15</v>
      </c>
      <c r="R1862">
        <v>75259</v>
      </c>
    </row>
    <row r="1863" spans="1:18" x14ac:dyDescent="0.25">
      <c r="A1863" s="170">
        <v>44747</v>
      </c>
      <c r="B1863" s="116">
        <v>1469.8</v>
      </c>
      <c r="C1863" s="116">
        <v>1445.925</v>
      </c>
      <c r="D1863" s="116">
        <v>1443.425</v>
      </c>
      <c r="E1863" s="116">
        <v>1469.8</v>
      </c>
      <c r="F1863" s="116">
        <v>2891.85</v>
      </c>
      <c r="G1863">
        <v>5369</v>
      </c>
      <c r="H1863" s="116"/>
      <c r="I1863" s="116"/>
      <c r="L1863" s="170">
        <v>44747</v>
      </c>
      <c r="M1863" s="116">
        <v>1446.05</v>
      </c>
      <c r="N1863" s="116">
        <v>1467.25</v>
      </c>
      <c r="O1863" s="116">
        <v>1442.5250000000001</v>
      </c>
      <c r="P1863" s="116">
        <v>1459.575</v>
      </c>
      <c r="Q1863" s="116">
        <v>2892.1</v>
      </c>
      <c r="R1863">
        <v>132294</v>
      </c>
    </row>
    <row r="1864" spans="1:18" x14ac:dyDescent="0.25">
      <c r="A1864" s="170">
        <v>44748</v>
      </c>
      <c r="B1864" s="116">
        <v>1458.875</v>
      </c>
      <c r="C1864" s="116">
        <v>1449.425</v>
      </c>
      <c r="D1864" s="116">
        <v>1443.5</v>
      </c>
      <c r="E1864" s="116">
        <v>1452.2</v>
      </c>
      <c r="F1864" s="116">
        <v>2898.85</v>
      </c>
      <c r="G1864">
        <v>2552</v>
      </c>
      <c r="H1864" s="116"/>
      <c r="I1864" s="116"/>
      <c r="L1864" s="170">
        <v>44748</v>
      </c>
      <c r="M1864" s="116">
        <v>1449.75</v>
      </c>
      <c r="N1864" s="116">
        <v>1459.1</v>
      </c>
      <c r="O1864" s="116">
        <v>1443.15</v>
      </c>
      <c r="P1864" s="116">
        <v>1452.7750000000001</v>
      </c>
      <c r="Q1864" s="116">
        <v>2899.5</v>
      </c>
      <c r="R1864">
        <v>118774</v>
      </c>
    </row>
    <row r="1865" spans="1:18" x14ac:dyDescent="0.25">
      <c r="A1865" s="170">
        <v>44749</v>
      </c>
      <c r="B1865" s="116">
        <v>1480.5</v>
      </c>
      <c r="C1865" s="116">
        <v>1474.4749999999999</v>
      </c>
      <c r="D1865" s="116">
        <v>1449</v>
      </c>
      <c r="E1865" s="116">
        <v>1460.7750000000001</v>
      </c>
      <c r="F1865" s="116">
        <v>2948.95</v>
      </c>
      <c r="G1865">
        <v>2465</v>
      </c>
      <c r="H1865" s="116"/>
      <c r="I1865" s="116"/>
      <c r="L1865" s="170">
        <v>44749</v>
      </c>
      <c r="M1865" s="116">
        <v>1474.2750000000001</v>
      </c>
      <c r="N1865" s="116">
        <v>1480</v>
      </c>
      <c r="O1865" s="116">
        <v>1448.15</v>
      </c>
      <c r="P1865" s="116">
        <v>1460.7750000000001</v>
      </c>
      <c r="Q1865" s="116">
        <v>2948.55</v>
      </c>
      <c r="R1865">
        <v>131961</v>
      </c>
    </row>
    <row r="1866" spans="1:18" x14ac:dyDescent="0.25">
      <c r="A1866" s="170">
        <v>44750</v>
      </c>
      <c r="B1866" s="116">
        <v>1509.75</v>
      </c>
      <c r="C1866" s="116">
        <v>1466.5</v>
      </c>
      <c r="D1866" s="116">
        <v>1462.6</v>
      </c>
      <c r="E1866" s="116">
        <v>1485.15</v>
      </c>
      <c r="F1866" s="116">
        <v>1466.5</v>
      </c>
      <c r="G1866">
        <v>93455</v>
      </c>
      <c r="H1866" s="116"/>
      <c r="I1866" s="116"/>
      <c r="L1866" s="170">
        <v>44750</v>
      </c>
      <c r="M1866" s="116">
        <v>1466.7</v>
      </c>
      <c r="N1866" s="116">
        <v>1505</v>
      </c>
      <c r="O1866" s="116">
        <v>1461.55</v>
      </c>
      <c r="P1866" s="116">
        <v>1494.8</v>
      </c>
      <c r="Q1866" s="116">
        <v>1466.7</v>
      </c>
      <c r="R1866">
        <v>423730</v>
      </c>
    </row>
    <row r="1867" spans="1:18" x14ac:dyDescent="0.25">
      <c r="A1867" s="170">
        <v>44753</v>
      </c>
      <c r="B1867" s="116">
        <v>1510.7</v>
      </c>
      <c r="C1867" s="116">
        <v>1482.4</v>
      </c>
      <c r="D1867" s="116">
        <v>1466.5</v>
      </c>
      <c r="E1867" s="116">
        <v>1510.7</v>
      </c>
      <c r="F1867" s="116">
        <v>1482.4</v>
      </c>
      <c r="G1867">
        <v>6746</v>
      </c>
      <c r="H1867" s="116"/>
      <c r="I1867" s="116"/>
      <c r="L1867" s="170">
        <v>44753</v>
      </c>
      <c r="M1867" s="116">
        <v>1484.05</v>
      </c>
      <c r="N1867" s="116">
        <v>1498.45</v>
      </c>
      <c r="O1867" s="116">
        <v>1466</v>
      </c>
      <c r="P1867" s="116">
        <v>1493.7</v>
      </c>
      <c r="Q1867" s="116">
        <v>1484.05</v>
      </c>
      <c r="R1867">
        <v>229548</v>
      </c>
    </row>
    <row r="1868" spans="1:18" x14ac:dyDescent="0.25">
      <c r="A1868" s="170">
        <v>44754</v>
      </c>
      <c r="B1868" s="116">
        <v>1525</v>
      </c>
      <c r="C1868" s="116">
        <v>1482.05</v>
      </c>
      <c r="D1868" s="116">
        <v>1478.35</v>
      </c>
      <c r="E1868" s="116">
        <v>1486.5</v>
      </c>
      <c r="F1868" s="116">
        <v>1482.05</v>
      </c>
      <c r="G1868">
        <v>10671</v>
      </c>
      <c r="H1868" s="116"/>
      <c r="I1868" s="116"/>
      <c r="L1868" s="170">
        <v>44754</v>
      </c>
      <c r="M1868" s="116">
        <v>1483.45</v>
      </c>
      <c r="N1868" s="116">
        <v>1525</v>
      </c>
      <c r="O1868" s="116">
        <v>1476.45</v>
      </c>
      <c r="P1868" s="116">
        <v>1485.8</v>
      </c>
      <c r="Q1868" s="116">
        <v>1483.45</v>
      </c>
      <c r="R1868">
        <v>483930</v>
      </c>
    </row>
    <row r="1869" spans="1:18" x14ac:dyDescent="0.25">
      <c r="A1869" s="170">
        <v>44755</v>
      </c>
      <c r="B1869" s="116">
        <v>1500</v>
      </c>
      <c r="C1869" s="116">
        <v>1486.7</v>
      </c>
      <c r="D1869" s="116">
        <v>1468.85</v>
      </c>
      <c r="E1869" s="116">
        <v>1492.6</v>
      </c>
      <c r="F1869" s="116">
        <v>1486.7</v>
      </c>
      <c r="G1869">
        <v>2283</v>
      </c>
      <c r="H1869" s="116"/>
      <c r="I1869" s="116"/>
      <c r="L1869" s="170">
        <v>44755</v>
      </c>
      <c r="M1869" s="116">
        <v>1485.7</v>
      </c>
      <c r="N1869" s="116">
        <v>1499.45</v>
      </c>
      <c r="O1869" s="116">
        <v>1468.55</v>
      </c>
      <c r="P1869" s="116">
        <v>1493</v>
      </c>
      <c r="Q1869" s="116">
        <v>1485.7</v>
      </c>
      <c r="R1869">
        <v>219493</v>
      </c>
    </row>
    <row r="1870" spans="1:18" x14ac:dyDescent="0.25">
      <c r="A1870" s="170">
        <v>44756</v>
      </c>
      <c r="B1870" s="116">
        <v>1531</v>
      </c>
      <c r="C1870" s="116">
        <v>1499.45</v>
      </c>
      <c r="D1870" s="116">
        <v>1485.5</v>
      </c>
      <c r="E1870" s="116">
        <v>1488.15</v>
      </c>
      <c r="F1870" s="116">
        <v>1499.45</v>
      </c>
      <c r="G1870">
        <v>18230</v>
      </c>
      <c r="H1870" s="116"/>
      <c r="I1870" s="116"/>
      <c r="L1870" s="170">
        <v>44756</v>
      </c>
      <c r="M1870" s="116">
        <v>1499.85</v>
      </c>
      <c r="N1870" s="116">
        <v>1531.6</v>
      </c>
      <c r="O1870" s="116">
        <v>1486.7</v>
      </c>
      <c r="P1870" s="116">
        <v>1493</v>
      </c>
      <c r="Q1870" s="116">
        <v>1499.85</v>
      </c>
      <c r="R1870">
        <v>453393</v>
      </c>
    </row>
    <row r="1871" spans="1:18" x14ac:dyDescent="0.25">
      <c r="A1871" s="170">
        <v>44757</v>
      </c>
      <c r="B1871" s="116">
        <v>1525</v>
      </c>
      <c r="C1871" s="116">
        <v>1516.75</v>
      </c>
      <c r="D1871" s="116">
        <v>1502.05</v>
      </c>
      <c r="E1871" s="116">
        <v>1502.7</v>
      </c>
      <c r="F1871" s="116">
        <v>1516.75</v>
      </c>
      <c r="G1871">
        <v>4232</v>
      </c>
      <c r="H1871" s="116"/>
      <c r="I1871" s="116"/>
      <c r="L1871" s="170">
        <v>44757</v>
      </c>
      <c r="M1871" s="116">
        <v>1518</v>
      </c>
      <c r="N1871" s="116">
        <v>1525.95</v>
      </c>
      <c r="O1871" s="116">
        <v>1500.7</v>
      </c>
      <c r="P1871" s="116">
        <v>1503</v>
      </c>
      <c r="Q1871" s="116">
        <v>1518</v>
      </c>
      <c r="R1871">
        <v>217261</v>
      </c>
    </row>
    <row r="1872" spans="1:18" x14ac:dyDescent="0.25">
      <c r="A1872" s="170">
        <v>44760</v>
      </c>
      <c r="B1872" s="116">
        <v>1530.95</v>
      </c>
      <c r="C1872" s="116">
        <v>1505.7</v>
      </c>
      <c r="D1872" s="116">
        <v>1496</v>
      </c>
      <c r="E1872" s="116">
        <v>1530</v>
      </c>
      <c r="F1872" s="116">
        <v>1505.7</v>
      </c>
      <c r="G1872">
        <v>124156</v>
      </c>
      <c r="H1872" s="116"/>
      <c r="I1872" s="116"/>
      <c r="L1872" s="170">
        <v>44760</v>
      </c>
      <c r="M1872" s="116">
        <v>1506.05</v>
      </c>
      <c r="N1872" s="116">
        <v>1536.8</v>
      </c>
      <c r="O1872" s="116">
        <v>1494.05</v>
      </c>
      <c r="P1872" s="116">
        <v>1536.8</v>
      </c>
      <c r="Q1872" s="116">
        <v>1506.05</v>
      </c>
      <c r="R1872">
        <v>134792</v>
      </c>
    </row>
    <row r="1873" spans="1:18" x14ac:dyDescent="0.25">
      <c r="A1873" s="170">
        <v>44761</v>
      </c>
      <c r="B1873" s="116">
        <v>1538.4</v>
      </c>
      <c r="C1873" s="116">
        <v>1495.2</v>
      </c>
      <c r="D1873" s="116">
        <v>1489</v>
      </c>
      <c r="E1873" s="116">
        <v>1500.2</v>
      </c>
      <c r="F1873" s="116">
        <v>1495.2</v>
      </c>
      <c r="G1873">
        <v>20749</v>
      </c>
      <c r="H1873" s="116"/>
      <c r="I1873" s="116"/>
      <c r="L1873" s="170">
        <v>44761</v>
      </c>
      <c r="M1873" s="116">
        <v>1498.05</v>
      </c>
      <c r="N1873" s="116">
        <v>1539</v>
      </c>
      <c r="O1873" s="116">
        <v>1487.55</v>
      </c>
      <c r="P1873" s="116">
        <v>1510.4</v>
      </c>
      <c r="Q1873" s="116">
        <v>1498.05</v>
      </c>
      <c r="R1873">
        <v>509986</v>
      </c>
    </row>
    <row r="1874" spans="1:18" x14ac:dyDescent="0.25">
      <c r="A1874" s="170">
        <v>44762</v>
      </c>
      <c r="B1874" s="116">
        <v>1511.55</v>
      </c>
      <c r="C1874" s="116">
        <v>1497.15</v>
      </c>
      <c r="D1874" s="116">
        <v>1489.8</v>
      </c>
      <c r="E1874" s="116">
        <v>1511.55</v>
      </c>
      <c r="F1874" s="116">
        <v>1497.15</v>
      </c>
      <c r="G1874">
        <v>3273</v>
      </c>
      <c r="H1874" s="116"/>
      <c r="I1874" s="116"/>
      <c r="L1874" s="170">
        <v>44762</v>
      </c>
      <c r="M1874" s="116">
        <v>1496.6</v>
      </c>
      <c r="N1874" s="116">
        <v>1516.95</v>
      </c>
      <c r="O1874" s="116">
        <v>1490.05</v>
      </c>
      <c r="P1874" s="116">
        <v>1510</v>
      </c>
      <c r="Q1874" s="116">
        <v>1496.6</v>
      </c>
      <c r="R1874">
        <v>208162</v>
      </c>
    </row>
    <row r="1875" spans="1:18" x14ac:dyDescent="0.25">
      <c r="A1875" s="170">
        <v>44763</v>
      </c>
      <c r="B1875" s="116">
        <v>1504.3</v>
      </c>
      <c r="C1875" s="116">
        <v>1485.45</v>
      </c>
      <c r="D1875" s="116">
        <v>1478.85</v>
      </c>
      <c r="E1875" s="116">
        <v>1497</v>
      </c>
      <c r="F1875" s="116">
        <v>1485.45</v>
      </c>
      <c r="G1875">
        <v>6992</v>
      </c>
      <c r="H1875" s="116"/>
      <c r="I1875" s="116"/>
      <c r="L1875" s="170">
        <v>44763</v>
      </c>
      <c r="M1875" s="116">
        <v>1484.75</v>
      </c>
      <c r="N1875" s="116">
        <v>1504.8</v>
      </c>
      <c r="O1875" s="116">
        <v>1478.4</v>
      </c>
      <c r="P1875" s="116">
        <v>1496.6</v>
      </c>
      <c r="Q1875" s="116">
        <v>1484.75</v>
      </c>
      <c r="R1875">
        <v>384603</v>
      </c>
    </row>
    <row r="1876" spans="1:18" x14ac:dyDescent="0.25">
      <c r="A1876" s="170">
        <v>44764</v>
      </c>
      <c r="B1876" s="116">
        <v>1503.35</v>
      </c>
      <c r="C1876" s="116">
        <v>1479.95</v>
      </c>
      <c r="D1876" s="116">
        <v>1466.5</v>
      </c>
      <c r="E1876" s="116">
        <v>1487.5</v>
      </c>
      <c r="F1876" s="116">
        <v>1479.95</v>
      </c>
      <c r="G1876">
        <v>6112</v>
      </c>
      <c r="H1876" s="116"/>
      <c r="I1876" s="116"/>
      <c r="L1876" s="170">
        <v>44764</v>
      </c>
      <c r="M1876" s="116">
        <v>1480.3</v>
      </c>
      <c r="N1876" s="116">
        <v>1504.4</v>
      </c>
      <c r="O1876" s="116">
        <v>1466.05</v>
      </c>
      <c r="P1876" s="116">
        <v>1484.05</v>
      </c>
      <c r="Q1876" s="116">
        <v>1480.3</v>
      </c>
      <c r="R1876">
        <v>195526</v>
      </c>
    </row>
    <row r="1877" spans="1:18" x14ac:dyDescent="0.25">
      <c r="A1877" s="170">
        <v>44767</v>
      </c>
      <c r="B1877" s="116">
        <v>1496.8</v>
      </c>
      <c r="C1877" s="116">
        <v>1486.55</v>
      </c>
      <c r="D1877" s="116">
        <v>1466.2</v>
      </c>
      <c r="E1877" s="116">
        <v>1476.05</v>
      </c>
      <c r="F1877" s="116">
        <v>1486.55</v>
      </c>
      <c r="G1877">
        <v>4530</v>
      </c>
      <c r="H1877" s="116"/>
      <c r="I1877" s="116"/>
      <c r="L1877" s="170">
        <v>44767</v>
      </c>
      <c r="M1877" s="116">
        <v>1484.45</v>
      </c>
      <c r="N1877" s="116">
        <v>1498</v>
      </c>
      <c r="O1877" s="116">
        <v>1466</v>
      </c>
      <c r="P1877" s="116">
        <v>1480</v>
      </c>
      <c r="Q1877" s="116">
        <v>1484.45</v>
      </c>
      <c r="R1877">
        <v>315581</v>
      </c>
    </row>
    <row r="1878" spans="1:18" x14ac:dyDescent="0.25">
      <c r="A1878" s="170">
        <v>44768</v>
      </c>
      <c r="B1878" s="116">
        <v>1494.9</v>
      </c>
      <c r="C1878" s="116">
        <v>1467.7</v>
      </c>
      <c r="D1878" s="116">
        <v>1430.5</v>
      </c>
      <c r="E1878" s="116">
        <v>1484.15</v>
      </c>
      <c r="F1878" s="116">
        <v>1467.7</v>
      </c>
      <c r="G1878">
        <v>45042</v>
      </c>
      <c r="H1878" s="116"/>
      <c r="I1878" s="116"/>
      <c r="L1878" s="170">
        <v>44768</v>
      </c>
      <c r="M1878" s="116">
        <v>1467.65</v>
      </c>
      <c r="N1878" s="116">
        <v>1510</v>
      </c>
      <c r="O1878" s="116">
        <v>1430</v>
      </c>
      <c r="P1878" s="116">
        <v>1482</v>
      </c>
      <c r="Q1878" s="116">
        <v>1467.65</v>
      </c>
      <c r="R1878">
        <v>662584</v>
      </c>
    </row>
    <row r="1879" spans="1:18" x14ac:dyDescent="0.25">
      <c r="A1879" s="170">
        <v>44769</v>
      </c>
      <c r="B1879" s="116">
        <v>1496.3</v>
      </c>
      <c r="C1879" s="116">
        <v>1494.35</v>
      </c>
      <c r="D1879" s="116">
        <v>1451.35</v>
      </c>
      <c r="E1879" s="116">
        <v>1460.1</v>
      </c>
      <c r="F1879" s="116">
        <v>1494.35</v>
      </c>
      <c r="G1879">
        <v>5646</v>
      </c>
      <c r="H1879" s="116"/>
      <c r="I1879" s="116"/>
      <c r="L1879" s="170">
        <v>44769</v>
      </c>
      <c r="M1879" s="116">
        <v>1494.65</v>
      </c>
      <c r="N1879" s="116">
        <v>1498.95</v>
      </c>
      <c r="O1879" s="116">
        <v>1451.2</v>
      </c>
      <c r="P1879" s="116">
        <v>1465.05</v>
      </c>
      <c r="Q1879" s="116">
        <v>1494.65</v>
      </c>
      <c r="R1879">
        <v>250922</v>
      </c>
    </row>
    <row r="1880" spans="1:18" x14ac:dyDescent="0.25">
      <c r="A1880" s="170">
        <v>44770</v>
      </c>
      <c r="B1880" s="116">
        <v>1515.45</v>
      </c>
      <c r="C1880" s="116">
        <v>1502.45</v>
      </c>
      <c r="D1880" s="116">
        <v>1472.2</v>
      </c>
      <c r="E1880" s="116">
        <v>1498.8</v>
      </c>
      <c r="F1880" s="116">
        <v>1502.45</v>
      </c>
      <c r="G1880">
        <v>7573</v>
      </c>
      <c r="H1880" s="116"/>
      <c r="I1880" s="116"/>
      <c r="L1880" s="170">
        <v>44770</v>
      </c>
      <c r="M1880" s="116">
        <v>1502.8</v>
      </c>
      <c r="N1880" s="116">
        <v>1515.5</v>
      </c>
      <c r="O1880" s="116">
        <v>1472.2</v>
      </c>
      <c r="P1880" s="116">
        <v>1501</v>
      </c>
      <c r="Q1880" s="116">
        <v>1502.8</v>
      </c>
      <c r="R1880">
        <v>380577</v>
      </c>
    </row>
    <row r="1881" spans="1:18" x14ac:dyDescent="0.25">
      <c r="A1881" s="170">
        <v>44771</v>
      </c>
      <c r="B1881" s="116">
        <v>1534.4</v>
      </c>
      <c r="C1881" s="116">
        <v>1528.8</v>
      </c>
      <c r="D1881" s="116">
        <v>1501</v>
      </c>
      <c r="E1881" s="116">
        <v>1501</v>
      </c>
      <c r="F1881" s="116">
        <v>1528.8</v>
      </c>
      <c r="G1881">
        <v>5186</v>
      </c>
      <c r="H1881" s="116"/>
      <c r="I1881" s="116"/>
      <c r="L1881" s="170">
        <v>44771</v>
      </c>
      <c r="M1881" s="116">
        <v>1528.8</v>
      </c>
      <c r="N1881" s="116">
        <v>1535</v>
      </c>
      <c r="O1881" s="116">
        <v>1501.85</v>
      </c>
      <c r="P1881" s="116">
        <v>1515.5</v>
      </c>
      <c r="Q1881" s="116">
        <v>1528.8</v>
      </c>
      <c r="R1881">
        <v>326058</v>
      </c>
    </row>
    <row r="1882" spans="1:18" x14ac:dyDescent="0.25">
      <c r="A1882" s="170">
        <v>44774</v>
      </c>
      <c r="B1882" s="116">
        <v>1554.8</v>
      </c>
      <c r="C1882" s="116">
        <v>1527.3</v>
      </c>
      <c r="D1882" s="116">
        <v>1511.75</v>
      </c>
      <c r="E1882" s="116">
        <v>1548.05</v>
      </c>
      <c r="F1882" s="116">
        <v>1527.3</v>
      </c>
      <c r="G1882">
        <v>129602</v>
      </c>
      <c r="H1882" s="116"/>
      <c r="I1882" s="116"/>
      <c r="L1882" s="170">
        <v>44774</v>
      </c>
      <c r="M1882" s="116">
        <v>1525.65</v>
      </c>
      <c r="N1882" s="116">
        <v>1558.95</v>
      </c>
      <c r="O1882" s="116">
        <v>1517.05</v>
      </c>
      <c r="P1882" s="116">
        <v>1558.95</v>
      </c>
      <c r="Q1882" s="116">
        <v>1525.65</v>
      </c>
      <c r="R1882">
        <v>402247</v>
      </c>
    </row>
    <row r="1883" spans="1:18" x14ac:dyDescent="0.25">
      <c r="A1883" s="170">
        <v>44775</v>
      </c>
      <c r="B1883" s="116">
        <v>1534.95</v>
      </c>
      <c r="C1883" s="116">
        <v>1515.6</v>
      </c>
      <c r="D1883" s="116">
        <v>1510.15</v>
      </c>
      <c r="E1883" s="116">
        <v>1528</v>
      </c>
      <c r="F1883" s="116">
        <v>1515.6</v>
      </c>
      <c r="G1883">
        <v>5082</v>
      </c>
      <c r="H1883" s="116"/>
      <c r="I1883" s="116"/>
      <c r="L1883" s="170">
        <v>44775</v>
      </c>
      <c r="M1883" s="116">
        <v>1517.25</v>
      </c>
      <c r="N1883" s="116">
        <v>1534.15</v>
      </c>
      <c r="O1883" s="116">
        <v>1508.25</v>
      </c>
      <c r="P1883" s="116">
        <v>1525.65</v>
      </c>
      <c r="Q1883" s="116">
        <v>1517.25</v>
      </c>
      <c r="R1883">
        <v>220975</v>
      </c>
    </row>
    <row r="1884" spans="1:18" x14ac:dyDescent="0.25">
      <c r="A1884" s="170">
        <v>44776</v>
      </c>
      <c r="B1884" s="116">
        <v>1532.4</v>
      </c>
      <c r="C1884" s="116">
        <v>1514.05</v>
      </c>
      <c r="D1884" s="116">
        <v>1503.8</v>
      </c>
      <c r="E1884" s="116">
        <v>1521.8</v>
      </c>
      <c r="F1884" s="116">
        <v>1514.05</v>
      </c>
      <c r="G1884">
        <v>5309</v>
      </c>
      <c r="H1884" s="116"/>
      <c r="I1884" s="116"/>
      <c r="L1884" s="170">
        <v>44776</v>
      </c>
      <c r="M1884" s="116">
        <v>1512.9</v>
      </c>
      <c r="N1884" s="116">
        <v>1533.4</v>
      </c>
      <c r="O1884" s="116">
        <v>1503.6</v>
      </c>
      <c r="P1884" s="116">
        <v>1524.9</v>
      </c>
      <c r="Q1884" s="116">
        <v>1512.9</v>
      </c>
      <c r="R1884">
        <v>131499</v>
      </c>
    </row>
    <row r="1885" spans="1:18" x14ac:dyDescent="0.25">
      <c r="A1885" s="170">
        <v>44777</v>
      </c>
      <c r="B1885" s="116">
        <v>1568</v>
      </c>
      <c r="C1885" s="116">
        <v>1560.65</v>
      </c>
      <c r="D1885" s="116">
        <v>1503.9</v>
      </c>
      <c r="E1885" s="116">
        <v>1530</v>
      </c>
      <c r="F1885" s="116">
        <v>1560.65</v>
      </c>
      <c r="G1885">
        <v>10862</v>
      </c>
      <c r="H1885" s="116"/>
      <c r="I1885" s="116"/>
      <c r="L1885" s="170">
        <v>44777</v>
      </c>
      <c r="M1885" s="116">
        <v>1560.7</v>
      </c>
      <c r="N1885" s="116">
        <v>1570.05</v>
      </c>
      <c r="O1885" s="116">
        <v>1503.3</v>
      </c>
      <c r="P1885" s="116">
        <v>1519.9</v>
      </c>
      <c r="Q1885" s="116">
        <v>1560.7</v>
      </c>
      <c r="R1885">
        <v>473526</v>
      </c>
    </row>
    <row r="1886" spans="1:18" x14ac:dyDescent="0.25">
      <c r="A1886" s="170">
        <v>44778</v>
      </c>
      <c r="B1886" s="116">
        <v>1580</v>
      </c>
      <c r="C1886" s="116">
        <v>1555.7</v>
      </c>
      <c r="D1886" s="116">
        <v>1549.5</v>
      </c>
      <c r="E1886" s="116">
        <v>1580</v>
      </c>
      <c r="F1886" s="116">
        <v>1555.7</v>
      </c>
      <c r="G1886">
        <v>5001</v>
      </c>
      <c r="H1886" s="116"/>
      <c r="I1886" s="116"/>
      <c r="L1886" s="170">
        <v>44778</v>
      </c>
      <c r="M1886" s="116">
        <v>1556.55</v>
      </c>
      <c r="N1886" s="116">
        <v>1575.55</v>
      </c>
      <c r="O1886" s="116">
        <v>1548.55</v>
      </c>
      <c r="P1886" s="116">
        <v>1566</v>
      </c>
      <c r="Q1886" s="116">
        <v>1556.55</v>
      </c>
      <c r="R1886">
        <v>213269</v>
      </c>
    </row>
    <row r="1887" spans="1:18" x14ac:dyDescent="0.25">
      <c r="A1887" s="170">
        <v>44781</v>
      </c>
      <c r="B1887" s="116">
        <v>1565.55</v>
      </c>
      <c r="C1887" s="116">
        <v>1557.25</v>
      </c>
      <c r="D1887" s="116">
        <v>1551.65</v>
      </c>
      <c r="E1887" s="116">
        <v>1555.7</v>
      </c>
      <c r="F1887" s="116">
        <v>1557.25</v>
      </c>
      <c r="G1887">
        <v>1651</v>
      </c>
      <c r="H1887" s="116"/>
      <c r="I1887" s="116"/>
      <c r="L1887" s="170">
        <v>44781</v>
      </c>
      <c r="M1887" s="116">
        <v>1555.1</v>
      </c>
      <c r="N1887" s="116">
        <v>1566.6</v>
      </c>
      <c r="O1887" s="116">
        <v>1551.3</v>
      </c>
      <c r="P1887" s="116">
        <v>1554.8</v>
      </c>
      <c r="Q1887" s="116">
        <v>1555.1</v>
      </c>
      <c r="R1887">
        <v>179582</v>
      </c>
    </row>
    <row r="1888" spans="1:18" x14ac:dyDescent="0.25">
      <c r="A1888" s="170">
        <v>44783</v>
      </c>
      <c r="B1888" s="116">
        <v>1584.5</v>
      </c>
      <c r="C1888" s="116">
        <v>1540.9</v>
      </c>
      <c r="D1888" s="116">
        <v>1521.1</v>
      </c>
      <c r="E1888" s="116">
        <v>1557.55</v>
      </c>
      <c r="F1888" s="116">
        <v>1540.9</v>
      </c>
      <c r="G1888">
        <v>6620</v>
      </c>
      <c r="H1888" s="116"/>
      <c r="I1888" s="116"/>
      <c r="L1888" s="170">
        <v>44783</v>
      </c>
      <c r="M1888" s="116">
        <v>1542.9</v>
      </c>
      <c r="N1888" s="116">
        <v>1584</v>
      </c>
      <c r="O1888" s="116">
        <v>1521</v>
      </c>
      <c r="P1888" s="116">
        <v>1557</v>
      </c>
      <c r="Q1888" s="116">
        <v>1542.9</v>
      </c>
      <c r="R1888">
        <v>283591</v>
      </c>
    </row>
    <row r="1889" spans="1:18" x14ac:dyDescent="0.25">
      <c r="A1889" s="170">
        <v>44784</v>
      </c>
      <c r="B1889" s="116">
        <v>1552.5</v>
      </c>
      <c r="C1889" s="116">
        <v>1535.25</v>
      </c>
      <c r="D1889" s="116">
        <v>1533.3</v>
      </c>
      <c r="E1889" s="116">
        <v>1538.25</v>
      </c>
      <c r="F1889" s="116">
        <v>1535.25</v>
      </c>
      <c r="G1889">
        <v>1499</v>
      </c>
      <c r="H1889" s="116"/>
      <c r="I1889" s="116"/>
      <c r="L1889" s="170">
        <v>44784</v>
      </c>
      <c r="M1889" s="116">
        <v>1535.65</v>
      </c>
      <c r="N1889" s="116">
        <v>1558.8</v>
      </c>
      <c r="O1889" s="116">
        <v>1532.1</v>
      </c>
      <c r="P1889" s="116">
        <v>1555</v>
      </c>
      <c r="Q1889" s="116">
        <v>1535.65</v>
      </c>
      <c r="R1889">
        <v>239523</v>
      </c>
    </row>
    <row r="1890" spans="1:18" x14ac:dyDescent="0.25">
      <c r="A1890" s="170">
        <v>44785</v>
      </c>
      <c r="B1890" s="116">
        <v>1559.9</v>
      </c>
      <c r="C1890" s="116">
        <v>1539.2</v>
      </c>
      <c r="D1890" s="116">
        <v>1532.7</v>
      </c>
      <c r="E1890" s="116">
        <v>1543.6</v>
      </c>
      <c r="F1890" s="116">
        <v>1539.2</v>
      </c>
      <c r="G1890">
        <v>2138</v>
      </c>
      <c r="H1890" s="116"/>
      <c r="I1890" s="116"/>
      <c r="L1890" s="170">
        <v>44785</v>
      </c>
      <c r="M1890" s="116">
        <v>1539.95</v>
      </c>
      <c r="N1890" s="116">
        <v>1560</v>
      </c>
      <c r="O1890" s="116">
        <v>1532.05</v>
      </c>
      <c r="P1890" s="116">
        <v>1535.65</v>
      </c>
      <c r="Q1890" s="116">
        <v>1539.95</v>
      </c>
      <c r="R1890">
        <v>452576</v>
      </c>
    </row>
    <row r="1891" spans="1:18" x14ac:dyDescent="0.25">
      <c r="A1891" s="170">
        <v>44789</v>
      </c>
      <c r="B1891" s="116">
        <v>1605</v>
      </c>
      <c r="C1891" s="116">
        <v>1572.9</v>
      </c>
      <c r="D1891" s="116">
        <v>1547.2</v>
      </c>
      <c r="E1891" s="116">
        <v>1547.2</v>
      </c>
      <c r="F1891" s="116">
        <v>1572.9</v>
      </c>
      <c r="G1891">
        <v>6808</v>
      </c>
      <c r="H1891" s="116"/>
      <c r="I1891" s="116"/>
      <c r="L1891" s="170">
        <v>44789</v>
      </c>
      <c r="M1891" s="116">
        <v>1573.7</v>
      </c>
      <c r="N1891" s="116">
        <v>1605</v>
      </c>
      <c r="O1891" s="116">
        <v>1540.05</v>
      </c>
      <c r="P1891" s="116">
        <v>1542.1</v>
      </c>
      <c r="Q1891" s="116">
        <v>1573.7</v>
      </c>
      <c r="R1891">
        <v>706807</v>
      </c>
    </row>
    <row r="1892" spans="1:18" x14ac:dyDescent="0.25">
      <c r="A1892" s="170">
        <v>44790</v>
      </c>
      <c r="B1892" s="116">
        <v>1577.95</v>
      </c>
      <c r="C1892" s="116">
        <v>1557.2</v>
      </c>
      <c r="D1892" s="116">
        <v>1550</v>
      </c>
      <c r="E1892" s="116">
        <v>1566</v>
      </c>
      <c r="F1892" s="116">
        <v>1557.2</v>
      </c>
      <c r="G1892">
        <v>3202</v>
      </c>
      <c r="H1892" s="116"/>
      <c r="I1892" s="116"/>
      <c r="L1892" s="170">
        <v>44790</v>
      </c>
      <c r="M1892" s="116">
        <v>1557.65</v>
      </c>
      <c r="N1892" s="116">
        <v>1576.8</v>
      </c>
      <c r="O1892" s="116">
        <v>1548.45</v>
      </c>
      <c r="P1892" s="116">
        <v>1560</v>
      </c>
      <c r="Q1892" s="116">
        <v>1557.65</v>
      </c>
      <c r="R1892">
        <v>232698</v>
      </c>
    </row>
    <row r="1893" spans="1:18" x14ac:dyDescent="0.25">
      <c r="A1893" s="170">
        <v>44791</v>
      </c>
      <c r="B1893" s="116">
        <v>1567.7</v>
      </c>
      <c r="C1893" s="116">
        <v>1560.25</v>
      </c>
      <c r="D1893" s="116">
        <v>1546.55</v>
      </c>
      <c r="E1893" s="116">
        <v>1559.75</v>
      </c>
      <c r="F1893" s="116">
        <v>1560.25</v>
      </c>
      <c r="G1893">
        <v>1426</v>
      </c>
      <c r="H1893" s="116"/>
      <c r="I1893" s="116"/>
      <c r="L1893" s="170">
        <v>44791</v>
      </c>
      <c r="M1893" s="116">
        <v>1561</v>
      </c>
      <c r="N1893" s="116">
        <v>1569.8</v>
      </c>
      <c r="O1893" s="116">
        <v>1546.8</v>
      </c>
      <c r="P1893" s="116">
        <v>1555</v>
      </c>
      <c r="Q1893" s="116">
        <v>1561</v>
      </c>
      <c r="R1893">
        <v>146448</v>
      </c>
    </row>
    <row r="1894" spans="1:18" x14ac:dyDescent="0.25">
      <c r="A1894" s="170">
        <v>44792</v>
      </c>
      <c r="B1894" s="116">
        <v>1570.75</v>
      </c>
      <c r="C1894" s="116">
        <v>1541.85</v>
      </c>
      <c r="D1894" s="116">
        <v>1533.95</v>
      </c>
      <c r="E1894" s="116">
        <v>1566</v>
      </c>
      <c r="F1894" s="116">
        <v>1541.85</v>
      </c>
      <c r="G1894">
        <v>3234</v>
      </c>
      <c r="H1894" s="116"/>
      <c r="I1894" s="116"/>
      <c r="L1894" s="170">
        <v>44792</v>
      </c>
      <c r="M1894" s="116">
        <v>1542.75</v>
      </c>
      <c r="N1894" s="116">
        <v>1569.95</v>
      </c>
      <c r="O1894" s="116">
        <v>1533.25</v>
      </c>
      <c r="P1894" s="116">
        <v>1563.55</v>
      </c>
      <c r="Q1894" s="116">
        <v>1542.75</v>
      </c>
      <c r="R1894">
        <v>179901</v>
      </c>
    </row>
    <row r="1895" spans="1:18" x14ac:dyDescent="0.25">
      <c r="A1895" s="170">
        <v>44795</v>
      </c>
      <c r="B1895" s="116">
        <v>1544.35</v>
      </c>
      <c r="C1895" s="116">
        <v>1525.6</v>
      </c>
      <c r="D1895" s="116">
        <v>1514</v>
      </c>
      <c r="E1895" s="116">
        <v>1541.95</v>
      </c>
      <c r="F1895" s="116">
        <v>1525.6</v>
      </c>
      <c r="G1895">
        <v>3140</v>
      </c>
      <c r="H1895" s="116"/>
      <c r="I1895" s="116"/>
      <c r="L1895" s="170">
        <v>44795</v>
      </c>
      <c r="M1895" s="116">
        <v>1526.75</v>
      </c>
      <c r="N1895" s="116">
        <v>1545.95</v>
      </c>
      <c r="O1895" s="116">
        <v>1513.15</v>
      </c>
      <c r="P1895" s="116">
        <v>1533</v>
      </c>
      <c r="Q1895" s="116">
        <v>1526.75</v>
      </c>
      <c r="R1895">
        <v>201690</v>
      </c>
    </row>
    <row r="1896" spans="1:18" x14ac:dyDescent="0.25">
      <c r="A1896" s="170">
        <v>44796</v>
      </c>
      <c r="B1896" s="116">
        <v>1543.2</v>
      </c>
      <c r="C1896" s="116">
        <v>1533.3</v>
      </c>
      <c r="D1896" s="116">
        <v>1510</v>
      </c>
      <c r="E1896" s="116">
        <v>1510</v>
      </c>
      <c r="F1896" s="116">
        <v>1533.3</v>
      </c>
      <c r="G1896">
        <v>1796</v>
      </c>
      <c r="H1896" s="116"/>
      <c r="I1896" s="116"/>
      <c r="L1896" s="170">
        <v>44796</v>
      </c>
      <c r="M1896" s="116">
        <v>1533.3</v>
      </c>
      <c r="N1896" s="116">
        <v>1543.6</v>
      </c>
      <c r="O1896" s="116">
        <v>1511.1</v>
      </c>
      <c r="P1896" s="116">
        <v>1511.1</v>
      </c>
      <c r="Q1896" s="116">
        <v>1533.3</v>
      </c>
      <c r="R1896">
        <v>127792</v>
      </c>
    </row>
    <row r="1897" spans="1:18" x14ac:dyDescent="0.25">
      <c r="A1897" s="170">
        <v>44797</v>
      </c>
      <c r="B1897" s="116">
        <v>1555.8</v>
      </c>
      <c r="C1897" s="116">
        <v>1552.8</v>
      </c>
      <c r="D1897" s="116">
        <v>1531.1</v>
      </c>
      <c r="E1897" s="116">
        <v>1533</v>
      </c>
      <c r="F1897" s="116">
        <v>1552.8</v>
      </c>
      <c r="G1897">
        <v>3302</v>
      </c>
      <c r="H1897" s="116"/>
      <c r="I1897" s="116"/>
      <c r="L1897" s="170">
        <v>44797</v>
      </c>
      <c r="M1897" s="116">
        <v>1554.1</v>
      </c>
      <c r="N1897" s="116">
        <v>1556.65</v>
      </c>
      <c r="O1897" s="116">
        <v>1529.7</v>
      </c>
      <c r="P1897" s="116">
        <v>1533.3</v>
      </c>
      <c r="Q1897" s="116">
        <v>1554.1</v>
      </c>
      <c r="R1897">
        <v>162259</v>
      </c>
    </row>
    <row r="1898" spans="1:18" x14ac:dyDescent="0.25">
      <c r="A1898" s="170">
        <v>44798</v>
      </c>
      <c r="B1898" s="116">
        <v>1570.3</v>
      </c>
      <c r="C1898" s="116">
        <v>1535.05</v>
      </c>
      <c r="D1898" s="116">
        <v>1529.5</v>
      </c>
      <c r="E1898" s="116">
        <v>1559</v>
      </c>
      <c r="F1898" s="116">
        <v>1535.05</v>
      </c>
      <c r="G1898">
        <v>2897</v>
      </c>
      <c r="H1898" s="116"/>
      <c r="I1898" s="116"/>
      <c r="L1898" s="170">
        <v>44798</v>
      </c>
      <c r="M1898" s="116">
        <v>1532.4</v>
      </c>
      <c r="N1898" s="116">
        <v>1569.45</v>
      </c>
      <c r="O1898" s="116">
        <v>1525</v>
      </c>
      <c r="P1898" s="116">
        <v>1562.6</v>
      </c>
      <c r="Q1898" s="116">
        <v>1532.4</v>
      </c>
      <c r="R1898">
        <v>235744</v>
      </c>
    </row>
    <row r="1899" spans="1:18" x14ac:dyDescent="0.25">
      <c r="A1899" s="170">
        <v>44799</v>
      </c>
      <c r="B1899" s="116">
        <v>1567.35</v>
      </c>
      <c r="C1899" s="116">
        <v>1547</v>
      </c>
      <c r="D1899" s="116">
        <v>1540</v>
      </c>
      <c r="E1899" s="116">
        <v>1540</v>
      </c>
      <c r="F1899" s="116">
        <v>1547</v>
      </c>
      <c r="G1899">
        <v>5220</v>
      </c>
      <c r="H1899" s="116"/>
      <c r="I1899" s="116"/>
      <c r="L1899" s="170">
        <v>44799</v>
      </c>
      <c r="M1899" s="116">
        <v>1547.8</v>
      </c>
      <c r="N1899" s="116">
        <v>1568</v>
      </c>
      <c r="O1899" s="116">
        <v>1539.65</v>
      </c>
      <c r="P1899" s="116">
        <v>1545.5</v>
      </c>
      <c r="Q1899" s="116">
        <v>1547.8</v>
      </c>
      <c r="R1899">
        <v>182247</v>
      </c>
    </row>
    <row r="1900" spans="1:18" x14ac:dyDescent="0.25">
      <c r="A1900" s="170">
        <v>44802</v>
      </c>
      <c r="B1900" s="116">
        <v>1563.1</v>
      </c>
      <c r="C1900" s="116">
        <v>1541.05</v>
      </c>
      <c r="D1900" s="116">
        <v>1503</v>
      </c>
      <c r="E1900" s="116">
        <v>1503.05</v>
      </c>
      <c r="F1900" s="116">
        <v>1541.05</v>
      </c>
      <c r="G1900">
        <v>4443</v>
      </c>
      <c r="H1900" s="116"/>
      <c r="I1900" s="116"/>
      <c r="L1900" s="170">
        <v>44802</v>
      </c>
      <c r="M1900" s="116">
        <v>1541.45</v>
      </c>
      <c r="N1900" s="116">
        <v>1565</v>
      </c>
      <c r="O1900" s="116">
        <v>1480.4</v>
      </c>
      <c r="P1900" s="116">
        <v>1520</v>
      </c>
      <c r="Q1900" s="116">
        <v>1541.45</v>
      </c>
      <c r="R1900">
        <v>174629</v>
      </c>
    </row>
    <row r="1901" spans="1:18" x14ac:dyDescent="0.25">
      <c r="A1901" s="170">
        <v>44803</v>
      </c>
      <c r="B1901" s="116">
        <v>1559.75</v>
      </c>
      <c r="C1901" s="116">
        <v>1552.4</v>
      </c>
      <c r="D1901" s="116">
        <v>1522.15</v>
      </c>
      <c r="E1901" s="116">
        <v>1551.25</v>
      </c>
      <c r="F1901" s="116">
        <v>1552.4</v>
      </c>
      <c r="G1901">
        <v>4006</v>
      </c>
      <c r="H1901" s="116"/>
      <c r="I1901" s="116"/>
      <c r="L1901" s="170">
        <v>44803</v>
      </c>
      <c r="M1901" s="116">
        <v>1550.55</v>
      </c>
      <c r="N1901" s="116">
        <v>1560</v>
      </c>
      <c r="O1901" s="116">
        <v>1511.1</v>
      </c>
      <c r="P1901" s="116">
        <v>1552.95</v>
      </c>
      <c r="Q1901" s="116">
        <v>1550.55</v>
      </c>
      <c r="R1901">
        <v>384759</v>
      </c>
    </row>
    <row r="1902" spans="1:18" x14ac:dyDescent="0.25">
      <c r="A1902" s="170">
        <v>44805</v>
      </c>
      <c r="B1902" s="116">
        <v>1557</v>
      </c>
      <c r="C1902" s="116">
        <v>1535.3</v>
      </c>
      <c r="D1902" s="116">
        <v>1520.5</v>
      </c>
      <c r="E1902" s="116">
        <v>1520.5</v>
      </c>
      <c r="F1902" s="116">
        <v>1535.3</v>
      </c>
      <c r="G1902">
        <v>6287</v>
      </c>
      <c r="H1902" s="116"/>
      <c r="I1902" s="116"/>
      <c r="L1902" s="170">
        <v>44805</v>
      </c>
      <c r="M1902" s="116">
        <v>1535.35</v>
      </c>
      <c r="N1902" s="116">
        <v>1558.95</v>
      </c>
      <c r="O1902" s="116">
        <v>1508</v>
      </c>
      <c r="P1902" s="116">
        <v>1508</v>
      </c>
      <c r="Q1902" s="116">
        <v>1535.35</v>
      </c>
      <c r="R1902">
        <v>286232</v>
      </c>
    </row>
    <row r="1903" spans="1:18" x14ac:dyDescent="0.25">
      <c r="A1903" s="170">
        <v>44806</v>
      </c>
      <c r="B1903" s="116">
        <v>1547.1</v>
      </c>
      <c r="C1903" s="116">
        <v>1519.15</v>
      </c>
      <c r="D1903" s="116">
        <v>1512.4</v>
      </c>
      <c r="E1903" s="116">
        <v>1538.9</v>
      </c>
      <c r="F1903" s="116">
        <v>1519.15</v>
      </c>
      <c r="G1903">
        <v>2321</v>
      </c>
      <c r="H1903" s="116"/>
      <c r="I1903" s="116"/>
      <c r="L1903" s="170">
        <v>44806</v>
      </c>
      <c r="M1903" s="116">
        <v>1519.85</v>
      </c>
      <c r="N1903" s="116">
        <v>1546.5</v>
      </c>
      <c r="O1903" s="116">
        <v>1512.3</v>
      </c>
      <c r="P1903" s="116">
        <v>1535</v>
      </c>
      <c r="Q1903" s="116">
        <v>1519.85</v>
      </c>
      <c r="R1903">
        <v>481162</v>
      </c>
    </row>
    <row r="1904" spans="1:18" x14ac:dyDescent="0.25">
      <c r="A1904" s="170">
        <v>44809</v>
      </c>
      <c r="B1904" s="116">
        <v>1523.65</v>
      </c>
      <c r="C1904" s="116">
        <v>1519.7</v>
      </c>
      <c r="D1904" s="116">
        <v>1500</v>
      </c>
      <c r="E1904" s="116">
        <v>1514.15</v>
      </c>
      <c r="F1904" s="116">
        <v>1519.7</v>
      </c>
      <c r="G1904">
        <v>96525</v>
      </c>
      <c r="H1904" s="116"/>
      <c r="I1904" s="116"/>
      <c r="L1904" s="170">
        <v>44809</v>
      </c>
      <c r="M1904" s="116">
        <v>1520.75</v>
      </c>
      <c r="N1904" s="116">
        <v>1527.45</v>
      </c>
      <c r="O1904" s="116">
        <v>1501.6</v>
      </c>
      <c r="P1904" s="116">
        <v>1525</v>
      </c>
      <c r="Q1904" s="116">
        <v>1520.75</v>
      </c>
      <c r="R1904">
        <v>139412</v>
      </c>
    </row>
    <row r="1905" spans="1:18" x14ac:dyDescent="0.25">
      <c r="A1905" s="170">
        <v>44810</v>
      </c>
      <c r="B1905" s="116">
        <v>1540.8</v>
      </c>
      <c r="C1905" s="116">
        <v>1507.6</v>
      </c>
      <c r="D1905" s="116">
        <v>1503.55</v>
      </c>
      <c r="E1905" s="116">
        <v>1514</v>
      </c>
      <c r="F1905" s="116">
        <v>1507.6</v>
      </c>
      <c r="G1905">
        <v>4840</v>
      </c>
      <c r="H1905" s="116"/>
      <c r="I1905" s="116"/>
      <c r="L1905" s="170">
        <v>44810</v>
      </c>
      <c r="M1905" s="116">
        <v>1502.9</v>
      </c>
      <c r="N1905" s="116">
        <v>1540.85</v>
      </c>
      <c r="O1905" s="116">
        <v>1500</v>
      </c>
      <c r="P1905" s="116">
        <v>1528.4</v>
      </c>
      <c r="Q1905" s="116">
        <v>1502.9</v>
      </c>
      <c r="R1905">
        <v>370878</v>
      </c>
    </row>
    <row r="1906" spans="1:18" x14ac:dyDescent="0.25">
      <c r="A1906" s="170">
        <v>44811</v>
      </c>
      <c r="B1906" s="116">
        <v>1526.75</v>
      </c>
      <c r="C1906" s="116">
        <v>1521.75</v>
      </c>
      <c r="D1906" s="116">
        <v>1499</v>
      </c>
      <c r="E1906" s="116">
        <v>1499</v>
      </c>
      <c r="F1906" s="116">
        <v>1521.75</v>
      </c>
      <c r="G1906">
        <v>5644</v>
      </c>
      <c r="H1906" s="116"/>
      <c r="I1906" s="116"/>
      <c r="L1906" s="170">
        <v>44811</v>
      </c>
      <c r="M1906" s="116">
        <v>1521.7</v>
      </c>
      <c r="N1906" s="116">
        <v>1527.45</v>
      </c>
      <c r="O1906" s="116">
        <v>1500</v>
      </c>
      <c r="P1906" s="116">
        <v>1505</v>
      </c>
      <c r="Q1906" s="116">
        <v>1521.7</v>
      </c>
      <c r="R1906">
        <v>115713</v>
      </c>
    </row>
    <row r="1907" spans="1:18" x14ac:dyDescent="0.25">
      <c r="A1907" s="170">
        <v>44812</v>
      </c>
      <c r="B1907" s="116">
        <v>1537.65</v>
      </c>
      <c r="C1907" s="116">
        <v>1511.75</v>
      </c>
      <c r="D1907" s="116">
        <v>1506</v>
      </c>
      <c r="E1907" s="116">
        <v>1520.05</v>
      </c>
      <c r="F1907" s="116">
        <v>1511.75</v>
      </c>
      <c r="G1907">
        <v>2697</v>
      </c>
      <c r="H1907" s="116"/>
      <c r="I1907" s="116"/>
      <c r="L1907" s="170">
        <v>44812</v>
      </c>
      <c r="M1907" s="116">
        <v>1509.4</v>
      </c>
      <c r="N1907" s="116">
        <v>1538.95</v>
      </c>
      <c r="O1907" s="116">
        <v>1502.4</v>
      </c>
      <c r="P1907" s="116">
        <v>1529.35</v>
      </c>
      <c r="Q1907" s="116">
        <v>1509.4</v>
      </c>
      <c r="R1907">
        <v>163076</v>
      </c>
    </row>
    <row r="1908" spans="1:18" x14ac:dyDescent="0.25">
      <c r="A1908" s="170">
        <v>44813</v>
      </c>
      <c r="B1908" s="116">
        <v>1530.55</v>
      </c>
      <c r="C1908" s="116">
        <v>1520.45</v>
      </c>
      <c r="D1908" s="116">
        <v>1511</v>
      </c>
      <c r="E1908" s="116">
        <v>1511.75</v>
      </c>
      <c r="F1908" s="116">
        <v>1520.45</v>
      </c>
      <c r="G1908">
        <v>2571</v>
      </c>
      <c r="H1908" s="116"/>
      <c r="I1908" s="116"/>
      <c r="L1908" s="170">
        <v>44813</v>
      </c>
      <c r="M1908" s="116">
        <v>1523.4</v>
      </c>
      <c r="N1908" s="116">
        <v>1531.2</v>
      </c>
      <c r="O1908" s="116">
        <v>1508.75</v>
      </c>
      <c r="P1908" s="116">
        <v>1516.95</v>
      </c>
      <c r="Q1908" s="116">
        <v>1523.4</v>
      </c>
      <c r="R1908">
        <v>109068</v>
      </c>
    </row>
    <row r="1909" spans="1:18" x14ac:dyDescent="0.25">
      <c r="A1909" s="170">
        <v>44816</v>
      </c>
      <c r="B1909" s="116">
        <v>1526.95</v>
      </c>
      <c r="C1909" s="116">
        <v>1507.45</v>
      </c>
      <c r="D1909" s="116">
        <v>1495.5</v>
      </c>
      <c r="E1909" s="116">
        <v>1520.45</v>
      </c>
      <c r="F1909" s="116">
        <v>1507.45</v>
      </c>
      <c r="G1909">
        <v>21110</v>
      </c>
      <c r="H1909" s="116"/>
      <c r="I1909" s="116"/>
      <c r="L1909" s="170">
        <v>44816</v>
      </c>
      <c r="M1909" s="116">
        <v>1503.9</v>
      </c>
      <c r="N1909" s="116">
        <v>1530.55</v>
      </c>
      <c r="O1909" s="116">
        <v>1494</v>
      </c>
      <c r="P1909" s="116">
        <v>1525</v>
      </c>
      <c r="Q1909" s="116">
        <v>1503.9</v>
      </c>
      <c r="R1909">
        <v>476856</v>
      </c>
    </row>
    <row r="1910" spans="1:18" x14ac:dyDescent="0.25">
      <c r="A1910" s="170">
        <v>44817</v>
      </c>
      <c r="B1910" s="116">
        <v>1517.3</v>
      </c>
      <c r="C1910" s="116">
        <v>1512.2</v>
      </c>
      <c r="D1910" s="116">
        <v>1499.5</v>
      </c>
      <c r="E1910" s="116">
        <v>1499.5</v>
      </c>
      <c r="F1910" s="116">
        <v>1512.2</v>
      </c>
      <c r="G1910">
        <v>8895</v>
      </c>
      <c r="H1910" s="116"/>
      <c r="I1910" s="116"/>
      <c r="L1910" s="170">
        <v>44817</v>
      </c>
      <c r="M1910" s="116">
        <v>1511.8</v>
      </c>
      <c r="N1910" s="116">
        <v>1517.95</v>
      </c>
      <c r="O1910" s="116">
        <v>1495.6</v>
      </c>
      <c r="P1910" s="116">
        <v>1510</v>
      </c>
      <c r="Q1910" s="116">
        <v>1511.8</v>
      </c>
      <c r="R1910">
        <v>211196</v>
      </c>
    </row>
    <row r="1911" spans="1:18" x14ac:dyDescent="0.25">
      <c r="A1911" s="170">
        <v>44818</v>
      </c>
      <c r="B1911" s="116">
        <v>1529.75</v>
      </c>
      <c r="C1911" s="116">
        <v>1503.25</v>
      </c>
      <c r="D1911" s="116">
        <v>1493.8</v>
      </c>
      <c r="E1911" s="116">
        <v>1499.75</v>
      </c>
      <c r="F1911" s="116">
        <v>1503.25</v>
      </c>
      <c r="G1911">
        <v>15401</v>
      </c>
      <c r="H1911" s="116"/>
      <c r="I1911" s="116"/>
      <c r="L1911" s="170">
        <v>44818</v>
      </c>
      <c r="M1911" s="116">
        <v>1502.05</v>
      </c>
      <c r="N1911" s="116">
        <v>1527.95</v>
      </c>
      <c r="O1911" s="116">
        <v>1492.95</v>
      </c>
      <c r="P1911" s="116">
        <v>1494.1</v>
      </c>
      <c r="Q1911" s="116">
        <v>1502.05</v>
      </c>
      <c r="R1911">
        <v>132079</v>
      </c>
    </row>
    <row r="1912" spans="1:18" x14ac:dyDescent="0.25">
      <c r="A1912" s="170">
        <v>44819</v>
      </c>
      <c r="B1912" s="116">
        <v>1514.2</v>
      </c>
      <c r="C1912" s="116">
        <v>1500</v>
      </c>
      <c r="D1912" s="116">
        <v>1485</v>
      </c>
      <c r="E1912" s="116">
        <v>1503.4</v>
      </c>
      <c r="F1912" s="116">
        <v>1500</v>
      </c>
      <c r="G1912">
        <v>46423</v>
      </c>
      <c r="H1912" s="116"/>
      <c r="I1912" s="116"/>
      <c r="L1912" s="170">
        <v>44819</v>
      </c>
      <c r="M1912" s="116">
        <v>1499.4</v>
      </c>
      <c r="N1912" s="116">
        <v>1513.55</v>
      </c>
      <c r="O1912" s="116">
        <v>1485</v>
      </c>
      <c r="P1912" s="116">
        <v>1509.6</v>
      </c>
      <c r="Q1912" s="116">
        <v>1499.4</v>
      </c>
      <c r="R1912">
        <v>208480</v>
      </c>
    </row>
    <row r="1913" spans="1:18" x14ac:dyDescent="0.25">
      <c r="A1913" s="170">
        <v>44820</v>
      </c>
      <c r="B1913" s="116">
        <v>1502.6</v>
      </c>
      <c r="C1913" s="116">
        <v>1477.35</v>
      </c>
      <c r="D1913" s="116">
        <v>1470</v>
      </c>
      <c r="E1913" s="116">
        <v>1485</v>
      </c>
      <c r="F1913" s="116">
        <v>1477.35</v>
      </c>
      <c r="G1913">
        <v>7547</v>
      </c>
      <c r="H1913" s="116"/>
      <c r="I1913" s="116"/>
      <c r="L1913" s="170">
        <v>44820</v>
      </c>
      <c r="M1913" s="116">
        <v>1478.7</v>
      </c>
      <c r="N1913" s="116">
        <v>1502.4</v>
      </c>
      <c r="O1913" s="116">
        <v>1470</v>
      </c>
      <c r="P1913" s="116">
        <v>1493</v>
      </c>
      <c r="Q1913" s="116">
        <v>1478.7</v>
      </c>
      <c r="R1913">
        <v>229121</v>
      </c>
    </row>
    <row r="1914" spans="1:18" x14ac:dyDescent="0.25">
      <c r="A1914" s="170">
        <v>44823</v>
      </c>
      <c r="B1914" s="116">
        <v>1484.2</v>
      </c>
      <c r="C1914" s="116">
        <v>1479.3</v>
      </c>
      <c r="D1914" s="116">
        <v>1462.5</v>
      </c>
      <c r="E1914" s="116">
        <v>1481</v>
      </c>
      <c r="F1914" s="116">
        <v>1479.3</v>
      </c>
      <c r="G1914">
        <v>92079</v>
      </c>
      <c r="H1914" s="116"/>
      <c r="I1914" s="116"/>
      <c r="L1914" s="170">
        <v>44823</v>
      </c>
      <c r="M1914" s="116">
        <v>1480.35</v>
      </c>
      <c r="N1914" s="116">
        <v>1486.1</v>
      </c>
      <c r="O1914" s="116">
        <v>1461.05</v>
      </c>
      <c r="P1914" s="116">
        <v>1486.1</v>
      </c>
      <c r="Q1914" s="116">
        <v>1480.35</v>
      </c>
      <c r="R1914">
        <v>102807</v>
      </c>
    </row>
    <row r="1915" spans="1:18" x14ac:dyDescent="0.25">
      <c r="A1915" s="170">
        <v>44824</v>
      </c>
      <c r="B1915" s="116">
        <v>1533.3</v>
      </c>
      <c r="C1915" s="116">
        <v>1511.75</v>
      </c>
      <c r="D1915" s="116">
        <v>1493.75</v>
      </c>
      <c r="E1915" s="116">
        <v>1493.75</v>
      </c>
      <c r="F1915" s="116">
        <v>1511.75</v>
      </c>
      <c r="G1915">
        <v>5096</v>
      </c>
      <c r="H1915" s="116"/>
      <c r="I1915" s="116"/>
      <c r="L1915" s="170">
        <v>44824</v>
      </c>
      <c r="M1915" s="116">
        <v>1513.5</v>
      </c>
      <c r="N1915" s="116">
        <v>1534</v>
      </c>
      <c r="O1915" s="116">
        <v>1490</v>
      </c>
      <c r="P1915" s="116">
        <v>1490</v>
      </c>
      <c r="Q1915" s="116">
        <v>1513.5</v>
      </c>
      <c r="R1915">
        <v>168085</v>
      </c>
    </row>
    <row r="1916" spans="1:18" x14ac:dyDescent="0.25">
      <c r="A1916" s="170">
        <v>44825</v>
      </c>
      <c r="B1916" s="116">
        <v>1561.7</v>
      </c>
      <c r="C1916" s="116">
        <v>1501.3</v>
      </c>
      <c r="D1916" s="116">
        <v>1491.85</v>
      </c>
      <c r="E1916" s="116">
        <v>1533.85</v>
      </c>
      <c r="F1916" s="116">
        <v>1501.3</v>
      </c>
      <c r="G1916">
        <v>6341</v>
      </c>
      <c r="H1916" s="116"/>
      <c r="I1916" s="116"/>
      <c r="L1916" s="170">
        <v>44825</v>
      </c>
      <c r="M1916" s="116">
        <v>1500.5</v>
      </c>
      <c r="N1916" s="116">
        <v>1563.8</v>
      </c>
      <c r="O1916" s="116">
        <v>1490.5</v>
      </c>
      <c r="P1916" s="116">
        <v>1515</v>
      </c>
      <c r="Q1916" s="116">
        <v>1500.5</v>
      </c>
      <c r="R1916">
        <v>429128</v>
      </c>
    </row>
    <row r="1917" spans="1:18" x14ac:dyDescent="0.25">
      <c r="A1917" s="170">
        <v>44826</v>
      </c>
      <c r="B1917" s="116">
        <v>1550</v>
      </c>
      <c r="C1917" s="116">
        <v>1539.15</v>
      </c>
      <c r="D1917" s="116">
        <v>1491.4</v>
      </c>
      <c r="E1917" s="116">
        <v>1491.4</v>
      </c>
      <c r="F1917" s="116">
        <v>1539.15</v>
      </c>
      <c r="G1917">
        <v>10241</v>
      </c>
      <c r="H1917" s="116"/>
      <c r="I1917" s="116"/>
      <c r="L1917" s="170">
        <v>44826</v>
      </c>
      <c r="M1917" s="116">
        <v>1537.7</v>
      </c>
      <c r="N1917" s="116">
        <v>1550</v>
      </c>
      <c r="O1917" s="116">
        <v>1496.7</v>
      </c>
      <c r="P1917" s="116">
        <v>1503.7</v>
      </c>
      <c r="Q1917" s="116">
        <v>1537.7</v>
      </c>
      <c r="R1917">
        <v>496645</v>
      </c>
    </row>
    <row r="1918" spans="1:18" x14ac:dyDescent="0.25">
      <c r="A1918" s="170">
        <v>44827</v>
      </c>
      <c r="B1918" s="116">
        <v>1539.55</v>
      </c>
      <c r="C1918" s="116">
        <v>1515.3</v>
      </c>
      <c r="D1918" s="116">
        <v>1511.5</v>
      </c>
      <c r="E1918" s="116">
        <v>1539</v>
      </c>
      <c r="F1918" s="116">
        <v>1515.3</v>
      </c>
      <c r="G1918">
        <v>4002</v>
      </c>
      <c r="H1918" s="116"/>
      <c r="I1918" s="116"/>
      <c r="L1918" s="170">
        <v>44827</v>
      </c>
      <c r="M1918" s="116">
        <v>1516.2</v>
      </c>
      <c r="N1918" s="116">
        <v>1539.7</v>
      </c>
      <c r="O1918" s="116">
        <v>1510.15</v>
      </c>
      <c r="P1918" s="116">
        <v>1532</v>
      </c>
      <c r="Q1918" s="116">
        <v>1516.2</v>
      </c>
      <c r="R1918">
        <v>146018</v>
      </c>
    </row>
    <row r="1919" spans="1:18" x14ac:dyDescent="0.25">
      <c r="A1919" s="170">
        <v>44830</v>
      </c>
      <c r="B1919" s="116">
        <v>1520.1</v>
      </c>
      <c r="C1919" s="116">
        <v>1513.9</v>
      </c>
      <c r="D1919" s="116">
        <v>1492.25</v>
      </c>
      <c r="E1919" s="116">
        <v>1515</v>
      </c>
      <c r="F1919" s="116">
        <v>1513.9</v>
      </c>
      <c r="G1919">
        <v>2340</v>
      </c>
      <c r="H1919" s="116"/>
      <c r="I1919" s="116"/>
      <c r="L1919" s="170">
        <v>44830</v>
      </c>
      <c r="M1919" s="116">
        <v>1512.8</v>
      </c>
      <c r="N1919" s="116">
        <v>1523.55</v>
      </c>
      <c r="O1919" s="116">
        <v>1491.75</v>
      </c>
      <c r="P1919" s="116">
        <v>1516.2</v>
      </c>
      <c r="Q1919" s="116">
        <v>1512.8</v>
      </c>
      <c r="R1919">
        <v>162576</v>
      </c>
    </row>
    <row r="1920" spans="1:18" x14ac:dyDescent="0.25">
      <c r="A1920" s="170">
        <v>44831</v>
      </c>
      <c r="B1920" s="116">
        <v>1541.95</v>
      </c>
      <c r="C1920" s="116">
        <v>1533.6</v>
      </c>
      <c r="D1920" s="116">
        <v>1500</v>
      </c>
      <c r="E1920" s="116">
        <v>1500</v>
      </c>
      <c r="F1920" s="116">
        <v>1533.6</v>
      </c>
      <c r="G1920">
        <v>3003</v>
      </c>
      <c r="H1920" s="116"/>
      <c r="I1920" s="116"/>
      <c r="L1920" s="170">
        <v>44831</v>
      </c>
      <c r="M1920" s="116">
        <v>1533.85</v>
      </c>
      <c r="N1920" s="116">
        <v>1540.3</v>
      </c>
      <c r="O1920" s="116">
        <v>1501.8</v>
      </c>
      <c r="P1920" s="116">
        <v>1524.2</v>
      </c>
      <c r="Q1920" s="116">
        <v>1533.85</v>
      </c>
      <c r="R1920">
        <v>200518</v>
      </c>
    </row>
    <row r="1921" spans="1:18" x14ac:dyDescent="0.25">
      <c r="A1921" s="170">
        <v>44832</v>
      </c>
      <c r="B1921" s="116">
        <v>1502</v>
      </c>
      <c r="C1921" s="116">
        <v>1494.9</v>
      </c>
      <c r="D1921" s="116">
        <v>1449.25</v>
      </c>
      <c r="E1921" s="116">
        <v>1502</v>
      </c>
      <c r="F1921" s="116">
        <v>1494.9</v>
      </c>
      <c r="G1921">
        <v>39819</v>
      </c>
      <c r="H1921" s="116"/>
      <c r="I1921" s="116"/>
      <c r="L1921" s="170">
        <v>44832</v>
      </c>
      <c r="M1921" s="116">
        <v>1494.3</v>
      </c>
      <c r="N1921" s="116">
        <v>1508.4</v>
      </c>
      <c r="O1921" s="116">
        <v>1448.8</v>
      </c>
      <c r="P1921" s="116">
        <v>1499.95</v>
      </c>
      <c r="Q1921" s="116">
        <v>1494.3</v>
      </c>
      <c r="R1921">
        <v>1794804</v>
      </c>
    </row>
    <row r="1922" spans="1:18" x14ac:dyDescent="0.25">
      <c r="A1922" s="170">
        <v>44833</v>
      </c>
      <c r="B1922" s="116">
        <v>1554</v>
      </c>
      <c r="C1922" s="116">
        <v>1547.05</v>
      </c>
      <c r="D1922" s="116">
        <v>1494.05</v>
      </c>
      <c r="E1922" s="116">
        <v>1494.05</v>
      </c>
      <c r="F1922" s="116">
        <v>1547.05</v>
      </c>
      <c r="G1922">
        <v>13710</v>
      </c>
      <c r="H1922" s="116"/>
      <c r="I1922" s="116"/>
      <c r="L1922" s="170">
        <v>44833</v>
      </c>
      <c r="M1922" s="116">
        <v>1545.8</v>
      </c>
      <c r="N1922" s="116">
        <v>1554.8</v>
      </c>
      <c r="O1922" s="116">
        <v>1502.35</v>
      </c>
      <c r="P1922" s="116">
        <v>1508.6</v>
      </c>
      <c r="Q1922" s="116">
        <v>1545.8</v>
      </c>
      <c r="R1922">
        <v>702076</v>
      </c>
    </row>
    <row r="1923" spans="1:18" x14ac:dyDescent="0.25">
      <c r="A1923" s="170">
        <v>44834</v>
      </c>
      <c r="B1923" s="116">
        <v>1565</v>
      </c>
      <c r="C1923" s="116">
        <v>1558.65</v>
      </c>
      <c r="D1923" s="116">
        <v>1532.85</v>
      </c>
      <c r="E1923" s="116">
        <v>1559.95</v>
      </c>
      <c r="F1923" s="116">
        <v>1558.65</v>
      </c>
      <c r="G1923">
        <v>9263</v>
      </c>
      <c r="H1923" s="116"/>
      <c r="I1923" s="116"/>
      <c r="L1923" s="170">
        <v>44834</v>
      </c>
      <c r="M1923" s="116">
        <v>1559.85</v>
      </c>
      <c r="N1923" s="116">
        <v>1565.9</v>
      </c>
      <c r="O1923" s="116">
        <v>1532.7</v>
      </c>
      <c r="P1923" s="116">
        <v>1548.9</v>
      </c>
      <c r="Q1923" s="116">
        <v>1559.85</v>
      </c>
      <c r="R1923">
        <v>436695</v>
      </c>
    </row>
    <row r="1924" spans="1:18" x14ac:dyDescent="0.25">
      <c r="A1924" s="170">
        <v>44837</v>
      </c>
      <c r="B1924" s="116">
        <v>1599</v>
      </c>
      <c r="C1924" s="116">
        <v>1579.6</v>
      </c>
      <c r="D1924" s="116">
        <v>1552.8</v>
      </c>
      <c r="E1924" s="116">
        <v>1559.85</v>
      </c>
      <c r="F1924" s="116">
        <v>1579.6</v>
      </c>
      <c r="G1924">
        <v>10251</v>
      </c>
      <c r="H1924" s="116"/>
      <c r="I1924" s="116"/>
      <c r="L1924" s="170">
        <v>44837</v>
      </c>
      <c r="M1924" s="116">
        <v>1578.85</v>
      </c>
      <c r="N1924" s="116">
        <v>1599</v>
      </c>
      <c r="O1924" s="116">
        <v>1551.9</v>
      </c>
      <c r="P1924" s="116">
        <v>1559.8</v>
      </c>
      <c r="Q1924" s="116">
        <v>1578.85</v>
      </c>
      <c r="R1924">
        <v>471052</v>
      </c>
    </row>
    <row r="1925" spans="1:18" x14ac:dyDescent="0.25">
      <c r="A1925" s="170">
        <v>44838</v>
      </c>
      <c r="B1925" s="116">
        <v>1604.7</v>
      </c>
      <c r="C1925" s="116">
        <v>1592.2</v>
      </c>
      <c r="D1925" s="116">
        <v>1584.7</v>
      </c>
      <c r="E1925" s="116">
        <v>1587.05</v>
      </c>
      <c r="F1925" s="116">
        <v>1592.2</v>
      </c>
      <c r="G1925">
        <v>4723</v>
      </c>
      <c r="H1925" s="116"/>
      <c r="I1925" s="116"/>
      <c r="L1925" s="170">
        <v>44838</v>
      </c>
      <c r="M1925" s="116">
        <v>1591.7</v>
      </c>
      <c r="N1925" s="116">
        <v>1605</v>
      </c>
      <c r="O1925" s="116">
        <v>1584.45</v>
      </c>
      <c r="P1925" s="116">
        <v>1599</v>
      </c>
      <c r="Q1925" s="116">
        <v>1591.7</v>
      </c>
      <c r="R1925">
        <v>439554</v>
      </c>
    </row>
    <row r="1926" spans="1:18" x14ac:dyDescent="0.25">
      <c r="A1926" s="170">
        <v>44840</v>
      </c>
      <c r="B1926" s="116">
        <v>1618</v>
      </c>
      <c r="C1926" s="116">
        <v>1603.2</v>
      </c>
      <c r="D1926" s="116">
        <v>1587.75</v>
      </c>
      <c r="E1926" s="116">
        <v>1588.55</v>
      </c>
      <c r="F1926" s="116">
        <v>1603.2</v>
      </c>
      <c r="G1926">
        <v>82960</v>
      </c>
      <c r="H1926" s="116"/>
      <c r="I1926" s="116"/>
      <c r="L1926" s="170">
        <v>44840</v>
      </c>
      <c r="M1926" s="116">
        <v>1604.8</v>
      </c>
      <c r="N1926" s="116">
        <v>1618.15</v>
      </c>
      <c r="O1926" s="116">
        <v>1587.6</v>
      </c>
      <c r="P1926" s="116">
        <v>1599.7</v>
      </c>
      <c r="Q1926" s="116">
        <v>1604.8</v>
      </c>
      <c r="R1926">
        <v>166218</v>
      </c>
    </row>
    <row r="1927" spans="1:18" x14ac:dyDescent="0.25">
      <c r="A1927" s="170">
        <v>44841</v>
      </c>
      <c r="B1927" s="116">
        <v>1610.4</v>
      </c>
      <c r="C1927" s="116">
        <v>1572.75</v>
      </c>
      <c r="D1927" s="116">
        <v>1549.7</v>
      </c>
      <c r="E1927" s="116">
        <v>1585.9</v>
      </c>
      <c r="F1927" s="116">
        <v>1572.75</v>
      </c>
      <c r="G1927">
        <v>8181</v>
      </c>
      <c r="H1927" s="116"/>
      <c r="I1927" s="116"/>
      <c r="L1927" s="170">
        <v>44841</v>
      </c>
      <c r="M1927" s="116">
        <v>1572.4</v>
      </c>
      <c r="N1927" s="116">
        <v>1610.7</v>
      </c>
      <c r="O1927" s="116">
        <v>1549.3</v>
      </c>
      <c r="P1927" s="116">
        <v>1585</v>
      </c>
      <c r="Q1927" s="116">
        <v>1572.4</v>
      </c>
      <c r="R1927">
        <v>571156</v>
      </c>
    </row>
    <row r="1928" spans="1:18" x14ac:dyDescent="0.25">
      <c r="A1928" s="170">
        <v>44844</v>
      </c>
      <c r="B1928" s="116">
        <v>1597.25</v>
      </c>
      <c r="C1928" s="116">
        <v>1594.25</v>
      </c>
      <c r="D1928" s="116">
        <v>1554.85</v>
      </c>
      <c r="E1928" s="116">
        <v>1558.15</v>
      </c>
      <c r="F1928" s="116">
        <v>1594.25</v>
      </c>
      <c r="G1928">
        <v>6185</v>
      </c>
      <c r="H1928" s="116"/>
      <c r="I1928" s="116"/>
      <c r="L1928" s="170">
        <v>44844</v>
      </c>
      <c r="M1928" s="116">
        <v>1593.65</v>
      </c>
      <c r="N1928" s="116">
        <v>1597.7</v>
      </c>
      <c r="O1928" s="116">
        <v>1554.2</v>
      </c>
      <c r="P1928" s="116">
        <v>1568.2</v>
      </c>
      <c r="Q1928" s="116">
        <v>1593.65</v>
      </c>
      <c r="R1928">
        <v>331066</v>
      </c>
    </row>
    <row r="1929" spans="1:18" x14ac:dyDescent="0.25">
      <c r="A1929" s="170">
        <v>44845</v>
      </c>
      <c r="B1929" s="116">
        <v>1612</v>
      </c>
      <c r="C1929" s="116">
        <v>1587.75</v>
      </c>
      <c r="D1929" s="116">
        <v>1581.5</v>
      </c>
      <c r="E1929" s="116">
        <v>1593.3</v>
      </c>
      <c r="F1929" s="116">
        <v>1587.75</v>
      </c>
      <c r="G1929">
        <v>140857</v>
      </c>
      <c r="H1929" s="116"/>
      <c r="I1929" s="116"/>
      <c r="L1929" s="170">
        <v>44845</v>
      </c>
      <c r="M1929" s="116">
        <v>1588.1</v>
      </c>
      <c r="N1929" s="116">
        <v>1613.1</v>
      </c>
      <c r="O1929" s="116">
        <v>1580.6</v>
      </c>
      <c r="P1929" s="116">
        <v>1593.65</v>
      </c>
      <c r="Q1929" s="116">
        <v>1588.1</v>
      </c>
      <c r="R1929">
        <v>267278</v>
      </c>
    </row>
    <row r="1930" spans="1:18" x14ac:dyDescent="0.25">
      <c r="A1930" s="170">
        <v>44846</v>
      </c>
      <c r="B1930" s="116">
        <v>1614.3</v>
      </c>
      <c r="C1930" s="116">
        <v>1590</v>
      </c>
      <c r="D1930" s="116">
        <v>1583.9</v>
      </c>
      <c r="E1930" s="116">
        <v>1599.55</v>
      </c>
      <c r="F1930" s="116">
        <v>1590</v>
      </c>
      <c r="G1930">
        <v>4528</v>
      </c>
      <c r="H1930" s="116"/>
      <c r="I1930" s="116"/>
      <c r="L1930" s="170">
        <v>44846</v>
      </c>
      <c r="M1930" s="116">
        <v>1588.8</v>
      </c>
      <c r="N1930" s="116">
        <v>1615</v>
      </c>
      <c r="O1930" s="116">
        <v>1583.35</v>
      </c>
      <c r="P1930" s="116">
        <v>1596.05</v>
      </c>
      <c r="Q1930" s="116">
        <v>1588.8</v>
      </c>
      <c r="R1930">
        <v>311104</v>
      </c>
    </row>
    <row r="1931" spans="1:18" x14ac:dyDescent="0.25">
      <c r="A1931" s="170">
        <v>44847</v>
      </c>
      <c r="B1931" s="116">
        <v>1624.75</v>
      </c>
      <c r="C1931" s="116">
        <v>1587.95</v>
      </c>
      <c r="D1931" s="116">
        <v>1575.7</v>
      </c>
      <c r="E1931" s="116">
        <v>1600.4</v>
      </c>
      <c r="F1931" s="116">
        <v>1587.95</v>
      </c>
      <c r="G1931">
        <v>3362</v>
      </c>
      <c r="H1931" s="116"/>
      <c r="I1931" s="116"/>
      <c r="L1931" s="170">
        <v>44847</v>
      </c>
      <c r="M1931" s="116">
        <v>1589.2</v>
      </c>
      <c r="N1931" s="116">
        <v>1624.9</v>
      </c>
      <c r="O1931" s="116">
        <v>1575.7</v>
      </c>
      <c r="P1931" s="116">
        <v>1588.8</v>
      </c>
      <c r="Q1931" s="116">
        <v>1589.2</v>
      </c>
      <c r="R1931">
        <v>292748</v>
      </c>
    </row>
    <row r="1932" spans="1:18" x14ac:dyDescent="0.25">
      <c r="A1932" s="170">
        <v>44848</v>
      </c>
      <c r="B1932" s="116">
        <v>1615</v>
      </c>
      <c r="C1932" s="116">
        <v>1595.75</v>
      </c>
      <c r="D1932" s="116">
        <v>1591.25</v>
      </c>
      <c r="E1932" s="116">
        <v>1613.25</v>
      </c>
      <c r="F1932" s="116">
        <v>1595.75</v>
      </c>
      <c r="G1932">
        <v>2322</v>
      </c>
      <c r="H1932" s="116"/>
      <c r="I1932" s="116"/>
      <c r="L1932" s="170">
        <v>44848</v>
      </c>
      <c r="M1932" s="116">
        <v>1595.05</v>
      </c>
      <c r="N1932" s="116">
        <v>1616.05</v>
      </c>
      <c r="O1932" s="116">
        <v>1591.1</v>
      </c>
      <c r="P1932" s="116">
        <v>1609.2</v>
      </c>
      <c r="Q1932" s="116">
        <v>1595.05</v>
      </c>
      <c r="R1932">
        <v>355129</v>
      </c>
    </row>
    <row r="1933" spans="1:18" x14ac:dyDescent="0.25">
      <c r="A1933" s="170">
        <v>44851</v>
      </c>
      <c r="B1933" s="116">
        <v>1604.35</v>
      </c>
      <c r="C1933" s="116">
        <v>1580.65</v>
      </c>
      <c r="D1933" s="116">
        <v>1576.65</v>
      </c>
      <c r="E1933" s="116">
        <v>1576.65</v>
      </c>
      <c r="F1933" s="116">
        <v>1580.65</v>
      </c>
      <c r="G1933">
        <v>137819</v>
      </c>
      <c r="H1933" s="116"/>
      <c r="I1933" s="116"/>
      <c r="L1933" s="170">
        <v>44851</v>
      </c>
      <c r="M1933" s="116">
        <v>1580.5</v>
      </c>
      <c r="N1933" s="116">
        <v>1604.85</v>
      </c>
      <c r="O1933" s="116">
        <v>1578</v>
      </c>
      <c r="P1933" s="116">
        <v>1590</v>
      </c>
      <c r="Q1933" s="116">
        <v>1580.5</v>
      </c>
      <c r="R1933">
        <v>213616</v>
      </c>
    </row>
    <row r="1934" spans="1:18" x14ac:dyDescent="0.25">
      <c r="A1934" s="170">
        <v>44852</v>
      </c>
      <c r="B1934" s="116">
        <v>1590.45</v>
      </c>
      <c r="C1934" s="116">
        <v>1562.25</v>
      </c>
      <c r="D1934" s="116">
        <v>1559.7</v>
      </c>
      <c r="E1934" s="116">
        <v>1578.65</v>
      </c>
      <c r="F1934" s="116">
        <v>1562.25</v>
      </c>
      <c r="G1934">
        <v>3959</v>
      </c>
      <c r="H1934" s="116"/>
      <c r="I1934" s="116"/>
      <c r="L1934" s="170">
        <v>44852</v>
      </c>
      <c r="M1934" s="116">
        <v>1563.1</v>
      </c>
      <c r="N1934" s="116">
        <v>1592.35</v>
      </c>
      <c r="O1934" s="116">
        <v>1557.75</v>
      </c>
      <c r="P1934" s="116">
        <v>1588.45</v>
      </c>
      <c r="Q1934" s="116">
        <v>1563.1</v>
      </c>
      <c r="R1934">
        <v>229531</v>
      </c>
    </row>
    <row r="1935" spans="1:18" x14ac:dyDescent="0.25">
      <c r="A1935" s="170">
        <v>44853</v>
      </c>
      <c r="B1935" s="116">
        <v>1579.85</v>
      </c>
      <c r="C1935" s="116">
        <v>1577.85</v>
      </c>
      <c r="D1935" s="116">
        <v>1561.65</v>
      </c>
      <c r="E1935" s="116">
        <v>1568.85</v>
      </c>
      <c r="F1935" s="116">
        <v>1577.85</v>
      </c>
      <c r="G1935">
        <v>1835</v>
      </c>
      <c r="H1935" s="116"/>
      <c r="I1935" s="116"/>
      <c r="L1935" s="170">
        <v>44853</v>
      </c>
      <c r="M1935" s="116">
        <v>1577.65</v>
      </c>
      <c r="N1935" s="116">
        <v>1581.4</v>
      </c>
      <c r="O1935" s="116">
        <v>1557</v>
      </c>
      <c r="P1935" s="116">
        <v>1557</v>
      </c>
      <c r="Q1935" s="116">
        <v>1577.65</v>
      </c>
      <c r="R1935">
        <v>158296</v>
      </c>
    </row>
    <row r="1936" spans="1:18" x14ac:dyDescent="0.25">
      <c r="A1936" s="170">
        <v>44854</v>
      </c>
      <c r="B1936" s="116">
        <v>1606.85</v>
      </c>
      <c r="C1936" s="116">
        <v>1593.7</v>
      </c>
      <c r="D1936" s="116">
        <v>1560.2</v>
      </c>
      <c r="E1936" s="116">
        <v>1560.2</v>
      </c>
      <c r="F1936" s="116">
        <v>1593.7</v>
      </c>
      <c r="G1936">
        <v>4096</v>
      </c>
      <c r="H1936" s="116"/>
      <c r="I1936" s="116"/>
      <c r="L1936" s="170">
        <v>44854</v>
      </c>
      <c r="M1936" s="116">
        <v>1594.05</v>
      </c>
      <c r="N1936" s="116">
        <v>1606.95</v>
      </c>
      <c r="O1936" s="116">
        <v>1570.9</v>
      </c>
      <c r="P1936" s="116">
        <v>1570.95</v>
      </c>
      <c r="Q1936" s="116">
        <v>1594.05</v>
      </c>
      <c r="R1936">
        <v>326068</v>
      </c>
    </row>
    <row r="1937" spans="1:18" x14ac:dyDescent="0.25">
      <c r="A1937" s="170">
        <v>44855</v>
      </c>
      <c r="B1937" s="116">
        <v>1604.2</v>
      </c>
      <c r="C1937" s="116">
        <v>1578</v>
      </c>
      <c r="D1937" s="116">
        <v>1569.25</v>
      </c>
      <c r="E1937" s="116">
        <v>1582.1</v>
      </c>
      <c r="F1937" s="116">
        <v>1578</v>
      </c>
      <c r="G1937">
        <v>3420</v>
      </c>
      <c r="H1937" s="116"/>
      <c r="I1937" s="116"/>
      <c r="L1937" s="170">
        <v>44855</v>
      </c>
      <c r="M1937" s="116">
        <v>1573.6</v>
      </c>
      <c r="N1937" s="116">
        <v>1604.45</v>
      </c>
      <c r="O1937" s="116">
        <v>1568</v>
      </c>
      <c r="P1937" s="116">
        <v>1594.05</v>
      </c>
      <c r="Q1937" s="116">
        <v>1573.6</v>
      </c>
      <c r="R1937">
        <v>85692</v>
      </c>
    </row>
    <row r="1938" spans="1:18" x14ac:dyDescent="0.25">
      <c r="A1938" s="170">
        <v>44858</v>
      </c>
      <c r="B1938" s="116">
        <v>1580</v>
      </c>
      <c r="C1938" s="116">
        <v>1568.6</v>
      </c>
      <c r="D1938" s="116">
        <v>1556.8</v>
      </c>
      <c r="E1938" s="116">
        <v>1575.05</v>
      </c>
      <c r="F1938" s="116">
        <v>1568.6</v>
      </c>
      <c r="G1938">
        <v>1147</v>
      </c>
      <c r="H1938" s="116"/>
      <c r="I1938" s="116"/>
      <c r="L1938" s="170">
        <v>44858</v>
      </c>
      <c r="M1938" s="116">
        <v>1567.3</v>
      </c>
      <c r="N1938" s="116">
        <v>1585</v>
      </c>
      <c r="O1938" s="116">
        <v>1554.55</v>
      </c>
      <c r="P1938" s="116">
        <v>1573.6</v>
      </c>
      <c r="Q1938" s="116">
        <v>1567.3</v>
      </c>
      <c r="R1938">
        <v>22869</v>
      </c>
    </row>
    <row r="1939" spans="1:18" x14ac:dyDescent="0.25">
      <c r="A1939" s="170">
        <v>44859</v>
      </c>
      <c r="B1939" s="116">
        <v>1587.65</v>
      </c>
      <c r="C1939" s="116">
        <v>1578.45</v>
      </c>
      <c r="D1939" s="116">
        <v>1560</v>
      </c>
      <c r="E1939" s="116">
        <v>1565</v>
      </c>
      <c r="F1939" s="116">
        <v>1578.45</v>
      </c>
      <c r="G1939">
        <v>88717</v>
      </c>
      <c r="H1939" s="116"/>
      <c r="I1939" s="116"/>
      <c r="L1939" s="170">
        <v>44859</v>
      </c>
      <c r="M1939" s="116">
        <v>1577.9</v>
      </c>
      <c r="N1939" s="116">
        <v>1589</v>
      </c>
      <c r="O1939" s="116">
        <v>1555.85</v>
      </c>
      <c r="P1939" s="116">
        <v>1556.5</v>
      </c>
      <c r="Q1939" s="116">
        <v>1577.9</v>
      </c>
      <c r="R1939">
        <v>177992</v>
      </c>
    </row>
    <row r="1940" spans="1:18" x14ac:dyDescent="0.25">
      <c r="A1940" s="170">
        <v>44861</v>
      </c>
      <c r="B1940" s="116">
        <v>1605</v>
      </c>
      <c r="C1940" s="116">
        <v>1599.85</v>
      </c>
      <c r="D1940" s="116">
        <v>1566.05</v>
      </c>
      <c r="E1940" s="116">
        <v>1578.45</v>
      </c>
      <c r="F1940" s="116">
        <v>1599.85</v>
      </c>
      <c r="G1940">
        <v>3098</v>
      </c>
      <c r="H1940" s="116"/>
      <c r="I1940" s="116"/>
      <c r="L1940" s="170">
        <v>44861</v>
      </c>
      <c r="M1940" s="116">
        <v>1599.65</v>
      </c>
      <c r="N1940" s="116">
        <v>1611.45</v>
      </c>
      <c r="O1940" s="116">
        <v>1564</v>
      </c>
      <c r="P1940" s="116">
        <v>1585</v>
      </c>
      <c r="Q1940" s="116">
        <v>1599.65</v>
      </c>
      <c r="R1940">
        <v>348880</v>
      </c>
    </row>
    <row r="1941" spans="1:18" x14ac:dyDescent="0.25">
      <c r="A1941" s="170">
        <v>44862</v>
      </c>
      <c r="B1941" s="116">
        <v>1610</v>
      </c>
      <c r="C1941" s="116">
        <v>1600.7</v>
      </c>
      <c r="D1941" s="116">
        <v>1585.75</v>
      </c>
      <c r="E1941" s="116">
        <v>1585.75</v>
      </c>
      <c r="F1941" s="116">
        <v>1600.7</v>
      </c>
      <c r="G1941">
        <v>3979</v>
      </c>
      <c r="H1941" s="116"/>
      <c r="I1941" s="116"/>
      <c r="L1941" s="170">
        <v>44862</v>
      </c>
      <c r="M1941" s="116">
        <v>1601.2</v>
      </c>
      <c r="N1941" s="116">
        <v>1610.95</v>
      </c>
      <c r="O1941" s="116">
        <v>1588.55</v>
      </c>
      <c r="P1941" s="116">
        <v>1607.65</v>
      </c>
      <c r="Q1941" s="116">
        <v>1601.2</v>
      </c>
      <c r="R1941">
        <v>104925</v>
      </c>
    </row>
    <row r="1942" spans="1:18" x14ac:dyDescent="0.25">
      <c r="A1942" s="170">
        <v>44865</v>
      </c>
      <c r="B1942" s="116">
        <v>1655</v>
      </c>
      <c r="C1942" s="116">
        <v>1649.7</v>
      </c>
      <c r="D1942" s="116">
        <v>1590.6</v>
      </c>
      <c r="E1942" s="116">
        <v>1590.6</v>
      </c>
      <c r="F1942" s="116">
        <v>1649.7</v>
      </c>
      <c r="G1942">
        <v>8481</v>
      </c>
      <c r="H1942" s="116"/>
      <c r="I1942" s="116"/>
      <c r="L1942" s="170">
        <v>44865</v>
      </c>
      <c r="M1942" s="116">
        <v>1650</v>
      </c>
      <c r="N1942" s="116">
        <v>1655</v>
      </c>
      <c r="O1942" s="116">
        <v>1597</v>
      </c>
      <c r="P1942" s="116">
        <v>1597</v>
      </c>
      <c r="Q1942" s="116">
        <v>1650</v>
      </c>
      <c r="R1942">
        <v>595408</v>
      </c>
    </row>
    <row r="1943" spans="1:18" x14ac:dyDescent="0.25">
      <c r="A1943" s="170">
        <v>44866</v>
      </c>
      <c r="B1943" s="116">
        <v>1703.65</v>
      </c>
      <c r="C1943" s="116">
        <v>1686.9</v>
      </c>
      <c r="D1943" s="116">
        <v>1642.7</v>
      </c>
      <c r="E1943" s="116">
        <v>1642.7</v>
      </c>
      <c r="F1943" s="116">
        <v>1686.9</v>
      </c>
      <c r="G1943">
        <v>22339</v>
      </c>
      <c r="H1943" s="116"/>
      <c r="I1943" s="116"/>
      <c r="L1943" s="170">
        <v>44866</v>
      </c>
      <c r="M1943" s="116">
        <v>1686.15</v>
      </c>
      <c r="N1943" s="116">
        <v>1705</v>
      </c>
      <c r="O1943" s="116">
        <v>1650.65</v>
      </c>
      <c r="P1943" s="116">
        <v>1652.15</v>
      </c>
      <c r="Q1943" s="116">
        <v>1686.15</v>
      </c>
      <c r="R1943">
        <v>931882</v>
      </c>
    </row>
    <row r="1944" spans="1:18" x14ac:dyDescent="0.25">
      <c r="A1944" s="170">
        <v>44867</v>
      </c>
      <c r="B1944" s="116">
        <v>1708.7</v>
      </c>
      <c r="C1944" s="116">
        <v>1691.9</v>
      </c>
      <c r="D1944" s="116">
        <v>1674.6</v>
      </c>
      <c r="E1944" s="116">
        <v>1674.6</v>
      </c>
      <c r="F1944" s="116">
        <v>1691.9</v>
      </c>
      <c r="G1944">
        <v>6530</v>
      </c>
      <c r="H1944" s="116"/>
      <c r="I1944" s="116"/>
      <c r="L1944" s="170">
        <v>44867</v>
      </c>
      <c r="M1944" s="116">
        <v>1694.3</v>
      </c>
      <c r="N1944" s="116">
        <v>1708</v>
      </c>
      <c r="O1944" s="116">
        <v>1677.5</v>
      </c>
      <c r="P1944" s="116">
        <v>1687</v>
      </c>
      <c r="Q1944" s="116">
        <v>1694.3</v>
      </c>
      <c r="R1944">
        <v>445407</v>
      </c>
    </row>
    <row r="1945" spans="1:18" x14ac:dyDescent="0.25">
      <c r="A1945" s="170">
        <v>44868</v>
      </c>
      <c r="B1945" s="116">
        <v>1706.25</v>
      </c>
      <c r="C1945" s="116">
        <v>1689.45</v>
      </c>
      <c r="D1945" s="116">
        <v>1684.85</v>
      </c>
      <c r="E1945" s="116">
        <v>1691.9</v>
      </c>
      <c r="F1945" s="116">
        <v>1689.45</v>
      </c>
      <c r="G1945">
        <v>1468</v>
      </c>
      <c r="H1945" s="116"/>
      <c r="I1945" s="116"/>
      <c r="L1945" s="170">
        <v>44868</v>
      </c>
      <c r="M1945" s="116">
        <v>1689.55</v>
      </c>
      <c r="N1945" s="116">
        <v>1707</v>
      </c>
      <c r="O1945" s="116">
        <v>1683.8</v>
      </c>
      <c r="P1945" s="116">
        <v>1694.3</v>
      </c>
      <c r="Q1945" s="116">
        <v>1689.55</v>
      </c>
      <c r="R1945">
        <v>216091</v>
      </c>
    </row>
    <row r="1946" spans="1:18" x14ac:dyDescent="0.25">
      <c r="A1946" s="170">
        <v>44869</v>
      </c>
      <c r="B1946" s="116">
        <v>1696.75</v>
      </c>
      <c r="C1946" s="116">
        <v>1668.6</v>
      </c>
      <c r="D1946" s="116">
        <v>1661.75</v>
      </c>
      <c r="E1946" s="116">
        <v>1686.8</v>
      </c>
      <c r="F1946" s="116">
        <v>1668.6</v>
      </c>
      <c r="G1946">
        <v>4804</v>
      </c>
      <c r="H1946" s="116"/>
      <c r="I1946" s="116"/>
      <c r="L1946" s="170">
        <v>44869</v>
      </c>
      <c r="M1946" s="116">
        <v>1666.9</v>
      </c>
      <c r="N1946" s="116">
        <v>1698.05</v>
      </c>
      <c r="O1946" s="116">
        <v>1661</v>
      </c>
      <c r="P1946" s="116">
        <v>1693.7</v>
      </c>
      <c r="Q1946" s="116">
        <v>1666.9</v>
      </c>
      <c r="R1946">
        <v>154415</v>
      </c>
    </row>
    <row r="1947" spans="1:18" x14ac:dyDescent="0.25">
      <c r="A1947" s="170">
        <v>44872</v>
      </c>
      <c r="B1947" s="116">
        <v>1690</v>
      </c>
      <c r="C1947" s="116">
        <v>1679.4</v>
      </c>
      <c r="D1947" s="116">
        <v>1661.85</v>
      </c>
      <c r="E1947" s="116">
        <v>1666.4</v>
      </c>
      <c r="F1947" s="116">
        <v>1679.4</v>
      </c>
      <c r="G1947">
        <v>7246</v>
      </c>
      <c r="H1947" s="116"/>
      <c r="I1947" s="116"/>
      <c r="L1947" s="170">
        <v>44872</v>
      </c>
      <c r="M1947" s="116">
        <v>1681.35</v>
      </c>
      <c r="N1947" s="116">
        <v>1690.95</v>
      </c>
      <c r="O1947" s="116">
        <v>1661.95</v>
      </c>
      <c r="P1947" s="116">
        <v>1674.1</v>
      </c>
      <c r="Q1947" s="116">
        <v>1681.35</v>
      </c>
      <c r="R1947">
        <v>197836</v>
      </c>
    </row>
    <row r="1948" spans="1:18" x14ac:dyDescent="0.25">
      <c r="A1948" s="170">
        <v>44874</v>
      </c>
      <c r="B1948" s="116">
        <v>1722.7</v>
      </c>
      <c r="C1948" s="116">
        <v>1652.25</v>
      </c>
      <c r="D1948" s="116">
        <v>1644.45</v>
      </c>
      <c r="E1948" s="116">
        <v>1682.05</v>
      </c>
      <c r="F1948" s="116">
        <v>1652.25</v>
      </c>
      <c r="G1948">
        <v>2534</v>
      </c>
      <c r="H1948" s="116"/>
      <c r="I1948" s="116"/>
      <c r="L1948" s="170">
        <v>44874</v>
      </c>
      <c r="M1948" s="116">
        <v>1651.7</v>
      </c>
      <c r="N1948" s="116">
        <v>1750</v>
      </c>
      <c r="O1948" s="116">
        <v>1642.5</v>
      </c>
      <c r="P1948" s="116">
        <v>1686.35</v>
      </c>
      <c r="Q1948" s="116">
        <v>1651.7</v>
      </c>
      <c r="R1948">
        <v>344520</v>
      </c>
    </row>
    <row r="1949" spans="1:18" x14ac:dyDescent="0.25">
      <c r="A1949" s="170">
        <v>44875</v>
      </c>
      <c r="B1949" s="116">
        <v>1687</v>
      </c>
      <c r="C1949" s="116">
        <v>1663.35</v>
      </c>
      <c r="D1949" s="116">
        <v>1640.05</v>
      </c>
      <c r="E1949" s="116">
        <v>1640.05</v>
      </c>
      <c r="F1949" s="116">
        <v>1663.35</v>
      </c>
      <c r="G1949">
        <v>7364</v>
      </c>
      <c r="H1949" s="116"/>
      <c r="I1949" s="116"/>
      <c r="L1949" s="170">
        <v>44875</v>
      </c>
      <c r="M1949" s="116">
        <v>1664.65</v>
      </c>
      <c r="N1949" s="116">
        <v>1688</v>
      </c>
      <c r="O1949" s="116">
        <v>1645.35</v>
      </c>
      <c r="P1949" s="116">
        <v>1657</v>
      </c>
      <c r="Q1949" s="116">
        <v>1664.65</v>
      </c>
      <c r="R1949">
        <v>167202</v>
      </c>
    </row>
    <row r="1950" spans="1:18" x14ac:dyDescent="0.25">
      <c r="A1950" s="170">
        <v>44876</v>
      </c>
      <c r="B1950" s="116">
        <v>1683.1</v>
      </c>
      <c r="C1950" s="116">
        <v>1667.95</v>
      </c>
      <c r="D1950" s="116">
        <v>1661.45</v>
      </c>
      <c r="E1950" s="116">
        <v>1681.65</v>
      </c>
      <c r="F1950" s="116">
        <v>1667.95</v>
      </c>
      <c r="G1950">
        <v>1821</v>
      </c>
      <c r="H1950" s="116"/>
      <c r="I1950" s="116"/>
      <c r="L1950" s="170">
        <v>44876</v>
      </c>
      <c r="M1950" s="116">
        <v>1669.05</v>
      </c>
      <c r="N1950" s="116">
        <v>1684.8</v>
      </c>
      <c r="O1950" s="116">
        <v>1660.9</v>
      </c>
      <c r="P1950" s="116">
        <v>1670</v>
      </c>
      <c r="Q1950" s="116">
        <v>1669.05</v>
      </c>
      <c r="R1950">
        <v>79294</v>
      </c>
    </row>
    <row r="1951" spans="1:18" x14ac:dyDescent="0.25">
      <c r="A1951" s="170">
        <v>44879</v>
      </c>
      <c r="B1951" s="116">
        <v>1672.05</v>
      </c>
      <c r="C1951" s="116">
        <v>1648.35</v>
      </c>
      <c r="D1951" s="116">
        <v>1638.95</v>
      </c>
      <c r="E1951" s="116">
        <v>1668.05</v>
      </c>
      <c r="F1951" s="116">
        <v>1648.35</v>
      </c>
      <c r="G1951">
        <v>3188</v>
      </c>
      <c r="H1951" s="116"/>
      <c r="I1951" s="116"/>
      <c r="L1951" s="170">
        <v>44879</v>
      </c>
      <c r="M1951" s="116">
        <v>1648.6</v>
      </c>
      <c r="N1951" s="116">
        <v>1676.25</v>
      </c>
      <c r="O1951" s="116">
        <v>1639.6</v>
      </c>
      <c r="P1951" s="116">
        <v>1676.25</v>
      </c>
      <c r="Q1951" s="116">
        <v>1648.6</v>
      </c>
      <c r="R1951">
        <v>252686</v>
      </c>
    </row>
    <row r="1952" spans="1:18" x14ac:dyDescent="0.25">
      <c r="A1952" s="170">
        <v>44880</v>
      </c>
      <c r="B1952" s="116">
        <v>1666</v>
      </c>
      <c r="C1952" s="116">
        <v>1656.95</v>
      </c>
      <c r="D1952" s="116">
        <v>1628.05</v>
      </c>
      <c r="E1952" s="116">
        <v>1628.05</v>
      </c>
      <c r="F1952" s="116">
        <v>1656.95</v>
      </c>
      <c r="G1952">
        <v>11066</v>
      </c>
      <c r="H1952" s="116"/>
      <c r="I1952" s="116"/>
      <c r="L1952" s="170">
        <v>44880</v>
      </c>
      <c r="M1952" s="116">
        <v>1654.95</v>
      </c>
      <c r="N1952" s="116">
        <v>1667.4</v>
      </c>
      <c r="O1952" s="116">
        <v>1637.2</v>
      </c>
      <c r="P1952" s="116">
        <v>1656.8</v>
      </c>
      <c r="Q1952" s="116">
        <v>1654.95</v>
      </c>
      <c r="R1952">
        <v>273727</v>
      </c>
    </row>
    <row r="1953" spans="1:18" x14ac:dyDescent="0.25">
      <c r="A1953" s="170">
        <v>44881</v>
      </c>
      <c r="B1953" s="116">
        <v>1645</v>
      </c>
      <c r="C1953" s="116">
        <v>1617.05</v>
      </c>
      <c r="D1953" s="116">
        <v>1603</v>
      </c>
      <c r="E1953" s="116">
        <v>1644.4</v>
      </c>
      <c r="F1953" s="116">
        <v>1617.05</v>
      </c>
      <c r="G1953">
        <v>8608</v>
      </c>
      <c r="H1953" s="116"/>
      <c r="I1953" s="116"/>
      <c r="L1953" s="170">
        <v>44881</v>
      </c>
      <c r="M1953" s="116">
        <v>1619</v>
      </c>
      <c r="N1953" s="116">
        <v>1654</v>
      </c>
      <c r="O1953" s="116">
        <v>1603</v>
      </c>
      <c r="P1953" s="116">
        <v>1654</v>
      </c>
      <c r="Q1953" s="116">
        <v>1619</v>
      </c>
      <c r="R1953">
        <v>462008</v>
      </c>
    </row>
    <row r="1954" spans="1:18" x14ac:dyDescent="0.25">
      <c r="A1954" s="170">
        <v>44882</v>
      </c>
      <c r="B1954" s="116">
        <v>1633.65</v>
      </c>
      <c r="C1954" s="116">
        <v>1629.1</v>
      </c>
      <c r="D1954" s="116">
        <v>1597.8</v>
      </c>
      <c r="E1954" s="116">
        <v>1605</v>
      </c>
      <c r="F1954" s="116">
        <v>1629.1</v>
      </c>
      <c r="G1954">
        <v>1435</v>
      </c>
      <c r="H1954" s="116"/>
      <c r="I1954" s="116"/>
      <c r="L1954" s="170">
        <v>44882</v>
      </c>
      <c r="M1954" s="116">
        <v>1628</v>
      </c>
      <c r="N1954" s="116">
        <v>1633.7</v>
      </c>
      <c r="O1954" s="116">
        <v>1596.55</v>
      </c>
      <c r="P1954" s="116">
        <v>1623.75</v>
      </c>
      <c r="Q1954" s="116">
        <v>1628</v>
      </c>
      <c r="R1954">
        <v>207207</v>
      </c>
    </row>
    <row r="1955" spans="1:18" x14ac:dyDescent="0.25">
      <c r="A1955" s="170">
        <v>44883</v>
      </c>
      <c r="B1955" s="116">
        <v>1638.75</v>
      </c>
      <c r="C1955" s="116">
        <v>1621.55</v>
      </c>
      <c r="D1955" s="116">
        <v>1603</v>
      </c>
      <c r="E1955" s="116">
        <v>1624</v>
      </c>
      <c r="F1955" s="116">
        <v>1621.55</v>
      </c>
      <c r="G1955">
        <v>3930</v>
      </c>
      <c r="H1955" s="116"/>
      <c r="I1955" s="116"/>
      <c r="L1955" s="170">
        <v>44883</v>
      </c>
      <c r="M1955" s="116">
        <v>1621.75</v>
      </c>
      <c r="N1955" s="116">
        <v>1641.2</v>
      </c>
      <c r="O1955" s="116">
        <v>1602.75</v>
      </c>
      <c r="P1955" s="116">
        <v>1628</v>
      </c>
      <c r="Q1955" s="116">
        <v>1621.75</v>
      </c>
      <c r="R1955">
        <v>160334</v>
      </c>
    </row>
    <row r="1956" spans="1:18" x14ac:dyDescent="0.25">
      <c r="A1956" s="170">
        <v>44886</v>
      </c>
      <c r="B1956" s="116">
        <v>1631.3</v>
      </c>
      <c r="C1956" s="116">
        <v>1626.5</v>
      </c>
      <c r="D1956" s="116">
        <v>1606.2</v>
      </c>
      <c r="E1956" s="116">
        <v>1615</v>
      </c>
      <c r="F1956" s="116">
        <v>1626.5</v>
      </c>
      <c r="G1956">
        <v>1292</v>
      </c>
      <c r="H1956" s="116"/>
      <c r="I1956" s="116"/>
      <c r="L1956" s="170">
        <v>44886</v>
      </c>
      <c r="M1956" s="116">
        <v>1625.2</v>
      </c>
      <c r="N1956" s="116">
        <v>1630.85</v>
      </c>
      <c r="O1956" s="116">
        <v>1605.1</v>
      </c>
      <c r="P1956" s="116">
        <v>1629.9</v>
      </c>
      <c r="Q1956" s="116">
        <v>1625.2</v>
      </c>
      <c r="R1956">
        <v>212170</v>
      </c>
    </row>
    <row r="1957" spans="1:18" x14ac:dyDescent="0.25">
      <c r="A1957" s="170">
        <v>44887</v>
      </c>
      <c r="B1957" s="116">
        <v>1639.05</v>
      </c>
      <c r="C1957" s="116">
        <v>1634</v>
      </c>
      <c r="D1957" s="116">
        <v>1617.4</v>
      </c>
      <c r="E1957" s="116">
        <v>1628.5</v>
      </c>
      <c r="F1957" s="116">
        <v>1634</v>
      </c>
      <c r="G1957">
        <v>3490</v>
      </c>
      <c r="H1957" s="116"/>
      <c r="I1957" s="116"/>
      <c r="L1957" s="170">
        <v>44887</v>
      </c>
      <c r="M1957" s="116">
        <v>1635.15</v>
      </c>
      <c r="N1957" s="116">
        <v>1639.25</v>
      </c>
      <c r="O1957" s="116">
        <v>1618.05</v>
      </c>
      <c r="P1957" s="116">
        <v>1630</v>
      </c>
      <c r="Q1957" s="116">
        <v>1635.15</v>
      </c>
      <c r="R1957">
        <v>583876</v>
      </c>
    </row>
    <row r="1958" spans="1:18" x14ac:dyDescent="0.25">
      <c r="A1958" s="170">
        <v>44888</v>
      </c>
      <c r="B1958" s="116">
        <v>1648.95</v>
      </c>
      <c r="C1958" s="116">
        <v>1618.35</v>
      </c>
      <c r="D1958" s="116">
        <v>1610.5</v>
      </c>
      <c r="E1958" s="116">
        <v>1648.95</v>
      </c>
      <c r="F1958" s="116">
        <v>1618.35</v>
      </c>
      <c r="G1958">
        <v>2002</v>
      </c>
      <c r="H1958" s="116"/>
      <c r="I1958" s="116"/>
      <c r="L1958" s="170">
        <v>44888</v>
      </c>
      <c r="M1958" s="116">
        <v>1620.85</v>
      </c>
      <c r="N1958" s="116">
        <v>1645.15</v>
      </c>
      <c r="O1958" s="116">
        <v>1610</v>
      </c>
      <c r="P1958" s="116">
        <v>1643.35</v>
      </c>
      <c r="Q1958" s="116">
        <v>1620.85</v>
      </c>
      <c r="R1958">
        <v>202950</v>
      </c>
    </row>
    <row r="1959" spans="1:18" x14ac:dyDescent="0.25">
      <c r="A1959" s="170">
        <v>44889</v>
      </c>
      <c r="B1959" s="116">
        <v>1622.6</v>
      </c>
      <c r="C1959" s="116">
        <v>1616</v>
      </c>
      <c r="D1959" s="116">
        <v>1602</v>
      </c>
      <c r="E1959" s="116">
        <v>1622.6</v>
      </c>
      <c r="F1959" s="116">
        <v>1616</v>
      </c>
      <c r="G1959">
        <v>2203</v>
      </c>
      <c r="H1959" s="116"/>
      <c r="I1959" s="116"/>
      <c r="L1959" s="170">
        <v>44889</v>
      </c>
      <c r="M1959" s="116">
        <v>1614.15</v>
      </c>
      <c r="N1959" s="116">
        <v>1625</v>
      </c>
      <c r="O1959" s="116">
        <v>1601.55</v>
      </c>
      <c r="P1959" s="116">
        <v>1625</v>
      </c>
      <c r="Q1959" s="116">
        <v>1614.15</v>
      </c>
      <c r="R1959">
        <v>202994</v>
      </c>
    </row>
    <row r="1960" spans="1:18" x14ac:dyDescent="0.25">
      <c r="A1960" s="170">
        <v>44890</v>
      </c>
      <c r="B1960" s="116">
        <v>1634.9</v>
      </c>
      <c r="C1960" s="116">
        <v>1628.25</v>
      </c>
      <c r="D1960" s="116">
        <v>1606.2</v>
      </c>
      <c r="E1960" s="116">
        <v>1607</v>
      </c>
      <c r="F1960" s="116">
        <v>1628.25</v>
      </c>
      <c r="G1960">
        <v>1822</v>
      </c>
      <c r="H1960" s="116"/>
      <c r="I1960" s="116"/>
      <c r="L1960" s="170">
        <v>44890</v>
      </c>
      <c r="M1960" s="116">
        <v>1629.55</v>
      </c>
      <c r="N1960" s="116">
        <v>1637.9</v>
      </c>
      <c r="O1960" s="116">
        <v>1606.1</v>
      </c>
      <c r="P1960" s="116">
        <v>1614.15</v>
      </c>
      <c r="Q1960" s="116">
        <v>1629.55</v>
      </c>
      <c r="R1960">
        <v>116474</v>
      </c>
    </row>
    <row r="1961" spans="1:18" x14ac:dyDescent="0.25">
      <c r="A1961" s="170">
        <v>44893</v>
      </c>
      <c r="B1961" s="116">
        <v>1647.7</v>
      </c>
      <c r="C1961" s="116">
        <v>1634.35</v>
      </c>
      <c r="D1961" s="116">
        <v>1619</v>
      </c>
      <c r="E1961" s="116">
        <v>1631</v>
      </c>
      <c r="F1961" s="116">
        <v>1634.35</v>
      </c>
      <c r="G1961">
        <v>1470</v>
      </c>
      <c r="H1961" s="116"/>
      <c r="I1961" s="116"/>
      <c r="L1961" s="170">
        <v>44893</v>
      </c>
      <c r="M1961" s="116">
        <v>1636.2</v>
      </c>
      <c r="N1961" s="116">
        <v>1650</v>
      </c>
      <c r="O1961" s="116">
        <v>1618.05</v>
      </c>
      <c r="P1961" s="116">
        <v>1629.55</v>
      </c>
      <c r="Q1961" s="116">
        <v>1636.2</v>
      </c>
      <c r="R1961">
        <v>203103</v>
      </c>
    </row>
    <row r="1962" spans="1:18" x14ac:dyDescent="0.25">
      <c r="A1962" s="170">
        <v>44894</v>
      </c>
      <c r="B1962" s="116">
        <v>1651.75</v>
      </c>
      <c r="C1962" s="116">
        <v>1632.65</v>
      </c>
      <c r="D1962" s="116">
        <v>1621.35</v>
      </c>
      <c r="E1962" s="116">
        <v>1621.35</v>
      </c>
      <c r="F1962" s="116">
        <v>1632.65</v>
      </c>
      <c r="G1962">
        <v>1388</v>
      </c>
      <c r="H1962" s="116"/>
      <c r="I1962" s="116"/>
      <c r="L1962" s="170">
        <v>44894</v>
      </c>
      <c r="M1962" s="116">
        <v>1635</v>
      </c>
      <c r="N1962" s="116">
        <v>1653.25</v>
      </c>
      <c r="O1962" s="116">
        <v>1631.05</v>
      </c>
      <c r="P1962" s="116">
        <v>1637</v>
      </c>
      <c r="Q1962" s="116">
        <v>1635</v>
      </c>
      <c r="R1962">
        <v>120840</v>
      </c>
    </row>
    <row r="1963" spans="1:18" x14ac:dyDescent="0.25">
      <c r="A1963" s="170">
        <v>44895</v>
      </c>
      <c r="B1963" s="116">
        <v>1668</v>
      </c>
      <c r="C1963" s="116">
        <v>1662.25</v>
      </c>
      <c r="D1963" s="116">
        <v>1613.65</v>
      </c>
      <c r="E1963" s="116">
        <v>1628.5</v>
      </c>
      <c r="F1963" s="116">
        <v>1662.25</v>
      </c>
      <c r="G1963">
        <v>2052</v>
      </c>
      <c r="H1963" s="116"/>
      <c r="I1963" s="116"/>
      <c r="L1963" s="170">
        <v>44895</v>
      </c>
      <c r="M1963" s="116">
        <v>1659.9</v>
      </c>
      <c r="N1963" s="116">
        <v>1669.9</v>
      </c>
      <c r="O1963" s="116">
        <v>1613</v>
      </c>
      <c r="P1963" s="116">
        <v>1640</v>
      </c>
      <c r="Q1963" s="116">
        <v>1659.9</v>
      </c>
      <c r="R1963">
        <v>571634</v>
      </c>
    </row>
    <row r="1964" spans="1:18" x14ac:dyDescent="0.25">
      <c r="A1964" s="170">
        <v>44896</v>
      </c>
      <c r="B1964" s="116">
        <v>1661.05</v>
      </c>
      <c r="C1964" s="116">
        <v>1642</v>
      </c>
      <c r="D1964" s="116">
        <v>1630</v>
      </c>
      <c r="E1964" s="116">
        <v>1661.05</v>
      </c>
      <c r="F1964" s="116">
        <v>1642</v>
      </c>
      <c r="G1964">
        <v>7342</v>
      </c>
      <c r="H1964" s="116"/>
      <c r="I1964" s="116"/>
      <c r="L1964" s="170">
        <v>44896</v>
      </c>
      <c r="M1964" s="116">
        <v>1641.7</v>
      </c>
      <c r="N1964" s="116">
        <v>1664</v>
      </c>
      <c r="O1964" s="116">
        <v>1630.15</v>
      </c>
      <c r="P1964" s="116">
        <v>1663.95</v>
      </c>
      <c r="Q1964" s="116">
        <v>1641.7</v>
      </c>
      <c r="R1964">
        <v>155588</v>
      </c>
    </row>
    <row r="1965" spans="1:18" x14ac:dyDescent="0.25">
      <c r="A1965" s="170">
        <v>44897</v>
      </c>
      <c r="B1965" s="116">
        <v>1648.9</v>
      </c>
      <c r="C1965" s="116">
        <v>1619.6</v>
      </c>
      <c r="D1965" s="116">
        <v>1614</v>
      </c>
      <c r="E1965" s="116">
        <v>1643</v>
      </c>
      <c r="F1965" s="116">
        <v>1619.6</v>
      </c>
      <c r="G1965">
        <v>3520</v>
      </c>
      <c r="H1965" s="116"/>
      <c r="I1965" s="116"/>
      <c r="L1965" s="170">
        <v>44897</v>
      </c>
      <c r="M1965" s="116">
        <v>1621.1</v>
      </c>
      <c r="N1965" s="116">
        <v>1650</v>
      </c>
      <c r="O1965" s="116">
        <v>1613.35</v>
      </c>
      <c r="P1965" s="116">
        <v>1641.9</v>
      </c>
      <c r="Q1965" s="116">
        <v>1621.1</v>
      </c>
      <c r="R1965">
        <v>391568</v>
      </c>
    </row>
    <row r="1966" spans="1:18" x14ac:dyDescent="0.25">
      <c r="A1966" s="170">
        <v>44900</v>
      </c>
      <c r="B1966" s="116">
        <v>1631.05</v>
      </c>
      <c r="C1966" s="116">
        <v>1618.1</v>
      </c>
      <c r="D1966" s="116">
        <v>1604</v>
      </c>
      <c r="E1966" s="116">
        <v>1621.55</v>
      </c>
      <c r="F1966" s="116">
        <v>1618.1</v>
      </c>
      <c r="G1966">
        <v>1198</v>
      </c>
      <c r="H1966" s="116"/>
      <c r="I1966" s="116"/>
      <c r="L1966" s="170">
        <v>44900</v>
      </c>
      <c r="M1966" s="116">
        <v>1619.9</v>
      </c>
      <c r="N1966" s="116">
        <v>1632.1</v>
      </c>
      <c r="O1966" s="116">
        <v>1603.65</v>
      </c>
      <c r="P1966" s="116">
        <v>1621.1</v>
      </c>
      <c r="Q1966" s="116">
        <v>1619.9</v>
      </c>
      <c r="R1966">
        <v>164087</v>
      </c>
    </row>
    <row r="1967" spans="1:18" x14ac:dyDescent="0.25">
      <c r="A1967" s="170">
        <v>44901</v>
      </c>
      <c r="B1967" s="116">
        <v>1620</v>
      </c>
      <c r="C1967" s="116">
        <v>1618.15</v>
      </c>
      <c r="D1967" s="116">
        <v>1601.9</v>
      </c>
      <c r="E1967" s="116">
        <v>1606.95</v>
      </c>
      <c r="F1967" s="116">
        <v>1618.15</v>
      </c>
      <c r="G1967">
        <v>2278</v>
      </c>
      <c r="H1967" s="116"/>
      <c r="I1967" s="116"/>
      <c r="L1967" s="170">
        <v>44901</v>
      </c>
      <c r="M1967" s="116">
        <v>1615.15</v>
      </c>
      <c r="N1967" s="116">
        <v>1619.9</v>
      </c>
      <c r="O1967" s="116">
        <v>1600</v>
      </c>
      <c r="P1967" s="116">
        <v>1612.5</v>
      </c>
      <c r="Q1967" s="116">
        <v>1615.15</v>
      </c>
      <c r="R1967">
        <v>112235</v>
      </c>
    </row>
    <row r="1968" spans="1:18" x14ac:dyDescent="0.25">
      <c r="A1968" s="170">
        <v>44902</v>
      </c>
      <c r="B1968" s="116">
        <v>1640.2</v>
      </c>
      <c r="C1968" s="116">
        <v>1626</v>
      </c>
      <c r="D1968" s="116">
        <v>1614.1</v>
      </c>
      <c r="E1968" s="116">
        <v>1619.4</v>
      </c>
      <c r="F1968" s="116">
        <v>1626</v>
      </c>
      <c r="G1968">
        <v>2503</v>
      </c>
      <c r="H1968" s="116"/>
      <c r="I1968" s="116"/>
      <c r="L1968" s="170">
        <v>44902</v>
      </c>
      <c r="M1968" s="116">
        <v>1629</v>
      </c>
      <c r="N1968" s="116">
        <v>1640.8</v>
      </c>
      <c r="O1968" s="116">
        <v>1613.05</v>
      </c>
      <c r="P1968" s="116">
        <v>1617</v>
      </c>
      <c r="Q1968" s="116">
        <v>1629</v>
      </c>
      <c r="R1968">
        <v>123789</v>
      </c>
    </row>
    <row r="1969" spans="1:18" x14ac:dyDescent="0.25">
      <c r="A1969" s="170">
        <v>44903</v>
      </c>
      <c r="B1969" s="116">
        <v>1635.85</v>
      </c>
      <c r="C1969" s="116">
        <v>1625.05</v>
      </c>
      <c r="D1969" s="116">
        <v>1620.1</v>
      </c>
      <c r="E1969" s="116">
        <v>1633.45</v>
      </c>
      <c r="F1969" s="116">
        <v>1625.05</v>
      </c>
      <c r="G1969">
        <v>758</v>
      </c>
      <c r="H1969" s="116"/>
      <c r="I1969" s="116"/>
      <c r="L1969" s="170">
        <v>44903</v>
      </c>
      <c r="M1969" s="116">
        <v>1624.1</v>
      </c>
      <c r="N1969" s="116">
        <v>1637.95</v>
      </c>
      <c r="O1969" s="116">
        <v>1621</v>
      </c>
      <c r="P1969" s="116">
        <v>1629</v>
      </c>
      <c r="Q1969" s="116">
        <v>1624.1</v>
      </c>
      <c r="R1969">
        <v>68540</v>
      </c>
    </row>
    <row r="1970" spans="1:18" x14ac:dyDescent="0.25">
      <c r="A1970" s="170">
        <v>44904</v>
      </c>
      <c r="B1970" s="116">
        <v>1649</v>
      </c>
      <c r="C1970" s="116">
        <v>1614.45</v>
      </c>
      <c r="D1970" s="116">
        <v>1608.5</v>
      </c>
      <c r="E1970" s="116">
        <v>1621.95</v>
      </c>
      <c r="F1970" s="116">
        <v>1614.45</v>
      </c>
      <c r="G1970">
        <v>5963</v>
      </c>
      <c r="H1970" s="116"/>
      <c r="I1970" s="116"/>
      <c r="L1970" s="170">
        <v>44904</v>
      </c>
      <c r="M1970" s="116">
        <v>1617.6</v>
      </c>
      <c r="N1970" s="116">
        <v>1649.8</v>
      </c>
      <c r="O1970" s="116">
        <v>1612.05</v>
      </c>
      <c r="P1970" s="116">
        <v>1632</v>
      </c>
      <c r="Q1970" s="116">
        <v>1617.6</v>
      </c>
      <c r="R1970">
        <v>139986</v>
      </c>
    </row>
    <row r="1971" spans="1:18" x14ac:dyDescent="0.25">
      <c r="A1971" s="170">
        <v>44907</v>
      </c>
      <c r="B1971" s="116">
        <v>1626.25</v>
      </c>
      <c r="C1971" s="116">
        <v>1615.6</v>
      </c>
      <c r="D1971" s="116">
        <v>1605.3</v>
      </c>
      <c r="E1971" s="116">
        <v>1608.05</v>
      </c>
      <c r="F1971" s="116">
        <v>1615.6</v>
      </c>
      <c r="G1971">
        <v>1142</v>
      </c>
      <c r="H1971" s="116"/>
      <c r="I1971" s="116"/>
      <c r="L1971" s="170">
        <v>44907</v>
      </c>
      <c r="M1971" s="116">
        <v>1614.3</v>
      </c>
      <c r="N1971" s="116">
        <v>1626.95</v>
      </c>
      <c r="O1971" s="116">
        <v>1605.95</v>
      </c>
      <c r="P1971" s="116">
        <v>1615.1</v>
      </c>
      <c r="Q1971" s="116">
        <v>1614.3</v>
      </c>
      <c r="R1971">
        <v>193074</v>
      </c>
    </row>
    <row r="1972" spans="1:18" x14ac:dyDescent="0.25">
      <c r="A1972" s="170">
        <v>44908</v>
      </c>
      <c r="B1972" s="116">
        <v>1636.3</v>
      </c>
      <c r="C1972" s="116">
        <v>1628.05</v>
      </c>
      <c r="D1972" s="116">
        <v>1608.05</v>
      </c>
      <c r="E1972" s="116">
        <v>1608.05</v>
      </c>
      <c r="F1972" s="116">
        <v>1628.05</v>
      </c>
      <c r="G1972">
        <v>2265</v>
      </c>
      <c r="H1972" s="116"/>
      <c r="I1972" s="116"/>
      <c r="L1972" s="170">
        <v>44908</v>
      </c>
      <c r="M1972" s="116">
        <v>1628.9</v>
      </c>
      <c r="N1972" s="116">
        <v>1637</v>
      </c>
      <c r="O1972" s="116">
        <v>1616</v>
      </c>
      <c r="P1972" s="116">
        <v>1622</v>
      </c>
      <c r="Q1972" s="116">
        <v>1628.9</v>
      </c>
      <c r="R1972">
        <v>113648</v>
      </c>
    </row>
    <row r="1973" spans="1:18" x14ac:dyDescent="0.25">
      <c r="A1973" s="170">
        <v>44909</v>
      </c>
      <c r="B1973" s="116">
        <v>1637.15</v>
      </c>
      <c r="C1973" s="116">
        <v>1620.15</v>
      </c>
      <c r="D1973" s="116">
        <v>1615.1</v>
      </c>
      <c r="E1973" s="116">
        <v>1632</v>
      </c>
      <c r="F1973" s="116">
        <v>1620.15</v>
      </c>
      <c r="G1973">
        <v>623</v>
      </c>
      <c r="H1973" s="116"/>
      <c r="I1973" s="116"/>
      <c r="L1973" s="170">
        <v>44909</v>
      </c>
      <c r="M1973" s="116">
        <v>1622.1</v>
      </c>
      <c r="N1973" s="116">
        <v>1639.95</v>
      </c>
      <c r="O1973" s="116">
        <v>1616.45</v>
      </c>
      <c r="P1973" s="116">
        <v>1639.95</v>
      </c>
      <c r="Q1973" s="116">
        <v>1622.1</v>
      </c>
      <c r="R1973">
        <v>99640</v>
      </c>
    </row>
    <row r="1974" spans="1:18" x14ac:dyDescent="0.25">
      <c r="A1974" s="170">
        <v>44910</v>
      </c>
      <c r="B1974" s="116">
        <v>1637</v>
      </c>
      <c r="C1974" s="116">
        <v>1609.45</v>
      </c>
      <c r="D1974" s="116">
        <v>1605</v>
      </c>
      <c r="E1974" s="116">
        <v>1636.9</v>
      </c>
      <c r="F1974" s="116">
        <v>1609.45</v>
      </c>
      <c r="G1974">
        <v>1775</v>
      </c>
      <c r="H1974" s="116"/>
      <c r="I1974" s="116"/>
      <c r="L1974" s="170">
        <v>44910</v>
      </c>
      <c r="M1974" s="116">
        <v>1609</v>
      </c>
      <c r="N1974" s="116">
        <v>1638.4</v>
      </c>
      <c r="O1974" s="116">
        <v>1602.75</v>
      </c>
      <c r="P1974" s="116">
        <v>1628.95</v>
      </c>
      <c r="Q1974" s="116">
        <v>1609</v>
      </c>
      <c r="R1974">
        <v>138114</v>
      </c>
    </row>
    <row r="1975" spans="1:18" x14ac:dyDescent="0.25">
      <c r="A1975" s="170">
        <v>44911</v>
      </c>
      <c r="B1975" s="116">
        <v>1611.8</v>
      </c>
      <c r="C1975" s="116">
        <v>1598.7</v>
      </c>
      <c r="D1975" s="116">
        <v>1593.5</v>
      </c>
      <c r="E1975" s="116">
        <v>1600.75</v>
      </c>
      <c r="F1975" s="116">
        <v>1598.7</v>
      </c>
      <c r="G1975">
        <v>2445</v>
      </c>
      <c r="H1975" s="116"/>
      <c r="I1975" s="116"/>
      <c r="L1975" s="170">
        <v>44911</v>
      </c>
      <c r="M1975" s="116">
        <v>1599.3</v>
      </c>
      <c r="N1975" s="116">
        <v>1612.45</v>
      </c>
      <c r="O1975" s="116">
        <v>1593.25</v>
      </c>
      <c r="P1975" s="116">
        <v>1610.95</v>
      </c>
      <c r="Q1975" s="116">
        <v>1599.3</v>
      </c>
      <c r="R1975">
        <v>107420</v>
      </c>
    </row>
    <row r="1976" spans="1:18" x14ac:dyDescent="0.25">
      <c r="A1976" s="170">
        <v>44914</v>
      </c>
      <c r="B1976" s="116">
        <v>1602.85</v>
      </c>
      <c r="C1976" s="116">
        <v>1596.5</v>
      </c>
      <c r="D1976" s="116">
        <v>1567.35</v>
      </c>
      <c r="E1976" s="116">
        <v>1592</v>
      </c>
      <c r="F1976" s="116">
        <v>1596.5</v>
      </c>
      <c r="G1976">
        <v>1907</v>
      </c>
      <c r="H1976" s="116"/>
      <c r="I1976" s="116"/>
      <c r="L1976" s="170">
        <v>44914</v>
      </c>
      <c r="M1976" s="116">
        <v>1597.85</v>
      </c>
      <c r="N1976" s="116">
        <v>1604.75</v>
      </c>
      <c r="O1976" s="116">
        <v>1576.35</v>
      </c>
      <c r="P1976" s="116">
        <v>1593.1</v>
      </c>
      <c r="Q1976" s="116">
        <v>1597.85</v>
      </c>
      <c r="R1976">
        <v>309146</v>
      </c>
    </row>
    <row r="1977" spans="1:18" x14ac:dyDescent="0.25">
      <c r="A1977" s="170">
        <v>44915</v>
      </c>
      <c r="B1977" s="116">
        <v>1592.9</v>
      </c>
      <c r="C1977" s="116">
        <v>1577.55</v>
      </c>
      <c r="D1977" s="116">
        <v>1566.7</v>
      </c>
      <c r="E1977" s="116">
        <v>1592.9</v>
      </c>
      <c r="F1977" s="116">
        <v>1577.55</v>
      </c>
      <c r="G1977">
        <v>2158</v>
      </c>
      <c r="H1977" s="116"/>
      <c r="I1977" s="116"/>
      <c r="L1977" s="170">
        <v>44915</v>
      </c>
      <c r="M1977" s="116">
        <v>1575.2</v>
      </c>
      <c r="N1977" s="116">
        <v>1594.85</v>
      </c>
      <c r="O1977" s="116">
        <v>1568</v>
      </c>
      <c r="P1977" s="116">
        <v>1594.85</v>
      </c>
      <c r="Q1977" s="116">
        <v>1575.2</v>
      </c>
      <c r="R1977">
        <v>303559</v>
      </c>
    </row>
    <row r="1978" spans="1:18" x14ac:dyDescent="0.25">
      <c r="A1978" s="170">
        <v>44916</v>
      </c>
      <c r="B1978" s="116">
        <v>1595.75</v>
      </c>
      <c r="C1978" s="116">
        <v>1581.65</v>
      </c>
      <c r="D1978" s="116">
        <v>1575.05</v>
      </c>
      <c r="E1978" s="116">
        <v>1575.05</v>
      </c>
      <c r="F1978" s="116">
        <v>1581.65</v>
      </c>
      <c r="G1978">
        <v>3200</v>
      </c>
      <c r="H1978" s="116"/>
      <c r="I1978" s="116"/>
      <c r="L1978" s="170">
        <v>44916</v>
      </c>
      <c r="M1978" s="116">
        <v>1583</v>
      </c>
      <c r="N1978" s="116">
        <v>1595.95</v>
      </c>
      <c r="O1978" s="116">
        <v>1575.35</v>
      </c>
      <c r="P1978" s="116">
        <v>1582</v>
      </c>
      <c r="Q1978" s="116">
        <v>1583</v>
      </c>
      <c r="R1978">
        <v>517605</v>
      </c>
    </row>
    <row r="1979" spans="1:18" x14ac:dyDescent="0.25">
      <c r="A1979" s="170">
        <v>44917</v>
      </c>
      <c r="B1979" s="116">
        <v>1602.1</v>
      </c>
      <c r="C1979" s="116">
        <v>1587</v>
      </c>
      <c r="D1979" s="116">
        <v>1575</v>
      </c>
      <c r="E1979" s="116">
        <v>1584.05</v>
      </c>
      <c r="F1979" s="116">
        <v>1587</v>
      </c>
      <c r="G1979">
        <v>9181</v>
      </c>
      <c r="H1979" s="116"/>
      <c r="I1979" s="116"/>
      <c r="L1979" s="170">
        <v>44917</v>
      </c>
      <c r="M1979" s="116">
        <v>1585.95</v>
      </c>
      <c r="N1979" s="116">
        <v>1604.3</v>
      </c>
      <c r="O1979" s="116">
        <v>1573.9</v>
      </c>
      <c r="P1979" s="116">
        <v>1590</v>
      </c>
      <c r="Q1979" s="116">
        <v>1585.95</v>
      </c>
      <c r="R1979">
        <v>299358</v>
      </c>
    </row>
    <row r="1980" spans="1:18" x14ac:dyDescent="0.25">
      <c r="A1980" s="170">
        <v>44918</v>
      </c>
      <c r="B1980" s="116">
        <v>1592.95</v>
      </c>
      <c r="C1980" s="116">
        <v>1559.9</v>
      </c>
      <c r="D1980" s="116">
        <v>1556.05</v>
      </c>
      <c r="E1980" s="116">
        <v>1580.85</v>
      </c>
      <c r="F1980" s="116">
        <v>1559.9</v>
      </c>
      <c r="G1980">
        <v>5624</v>
      </c>
      <c r="H1980" s="116"/>
      <c r="I1980" s="116"/>
      <c r="L1980" s="170">
        <v>44918</v>
      </c>
      <c r="M1980" s="116">
        <v>1562.5</v>
      </c>
      <c r="N1980" s="116">
        <v>1595</v>
      </c>
      <c r="O1980" s="116">
        <v>1557.1</v>
      </c>
      <c r="P1980" s="116">
        <v>1578.1</v>
      </c>
      <c r="Q1980" s="116">
        <v>1562.5</v>
      </c>
      <c r="R1980">
        <v>294348</v>
      </c>
    </row>
    <row r="1981" spans="1:18" x14ac:dyDescent="0.25">
      <c r="A1981" s="170">
        <v>44921</v>
      </c>
      <c r="B1981" s="116">
        <v>1575.8</v>
      </c>
      <c r="C1981" s="116">
        <v>1569.15</v>
      </c>
      <c r="D1981" s="116">
        <v>1531.25</v>
      </c>
      <c r="E1981" s="116">
        <v>1531.25</v>
      </c>
      <c r="F1981" s="116">
        <v>1569.15</v>
      </c>
      <c r="G1981">
        <v>1087</v>
      </c>
      <c r="H1981" s="116"/>
      <c r="I1981" s="116"/>
      <c r="L1981" s="170">
        <v>44921</v>
      </c>
      <c r="M1981" s="116">
        <v>1569.65</v>
      </c>
      <c r="N1981" s="116">
        <v>1577.75</v>
      </c>
      <c r="O1981" s="116">
        <v>1544</v>
      </c>
      <c r="P1981" s="116">
        <v>1562.5</v>
      </c>
      <c r="Q1981" s="116">
        <v>1569.65</v>
      </c>
      <c r="R1981">
        <v>471591</v>
      </c>
    </row>
    <row r="1982" spans="1:18" x14ac:dyDescent="0.25">
      <c r="A1982" s="170">
        <v>44922</v>
      </c>
      <c r="B1982" s="116">
        <v>1583.95</v>
      </c>
      <c r="C1982" s="116">
        <v>1579.7</v>
      </c>
      <c r="D1982" s="116">
        <v>1564.3</v>
      </c>
      <c r="E1982" s="116">
        <v>1571.05</v>
      </c>
      <c r="F1982" s="116">
        <v>1579.7</v>
      </c>
      <c r="G1982">
        <v>887</v>
      </c>
      <c r="H1982" s="116"/>
      <c r="I1982" s="116"/>
      <c r="L1982" s="170">
        <v>44922</v>
      </c>
      <c r="M1982" s="116">
        <v>1581.65</v>
      </c>
      <c r="N1982" s="116">
        <v>1585</v>
      </c>
      <c r="O1982" s="116">
        <v>1564.15</v>
      </c>
      <c r="P1982" s="116">
        <v>1574.85</v>
      </c>
      <c r="Q1982" s="116">
        <v>1581.65</v>
      </c>
      <c r="R1982">
        <v>91756</v>
      </c>
    </row>
    <row r="1983" spans="1:18" x14ac:dyDescent="0.25">
      <c r="A1983" s="170">
        <v>44923</v>
      </c>
      <c r="B1983" s="116">
        <v>1581.7</v>
      </c>
      <c r="C1983" s="116">
        <v>1574.85</v>
      </c>
      <c r="D1983" s="116">
        <v>1570.45</v>
      </c>
      <c r="E1983" s="116">
        <v>1579.65</v>
      </c>
      <c r="F1983" s="116">
        <v>1574.85</v>
      </c>
      <c r="G1983">
        <v>744</v>
      </c>
      <c r="H1983" s="116"/>
      <c r="I1983" s="116"/>
      <c r="L1983" s="170">
        <v>44923</v>
      </c>
      <c r="M1983" s="116">
        <v>1575.3</v>
      </c>
      <c r="N1983" s="116">
        <v>1583.45</v>
      </c>
      <c r="O1983" s="116">
        <v>1570.5</v>
      </c>
      <c r="P1983" s="116">
        <v>1583</v>
      </c>
      <c r="Q1983" s="116">
        <v>1575.3</v>
      </c>
      <c r="R1983">
        <v>418806</v>
      </c>
    </row>
    <row r="1984" spans="1:18" x14ac:dyDescent="0.25">
      <c r="A1984" s="170">
        <v>44924</v>
      </c>
      <c r="B1984" s="116">
        <v>1580.45</v>
      </c>
      <c r="C1984" s="116">
        <v>1562.5</v>
      </c>
      <c r="D1984" s="116">
        <v>1543.8</v>
      </c>
      <c r="E1984" s="116">
        <v>1543.8</v>
      </c>
      <c r="F1984" s="116">
        <v>1562.5</v>
      </c>
      <c r="G1984">
        <v>2098</v>
      </c>
      <c r="H1984" s="116"/>
      <c r="I1984" s="116"/>
      <c r="L1984" s="170">
        <v>44924</v>
      </c>
      <c r="M1984" s="116">
        <v>1561.45</v>
      </c>
      <c r="N1984" s="116">
        <v>1582.95</v>
      </c>
      <c r="O1984" s="116">
        <v>1555</v>
      </c>
      <c r="P1984" s="116">
        <v>1577.75</v>
      </c>
      <c r="Q1984" s="116">
        <v>1561.45</v>
      </c>
      <c r="R1984">
        <v>485039</v>
      </c>
    </row>
    <row r="1985" spans="1:18" x14ac:dyDescent="0.25">
      <c r="A1985" s="170">
        <v>44925</v>
      </c>
      <c r="B1985" s="116">
        <v>1566.55</v>
      </c>
      <c r="C1985" s="116">
        <v>1551.65</v>
      </c>
      <c r="D1985" s="116">
        <v>1547.4</v>
      </c>
      <c r="E1985" s="116">
        <v>1563.9</v>
      </c>
      <c r="F1985" s="116">
        <v>1551.65</v>
      </c>
      <c r="G1985">
        <v>2465</v>
      </c>
      <c r="H1985" s="116"/>
      <c r="I1985" s="116"/>
      <c r="L1985" s="170">
        <v>44925</v>
      </c>
      <c r="M1985" s="116">
        <v>1550.6</v>
      </c>
      <c r="N1985" s="116">
        <v>1569.7</v>
      </c>
      <c r="O1985" s="116">
        <v>1545.05</v>
      </c>
      <c r="P1985" s="116">
        <v>1569.3</v>
      </c>
      <c r="Q1985" s="116">
        <v>1550.6</v>
      </c>
      <c r="R1985">
        <v>326780</v>
      </c>
    </row>
    <row r="1986" spans="1:18" x14ac:dyDescent="0.25">
      <c r="A1986" s="170">
        <v>44928</v>
      </c>
      <c r="B1986" s="116">
        <v>1553.95</v>
      </c>
      <c r="C1986" s="116">
        <v>1548.8</v>
      </c>
      <c r="D1986" s="116">
        <v>1531.95</v>
      </c>
      <c r="E1986" s="116">
        <v>1540.05</v>
      </c>
      <c r="F1986" s="116">
        <v>1548.8</v>
      </c>
      <c r="G1986">
        <v>1346</v>
      </c>
      <c r="H1986" s="116"/>
      <c r="I1986" s="116"/>
      <c r="L1986" s="170">
        <v>44928</v>
      </c>
      <c r="M1986" s="116">
        <v>1548.8</v>
      </c>
      <c r="N1986" s="116">
        <v>1556.65</v>
      </c>
      <c r="O1986" s="116">
        <v>1532</v>
      </c>
      <c r="P1986" s="116">
        <v>1556.65</v>
      </c>
      <c r="Q1986" s="116">
        <v>1548.8</v>
      </c>
      <c r="R1986">
        <v>68757</v>
      </c>
    </row>
    <row r="1987" spans="1:18" x14ac:dyDescent="0.25">
      <c r="A1987" s="170">
        <v>44929</v>
      </c>
      <c r="B1987" s="116">
        <v>1559.15</v>
      </c>
      <c r="C1987" s="116">
        <v>1546.75</v>
      </c>
      <c r="D1987" s="116">
        <v>1534</v>
      </c>
      <c r="E1987" s="116">
        <v>1534</v>
      </c>
      <c r="F1987" s="116">
        <v>1546.75</v>
      </c>
      <c r="G1987">
        <v>2256</v>
      </c>
      <c r="H1987" s="116"/>
      <c r="I1987" s="116"/>
      <c r="L1987" s="170">
        <v>44929</v>
      </c>
      <c r="M1987" s="116">
        <v>1544.75</v>
      </c>
      <c r="N1987" s="116">
        <v>1559.95</v>
      </c>
      <c r="O1987" s="116">
        <v>1539.4</v>
      </c>
      <c r="P1987" s="116">
        <v>1552</v>
      </c>
      <c r="Q1987" s="116">
        <v>1544.75</v>
      </c>
      <c r="R1987">
        <v>449416</v>
      </c>
    </row>
    <row r="1988" spans="1:18" x14ac:dyDescent="0.25">
      <c r="A1988" s="170">
        <v>44930</v>
      </c>
      <c r="B1988" s="116">
        <v>1559.1</v>
      </c>
      <c r="C1988" s="116">
        <v>1549.6</v>
      </c>
      <c r="D1988" s="116">
        <v>1532.6</v>
      </c>
      <c r="E1988" s="116">
        <v>1534.05</v>
      </c>
      <c r="F1988" s="116">
        <v>1549.6</v>
      </c>
      <c r="G1988">
        <v>1728</v>
      </c>
      <c r="H1988" s="116"/>
      <c r="I1988" s="116"/>
      <c r="L1988" s="170">
        <v>44930</v>
      </c>
      <c r="M1988" s="116">
        <v>1548</v>
      </c>
      <c r="N1988" s="116">
        <v>1560</v>
      </c>
      <c r="O1988" s="116">
        <v>1532</v>
      </c>
      <c r="P1988" s="116">
        <v>1547.95</v>
      </c>
      <c r="Q1988" s="116">
        <v>1548</v>
      </c>
      <c r="R1988">
        <v>115416</v>
      </c>
    </row>
    <row r="1989" spans="1:18" x14ac:dyDescent="0.25">
      <c r="A1989" s="170">
        <v>44931</v>
      </c>
      <c r="B1989" s="116">
        <v>1578.95</v>
      </c>
      <c r="C1989" s="116">
        <v>1560.7</v>
      </c>
      <c r="D1989" s="116">
        <v>1542.9</v>
      </c>
      <c r="E1989" s="116">
        <v>1578.95</v>
      </c>
      <c r="F1989" s="116">
        <v>1560.7</v>
      </c>
      <c r="G1989">
        <v>1868</v>
      </c>
      <c r="H1989" s="116"/>
      <c r="I1989" s="116"/>
      <c r="L1989" s="170">
        <v>44931</v>
      </c>
      <c r="M1989" s="116">
        <v>1561.25</v>
      </c>
      <c r="N1989" s="116">
        <v>1564.25</v>
      </c>
      <c r="O1989" s="116">
        <v>1540.65</v>
      </c>
      <c r="P1989" s="116">
        <v>1555.75</v>
      </c>
      <c r="Q1989" s="116">
        <v>1561.25</v>
      </c>
      <c r="R1989">
        <v>59459</v>
      </c>
    </row>
    <row r="1990" spans="1:18" x14ac:dyDescent="0.25">
      <c r="A1990" s="170">
        <v>44932</v>
      </c>
      <c r="B1990" s="116">
        <v>1566.35</v>
      </c>
      <c r="C1990" s="116">
        <v>1549.45</v>
      </c>
      <c r="D1990" s="116">
        <v>1544.45</v>
      </c>
      <c r="E1990" s="116">
        <v>1560.05</v>
      </c>
      <c r="F1990" s="116">
        <v>1549.45</v>
      </c>
      <c r="G1990">
        <v>1450</v>
      </c>
      <c r="H1990" s="116"/>
      <c r="I1990" s="116"/>
      <c r="L1990" s="170">
        <v>44932</v>
      </c>
      <c r="M1990" s="116">
        <v>1546.5</v>
      </c>
      <c r="N1990" s="116">
        <v>1567.6</v>
      </c>
      <c r="O1990" s="116">
        <v>1541.85</v>
      </c>
      <c r="P1990" s="116">
        <v>1563.25</v>
      </c>
      <c r="Q1990" s="116">
        <v>1546.5</v>
      </c>
      <c r="R1990">
        <v>130207</v>
      </c>
    </row>
    <row r="1991" spans="1:18" x14ac:dyDescent="0.25">
      <c r="A1991" s="170">
        <v>44935</v>
      </c>
      <c r="B1991" s="116">
        <v>1571.7</v>
      </c>
      <c r="C1991" s="116">
        <v>1562.3</v>
      </c>
      <c r="D1991" s="116">
        <v>1541.05</v>
      </c>
      <c r="E1991" s="116">
        <v>1541.05</v>
      </c>
      <c r="F1991" s="116">
        <v>1562.3</v>
      </c>
      <c r="G1991">
        <v>1816</v>
      </c>
      <c r="H1991" s="116"/>
      <c r="I1991" s="116"/>
      <c r="L1991" s="170">
        <v>44935</v>
      </c>
      <c r="M1991" s="116">
        <v>1561.5</v>
      </c>
      <c r="N1991" s="116">
        <v>1575</v>
      </c>
      <c r="O1991" s="116">
        <v>1544.1</v>
      </c>
      <c r="P1991" s="116">
        <v>1548.5</v>
      </c>
      <c r="Q1991" s="116">
        <v>1561.5</v>
      </c>
      <c r="R1991">
        <v>120962</v>
      </c>
    </row>
    <row r="1992" spans="1:18" x14ac:dyDescent="0.25">
      <c r="A1992" s="170">
        <v>44936</v>
      </c>
      <c r="B1992" s="116">
        <v>1576.95</v>
      </c>
      <c r="C1992" s="116">
        <v>1564.75</v>
      </c>
      <c r="D1992" s="116">
        <v>1548.1</v>
      </c>
      <c r="E1992" s="116">
        <v>1576.95</v>
      </c>
      <c r="F1992" s="116">
        <v>1564.75</v>
      </c>
      <c r="G1992">
        <v>1231</v>
      </c>
      <c r="H1992" s="116"/>
      <c r="I1992" s="116"/>
      <c r="L1992" s="170">
        <v>44936</v>
      </c>
      <c r="M1992" s="116">
        <v>1565.35</v>
      </c>
      <c r="N1992" s="116">
        <v>1570.9</v>
      </c>
      <c r="O1992" s="116">
        <v>1547.6</v>
      </c>
      <c r="P1992" s="116">
        <v>1563.5</v>
      </c>
      <c r="Q1992" s="116">
        <v>1565.35</v>
      </c>
      <c r="R1992">
        <v>125847</v>
      </c>
    </row>
    <row r="1993" spans="1:18" x14ac:dyDescent="0.25">
      <c r="A1993" s="170">
        <v>44937</v>
      </c>
      <c r="B1993" s="116">
        <v>1567.65</v>
      </c>
      <c r="C1993" s="116">
        <v>1553.15</v>
      </c>
      <c r="D1993" s="116">
        <v>1547.55</v>
      </c>
      <c r="E1993" s="116">
        <v>1551.1</v>
      </c>
      <c r="F1993" s="116">
        <v>1553.15</v>
      </c>
      <c r="G1993">
        <v>1053</v>
      </c>
      <c r="H1993" s="116"/>
      <c r="I1993" s="116"/>
      <c r="L1993" s="170">
        <v>44937</v>
      </c>
      <c r="M1993" s="116">
        <v>1551.95</v>
      </c>
      <c r="N1993" s="116">
        <v>1568.75</v>
      </c>
      <c r="O1993" s="116">
        <v>1546.8</v>
      </c>
      <c r="P1993" s="116">
        <v>1567.35</v>
      </c>
      <c r="Q1993" s="116">
        <v>1551.95</v>
      </c>
      <c r="R1993">
        <v>78611</v>
      </c>
    </row>
    <row r="1994" spans="1:18" x14ac:dyDescent="0.25">
      <c r="A1994" s="170">
        <v>44938</v>
      </c>
      <c r="B1994" s="116">
        <v>1559.95</v>
      </c>
      <c r="C1994" s="116">
        <v>1543.3</v>
      </c>
      <c r="D1994" s="116">
        <v>1536.55</v>
      </c>
      <c r="E1994" s="116">
        <v>1559.95</v>
      </c>
      <c r="F1994" s="116">
        <v>1543.3</v>
      </c>
      <c r="G1994">
        <v>1055</v>
      </c>
      <c r="H1994" s="116"/>
      <c r="I1994" s="116"/>
      <c r="L1994" s="170">
        <v>44938</v>
      </c>
      <c r="M1994" s="116">
        <v>1546.5</v>
      </c>
      <c r="N1994" s="116">
        <v>1558.95</v>
      </c>
      <c r="O1994" s="116">
        <v>1535.75</v>
      </c>
      <c r="P1994" s="116">
        <v>1552</v>
      </c>
      <c r="Q1994" s="116">
        <v>1546.5</v>
      </c>
      <c r="R1994">
        <v>90974</v>
      </c>
    </row>
    <row r="1995" spans="1:18" x14ac:dyDescent="0.25">
      <c r="A1995" s="170">
        <v>44939</v>
      </c>
      <c r="B1995" s="116">
        <v>1567.95</v>
      </c>
      <c r="C1995" s="116">
        <v>1551.6</v>
      </c>
      <c r="D1995" s="116">
        <v>1531.35</v>
      </c>
      <c r="E1995" s="116">
        <v>1567.95</v>
      </c>
      <c r="F1995" s="116">
        <v>1551.6</v>
      </c>
      <c r="G1995">
        <v>4260</v>
      </c>
      <c r="H1995" s="116"/>
      <c r="I1995" s="116"/>
      <c r="L1995" s="170">
        <v>44939</v>
      </c>
      <c r="M1995" s="116">
        <v>1550.8</v>
      </c>
      <c r="N1995" s="116">
        <v>1555.2</v>
      </c>
      <c r="O1995" s="116">
        <v>1532.05</v>
      </c>
      <c r="P1995" s="116">
        <v>1552.45</v>
      </c>
      <c r="Q1995" s="116">
        <v>1550.8</v>
      </c>
      <c r="R1995">
        <v>139622</v>
      </c>
    </row>
    <row r="1996" spans="1:18" x14ac:dyDescent="0.25">
      <c r="A1996" s="170">
        <v>44942</v>
      </c>
      <c r="B1996" s="116">
        <v>1574.5</v>
      </c>
      <c r="C1996" s="116">
        <v>1569.65</v>
      </c>
      <c r="D1996" s="116">
        <v>1551.15</v>
      </c>
      <c r="E1996" s="116">
        <v>1558.85</v>
      </c>
      <c r="F1996" s="116">
        <v>1569.65</v>
      </c>
      <c r="G1996">
        <v>1600</v>
      </c>
      <c r="H1996" s="116"/>
      <c r="I1996" s="116"/>
      <c r="L1996" s="170">
        <v>44942</v>
      </c>
      <c r="M1996" s="116">
        <v>1570.25</v>
      </c>
      <c r="N1996" s="116">
        <v>1575</v>
      </c>
      <c r="O1996" s="116">
        <v>1550.95</v>
      </c>
      <c r="P1996" s="116">
        <v>1553.55</v>
      </c>
      <c r="Q1996" s="116">
        <v>1570.25</v>
      </c>
      <c r="R1996">
        <v>48324</v>
      </c>
    </row>
    <row r="1997" spans="1:18" x14ac:dyDescent="0.25">
      <c r="A1997" s="170">
        <v>44943</v>
      </c>
      <c r="B1997" s="116">
        <v>1590.9</v>
      </c>
      <c r="C1997" s="116">
        <v>1585.25</v>
      </c>
      <c r="D1997" s="116">
        <v>1570.25</v>
      </c>
      <c r="E1997" s="116">
        <v>1570.25</v>
      </c>
      <c r="F1997" s="116">
        <v>1585.25</v>
      </c>
      <c r="G1997">
        <v>1782</v>
      </c>
      <c r="H1997" s="116"/>
      <c r="I1997" s="116"/>
      <c r="L1997" s="170">
        <v>44943</v>
      </c>
      <c r="M1997" s="116">
        <v>1585.55</v>
      </c>
      <c r="N1997" s="116">
        <v>1594.95</v>
      </c>
      <c r="O1997" s="116">
        <v>1569.15</v>
      </c>
      <c r="P1997" s="116">
        <v>1590.05</v>
      </c>
      <c r="Q1997" s="116">
        <v>1585.55</v>
      </c>
      <c r="R1997">
        <v>227114</v>
      </c>
    </row>
    <row r="1998" spans="1:18" x14ac:dyDescent="0.25">
      <c r="A1998" s="170">
        <v>44944</v>
      </c>
      <c r="B1998" s="116">
        <v>1620</v>
      </c>
      <c r="C1998" s="116">
        <v>1617.3</v>
      </c>
      <c r="D1998" s="116">
        <v>1570.15</v>
      </c>
      <c r="E1998" s="116">
        <v>1570.15</v>
      </c>
      <c r="F1998" s="116">
        <v>1617.3</v>
      </c>
      <c r="G1998">
        <v>1950</v>
      </c>
      <c r="H1998" s="116"/>
      <c r="I1998" s="116"/>
      <c r="L1998" s="170">
        <v>44944</v>
      </c>
      <c r="M1998" s="116">
        <v>1617.6</v>
      </c>
      <c r="N1998" s="116">
        <v>1620</v>
      </c>
      <c r="O1998" s="116">
        <v>1582.3</v>
      </c>
      <c r="P1998" s="116">
        <v>1590.15</v>
      </c>
      <c r="Q1998" s="116">
        <v>1617.6</v>
      </c>
      <c r="R1998">
        <v>120699</v>
      </c>
    </row>
    <row r="1999" spans="1:18" x14ac:dyDescent="0.25">
      <c r="A1999" s="170">
        <v>44945</v>
      </c>
      <c r="B1999" s="116">
        <v>1632</v>
      </c>
      <c r="C1999" s="116">
        <v>1600.65</v>
      </c>
      <c r="D1999" s="116">
        <v>1590.15</v>
      </c>
      <c r="E1999" s="116">
        <v>1617.05</v>
      </c>
      <c r="F1999" s="116">
        <v>1600.65</v>
      </c>
      <c r="G1999">
        <v>1815</v>
      </c>
      <c r="H1999" s="116"/>
      <c r="I1999" s="116"/>
      <c r="L1999" s="170">
        <v>44945</v>
      </c>
      <c r="M1999" s="116">
        <v>1600.1</v>
      </c>
      <c r="N1999" s="116">
        <v>1632.35</v>
      </c>
      <c r="O1999" s="116">
        <v>1590</v>
      </c>
      <c r="P1999" s="116">
        <v>1618.95</v>
      </c>
      <c r="Q1999" s="116">
        <v>1600.1</v>
      </c>
      <c r="R1999">
        <v>92154</v>
      </c>
    </row>
    <row r="2000" spans="1:18" x14ac:dyDescent="0.25">
      <c r="A2000" s="170">
        <v>44946</v>
      </c>
      <c r="B2000" s="116">
        <v>1598.55</v>
      </c>
      <c r="C2000" s="116">
        <v>1582.7</v>
      </c>
      <c r="D2000" s="116">
        <v>1569.45</v>
      </c>
      <c r="E2000" s="116">
        <v>1591.05</v>
      </c>
      <c r="F2000" s="116">
        <v>1582.7</v>
      </c>
      <c r="G2000">
        <v>2647</v>
      </c>
      <c r="H2000" s="116"/>
      <c r="I2000" s="116"/>
      <c r="L2000" s="170">
        <v>44946</v>
      </c>
      <c r="M2000" s="116">
        <v>1582.05</v>
      </c>
      <c r="N2000" s="116">
        <v>1600.55</v>
      </c>
      <c r="O2000" s="116">
        <v>1569.45</v>
      </c>
      <c r="P2000" s="116">
        <v>1600.1</v>
      </c>
      <c r="Q2000" s="116">
        <v>1582.05</v>
      </c>
      <c r="R2000">
        <v>221019</v>
      </c>
    </row>
    <row r="2001" spans="1:18" x14ac:dyDescent="0.25">
      <c r="A2001" s="170">
        <v>44949</v>
      </c>
      <c r="B2001" s="116">
        <v>1610.1</v>
      </c>
      <c r="C2001" s="116">
        <v>1596.4</v>
      </c>
      <c r="D2001" s="116">
        <v>1577.4</v>
      </c>
      <c r="E2001" s="116">
        <v>1585.05</v>
      </c>
      <c r="F2001" s="116">
        <v>1596.4</v>
      </c>
      <c r="G2001">
        <v>4996</v>
      </c>
      <c r="H2001" s="116"/>
      <c r="I2001" s="116"/>
      <c r="L2001" s="170">
        <v>44949</v>
      </c>
      <c r="M2001" s="116">
        <v>1597.6</v>
      </c>
      <c r="N2001" s="116">
        <v>1610.8</v>
      </c>
      <c r="O2001" s="116">
        <v>1577.65</v>
      </c>
      <c r="P2001" s="116">
        <v>1589.95</v>
      </c>
      <c r="Q2001" s="116">
        <v>1597.6</v>
      </c>
      <c r="R2001">
        <v>179999</v>
      </c>
    </row>
    <row r="2002" spans="1:18" x14ac:dyDescent="0.25">
      <c r="A2002" s="170">
        <v>44950</v>
      </c>
      <c r="B2002" s="116">
        <v>1607.5</v>
      </c>
      <c r="C2002" s="116">
        <v>1586.95</v>
      </c>
      <c r="D2002" s="116">
        <v>1579.9</v>
      </c>
      <c r="E2002" s="116">
        <v>1597.05</v>
      </c>
      <c r="F2002" s="116">
        <v>1586.95</v>
      </c>
      <c r="G2002">
        <v>2053</v>
      </c>
      <c r="H2002" s="116"/>
      <c r="I2002" s="116"/>
      <c r="L2002" s="170">
        <v>44950</v>
      </c>
      <c r="M2002" s="116">
        <v>1584.65</v>
      </c>
      <c r="N2002" s="116">
        <v>1607.6</v>
      </c>
      <c r="O2002" s="116">
        <v>1578.35</v>
      </c>
      <c r="P2002" s="116">
        <v>1605.6</v>
      </c>
      <c r="Q2002" s="116">
        <v>1584.65</v>
      </c>
      <c r="R2002">
        <v>127685</v>
      </c>
    </row>
    <row r="2003" spans="1:18" x14ac:dyDescent="0.25">
      <c r="A2003" s="170">
        <v>44951</v>
      </c>
      <c r="B2003" s="116">
        <v>1588.45</v>
      </c>
      <c r="C2003" s="116">
        <v>1557.5</v>
      </c>
      <c r="D2003" s="116">
        <v>1549.55</v>
      </c>
      <c r="E2003" s="116">
        <v>1575.55</v>
      </c>
      <c r="F2003" s="116">
        <v>1557.5</v>
      </c>
      <c r="G2003">
        <v>7396</v>
      </c>
      <c r="H2003" s="116"/>
      <c r="I2003" s="116"/>
      <c r="L2003" s="170">
        <v>44951</v>
      </c>
      <c r="M2003" s="116">
        <v>1556.75</v>
      </c>
      <c r="N2003" s="116">
        <v>1589.9</v>
      </c>
      <c r="O2003" s="116">
        <v>1548.55</v>
      </c>
      <c r="P2003" s="116">
        <v>1585.7</v>
      </c>
      <c r="Q2003" s="116">
        <v>1556.75</v>
      </c>
      <c r="R2003">
        <v>158709</v>
      </c>
    </row>
    <row r="2004" spans="1:18" x14ac:dyDescent="0.25">
      <c r="A2004" s="170">
        <v>44953</v>
      </c>
      <c r="B2004" s="116">
        <v>1552.85</v>
      </c>
      <c r="C2004" s="116">
        <v>1537.8</v>
      </c>
      <c r="D2004" s="116">
        <v>1507.35</v>
      </c>
      <c r="E2004" s="116">
        <v>1550.05</v>
      </c>
      <c r="F2004" s="116">
        <v>1537.8</v>
      </c>
      <c r="G2004">
        <v>7013</v>
      </c>
      <c r="H2004" s="116"/>
      <c r="I2004" s="116"/>
      <c r="L2004" s="170">
        <v>44953</v>
      </c>
      <c r="M2004" s="116">
        <v>1537.4</v>
      </c>
      <c r="N2004" s="116">
        <v>1553</v>
      </c>
      <c r="O2004" s="116">
        <v>1507.5</v>
      </c>
      <c r="P2004" s="116">
        <v>1553</v>
      </c>
      <c r="Q2004" s="116">
        <v>1537.4</v>
      </c>
      <c r="R2004">
        <v>244424</v>
      </c>
    </row>
    <row r="2005" spans="1:18" x14ac:dyDescent="0.25">
      <c r="A2005" s="170">
        <v>44956</v>
      </c>
      <c r="B2005" s="116">
        <v>1560.9</v>
      </c>
      <c r="C2005" s="116">
        <v>1547.65</v>
      </c>
      <c r="D2005" s="116">
        <v>1507.05</v>
      </c>
      <c r="E2005" s="116">
        <v>1507.05</v>
      </c>
      <c r="F2005" s="116">
        <v>1547.65</v>
      </c>
      <c r="G2005">
        <v>2852</v>
      </c>
      <c r="H2005" s="116"/>
      <c r="I2005" s="116"/>
      <c r="L2005" s="170">
        <v>44956</v>
      </c>
      <c r="M2005" s="116">
        <v>1547.9</v>
      </c>
      <c r="N2005" s="116">
        <v>1564.75</v>
      </c>
      <c r="O2005" s="116">
        <v>1532.55</v>
      </c>
      <c r="P2005" s="116">
        <v>1542.85</v>
      </c>
      <c r="Q2005" s="116">
        <v>1547.9</v>
      </c>
      <c r="R2005">
        <v>352768</v>
      </c>
    </row>
    <row r="2006" spans="1:18" x14ac:dyDescent="0.25">
      <c r="A2006" s="170">
        <v>44957</v>
      </c>
      <c r="B2006" s="116">
        <v>1555.3</v>
      </c>
      <c r="C2006" s="116">
        <v>1521.45</v>
      </c>
      <c r="D2006" s="116">
        <v>1511.6</v>
      </c>
      <c r="E2006" s="116">
        <v>1550</v>
      </c>
      <c r="F2006" s="116">
        <v>1521.45</v>
      </c>
      <c r="G2006">
        <v>7039</v>
      </c>
      <c r="H2006" s="116"/>
      <c r="I2006" s="116"/>
      <c r="L2006" s="170">
        <v>44957</v>
      </c>
      <c r="M2006" s="116">
        <v>1521.75</v>
      </c>
      <c r="N2006" s="116">
        <v>1559.4</v>
      </c>
      <c r="O2006" s="116">
        <v>1512.2</v>
      </c>
      <c r="P2006" s="116">
        <v>1556</v>
      </c>
      <c r="Q2006" s="116">
        <v>1521.75</v>
      </c>
      <c r="R2006">
        <v>376971</v>
      </c>
    </row>
    <row r="2007" spans="1:18" x14ac:dyDescent="0.25">
      <c r="A2007" s="170">
        <v>44958</v>
      </c>
      <c r="B2007" s="116">
        <v>1543.85</v>
      </c>
      <c r="C2007" s="116">
        <v>1533.7</v>
      </c>
      <c r="D2007" s="116">
        <v>1514.9</v>
      </c>
      <c r="E2007" s="116">
        <v>1524.65</v>
      </c>
      <c r="F2007" s="116">
        <v>1533.7</v>
      </c>
      <c r="G2007">
        <v>3686</v>
      </c>
      <c r="H2007" s="116"/>
      <c r="I2007" s="116"/>
      <c r="L2007" s="170">
        <v>44958</v>
      </c>
      <c r="M2007" s="116">
        <v>1535.8</v>
      </c>
      <c r="N2007" s="116">
        <v>1548.8</v>
      </c>
      <c r="O2007" s="116">
        <v>1513.7</v>
      </c>
      <c r="P2007" s="116">
        <v>1529.8</v>
      </c>
      <c r="Q2007" s="116">
        <v>1535.8</v>
      </c>
      <c r="R2007">
        <v>436114</v>
      </c>
    </row>
    <row r="2008" spans="1:18" x14ac:dyDescent="0.25">
      <c r="A2008" s="170">
        <v>44959</v>
      </c>
      <c r="B2008" s="116">
        <v>1545.55</v>
      </c>
      <c r="C2008" s="116">
        <v>1540.7</v>
      </c>
      <c r="D2008" s="116">
        <v>1518.75</v>
      </c>
      <c r="E2008" s="116">
        <v>1520.8</v>
      </c>
      <c r="F2008" s="116">
        <v>1540.7</v>
      </c>
      <c r="G2008">
        <v>1080</v>
      </c>
      <c r="H2008" s="116"/>
      <c r="I2008" s="116"/>
      <c r="L2008" s="170">
        <v>44959</v>
      </c>
      <c r="M2008" s="116">
        <v>1541.05</v>
      </c>
      <c r="N2008" s="116">
        <v>1546.75</v>
      </c>
      <c r="O2008" s="116">
        <v>1517.6</v>
      </c>
      <c r="P2008" s="116">
        <v>1525.4</v>
      </c>
      <c r="Q2008" s="116">
        <v>1541.05</v>
      </c>
      <c r="R2008">
        <v>257833</v>
      </c>
    </row>
    <row r="2009" spans="1:18" x14ac:dyDescent="0.25">
      <c r="A2009" s="170">
        <v>44960</v>
      </c>
      <c r="B2009" s="116">
        <v>1545</v>
      </c>
      <c r="C2009" s="116">
        <v>1532.2</v>
      </c>
      <c r="D2009" s="116">
        <v>1518.4</v>
      </c>
      <c r="E2009" s="116">
        <v>1518.4</v>
      </c>
      <c r="F2009" s="116">
        <v>1532.2</v>
      </c>
      <c r="G2009">
        <v>871</v>
      </c>
      <c r="H2009" s="116"/>
      <c r="I2009" s="116"/>
      <c r="L2009" s="170">
        <v>44960</v>
      </c>
      <c r="M2009" s="116">
        <v>1531.9</v>
      </c>
      <c r="N2009" s="116">
        <v>1550</v>
      </c>
      <c r="O2009" s="116">
        <v>1522.9</v>
      </c>
      <c r="P2009" s="116">
        <v>1537</v>
      </c>
      <c r="Q2009" s="116">
        <v>1531.9</v>
      </c>
      <c r="R2009">
        <v>143346</v>
      </c>
    </row>
    <row r="2010" spans="1:18" x14ac:dyDescent="0.25">
      <c r="A2010" s="170">
        <v>44963</v>
      </c>
      <c r="B2010" s="116">
        <v>1550</v>
      </c>
      <c r="C2010" s="116">
        <v>1539.8</v>
      </c>
      <c r="D2010" s="116">
        <v>1525.7</v>
      </c>
      <c r="E2010" s="116">
        <v>1532.2</v>
      </c>
      <c r="F2010" s="116">
        <v>1539.8</v>
      </c>
      <c r="G2010">
        <v>5617</v>
      </c>
      <c r="H2010" s="116"/>
      <c r="I2010" s="116"/>
      <c r="L2010" s="170">
        <v>44963</v>
      </c>
      <c r="M2010" s="116">
        <v>1543.6</v>
      </c>
      <c r="N2010" s="116">
        <v>1550.75</v>
      </c>
      <c r="O2010" s="116">
        <v>1525.05</v>
      </c>
      <c r="P2010" s="116">
        <v>1530.95</v>
      </c>
      <c r="Q2010" s="116">
        <v>1543.6</v>
      </c>
      <c r="R2010">
        <v>145106</v>
      </c>
    </row>
    <row r="2011" spans="1:18" x14ac:dyDescent="0.25">
      <c r="A2011" s="170">
        <v>44964</v>
      </c>
      <c r="B2011" s="116">
        <v>1549.55</v>
      </c>
      <c r="C2011" s="116">
        <v>1535.05</v>
      </c>
      <c r="D2011" s="116">
        <v>1527.45</v>
      </c>
      <c r="E2011" s="116">
        <v>1546.25</v>
      </c>
      <c r="F2011" s="116">
        <v>1535.05</v>
      </c>
      <c r="G2011">
        <v>1214</v>
      </c>
      <c r="H2011" s="116"/>
      <c r="I2011" s="116"/>
      <c r="L2011" s="170">
        <v>44964</v>
      </c>
      <c r="M2011" s="116">
        <v>1536.1</v>
      </c>
      <c r="N2011" s="116">
        <v>1550.5</v>
      </c>
      <c r="O2011" s="116">
        <v>1524.1</v>
      </c>
      <c r="P2011" s="116">
        <v>1550</v>
      </c>
      <c r="Q2011" s="116">
        <v>1536.1</v>
      </c>
      <c r="R2011">
        <v>85858</v>
      </c>
    </row>
    <row r="2012" spans="1:18" x14ac:dyDescent="0.25">
      <c r="A2012" s="170">
        <v>44965</v>
      </c>
      <c r="B2012" s="116">
        <v>1579.85</v>
      </c>
      <c r="C2012" s="116">
        <v>1556.4</v>
      </c>
      <c r="D2012" s="116">
        <v>1532.9</v>
      </c>
      <c r="E2012" s="116">
        <v>1579.85</v>
      </c>
      <c r="F2012" s="116">
        <v>1556.4</v>
      </c>
      <c r="G2012">
        <v>1402</v>
      </c>
      <c r="H2012" s="116"/>
      <c r="I2012" s="116"/>
      <c r="L2012" s="170">
        <v>44965</v>
      </c>
      <c r="M2012" s="116">
        <v>1556.65</v>
      </c>
      <c r="N2012" s="116">
        <v>1559.25</v>
      </c>
      <c r="O2012" s="116">
        <v>1530.3</v>
      </c>
      <c r="P2012" s="116">
        <v>1536.1</v>
      </c>
      <c r="Q2012" s="116">
        <v>1556.65</v>
      </c>
      <c r="R2012">
        <v>78303</v>
      </c>
    </row>
    <row r="2013" spans="1:18" x14ac:dyDescent="0.25">
      <c r="A2013" s="170">
        <v>44966</v>
      </c>
      <c r="B2013" s="116">
        <v>1570.35</v>
      </c>
      <c r="C2013" s="116">
        <v>1541.45</v>
      </c>
      <c r="D2013" s="116">
        <v>1538.9</v>
      </c>
      <c r="E2013" s="116">
        <v>1540.7</v>
      </c>
      <c r="F2013" s="116">
        <v>1541.45</v>
      </c>
      <c r="G2013">
        <v>1629</v>
      </c>
      <c r="H2013" s="116"/>
      <c r="I2013" s="116"/>
      <c r="L2013" s="170">
        <v>44966</v>
      </c>
      <c r="M2013" s="116">
        <v>1540.2</v>
      </c>
      <c r="N2013" s="116">
        <v>1572.05</v>
      </c>
      <c r="O2013" s="116">
        <v>1537</v>
      </c>
      <c r="P2013" s="116">
        <v>1542.5</v>
      </c>
      <c r="Q2013" s="116">
        <v>1540.2</v>
      </c>
      <c r="R2013">
        <v>119413</v>
      </c>
    </row>
    <row r="2014" spans="1:18" x14ac:dyDescent="0.25">
      <c r="A2014" s="170">
        <v>44967</v>
      </c>
      <c r="B2014" s="116">
        <v>1538</v>
      </c>
      <c r="C2014" s="116">
        <v>1523</v>
      </c>
      <c r="D2014" s="116">
        <v>1515.15</v>
      </c>
      <c r="E2014" s="116">
        <v>1538</v>
      </c>
      <c r="F2014" s="116">
        <v>1523</v>
      </c>
      <c r="G2014">
        <v>1206</v>
      </c>
      <c r="H2014" s="116"/>
      <c r="I2014" s="116"/>
      <c r="L2014" s="170">
        <v>44967</v>
      </c>
      <c r="M2014" s="116">
        <v>1520.85</v>
      </c>
      <c r="N2014" s="116">
        <v>1538.25</v>
      </c>
      <c r="O2014" s="116">
        <v>1515</v>
      </c>
      <c r="P2014" s="116">
        <v>1534</v>
      </c>
      <c r="Q2014" s="116">
        <v>1520.85</v>
      </c>
      <c r="R2014">
        <v>142118</v>
      </c>
    </row>
    <row r="2015" spans="1:18" x14ac:dyDescent="0.25">
      <c r="A2015" s="170">
        <v>44970</v>
      </c>
      <c r="B2015" s="116">
        <v>1526.9</v>
      </c>
      <c r="C2015" s="116">
        <v>1515.25</v>
      </c>
      <c r="D2015" s="116">
        <v>1512.15</v>
      </c>
      <c r="E2015" s="116">
        <v>1515.05</v>
      </c>
      <c r="F2015" s="116">
        <v>1515.25</v>
      </c>
      <c r="G2015">
        <v>1285</v>
      </c>
      <c r="H2015" s="116"/>
      <c r="I2015" s="116"/>
      <c r="L2015" s="170">
        <v>44970</v>
      </c>
      <c r="M2015" s="116">
        <v>1514.85</v>
      </c>
      <c r="N2015" s="116">
        <v>1527.6</v>
      </c>
      <c r="O2015" s="116">
        <v>1511</v>
      </c>
      <c r="P2015" s="116">
        <v>1521</v>
      </c>
      <c r="Q2015" s="116">
        <v>1514.85</v>
      </c>
      <c r="R2015">
        <v>103613</v>
      </c>
    </row>
    <row r="2016" spans="1:18" x14ac:dyDescent="0.25">
      <c r="A2016" s="170">
        <v>44971</v>
      </c>
      <c r="B2016" s="116">
        <v>1526.95</v>
      </c>
      <c r="C2016" s="116">
        <v>1511.45</v>
      </c>
      <c r="D2016" s="116">
        <v>1503.05</v>
      </c>
      <c r="E2016" s="116">
        <v>1503.05</v>
      </c>
      <c r="F2016" s="116">
        <v>1511.45</v>
      </c>
      <c r="G2016">
        <v>2029</v>
      </c>
      <c r="H2016" s="116"/>
      <c r="I2016" s="116"/>
      <c r="L2016" s="170">
        <v>44971</v>
      </c>
      <c r="M2016" s="116">
        <v>1512.95</v>
      </c>
      <c r="N2016" s="116">
        <v>1527.85</v>
      </c>
      <c r="O2016" s="116">
        <v>1508.7</v>
      </c>
      <c r="P2016" s="116">
        <v>1521.4</v>
      </c>
      <c r="Q2016" s="116">
        <v>1512.95</v>
      </c>
      <c r="R2016">
        <v>267626</v>
      </c>
    </row>
    <row r="2017" spans="1:18" x14ac:dyDescent="0.25">
      <c r="A2017" s="170">
        <v>44972</v>
      </c>
      <c r="B2017" s="116">
        <v>1518.9</v>
      </c>
      <c r="C2017" s="116">
        <v>1512.35</v>
      </c>
      <c r="D2017" s="116">
        <v>1485.8</v>
      </c>
      <c r="E2017" s="116">
        <v>1512.85</v>
      </c>
      <c r="F2017" s="116">
        <v>1512.35</v>
      </c>
      <c r="G2017">
        <v>2449</v>
      </c>
      <c r="H2017" s="116"/>
      <c r="I2017" s="116"/>
      <c r="L2017" s="170">
        <v>44972</v>
      </c>
      <c r="M2017" s="116">
        <v>1512.3</v>
      </c>
      <c r="N2017" s="116">
        <v>1518.9</v>
      </c>
      <c r="O2017" s="116">
        <v>1485</v>
      </c>
      <c r="P2017" s="116">
        <v>1512.95</v>
      </c>
      <c r="Q2017" s="116">
        <v>1512.3</v>
      </c>
      <c r="R2017">
        <v>437202</v>
      </c>
    </row>
    <row r="2018" spans="1:18" x14ac:dyDescent="0.25">
      <c r="A2018" s="170">
        <v>44973</v>
      </c>
      <c r="B2018" s="116">
        <v>1526.7</v>
      </c>
      <c r="C2018" s="116">
        <v>1509</v>
      </c>
      <c r="D2018" s="116">
        <v>1503.45</v>
      </c>
      <c r="E2018" s="116">
        <v>1512.1</v>
      </c>
      <c r="F2018" s="116">
        <v>1509</v>
      </c>
      <c r="G2018">
        <v>5075</v>
      </c>
      <c r="H2018" s="116"/>
      <c r="I2018" s="116"/>
      <c r="L2018" s="170">
        <v>44973</v>
      </c>
      <c r="M2018" s="116">
        <v>1510.05</v>
      </c>
      <c r="N2018" s="116">
        <v>1529</v>
      </c>
      <c r="O2018" s="116">
        <v>1503.05</v>
      </c>
      <c r="P2018" s="116">
        <v>1516.85</v>
      </c>
      <c r="Q2018" s="116">
        <v>1510.05</v>
      </c>
      <c r="R2018">
        <v>115842</v>
      </c>
    </row>
    <row r="2019" spans="1:18" x14ac:dyDescent="0.25">
      <c r="A2019" s="170">
        <v>44974</v>
      </c>
      <c r="B2019" s="116">
        <v>1502.5</v>
      </c>
      <c r="C2019" s="116">
        <v>1489.75</v>
      </c>
      <c r="D2019" s="116">
        <v>1488</v>
      </c>
      <c r="E2019" s="116">
        <v>1496</v>
      </c>
      <c r="F2019" s="116">
        <v>1489.75</v>
      </c>
      <c r="G2019">
        <v>2639</v>
      </c>
      <c r="H2019" s="116"/>
      <c r="I2019" s="116"/>
      <c r="L2019" s="170">
        <v>44974</v>
      </c>
      <c r="M2019" s="116">
        <v>1489.75</v>
      </c>
      <c r="N2019" s="116">
        <v>1502.8</v>
      </c>
      <c r="O2019" s="116">
        <v>1486</v>
      </c>
      <c r="P2019" s="116">
        <v>1501.55</v>
      </c>
      <c r="Q2019" s="116">
        <v>1489.75</v>
      </c>
      <c r="R2019">
        <v>105007</v>
      </c>
    </row>
    <row r="2020" spans="1:18" x14ac:dyDescent="0.25">
      <c r="A2020" s="170">
        <v>44977</v>
      </c>
      <c r="B2020" s="116">
        <v>1495.9</v>
      </c>
      <c r="C2020" s="116">
        <v>1482.45</v>
      </c>
      <c r="D2020" s="116">
        <v>1472.95</v>
      </c>
      <c r="E2020" s="116">
        <v>1486.05</v>
      </c>
      <c r="F2020" s="116">
        <v>1482.45</v>
      </c>
      <c r="G2020">
        <v>1538</v>
      </c>
      <c r="H2020" s="116"/>
      <c r="I2020" s="116"/>
      <c r="L2020" s="170">
        <v>44977</v>
      </c>
      <c r="M2020" s="116">
        <v>1481.85</v>
      </c>
      <c r="N2020" s="116">
        <v>1498.45</v>
      </c>
      <c r="O2020" s="116">
        <v>1471.9</v>
      </c>
      <c r="P2020" s="116">
        <v>1492.95</v>
      </c>
      <c r="Q2020" s="116">
        <v>1481.85</v>
      </c>
      <c r="R2020">
        <v>168588</v>
      </c>
    </row>
    <row r="2021" spans="1:18" x14ac:dyDescent="0.25">
      <c r="A2021" s="170">
        <v>44978</v>
      </c>
      <c r="B2021" s="116">
        <v>1495.9</v>
      </c>
      <c r="C2021" s="116">
        <v>1484.55</v>
      </c>
      <c r="D2021" s="116">
        <v>1476.75</v>
      </c>
      <c r="E2021" s="116">
        <v>1484.85</v>
      </c>
      <c r="F2021" s="116">
        <v>1484.55</v>
      </c>
      <c r="G2021">
        <v>4213</v>
      </c>
      <c r="H2021" s="116"/>
      <c r="I2021" s="116"/>
      <c r="L2021" s="170">
        <v>44978</v>
      </c>
      <c r="M2021" s="116">
        <v>1484.95</v>
      </c>
      <c r="N2021" s="116">
        <v>1496.55</v>
      </c>
      <c r="O2021" s="116">
        <v>1475.9</v>
      </c>
      <c r="P2021" s="116">
        <v>1484.85</v>
      </c>
      <c r="Q2021" s="116">
        <v>1484.95</v>
      </c>
      <c r="R2021">
        <v>310436</v>
      </c>
    </row>
    <row r="2022" spans="1:18" x14ac:dyDescent="0.25">
      <c r="A2022" s="170">
        <v>44979</v>
      </c>
      <c r="B2022" s="116">
        <v>1491.9</v>
      </c>
      <c r="C2022" s="116">
        <v>1481.2</v>
      </c>
      <c r="D2022" s="116">
        <v>1476.95</v>
      </c>
      <c r="E2022" s="116">
        <v>1485.05</v>
      </c>
      <c r="F2022" s="116">
        <v>1481.2</v>
      </c>
      <c r="G2022">
        <v>2542</v>
      </c>
      <c r="H2022" s="116"/>
      <c r="I2022" s="116"/>
      <c r="L2022" s="170">
        <v>44979</v>
      </c>
      <c r="M2022" s="116">
        <v>1480.95</v>
      </c>
      <c r="N2022" s="116">
        <v>1493.4</v>
      </c>
      <c r="O2022" s="116">
        <v>1476.35</v>
      </c>
      <c r="P2022" s="116">
        <v>1485</v>
      </c>
      <c r="Q2022" s="116">
        <v>1480.95</v>
      </c>
      <c r="R2022">
        <v>148246</v>
      </c>
    </row>
    <row r="2023" spans="1:18" x14ac:dyDescent="0.25">
      <c r="A2023" s="170">
        <v>44980</v>
      </c>
      <c r="B2023" s="116">
        <v>1492.85</v>
      </c>
      <c r="C2023" s="116">
        <v>1480.5</v>
      </c>
      <c r="D2023" s="116">
        <v>1475</v>
      </c>
      <c r="E2023" s="116">
        <v>1478.9</v>
      </c>
      <c r="F2023" s="116">
        <v>1480.5</v>
      </c>
      <c r="G2023">
        <v>2400</v>
      </c>
      <c r="H2023" s="116"/>
      <c r="I2023" s="116"/>
      <c r="L2023" s="170">
        <v>44980</v>
      </c>
      <c r="M2023" s="116">
        <v>1481.45</v>
      </c>
      <c r="N2023" s="116">
        <v>1493</v>
      </c>
      <c r="O2023" s="116">
        <v>1473.6</v>
      </c>
      <c r="P2023" s="116">
        <v>1487.45</v>
      </c>
      <c r="Q2023" s="116">
        <v>1481.45</v>
      </c>
      <c r="R2023">
        <v>253964</v>
      </c>
    </row>
    <row r="2024" spans="1:18" x14ac:dyDescent="0.25">
      <c r="A2024" s="170">
        <v>44981</v>
      </c>
      <c r="B2024" s="116">
        <v>1508.9</v>
      </c>
      <c r="C2024" s="116">
        <v>1483.6</v>
      </c>
      <c r="D2024" s="116">
        <v>1468.55</v>
      </c>
      <c r="E2024" s="116">
        <v>1470.1</v>
      </c>
      <c r="F2024" s="116">
        <v>1483.6</v>
      </c>
      <c r="G2024">
        <v>5804</v>
      </c>
      <c r="H2024" s="116"/>
      <c r="I2024" s="116"/>
      <c r="L2024" s="170">
        <v>44981</v>
      </c>
      <c r="M2024" s="116">
        <v>1480.45</v>
      </c>
      <c r="N2024" s="116">
        <v>1509</v>
      </c>
      <c r="O2024" s="116">
        <v>1468</v>
      </c>
      <c r="P2024" s="116">
        <v>1485</v>
      </c>
      <c r="Q2024" s="116">
        <v>1480.45</v>
      </c>
      <c r="R2024">
        <v>347348</v>
      </c>
    </row>
    <row r="2025" spans="1:18" x14ac:dyDescent="0.25">
      <c r="A2025" s="170">
        <v>44984</v>
      </c>
      <c r="B2025" s="116">
        <v>1489.4</v>
      </c>
      <c r="C2025" s="116">
        <v>1478.35</v>
      </c>
      <c r="D2025" s="116">
        <v>1470.75</v>
      </c>
      <c r="E2025" s="116">
        <v>1481.8</v>
      </c>
      <c r="F2025" s="116">
        <v>1478.35</v>
      </c>
      <c r="G2025">
        <v>5261</v>
      </c>
      <c r="H2025" s="116"/>
      <c r="I2025" s="116"/>
      <c r="L2025" s="170">
        <v>44984</v>
      </c>
      <c r="M2025" s="116">
        <v>1477.35</v>
      </c>
      <c r="N2025" s="116">
        <v>1490.15</v>
      </c>
      <c r="O2025" s="116">
        <v>1469.9</v>
      </c>
      <c r="P2025" s="116">
        <v>1480.3</v>
      </c>
      <c r="Q2025" s="116">
        <v>1477.35</v>
      </c>
      <c r="R2025">
        <v>255798</v>
      </c>
    </row>
    <row r="2026" spans="1:18" x14ac:dyDescent="0.25">
      <c r="A2026" s="170">
        <v>44985</v>
      </c>
      <c r="B2026" s="116">
        <v>1496.9</v>
      </c>
      <c r="C2026" s="116">
        <v>1460.45</v>
      </c>
      <c r="D2026" s="116">
        <v>1454.3</v>
      </c>
      <c r="E2026" s="116">
        <v>1461.05</v>
      </c>
      <c r="F2026" s="116">
        <v>1460.45</v>
      </c>
      <c r="G2026">
        <v>6248</v>
      </c>
      <c r="H2026" s="116"/>
      <c r="I2026" s="116"/>
      <c r="L2026" s="170">
        <v>44985</v>
      </c>
      <c r="M2026" s="116">
        <v>1459.85</v>
      </c>
      <c r="N2026" s="116">
        <v>1497.35</v>
      </c>
      <c r="O2026" s="116">
        <v>1454</v>
      </c>
      <c r="P2026" s="116">
        <v>1476</v>
      </c>
      <c r="Q2026" s="116">
        <v>1459.85</v>
      </c>
      <c r="R2026">
        <v>457718</v>
      </c>
    </row>
    <row r="2027" spans="1:18" x14ac:dyDescent="0.25">
      <c r="A2027" s="170">
        <v>44986</v>
      </c>
      <c r="B2027" s="116">
        <v>1479</v>
      </c>
      <c r="C2027" s="116">
        <v>1475.55</v>
      </c>
      <c r="D2027" s="116">
        <v>1446.15</v>
      </c>
      <c r="E2027" s="116">
        <v>1459.95</v>
      </c>
      <c r="F2027" s="116">
        <v>1475.55</v>
      </c>
      <c r="G2027">
        <v>3791</v>
      </c>
      <c r="H2027" s="116"/>
      <c r="I2027" s="116"/>
      <c r="L2027" s="170">
        <v>44986</v>
      </c>
      <c r="M2027" s="116">
        <v>1475.35</v>
      </c>
      <c r="N2027" s="116">
        <v>1478.5</v>
      </c>
      <c r="O2027" s="116">
        <v>1445.55</v>
      </c>
      <c r="P2027" s="116">
        <v>1451.3</v>
      </c>
      <c r="Q2027" s="116">
        <v>1475.35</v>
      </c>
      <c r="R2027">
        <v>382705</v>
      </c>
    </row>
    <row r="2028" spans="1:18" x14ac:dyDescent="0.25">
      <c r="A2028" s="170">
        <v>44987</v>
      </c>
      <c r="B2028" s="116">
        <v>1506.45</v>
      </c>
      <c r="C2028" s="116">
        <v>1499.6</v>
      </c>
      <c r="D2028" s="116">
        <v>1475</v>
      </c>
      <c r="E2028" s="116">
        <v>1475</v>
      </c>
      <c r="F2028" s="116">
        <v>1499.6</v>
      </c>
      <c r="G2028">
        <v>5706</v>
      </c>
      <c r="H2028" s="116"/>
      <c r="I2028" s="116"/>
      <c r="L2028" s="170">
        <v>44987</v>
      </c>
      <c r="M2028" s="116">
        <v>1500.2</v>
      </c>
      <c r="N2028" s="116">
        <v>1506.25</v>
      </c>
      <c r="O2028" s="116">
        <v>1474.75</v>
      </c>
      <c r="P2028" s="116">
        <v>1475</v>
      </c>
      <c r="Q2028" s="116">
        <v>1500.2</v>
      </c>
      <c r="R2028">
        <v>466607</v>
      </c>
    </row>
    <row r="2029" spans="1:18" x14ac:dyDescent="0.25">
      <c r="A2029" s="170">
        <v>44988</v>
      </c>
      <c r="B2029" s="116">
        <v>1504.75</v>
      </c>
      <c r="C2029" s="116">
        <v>1492.95</v>
      </c>
      <c r="D2029" s="116">
        <v>1485.9</v>
      </c>
      <c r="E2029" s="116">
        <v>1502.9</v>
      </c>
      <c r="F2029" s="116">
        <v>1492.95</v>
      </c>
      <c r="G2029">
        <v>4686</v>
      </c>
      <c r="H2029" s="116"/>
      <c r="I2029" s="116"/>
      <c r="L2029" s="170">
        <v>44988</v>
      </c>
      <c r="M2029" s="116">
        <v>1493.25</v>
      </c>
      <c r="N2029" s="116">
        <v>1505.55</v>
      </c>
      <c r="O2029" s="116">
        <v>1486.8</v>
      </c>
      <c r="P2029" s="116">
        <v>1505.55</v>
      </c>
      <c r="Q2029" s="116">
        <v>1493.25</v>
      </c>
      <c r="R2029">
        <v>277747</v>
      </c>
    </row>
    <row r="2030" spans="1:18" x14ac:dyDescent="0.25">
      <c r="A2030" s="170">
        <v>44991</v>
      </c>
      <c r="B2030" s="116">
        <v>1514.65</v>
      </c>
      <c r="C2030" s="116">
        <v>1501.2</v>
      </c>
      <c r="D2030" s="116">
        <v>1470.05</v>
      </c>
      <c r="E2030" s="116">
        <v>1470.05</v>
      </c>
      <c r="F2030" s="116">
        <v>1501.2</v>
      </c>
      <c r="G2030">
        <v>1397</v>
      </c>
      <c r="H2030" s="116"/>
      <c r="I2030" s="116"/>
      <c r="L2030" s="170">
        <v>44991</v>
      </c>
      <c r="M2030" s="116">
        <v>1502.45</v>
      </c>
      <c r="N2030" s="116">
        <v>1515</v>
      </c>
      <c r="O2030" s="116">
        <v>1483.4</v>
      </c>
      <c r="P2030" s="116">
        <v>1494.95</v>
      </c>
      <c r="Q2030" s="116">
        <v>1502.45</v>
      </c>
      <c r="R2030">
        <v>241546</v>
      </c>
    </row>
    <row r="2031" spans="1:18" x14ac:dyDescent="0.25">
      <c r="A2031" s="170">
        <v>44993</v>
      </c>
      <c r="B2031" s="116">
        <v>1520.75</v>
      </c>
      <c r="C2031" s="116">
        <v>1513.55</v>
      </c>
      <c r="D2031" s="116">
        <v>1493.7</v>
      </c>
      <c r="E2031" s="116">
        <v>1501.2</v>
      </c>
      <c r="F2031" s="116">
        <v>1513.55</v>
      </c>
      <c r="G2031">
        <v>1600</v>
      </c>
      <c r="H2031" s="116"/>
      <c r="I2031" s="116"/>
      <c r="L2031" s="170">
        <v>44993</v>
      </c>
      <c r="M2031" s="116">
        <v>1513.65</v>
      </c>
      <c r="N2031" s="116">
        <v>1519.9</v>
      </c>
      <c r="O2031" s="116">
        <v>1493.35</v>
      </c>
      <c r="P2031" s="116">
        <v>1499.2</v>
      </c>
      <c r="Q2031" s="116">
        <v>1513.65</v>
      </c>
      <c r="R2031">
        <v>152088</v>
      </c>
    </row>
    <row r="2032" spans="1:18" x14ac:dyDescent="0.25">
      <c r="A2032" s="170">
        <v>44994</v>
      </c>
      <c r="B2032" s="116">
        <v>1524.2</v>
      </c>
      <c r="C2032" s="116">
        <v>1499.45</v>
      </c>
      <c r="D2032" s="116">
        <v>1497.25</v>
      </c>
      <c r="E2032" s="116">
        <v>1515.3</v>
      </c>
      <c r="F2032" s="116">
        <v>1499.45</v>
      </c>
      <c r="G2032">
        <v>1811</v>
      </c>
      <c r="H2032" s="116"/>
      <c r="I2032" s="116"/>
      <c r="L2032" s="170">
        <v>44994</v>
      </c>
      <c r="M2032" s="116">
        <v>1498.45</v>
      </c>
      <c r="N2032" s="116">
        <v>1524.05</v>
      </c>
      <c r="O2032" s="116">
        <v>1496.3</v>
      </c>
      <c r="P2032" s="116">
        <v>1519.55</v>
      </c>
      <c r="Q2032" s="116">
        <v>1498.45</v>
      </c>
      <c r="R2032">
        <v>105587</v>
      </c>
    </row>
    <row r="2033" spans="1:18" x14ac:dyDescent="0.25">
      <c r="A2033" s="170">
        <v>44995</v>
      </c>
      <c r="B2033" s="116">
        <v>1515.15</v>
      </c>
      <c r="C2033" s="116">
        <v>1511.45</v>
      </c>
      <c r="D2033" s="116">
        <v>1486</v>
      </c>
      <c r="E2033" s="116">
        <v>1496.2</v>
      </c>
      <c r="F2033" s="116">
        <v>1511.45</v>
      </c>
      <c r="G2033">
        <v>2586</v>
      </c>
      <c r="H2033" s="116"/>
      <c r="I2033" s="116"/>
      <c r="L2033" s="170">
        <v>44995</v>
      </c>
      <c r="M2033" s="116">
        <v>1511.5</v>
      </c>
      <c r="N2033" s="116">
        <v>1514.95</v>
      </c>
      <c r="O2033" s="116">
        <v>1485</v>
      </c>
      <c r="P2033" s="116">
        <v>1496</v>
      </c>
      <c r="Q2033" s="116">
        <v>1511.5</v>
      </c>
      <c r="R2033">
        <v>105191</v>
      </c>
    </row>
    <row r="2034" spans="1:18" x14ac:dyDescent="0.25">
      <c r="A2034" s="170">
        <v>44998</v>
      </c>
      <c r="B2034" s="116">
        <v>1530.75</v>
      </c>
      <c r="C2034" s="116">
        <v>1507.45</v>
      </c>
      <c r="D2034" s="116">
        <v>1501.4</v>
      </c>
      <c r="E2034" s="116">
        <v>1514.3</v>
      </c>
      <c r="F2034" s="116">
        <v>1507.45</v>
      </c>
      <c r="G2034">
        <v>2410</v>
      </c>
      <c r="H2034" s="116"/>
      <c r="I2034" s="116"/>
      <c r="L2034" s="170">
        <v>44998</v>
      </c>
      <c r="M2034" s="116">
        <v>1508.7</v>
      </c>
      <c r="N2034" s="116">
        <v>1531.55</v>
      </c>
      <c r="O2034" s="116">
        <v>1501.4</v>
      </c>
      <c r="P2034" s="116">
        <v>1514.9</v>
      </c>
      <c r="Q2034" s="116">
        <v>1508.7</v>
      </c>
      <c r="R2034">
        <v>214854</v>
      </c>
    </row>
    <row r="2035" spans="1:18" x14ac:dyDescent="0.25">
      <c r="A2035" s="170">
        <v>44999</v>
      </c>
      <c r="B2035" s="116">
        <v>1526.6</v>
      </c>
      <c r="C2035" s="116">
        <v>1520.05</v>
      </c>
      <c r="D2035" s="116">
        <v>1491.05</v>
      </c>
      <c r="E2035" s="116">
        <v>1491.05</v>
      </c>
      <c r="F2035" s="116">
        <v>1520.05</v>
      </c>
      <c r="G2035">
        <v>10972</v>
      </c>
      <c r="H2035" s="116"/>
      <c r="I2035" s="116"/>
      <c r="L2035" s="170">
        <v>44999</v>
      </c>
      <c r="M2035" s="116">
        <v>1520.6</v>
      </c>
      <c r="N2035" s="116">
        <v>1526.85</v>
      </c>
      <c r="O2035" s="116">
        <v>1496.45</v>
      </c>
      <c r="P2035" s="116">
        <v>1501.15</v>
      </c>
      <c r="Q2035" s="116">
        <v>1520.6</v>
      </c>
      <c r="R2035">
        <v>146943</v>
      </c>
    </row>
    <row r="2036" spans="1:18" x14ac:dyDescent="0.25">
      <c r="A2036" s="170">
        <v>45000</v>
      </c>
      <c r="B2036" s="116">
        <v>1562</v>
      </c>
      <c r="C2036" s="116">
        <v>1538.1</v>
      </c>
      <c r="D2036" s="116">
        <v>1515.05</v>
      </c>
      <c r="E2036" s="116">
        <v>1515.05</v>
      </c>
      <c r="F2036" s="116">
        <v>1538.1</v>
      </c>
      <c r="G2036">
        <v>5410</v>
      </c>
      <c r="H2036" s="116"/>
      <c r="I2036" s="116"/>
      <c r="L2036" s="170">
        <v>45000</v>
      </c>
      <c r="M2036" s="116">
        <v>1540.05</v>
      </c>
      <c r="N2036" s="116">
        <v>1563.9</v>
      </c>
      <c r="O2036" s="116">
        <v>1520.1</v>
      </c>
      <c r="P2036" s="116">
        <v>1529.4</v>
      </c>
      <c r="Q2036" s="116">
        <v>1540.05</v>
      </c>
      <c r="R2036">
        <v>616306</v>
      </c>
    </row>
    <row r="2037" spans="1:18" x14ac:dyDescent="0.25">
      <c r="A2037" s="170">
        <v>45001</v>
      </c>
      <c r="B2037" s="116">
        <v>1563</v>
      </c>
      <c r="C2037" s="116">
        <v>1552.9</v>
      </c>
      <c r="D2037" s="116">
        <v>1534.5</v>
      </c>
      <c r="E2037" s="116">
        <v>1539.05</v>
      </c>
      <c r="F2037" s="116">
        <v>1552.9</v>
      </c>
      <c r="G2037">
        <v>4990</v>
      </c>
      <c r="H2037" s="116"/>
      <c r="I2037" s="116"/>
      <c r="L2037" s="170">
        <v>45001</v>
      </c>
      <c r="M2037" s="116">
        <v>1551.65</v>
      </c>
      <c r="N2037" s="116">
        <v>1564.9</v>
      </c>
      <c r="O2037" s="116">
        <v>1533.2</v>
      </c>
      <c r="P2037" s="116">
        <v>1545.05</v>
      </c>
      <c r="Q2037" s="116">
        <v>1551.65</v>
      </c>
      <c r="R2037">
        <v>339468</v>
      </c>
    </row>
    <row r="2038" spans="1:18" x14ac:dyDescent="0.25">
      <c r="A2038" s="170">
        <v>45002</v>
      </c>
      <c r="B2038" s="116">
        <v>1554.1</v>
      </c>
      <c r="C2038" s="116">
        <v>1530.5</v>
      </c>
      <c r="D2038" s="116">
        <v>1524.55</v>
      </c>
      <c r="E2038" s="116">
        <v>1553.05</v>
      </c>
      <c r="F2038" s="116">
        <v>1530.5</v>
      </c>
      <c r="G2038">
        <v>5236</v>
      </c>
      <c r="H2038" s="116"/>
      <c r="I2038" s="116"/>
      <c r="L2038" s="170">
        <v>45002</v>
      </c>
      <c r="M2038" s="116">
        <v>1534</v>
      </c>
      <c r="N2038" s="116">
        <v>1558.4</v>
      </c>
      <c r="O2038" s="116">
        <v>1525</v>
      </c>
      <c r="P2038" s="116">
        <v>1558.4</v>
      </c>
      <c r="Q2038" s="116">
        <v>1534</v>
      </c>
      <c r="R2038">
        <v>408064</v>
      </c>
    </row>
    <row r="2039" spans="1:18" x14ac:dyDescent="0.25">
      <c r="A2039" s="170">
        <v>45005</v>
      </c>
      <c r="B2039" s="116">
        <v>1532.3</v>
      </c>
      <c r="C2039" s="116">
        <v>1522.1</v>
      </c>
      <c r="D2039" s="116">
        <v>1501.25</v>
      </c>
      <c r="E2039" s="116">
        <v>1532.25</v>
      </c>
      <c r="F2039" s="116">
        <v>1522.1</v>
      </c>
      <c r="G2039">
        <v>3730</v>
      </c>
      <c r="H2039" s="116"/>
      <c r="I2039" s="116"/>
      <c r="L2039" s="170">
        <v>45005</v>
      </c>
      <c r="M2039" s="116">
        <v>1521.7</v>
      </c>
      <c r="N2039" s="116">
        <v>1532</v>
      </c>
      <c r="O2039" s="116">
        <v>1501.45</v>
      </c>
      <c r="P2039" s="116">
        <v>1519.95</v>
      </c>
      <c r="Q2039" s="116">
        <v>1521.7</v>
      </c>
      <c r="R2039">
        <v>362501</v>
      </c>
    </row>
    <row r="2040" spans="1:18" x14ac:dyDescent="0.25">
      <c r="A2040" s="170">
        <v>45006</v>
      </c>
      <c r="B2040" s="116">
        <v>1528.35</v>
      </c>
      <c r="C2040" s="116">
        <v>1515.1</v>
      </c>
      <c r="D2040" s="116">
        <v>1504.95</v>
      </c>
      <c r="E2040" s="116">
        <v>1523.05</v>
      </c>
      <c r="F2040" s="116">
        <v>1515.1</v>
      </c>
      <c r="G2040">
        <v>2854</v>
      </c>
      <c r="H2040" s="116"/>
      <c r="I2040" s="116"/>
      <c r="L2040" s="170">
        <v>45006</v>
      </c>
      <c r="M2040" s="116">
        <v>1515</v>
      </c>
      <c r="N2040" s="116">
        <v>1532</v>
      </c>
      <c r="O2040" s="116">
        <v>1504.05</v>
      </c>
      <c r="P2040" s="116">
        <v>1528.4</v>
      </c>
      <c r="Q2040" s="116">
        <v>1515</v>
      </c>
      <c r="R2040">
        <v>220893</v>
      </c>
    </row>
    <row r="2041" spans="1:18" x14ac:dyDescent="0.25">
      <c r="A2041" s="170">
        <v>45007</v>
      </c>
      <c r="B2041" s="116">
        <v>1524.95</v>
      </c>
      <c r="C2041" s="116">
        <v>1518.95</v>
      </c>
      <c r="D2041" s="116">
        <v>1502.3</v>
      </c>
      <c r="E2041" s="116">
        <v>1524.95</v>
      </c>
      <c r="F2041" s="116">
        <v>1518.95</v>
      </c>
      <c r="G2041">
        <v>2738</v>
      </c>
      <c r="H2041" s="116"/>
      <c r="I2041" s="116"/>
      <c r="L2041" s="170">
        <v>45007</v>
      </c>
      <c r="M2041" s="116">
        <v>1518.6</v>
      </c>
      <c r="N2041" s="116">
        <v>1524.8</v>
      </c>
      <c r="O2041" s="116">
        <v>1501.55</v>
      </c>
      <c r="P2041" s="116">
        <v>1517.85</v>
      </c>
      <c r="Q2041" s="116">
        <v>1518.6</v>
      </c>
      <c r="R2041">
        <v>178301</v>
      </c>
    </row>
    <row r="2042" spans="1:18" x14ac:dyDescent="0.25">
      <c r="A2042" s="170">
        <v>45008</v>
      </c>
      <c r="B2042" s="116">
        <v>1538.6</v>
      </c>
      <c r="C2042" s="116">
        <v>1531.2</v>
      </c>
      <c r="D2042" s="116">
        <v>1513.6</v>
      </c>
      <c r="E2042" s="116">
        <v>1515.6</v>
      </c>
      <c r="F2042" s="116">
        <v>1531.2</v>
      </c>
      <c r="G2042">
        <v>2560</v>
      </c>
      <c r="H2042" s="116"/>
      <c r="I2042" s="116"/>
      <c r="L2042" s="170">
        <v>45008</v>
      </c>
      <c r="M2042" s="116">
        <v>1531.2</v>
      </c>
      <c r="N2042" s="116">
        <v>1540</v>
      </c>
      <c r="O2042" s="116">
        <v>1513.65</v>
      </c>
      <c r="P2042" s="116">
        <v>1518.6</v>
      </c>
      <c r="Q2042" s="116">
        <v>1531.2</v>
      </c>
      <c r="R2042">
        <v>87774</v>
      </c>
    </row>
    <row r="2043" spans="1:18" x14ac:dyDescent="0.25">
      <c r="A2043" s="170">
        <v>45009</v>
      </c>
      <c r="B2043" s="116">
        <v>1537.35</v>
      </c>
      <c r="C2043" s="116">
        <v>1518.1</v>
      </c>
      <c r="D2043" s="116">
        <v>1509.4</v>
      </c>
      <c r="E2043" s="116">
        <v>1520.05</v>
      </c>
      <c r="F2043" s="116">
        <v>1518.1</v>
      </c>
      <c r="G2043">
        <v>1662</v>
      </c>
      <c r="H2043" s="116"/>
      <c r="I2043" s="116"/>
      <c r="L2043" s="170">
        <v>45009</v>
      </c>
      <c r="M2043" s="116">
        <v>1517.9</v>
      </c>
      <c r="N2043" s="116">
        <v>1537.35</v>
      </c>
      <c r="O2043" s="116">
        <v>1508.85</v>
      </c>
      <c r="P2043" s="116">
        <v>1531</v>
      </c>
      <c r="Q2043" s="116">
        <v>1517.9</v>
      </c>
      <c r="R2043">
        <v>110379</v>
      </c>
    </row>
    <row r="2044" spans="1:18" x14ac:dyDescent="0.25">
      <c r="A2044" s="170">
        <v>45012</v>
      </c>
      <c r="B2044" s="116">
        <v>1545</v>
      </c>
      <c r="C2044" s="116">
        <v>1535</v>
      </c>
      <c r="D2044" s="116">
        <v>1509.05</v>
      </c>
      <c r="E2044" s="116">
        <v>1509.05</v>
      </c>
      <c r="F2044" s="116">
        <v>1535</v>
      </c>
      <c r="G2044">
        <v>2584</v>
      </c>
      <c r="H2044" s="116"/>
      <c r="I2044" s="116"/>
      <c r="L2044" s="170">
        <v>45012</v>
      </c>
      <c r="M2044" s="116">
        <v>1535.85</v>
      </c>
      <c r="N2044" s="116">
        <v>1545.95</v>
      </c>
      <c r="O2044" s="116">
        <v>1513.55</v>
      </c>
      <c r="P2044" s="116">
        <v>1517.9</v>
      </c>
      <c r="Q2044" s="116">
        <v>1535.85</v>
      </c>
      <c r="R2044">
        <v>115904</v>
      </c>
    </row>
    <row r="2045" spans="1:18" x14ac:dyDescent="0.25">
      <c r="A2045" s="170">
        <v>45013</v>
      </c>
      <c r="B2045" s="116">
        <v>1549</v>
      </c>
      <c r="C2045" s="116">
        <v>1543.5</v>
      </c>
      <c r="D2045" s="116">
        <v>1526.35</v>
      </c>
      <c r="E2045" s="116">
        <v>1539.6</v>
      </c>
      <c r="F2045" s="116">
        <v>1543.5</v>
      </c>
      <c r="G2045">
        <v>3810</v>
      </c>
      <c r="H2045" s="116"/>
      <c r="I2045" s="116"/>
      <c r="L2045" s="170">
        <v>45013</v>
      </c>
      <c r="M2045" s="116">
        <v>1543.9</v>
      </c>
      <c r="N2045" s="116">
        <v>1550.6</v>
      </c>
      <c r="O2045" s="116">
        <v>1525.55</v>
      </c>
      <c r="P2045" s="116">
        <v>1541.05</v>
      </c>
      <c r="Q2045" s="116">
        <v>1543.9</v>
      </c>
      <c r="R2045">
        <v>110149</v>
      </c>
    </row>
    <row r="2046" spans="1:18" x14ac:dyDescent="0.25">
      <c r="A2046" s="170">
        <v>45014</v>
      </c>
      <c r="B2046" s="116">
        <v>1554.65</v>
      </c>
      <c r="C2046" s="116">
        <v>1539.8</v>
      </c>
      <c r="D2046" s="116">
        <v>1523.1</v>
      </c>
      <c r="E2046" s="116">
        <v>1538.05</v>
      </c>
      <c r="F2046" s="116">
        <v>1539.8</v>
      </c>
      <c r="G2046">
        <v>6608</v>
      </c>
      <c r="H2046" s="116"/>
      <c r="I2046" s="116"/>
      <c r="L2046" s="170">
        <v>45014</v>
      </c>
      <c r="M2046" s="116">
        <v>1539.5</v>
      </c>
      <c r="N2046" s="116">
        <v>1560</v>
      </c>
      <c r="O2046" s="116">
        <v>1523.05</v>
      </c>
      <c r="P2046" s="116">
        <v>1545</v>
      </c>
      <c r="Q2046" s="116">
        <v>1539.5</v>
      </c>
      <c r="R2046">
        <v>185137</v>
      </c>
    </row>
    <row r="2047" spans="1:18" x14ac:dyDescent="0.25">
      <c r="A2047" s="170">
        <v>45016</v>
      </c>
      <c r="B2047" s="116">
        <v>1559.6</v>
      </c>
      <c r="C2047" s="116">
        <v>1537.35</v>
      </c>
      <c r="D2047" s="116">
        <v>1524.2</v>
      </c>
      <c r="E2047" s="116">
        <v>1552.75</v>
      </c>
      <c r="F2047" s="116">
        <v>1537.35</v>
      </c>
      <c r="G2047">
        <v>7636</v>
      </c>
      <c r="H2047" s="116"/>
      <c r="I2047" s="116"/>
      <c r="L2047" s="170">
        <v>45016</v>
      </c>
      <c r="M2047" s="116">
        <v>1537.15</v>
      </c>
      <c r="N2047" s="116">
        <v>1557.9</v>
      </c>
      <c r="O2047" s="116">
        <v>1523.4</v>
      </c>
      <c r="P2047" s="116">
        <v>1542</v>
      </c>
      <c r="Q2047" s="116">
        <v>1537.15</v>
      </c>
      <c r="R2047">
        <v>190791</v>
      </c>
    </row>
    <row r="2048" spans="1:18" x14ac:dyDescent="0.25">
      <c r="A2048" s="170">
        <v>45019</v>
      </c>
      <c r="B2048" s="116">
        <v>1547.75</v>
      </c>
      <c r="C2048" s="116">
        <v>1545.5</v>
      </c>
      <c r="D2048" s="116">
        <v>1524.05</v>
      </c>
      <c r="E2048" s="116">
        <v>1524.05</v>
      </c>
      <c r="F2048" s="116">
        <v>1545.5</v>
      </c>
      <c r="G2048">
        <v>2074</v>
      </c>
      <c r="H2048" s="116"/>
      <c r="I2048" s="116"/>
      <c r="L2048" s="170">
        <v>45019</v>
      </c>
      <c r="M2048" s="116">
        <v>1545.3</v>
      </c>
      <c r="N2048" s="116">
        <v>1547.75</v>
      </c>
      <c r="O2048" s="116">
        <v>1524.35</v>
      </c>
      <c r="P2048" s="116">
        <v>1539.95</v>
      </c>
      <c r="Q2048" s="116">
        <v>1545.3</v>
      </c>
      <c r="R2048">
        <v>279017</v>
      </c>
    </row>
    <row r="2049" spans="1:18" x14ac:dyDescent="0.25">
      <c r="A2049" s="170">
        <v>45021</v>
      </c>
      <c r="B2049" s="116">
        <v>1584.4</v>
      </c>
      <c r="C2049" s="116">
        <v>1580.55</v>
      </c>
      <c r="D2049" s="116">
        <v>1525.05</v>
      </c>
      <c r="E2049" s="116">
        <v>1525.05</v>
      </c>
      <c r="F2049" s="116">
        <v>1580.55</v>
      </c>
      <c r="G2049">
        <v>5718</v>
      </c>
      <c r="H2049" s="116"/>
      <c r="I2049" s="116"/>
      <c r="L2049" s="170">
        <v>45021</v>
      </c>
      <c r="M2049" s="116">
        <v>1578.1</v>
      </c>
      <c r="N2049" s="116">
        <v>1583.45</v>
      </c>
      <c r="O2049" s="116">
        <v>1537.1</v>
      </c>
      <c r="P2049" s="116">
        <v>1549.3</v>
      </c>
      <c r="Q2049" s="116">
        <v>1578.1</v>
      </c>
      <c r="R2049">
        <v>448336</v>
      </c>
    </row>
    <row r="2050" spans="1:18" x14ac:dyDescent="0.25">
      <c r="A2050" s="170">
        <v>45022</v>
      </c>
      <c r="B2050" s="116">
        <v>1591.55</v>
      </c>
      <c r="C2050" s="116">
        <v>1574.25</v>
      </c>
      <c r="D2050" s="116">
        <v>1566.3</v>
      </c>
      <c r="E2050" s="116">
        <v>1577.6</v>
      </c>
      <c r="F2050" s="116">
        <v>1574.25</v>
      </c>
      <c r="G2050">
        <v>4855</v>
      </c>
      <c r="H2050" s="116"/>
      <c r="I2050" s="116"/>
      <c r="L2050" s="170">
        <v>45022</v>
      </c>
      <c r="M2050" s="116">
        <v>1574.75</v>
      </c>
      <c r="N2050" s="116">
        <v>1593.15</v>
      </c>
      <c r="O2050" s="116">
        <v>1566.8</v>
      </c>
      <c r="P2050" s="116">
        <v>1579</v>
      </c>
      <c r="Q2050" s="116">
        <v>1574.75</v>
      </c>
      <c r="R2050">
        <v>371479</v>
      </c>
    </row>
    <row r="2051" spans="1:18" x14ac:dyDescent="0.25">
      <c r="A2051" s="170">
        <v>45026</v>
      </c>
      <c r="B2051" s="116">
        <v>1595.5</v>
      </c>
      <c r="C2051" s="116">
        <v>1576.3</v>
      </c>
      <c r="D2051" s="116">
        <v>1569.65</v>
      </c>
      <c r="E2051" s="116">
        <v>1595.5</v>
      </c>
      <c r="F2051" s="116">
        <v>1576.3</v>
      </c>
      <c r="G2051">
        <v>1409</v>
      </c>
      <c r="H2051" s="116"/>
      <c r="I2051" s="116"/>
      <c r="L2051" s="170">
        <v>45026</v>
      </c>
      <c r="M2051" s="116">
        <v>1576.2</v>
      </c>
      <c r="N2051" s="116">
        <v>1591</v>
      </c>
      <c r="O2051" s="116">
        <v>1568.95</v>
      </c>
      <c r="P2051" s="116">
        <v>1575.05</v>
      </c>
      <c r="Q2051" s="116">
        <v>1576.2</v>
      </c>
      <c r="R2051">
        <v>122665</v>
      </c>
    </row>
    <row r="2052" spans="1:18" x14ac:dyDescent="0.25">
      <c r="A2052" s="170">
        <v>45027</v>
      </c>
      <c r="B2052" s="116">
        <v>1587.9</v>
      </c>
      <c r="C2052" s="116">
        <v>1557.35</v>
      </c>
      <c r="D2052" s="116">
        <v>1549.8</v>
      </c>
      <c r="E2052" s="116">
        <v>1569.05</v>
      </c>
      <c r="F2052" s="116">
        <v>1557.35</v>
      </c>
      <c r="G2052">
        <v>2680</v>
      </c>
      <c r="H2052" s="116"/>
      <c r="I2052" s="116"/>
      <c r="L2052" s="170">
        <v>45027</v>
      </c>
      <c r="M2052" s="116">
        <v>1557.6</v>
      </c>
      <c r="N2052" s="116">
        <v>1588.45</v>
      </c>
      <c r="O2052" s="116">
        <v>1550.55</v>
      </c>
      <c r="P2052" s="116">
        <v>1575.4</v>
      </c>
      <c r="Q2052" s="116">
        <v>1557.6</v>
      </c>
      <c r="R2052">
        <v>178126</v>
      </c>
    </row>
    <row r="2053" spans="1:18" x14ac:dyDescent="0.25">
      <c r="A2053" s="170">
        <v>45028</v>
      </c>
      <c r="B2053" s="116">
        <v>1592.2</v>
      </c>
      <c r="C2053" s="116">
        <v>1589.35</v>
      </c>
      <c r="D2053" s="116">
        <v>1558.25</v>
      </c>
      <c r="E2053" s="116">
        <v>1558.75</v>
      </c>
      <c r="F2053" s="116">
        <v>1589.35</v>
      </c>
      <c r="G2053">
        <v>2944</v>
      </c>
      <c r="H2053" s="116"/>
      <c r="I2053" s="116"/>
      <c r="L2053" s="170">
        <v>45028</v>
      </c>
      <c r="M2053" s="116">
        <v>1587.65</v>
      </c>
      <c r="N2053" s="116">
        <v>1593.5</v>
      </c>
      <c r="O2053" s="116">
        <v>1557.85</v>
      </c>
      <c r="P2053" s="116">
        <v>1560</v>
      </c>
      <c r="Q2053" s="116">
        <v>1587.65</v>
      </c>
      <c r="R2053">
        <v>565445</v>
      </c>
    </row>
    <row r="2054" spans="1:18" x14ac:dyDescent="0.25">
      <c r="A2054" s="170">
        <v>45029</v>
      </c>
      <c r="B2054" s="116">
        <v>1609.95</v>
      </c>
      <c r="C2054" s="116">
        <v>1575.85</v>
      </c>
      <c r="D2054" s="116">
        <v>1571</v>
      </c>
      <c r="E2054" s="116">
        <v>1609.95</v>
      </c>
      <c r="F2054" s="116">
        <v>1575.85</v>
      </c>
      <c r="G2054">
        <v>12553</v>
      </c>
      <c r="H2054" s="116"/>
      <c r="I2054" s="116"/>
      <c r="L2054" s="170">
        <v>45029</v>
      </c>
      <c r="M2054" s="116">
        <v>1577.55</v>
      </c>
      <c r="N2054" s="116">
        <v>1605.3</v>
      </c>
      <c r="O2054" s="116">
        <v>1575</v>
      </c>
      <c r="P2054" s="116">
        <v>1595.65</v>
      </c>
      <c r="Q2054" s="116">
        <v>1577.55</v>
      </c>
      <c r="R2054">
        <v>456163</v>
      </c>
    </row>
    <row r="2055" spans="1:18" x14ac:dyDescent="0.25">
      <c r="A2055" s="170">
        <v>45033</v>
      </c>
      <c r="B2055" s="116">
        <v>1589.85</v>
      </c>
      <c r="C2055" s="116">
        <v>1586.55</v>
      </c>
      <c r="D2055" s="116">
        <v>1564</v>
      </c>
      <c r="E2055" s="116">
        <v>1564</v>
      </c>
      <c r="F2055" s="116">
        <v>1586.55</v>
      </c>
      <c r="G2055">
        <v>2275</v>
      </c>
      <c r="H2055" s="116"/>
      <c r="I2055" s="116"/>
      <c r="L2055" s="170">
        <v>45033</v>
      </c>
      <c r="M2055" s="116">
        <v>1585.85</v>
      </c>
      <c r="N2055" s="116">
        <v>1590.05</v>
      </c>
      <c r="O2055" s="116">
        <v>1564.55</v>
      </c>
      <c r="P2055" s="116">
        <v>1585.35</v>
      </c>
      <c r="Q2055" s="116">
        <v>1585.85</v>
      </c>
      <c r="R2055">
        <v>125546</v>
      </c>
    </row>
    <row r="2056" spans="1:18" x14ac:dyDescent="0.25">
      <c r="A2056" s="170">
        <v>45034</v>
      </c>
      <c r="B2056" s="116">
        <v>1614</v>
      </c>
      <c r="C2056" s="116">
        <v>1594.65</v>
      </c>
      <c r="D2056" s="116">
        <v>1578.15</v>
      </c>
      <c r="E2056" s="116">
        <v>1598.95</v>
      </c>
      <c r="F2056" s="116">
        <v>1594.65</v>
      </c>
      <c r="G2056">
        <v>6504</v>
      </c>
      <c r="H2056" s="116"/>
      <c r="I2056" s="116"/>
      <c r="L2056" s="170">
        <v>45034</v>
      </c>
      <c r="M2056" s="116">
        <v>1594.7</v>
      </c>
      <c r="N2056" s="116">
        <v>1614.55</v>
      </c>
      <c r="O2056" s="116">
        <v>1577.75</v>
      </c>
      <c r="P2056" s="116">
        <v>1589.9</v>
      </c>
      <c r="Q2056" s="116">
        <v>1594.7</v>
      </c>
      <c r="R2056">
        <v>446455</v>
      </c>
    </row>
    <row r="2057" spans="1:18" x14ac:dyDescent="0.25">
      <c r="A2057" s="170">
        <v>45035</v>
      </c>
      <c r="B2057" s="116">
        <v>1616.9</v>
      </c>
      <c r="C2057" s="116">
        <v>1595.35</v>
      </c>
      <c r="D2057" s="116">
        <v>1580.15</v>
      </c>
      <c r="E2057" s="116">
        <v>1616.9</v>
      </c>
      <c r="F2057" s="116">
        <v>1595.35</v>
      </c>
      <c r="G2057">
        <v>2600</v>
      </c>
      <c r="H2057" s="116"/>
      <c r="I2057" s="116"/>
      <c r="L2057" s="170">
        <v>45035</v>
      </c>
      <c r="M2057" s="116">
        <v>1593.35</v>
      </c>
      <c r="N2057" s="116">
        <v>1605.05</v>
      </c>
      <c r="O2057" s="116">
        <v>1580</v>
      </c>
      <c r="P2057" s="116">
        <v>1603.8</v>
      </c>
      <c r="Q2057" s="116">
        <v>1593.35</v>
      </c>
      <c r="R2057">
        <v>392791</v>
      </c>
    </row>
    <row r="2058" spans="1:18" x14ac:dyDescent="0.25">
      <c r="A2058" s="170">
        <v>45036</v>
      </c>
      <c r="B2058" s="116">
        <v>1607.4</v>
      </c>
      <c r="C2058" s="116">
        <v>1590.25</v>
      </c>
      <c r="D2058" s="116">
        <v>1585</v>
      </c>
      <c r="E2058" s="116">
        <v>1585.65</v>
      </c>
      <c r="F2058" s="116">
        <v>1590.25</v>
      </c>
      <c r="G2058">
        <v>2113</v>
      </c>
      <c r="H2058" s="116"/>
      <c r="I2058" s="116"/>
      <c r="L2058" s="170">
        <v>45036</v>
      </c>
      <c r="M2058" s="116">
        <v>1589.55</v>
      </c>
      <c r="N2058" s="116">
        <v>1608.6</v>
      </c>
      <c r="O2058" s="116">
        <v>1584.85</v>
      </c>
      <c r="P2058" s="116">
        <v>1593.95</v>
      </c>
      <c r="Q2058" s="116">
        <v>1589.55</v>
      </c>
      <c r="R2058">
        <v>246181</v>
      </c>
    </row>
    <row r="2059" spans="1:18" x14ac:dyDescent="0.25">
      <c r="A2059" s="170">
        <v>45037</v>
      </c>
      <c r="B2059" s="116">
        <v>1621</v>
      </c>
      <c r="C2059" s="116">
        <v>1615.3</v>
      </c>
      <c r="D2059" s="116">
        <v>1581.1</v>
      </c>
      <c r="E2059" s="116">
        <v>1581.1</v>
      </c>
      <c r="F2059" s="116">
        <v>1615.3</v>
      </c>
      <c r="G2059">
        <v>4697</v>
      </c>
      <c r="H2059" s="116"/>
      <c r="I2059" s="116"/>
      <c r="L2059" s="170">
        <v>45037</v>
      </c>
      <c r="M2059" s="116">
        <v>1613.3</v>
      </c>
      <c r="N2059" s="116">
        <v>1621.5</v>
      </c>
      <c r="O2059" s="116">
        <v>1591.25</v>
      </c>
      <c r="P2059" s="116">
        <v>1594.45</v>
      </c>
      <c r="Q2059" s="116">
        <v>1613.3</v>
      </c>
      <c r="R2059">
        <v>441046</v>
      </c>
    </row>
    <row r="2060" spans="1:18" x14ac:dyDescent="0.25">
      <c r="A2060" s="170">
        <v>45040</v>
      </c>
      <c r="B2060" s="116">
        <v>1626</v>
      </c>
      <c r="C2060" s="116">
        <v>1621.5</v>
      </c>
      <c r="D2060" s="116">
        <v>1600.3</v>
      </c>
      <c r="E2060" s="116">
        <v>1600.3</v>
      </c>
      <c r="F2060" s="116">
        <v>1621.5</v>
      </c>
      <c r="G2060">
        <v>4733</v>
      </c>
      <c r="H2060" s="116"/>
      <c r="I2060" s="116"/>
      <c r="L2060" s="170">
        <v>45040</v>
      </c>
      <c r="M2060" s="116">
        <v>1621.45</v>
      </c>
      <c r="N2060" s="116">
        <v>1628</v>
      </c>
      <c r="O2060" s="116">
        <v>1603.15</v>
      </c>
      <c r="P2060" s="116">
        <v>1605</v>
      </c>
      <c r="Q2060" s="116">
        <v>1621.45</v>
      </c>
      <c r="R2060">
        <v>464104</v>
      </c>
    </row>
    <row r="2061" spans="1:18" x14ac:dyDescent="0.25">
      <c r="A2061" s="170">
        <v>45041</v>
      </c>
      <c r="B2061" s="116">
        <v>1648</v>
      </c>
      <c r="C2061" s="116">
        <v>1642</v>
      </c>
      <c r="D2061" s="116">
        <v>1614.45</v>
      </c>
      <c r="E2061" s="116">
        <v>1617.05</v>
      </c>
      <c r="F2061" s="116">
        <v>1642</v>
      </c>
      <c r="G2061">
        <v>5568</v>
      </c>
      <c r="H2061" s="116"/>
      <c r="I2061" s="116"/>
      <c r="L2061" s="170">
        <v>45041</v>
      </c>
      <c r="M2061" s="116">
        <v>1642.3</v>
      </c>
      <c r="N2061" s="116">
        <v>1649.5</v>
      </c>
      <c r="O2061" s="116">
        <v>1612.05</v>
      </c>
      <c r="P2061" s="116">
        <v>1621.4</v>
      </c>
      <c r="Q2061" s="116">
        <v>1642.3</v>
      </c>
      <c r="R2061">
        <v>363645</v>
      </c>
    </row>
    <row r="2062" spans="1:18" x14ac:dyDescent="0.25">
      <c r="A2062" s="170">
        <v>45042</v>
      </c>
      <c r="B2062" s="116">
        <v>1660</v>
      </c>
      <c r="C2062" s="116">
        <v>1621.7</v>
      </c>
      <c r="D2062" s="116">
        <v>1614.65</v>
      </c>
      <c r="E2062" s="116">
        <v>1642</v>
      </c>
      <c r="F2062" s="116">
        <v>1621.7</v>
      </c>
      <c r="G2062">
        <v>6032</v>
      </c>
      <c r="H2062" s="116"/>
      <c r="I2062" s="116"/>
      <c r="L2062" s="170">
        <v>45042</v>
      </c>
      <c r="M2062" s="116">
        <v>1622.15</v>
      </c>
      <c r="N2062" s="116">
        <v>1660</v>
      </c>
      <c r="O2062" s="116">
        <v>1614.2</v>
      </c>
      <c r="P2062" s="116">
        <v>1646.4</v>
      </c>
      <c r="Q2062" s="116">
        <v>1622.15</v>
      </c>
      <c r="R2062">
        <v>422419</v>
      </c>
    </row>
    <row r="2063" spans="1:18" x14ac:dyDescent="0.25">
      <c r="A2063" s="170">
        <v>45043</v>
      </c>
      <c r="B2063" s="116">
        <v>1643.3</v>
      </c>
      <c r="C2063" s="116">
        <v>1631</v>
      </c>
      <c r="D2063" s="116">
        <v>1615.6</v>
      </c>
      <c r="E2063" s="116">
        <v>1619.5</v>
      </c>
      <c r="F2063" s="116">
        <v>1631</v>
      </c>
      <c r="G2063">
        <v>6280</v>
      </c>
      <c r="H2063" s="116"/>
      <c r="I2063" s="116"/>
      <c r="L2063" s="170">
        <v>45043</v>
      </c>
      <c r="M2063" s="116">
        <v>1629.25</v>
      </c>
      <c r="N2063" s="116">
        <v>1646.2</v>
      </c>
      <c r="O2063" s="116">
        <v>1609.45</v>
      </c>
      <c r="P2063" s="116">
        <v>1621.7</v>
      </c>
      <c r="Q2063" s="116">
        <v>1629.25</v>
      </c>
      <c r="R2063">
        <v>173886</v>
      </c>
    </row>
    <row r="2064" spans="1:18" x14ac:dyDescent="0.25">
      <c r="A2064" s="170">
        <v>45044</v>
      </c>
      <c r="B2064" s="116">
        <v>1656</v>
      </c>
      <c r="C2064" s="116">
        <v>1652.85</v>
      </c>
      <c r="D2064" s="116">
        <v>1625.2</v>
      </c>
      <c r="E2064" s="116">
        <v>1625.2</v>
      </c>
      <c r="F2064" s="116">
        <v>1652.85</v>
      </c>
      <c r="G2064">
        <v>3909</v>
      </c>
      <c r="H2064" s="116"/>
      <c r="I2064" s="116"/>
      <c r="L2064" s="170">
        <v>45044</v>
      </c>
      <c r="M2064" s="116">
        <v>1652.3</v>
      </c>
      <c r="N2064" s="116">
        <v>1657</v>
      </c>
      <c r="O2064" s="116">
        <v>1629.3</v>
      </c>
      <c r="P2064" s="116">
        <v>1635.55</v>
      </c>
      <c r="Q2064" s="116">
        <v>1652.3</v>
      </c>
      <c r="R2064">
        <v>225522</v>
      </c>
    </row>
    <row r="2065" spans="1:18" x14ac:dyDescent="0.25">
      <c r="A2065" s="170">
        <v>45048</v>
      </c>
      <c r="B2065" s="116">
        <v>1662.8</v>
      </c>
      <c r="C2065" s="116">
        <v>1654.95</v>
      </c>
      <c r="D2065" s="116">
        <v>1645.6</v>
      </c>
      <c r="E2065" s="116">
        <v>1645.6</v>
      </c>
      <c r="F2065" s="116">
        <v>1654.95</v>
      </c>
      <c r="G2065">
        <v>3230</v>
      </c>
      <c r="H2065" s="116"/>
      <c r="I2065" s="116"/>
      <c r="L2065" s="170">
        <v>45048</v>
      </c>
      <c r="M2065" s="116">
        <v>1655.85</v>
      </c>
      <c r="N2065" s="116">
        <v>1665</v>
      </c>
      <c r="O2065" s="116">
        <v>1650</v>
      </c>
      <c r="P2065" s="116">
        <v>1653.95</v>
      </c>
      <c r="Q2065" s="116">
        <v>1655.85</v>
      </c>
      <c r="R2065">
        <v>232180</v>
      </c>
    </row>
    <row r="2066" spans="1:18" x14ac:dyDescent="0.25">
      <c r="A2066" s="170">
        <v>45049</v>
      </c>
      <c r="B2066" s="116">
        <v>1681</v>
      </c>
      <c r="C2066" s="116">
        <v>1654</v>
      </c>
      <c r="D2066" s="116">
        <v>1649.7</v>
      </c>
      <c r="E2066" s="116">
        <v>1654.95</v>
      </c>
      <c r="F2066" s="116">
        <v>1654</v>
      </c>
      <c r="G2066">
        <v>4034</v>
      </c>
      <c r="H2066" s="116"/>
      <c r="I2066" s="116"/>
      <c r="L2066" s="170">
        <v>45049</v>
      </c>
      <c r="M2066" s="116">
        <v>1655.15</v>
      </c>
      <c r="N2066" s="116">
        <v>1682</v>
      </c>
      <c r="O2066" s="116">
        <v>1646</v>
      </c>
      <c r="P2066" s="116">
        <v>1654.1</v>
      </c>
      <c r="Q2066" s="116">
        <v>1655.15</v>
      </c>
      <c r="R2066">
        <v>418996</v>
      </c>
    </row>
    <row r="2067" spans="1:18" x14ac:dyDescent="0.25">
      <c r="A2067" s="170">
        <v>45050</v>
      </c>
      <c r="B2067" s="116">
        <v>1669.85</v>
      </c>
      <c r="C2067" s="116">
        <v>1660.75</v>
      </c>
      <c r="D2067" s="116">
        <v>1622.05</v>
      </c>
      <c r="E2067" s="116">
        <v>1622.05</v>
      </c>
      <c r="F2067" s="116">
        <v>1660.75</v>
      </c>
      <c r="G2067">
        <v>1116</v>
      </c>
      <c r="H2067" s="116"/>
      <c r="I2067" s="116"/>
      <c r="L2067" s="170">
        <v>45050</v>
      </c>
      <c r="M2067" s="116">
        <v>1659.55</v>
      </c>
      <c r="N2067" s="116">
        <v>1668.85</v>
      </c>
      <c r="O2067" s="116">
        <v>1649.05</v>
      </c>
      <c r="P2067" s="116">
        <v>1659.25</v>
      </c>
      <c r="Q2067" s="116">
        <v>1659.55</v>
      </c>
      <c r="R2067">
        <v>103050</v>
      </c>
    </row>
    <row r="2068" spans="1:18" x14ac:dyDescent="0.25">
      <c r="A2068" s="170">
        <v>45051</v>
      </c>
      <c r="B2068" s="116">
        <v>1665.6</v>
      </c>
      <c r="C2068" s="116">
        <v>1648.25</v>
      </c>
      <c r="D2068" s="116">
        <v>1645.45</v>
      </c>
      <c r="E2068" s="116">
        <v>1657.3</v>
      </c>
      <c r="F2068" s="116">
        <v>1648.25</v>
      </c>
      <c r="G2068">
        <v>1390</v>
      </c>
      <c r="H2068" s="116"/>
      <c r="I2068" s="116"/>
      <c r="L2068" s="170">
        <v>45051</v>
      </c>
      <c r="M2068" s="116">
        <v>1649.75</v>
      </c>
      <c r="N2068" s="116">
        <v>1666.45</v>
      </c>
      <c r="O2068" s="116">
        <v>1645.9</v>
      </c>
      <c r="P2068" s="116">
        <v>1663.4</v>
      </c>
      <c r="Q2068" s="116">
        <v>1649.75</v>
      </c>
      <c r="R2068">
        <v>70049</v>
      </c>
    </row>
    <row r="2069" spans="1:18" x14ac:dyDescent="0.25">
      <c r="A2069" s="170">
        <v>45054</v>
      </c>
      <c r="B2069" s="116">
        <v>1672.3</v>
      </c>
      <c r="C2069" s="116">
        <v>1667.25</v>
      </c>
      <c r="D2069" s="116">
        <v>1640.05</v>
      </c>
      <c r="E2069" s="116">
        <v>1640.05</v>
      </c>
      <c r="F2069" s="116">
        <v>1667.25</v>
      </c>
      <c r="G2069">
        <v>2068</v>
      </c>
      <c r="H2069" s="116"/>
      <c r="I2069" s="116"/>
      <c r="L2069" s="170">
        <v>45054</v>
      </c>
      <c r="M2069" s="116">
        <v>1667.45</v>
      </c>
      <c r="N2069" s="116">
        <v>1673.2</v>
      </c>
      <c r="O2069" s="116">
        <v>1645.8</v>
      </c>
      <c r="P2069" s="116">
        <v>1649</v>
      </c>
      <c r="Q2069" s="116">
        <v>1667.45</v>
      </c>
      <c r="R2069">
        <v>100618</v>
      </c>
    </row>
    <row r="2070" spans="1:18" x14ac:dyDescent="0.25">
      <c r="A2070" s="170">
        <v>45055</v>
      </c>
      <c r="B2070" s="116">
        <v>1675.3</v>
      </c>
      <c r="C2070" s="116">
        <v>1649.35</v>
      </c>
      <c r="D2070" s="116">
        <v>1646.3</v>
      </c>
      <c r="E2070" s="116">
        <v>1670.75</v>
      </c>
      <c r="F2070" s="116">
        <v>1649.35</v>
      </c>
      <c r="G2070">
        <v>1900</v>
      </c>
      <c r="H2070" s="116"/>
      <c r="I2070" s="116"/>
      <c r="L2070" s="170">
        <v>45055</v>
      </c>
      <c r="M2070" s="116">
        <v>1650.75</v>
      </c>
      <c r="N2070" s="116">
        <v>1677.4</v>
      </c>
      <c r="O2070" s="116">
        <v>1645.6</v>
      </c>
      <c r="P2070" s="116">
        <v>1667.45</v>
      </c>
      <c r="Q2070" s="116">
        <v>1650.75</v>
      </c>
      <c r="R2070">
        <v>333606</v>
      </c>
    </row>
    <row r="2071" spans="1:18" x14ac:dyDescent="0.25">
      <c r="A2071" s="170">
        <v>45056</v>
      </c>
      <c r="B2071" s="116">
        <v>1676</v>
      </c>
      <c r="C2071" s="116">
        <v>1664.4</v>
      </c>
      <c r="D2071" s="116">
        <v>1648</v>
      </c>
      <c r="E2071" s="116">
        <v>1648</v>
      </c>
      <c r="F2071" s="116">
        <v>1664.4</v>
      </c>
      <c r="G2071">
        <v>2418</v>
      </c>
      <c r="H2071" s="116"/>
      <c r="I2071" s="116"/>
      <c r="L2071" s="170">
        <v>45056</v>
      </c>
      <c r="M2071" s="116">
        <v>1663.85</v>
      </c>
      <c r="N2071" s="116">
        <v>1676.2</v>
      </c>
      <c r="O2071" s="116">
        <v>1651.7</v>
      </c>
      <c r="P2071" s="116">
        <v>1651.7</v>
      </c>
      <c r="Q2071" s="116">
        <v>1663.85</v>
      </c>
      <c r="R2071">
        <v>199186</v>
      </c>
    </row>
    <row r="2072" spans="1:18" x14ac:dyDescent="0.25">
      <c r="A2072" s="170">
        <v>45057</v>
      </c>
      <c r="B2072" s="116">
        <v>1676.15</v>
      </c>
      <c r="C2072" s="116">
        <v>1656.7</v>
      </c>
      <c r="D2072" s="116">
        <v>1648</v>
      </c>
      <c r="E2072" s="116">
        <v>1658.3</v>
      </c>
      <c r="F2072" s="116">
        <v>1656.7</v>
      </c>
      <c r="G2072">
        <v>4128</v>
      </c>
      <c r="H2072" s="116"/>
      <c r="I2072" s="116"/>
      <c r="L2072" s="170">
        <v>45057</v>
      </c>
      <c r="M2072" s="116">
        <v>1655.5</v>
      </c>
      <c r="N2072" s="116">
        <v>1675.75</v>
      </c>
      <c r="O2072" s="116">
        <v>1647.55</v>
      </c>
      <c r="P2072" s="116">
        <v>1664.45</v>
      </c>
      <c r="Q2072" s="116">
        <v>1655.5</v>
      </c>
      <c r="R2072">
        <v>188028</v>
      </c>
    </row>
    <row r="2073" spans="1:18" x14ac:dyDescent="0.25">
      <c r="A2073" s="170">
        <v>45058</v>
      </c>
      <c r="B2073" s="116">
        <v>1665.9</v>
      </c>
      <c r="C2073" s="116">
        <v>1650.5</v>
      </c>
      <c r="D2073" s="116">
        <v>1648.15</v>
      </c>
      <c r="E2073" s="116">
        <v>1650.55</v>
      </c>
      <c r="F2073" s="116">
        <v>1650.5</v>
      </c>
      <c r="G2073">
        <v>2469</v>
      </c>
      <c r="H2073" s="116"/>
      <c r="I2073" s="116"/>
      <c r="L2073" s="170">
        <v>45058</v>
      </c>
      <c r="M2073" s="116">
        <v>1650.3</v>
      </c>
      <c r="N2073" s="116">
        <v>1666.7</v>
      </c>
      <c r="O2073" s="116">
        <v>1647.35</v>
      </c>
      <c r="P2073" s="116">
        <v>1655.4</v>
      </c>
      <c r="Q2073" s="116">
        <v>1650.3</v>
      </c>
      <c r="R2073">
        <v>137419</v>
      </c>
    </row>
    <row r="2074" spans="1:18" x14ac:dyDescent="0.25">
      <c r="A2074" s="170">
        <v>45061</v>
      </c>
      <c r="B2074" s="116">
        <v>1673.7</v>
      </c>
      <c r="C2074" s="116">
        <v>1667.6</v>
      </c>
      <c r="D2074" s="116">
        <v>1633.05</v>
      </c>
      <c r="E2074" s="116">
        <v>1633.05</v>
      </c>
      <c r="F2074" s="116">
        <v>1667.6</v>
      </c>
      <c r="G2074">
        <v>5107</v>
      </c>
      <c r="H2074" s="116"/>
      <c r="I2074" s="116"/>
      <c r="L2074" s="170">
        <v>45061</v>
      </c>
      <c r="M2074" s="116">
        <v>1666.05</v>
      </c>
      <c r="N2074" s="116">
        <v>1673.55</v>
      </c>
      <c r="O2074" s="116">
        <v>1640.4</v>
      </c>
      <c r="P2074" s="116">
        <v>1652</v>
      </c>
      <c r="Q2074" s="116">
        <v>1666.05</v>
      </c>
      <c r="R2074">
        <v>318368</v>
      </c>
    </row>
    <row r="2075" spans="1:18" x14ac:dyDescent="0.25">
      <c r="A2075" s="170">
        <v>45062</v>
      </c>
      <c r="B2075" s="116">
        <v>1673.35</v>
      </c>
      <c r="C2075" s="116">
        <v>1623.1</v>
      </c>
      <c r="D2075" s="116">
        <v>1599</v>
      </c>
      <c r="E2075" s="116">
        <v>1673.35</v>
      </c>
      <c r="F2075" s="116">
        <v>1623.1</v>
      </c>
      <c r="G2075">
        <v>7988</v>
      </c>
      <c r="H2075" s="116"/>
      <c r="I2075" s="116"/>
      <c r="L2075" s="170">
        <v>45062</v>
      </c>
      <c r="M2075" s="116">
        <v>1622.85</v>
      </c>
      <c r="N2075" s="116">
        <v>1674.85</v>
      </c>
      <c r="O2075" s="116">
        <v>1598.45</v>
      </c>
      <c r="P2075" s="116">
        <v>1672.5</v>
      </c>
      <c r="Q2075" s="116">
        <v>1622.85</v>
      </c>
      <c r="R2075">
        <v>544764</v>
      </c>
    </row>
    <row r="2076" spans="1:18" x14ac:dyDescent="0.25">
      <c r="A2076" s="170">
        <v>45063</v>
      </c>
      <c r="B2076" s="116">
        <v>1661</v>
      </c>
      <c r="C2076" s="116">
        <v>1655.4</v>
      </c>
      <c r="D2076" s="116">
        <v>1615.2</v>
      </c>
      <c r="E2076" s="116">
        <v>1615.2</v>
      </c>
      <c r="F2076" s="116">
        <v>1655.4</v>
      </c>
      <c r="G2076">
        <v>108772</v>
      </c>
      <c r="H2076" s="116"/>
      <c r="I2076" s="116"/>
      <c r="L2076" s="170">
        <v>45063</v>
      </c>
      <c r="M2076" s="116">
        <v>1656.1</v>
      </c>
      <c r="N2076" s="116">
        <v>1662.35</v>
      </c>
      <c r="O2076" s="116">
        <v>1622</v>
      </c>
      <c r="P2076" s="116">
        <v>1622.85</v>
      </c>
      <c r="Q2076" s="116">
        <v>1656.1</v>
      </c>
      <c r="R2076">
        <v>739275</v>
      </c>
    </row>
    <row r="2077" spans="1:18" x14ac:dyDescent="0.25">
      <c r="A2077" s="170">
        <v>45064</v>
      </c>
      <c r="B2077" s="116">
        <v>1665.35</v>
      </c>
      <c r="C2077" s="116">
        <v>1649.6</v>
      </c>
      <c r="D2077" s="116">
        <v>1641.3</v>
      </c>
      <c r="E2077" s="116">
        <v>1645.05</v>
      </c>
      <c r="F2077" s="116">
        <v>1649.6</v>
      </c>
      <c r="G2077">
        <v>1970</v>
      </c>
      <c r="H2077" s="116"/>
      <c r="I2077" s="116"/>
      <c r="L2077" s="170">
        <v>45064</v>
      </c>
      <c r="M2077" s="116">
        <v>1650.05</v>
      </c>
      <c r="N2077" s="116">
        <v>1665.55</v>
      </c>
      <c r="O2077" s="116">
        <v>1641.5</v>
      </c>
      <c r="P2077" s="116">
        <v>1660.95</v>
      </c>
      <c r="Q2077" s="116">
        <v>1650.05</v>
      </c>
      <c r="R2077">
        <v>247687</v>
      </c>
    </row>
    <row r="2078" spans="1:18" x14ac:dyDescent="0.25">
      <c r="A2078" s="170">
        <v>45065</v>
      </c>
      <c r="B2078" s="116">
        <v>1667.85</v>
      </c>
      <c r="C2078" s="116">
        <v>1663.75</v>
      </c>
      <c r="D2078" s="116">
        <v>1636.25</v>
      </c>
      <c r="E2078" s="116">
        <v>1645.2</v>
      </c>
      <c r="F2078" s="116">
        <v>1663.75</v>
      </c>
      <c r="G2078">
        <v>6549</v>
      </c>
      <c r="H2078" s="116"/>
      <c r="I2078" s="116"/>
      <c r="L2078" s="170">
        <v>45065</v>
      </c>
      <c r="M2078" s="116">
        <v>1661.9</v>
      </c>
      <c r="N2078" s="116">
        <v>1668.75</v>
      </c>
      <c r="O2078" s="116">
        <v>1636.85</v>
      </c>
      <c r="P2078" s="116">
        <v>1650.05</v>
      </c>
      <c r="Q2078" s="116">
        <v>1661.9</v>
      </c>
      <c r="R2078">
        <v>268347</v>
      </c>
    </row>
    <row r="2079" spans="1:18" x14ac:dyDescent="0.25">
      <c r="A2079" s="170">
        <v>45068</v>
      </c>
      <c r="B2079" s="116">
        <v>1675.75</v>
      </c>
      <c r="C2079" s="116">
        <v>1669.5</v>
      </c>
      <c r="D2079" s="116">
        <v>1650.05</v>
      </c>
      <c r="E2079" s="116">
        <v>1650.05</v>
      </c>
      <c r="F2079" s="116">
        <v>1669.5</v>
      </c>
      <c r="G2079">
        <v>3862</v>
      </c>
      <c r="H2079" s="116"/>
      <c r="I2079" s="116"/>
      <c r="L2079" s="170">
        <v>45068</v>
      </c>
      <c r="M2079" s="116">
        <v>1669.85</v>
      </c>
      <c r="N2079" s="116">
        <v>1675.75</v>
      </c>
      <c r="O2079" s="116">
        <v>1656.7</v>
      </c>
      <c r="P2079" s="116">
        <v>1661.1</v>
      </c>
      <c r="Q2079" s="116">
        <v>1669.85</v>
      </c>
      <c r="R2079">
        <v>184139</v>
      </c>
    </row>
    <row r="2080" spans="1:18" x14ac:dyDescent="0.25">
      <c r="A2080" s="170">
        <v>45069</v>
      </c>
      <c r="B2080" s="116">
        <v>1698.65</v>
      </c>
      <c r="C2080" s="116">
        <v>1692.05</v>
      </c>
      <c r="D2080" s="116">
        <v>1665.1</v>
      </c>
      <c r="E2080" s="116">
        <v>1665.1</v>
      </c>
      <c r="F2080" s="116">
        <v>1692.05</v>
      </c>
      <c r="G2080">
        <v>3485</v>
      </c>
      <c r="H2080" s="116"/>
      <c r="I2080" s="116"/>
      <c r="L2080" s="170">
        <v>45069</v>
      </c>
      <c r="M2080" s="116">
        <v>1691.1</v>
      </c>
      <c r="N2080" s="116">
        <v>1700</v>
      </c>
      <c r="O2080" s="116">
        <v>1672</v>
      </c>
      <c r="P2080" s="116">
        <v>1672</v>
      </c>
      <c r="Q2080" s="116">
        <v>1691.1</v>
      </c>
      <c r="R2080">
        <v>402746</v>
      </c>
    </row>
    <row r="2081" spans="1:18" x14ac:dyDescent="0.25">
      <c r="A2081" s="170">
        <v>45070</v>
      </c>
      <c r="B2081" s="116">
        <v>1703.6</v>
      </c>
      <c r="C2081" s="116">
        <v>1689.5</v>
      </c>
      <c r="D2081" s="116">
        <v>1685.85</v>
      </c>
      <c r="E2081" s="116">
        <v>1688.1</v>
      </c>
      <c r="F2081" s="116">
        <v>1689.5</v>
      </c>
      <c r="G2081">
        <v>4162</v>
      </c>
      <c r="H2081" s="116"/>
      <c r="I2081" s="116"/>
      <c r="L2081" s="170">
        <v>45070</v>
      </c>
      <c r="M2081" s="116">
        <v>1690.05</v>
      </c>
      <c r="N2081" s="116">
        <v>1705</v>
      </c>
      <c r="O2081" s="116">
        <v>1683</v>
      </c>
      <c r="P2081" s="116">
        <v>1693.85</v>
      </c>
      <c r="Q2081" s="116">
        <v>1690.05</v>
      </c>
      <c r="R2081">
        <v>476779</v>
      </c>
    </row>
    <row r="2082" spans="1:18" x14ac:dyDescent="0.25">
      <c r="A2082" s="170">
        <v>45071</v>
      </c>
      <c r="B2082" s="116">
        <v>1706.85</v>
      </c>
      <c r="C2082" s="116">
        <v>1700.9</v>
      </c>
      <c r="D2082" s="116">
        <v>1684.5</v>
      </c>
      <c r="E2082" s="116">
        <v>1689.05</v>
      </c>
      <c r="F2082" s="116">
        <v>1700.9</v>
      </c>
      <c r="G2082">
        <v>2393</v>
      </c>
      <c r="H2082" s="116"/>
      <c r="I2082" s="116"/>
      <c r="L2082" s="170">
        <v>45071</v>
      </c>
      <c r="M2082" s="116">
        <v>1701.35</v>
      </c>
      <c r="N2082" s="116">
        <v>1708</v>
      </c>
      <c r="O2082" s="116">
        <v>1683.1</v>
      </c>
      <c r="P2082" s="116">
        <v>1686.7</v>
      </c>
      <c r="Q2082" s="116">
        <v>1701.35</v>
      </c>
      <c r="R2082">
        <v>405240</v>
      </c>
    </row>
    <row r="2083" spans="1:18" x14ac:dyDescent="0.25">
      <c r="A2083" s="170">
        <v>45072</v>
      </c>
      <c r="B2083" s="116">
        <v>1706.9</v>
      </c>
      <c r="C2083" s="116">
        <v>1702.25</v>
      </c>
      <c r="D2083" s="116">
        <v>1689</v>
      </c>
      <c r="E2083" s="116">
        <v>1690.05</v>
      </c>
      <c r="F2083" s="116">
        <v>1702.25</v>
      </c>
      <c r="G2083">
        <v>2791</v>
      </c>
      <c r="H2083" s="116"/>
      <c r="I2083" s="116"/>
      <c r="L2083" s="170">
        <v>45072</v>
      </c>
      <c r="M2083" s="116">
        <v>1700.25</v>
      </c>
      <c r="N2083" s="116">
        <v>1707</v>
      </c>
      <c r="O2083" s="116">
        <v>1688.35</v>
      </c>
      <c r="P2083" s="116">
        <v>1695.5</v>
      </c>
      <c r="Q2083" s="116">
        <v>1700.25</v>
      </c>
      <c r="R2083">
        <v>160775</v>
      </c>
    </row>
    <row r="2084" spans="1:18" x14ac:dyDescent="0.25">
      <c r="A2084" s="170">
        <v>45075</v>
      </c>
      <c r="B2084" s="116">
        <v>1713.1</v>
      </c>
      <c r="C2084" s="116">
        <v>1705.4</v>
      </c>
      <c r="D2084" s="116">
        <v>1698.05</v>
      </c>
      <c r="E2084" s="116">
        <v>1713.1</v>
      </c>
      <c r="F2084" s="116">
        <v>1705.4</v>
      </c>
      <c r="G2084">
        <v>3247</v>
      </c>
      <c r="H2084" s="116"/>
      <c r="I2084" s="116"/>
      <c r="L2084" s="170">
        <v>45075</v>
      </c>
      <c r="M2084" s="116">
        <v>1705.95</v>
      </c>
      <c r="N2084" s="116">
        <v>1715</v>
      </c>
      <c r="O2084" s="116">
        <v>1697</v>
      </c>
      <c r="P2084" s="116">
        <v>1710</v>
      </c>
      <c r="Q2084" s="116">
        <v>1705.95</v>
      </c>
      <c r="R2084">
        <v>160320</v>
      </c>
    </row>
    <row r="2085" spans="1:18" x14ac:dyDescent="0.25">
      <c r="A2085" s="170">
        <v>45076</v>
      </c>
      <c r="B2085" s="116">
        <v>1720.05</v>
      </c>
      <c r="C2085" s="116">
        <v>1714.8</v>
      </c>
      <c r="D2085" s="116">
        <v>1692.65</v>
      </c>
      <c r="E2085" s="116">
        <v>1705.85</v>
      </c>
      <c r="F2085" s="116">
        <v>1714.8</v>
      </c>
      <c r="G2085">
        <v>5239</v>
      </c>
      <c r="H2085" s="116"/>
      <c r="I2085" s="116"/>
      <c r="L2085" s="170">
        <v>45076</v>
      </c>
      <c r="M2085" s="116">
        <v>1713.55</v>
      </c>
      <c r="N2085" s="116">
        <v>1721.25</v>
      </c>
      <c r="O2085" s="116">
        <v>1689.7</v>
      </c>
      <c r="P2085" s="116">
        <v>1711.25</v>
      </c>
      <c r="Q2085" s="116">
        <v>1713.55</v>
      </c>
      <c r="R2085">
        <v>356046</v>
      </c>
    </row>
    <row r="2086" spans="1:18" x14ac:dyDescent="0.25">
      <c r="A2086" s="170">
        <v>45077</v>
      </c>
      <c r="B2086" s="116">
        <v>1886.25</v>
      </c>
      <c r="C2086" s="116">
        <v>1844.35</v>
      </c>
      <c r="D2086" s="116">
        <v>1744.5</v>
      </c>
      <c r="E2086" s="116">
        <v>1754.9</v>
      </c>
      <c r="F2086" s="116">
        <v>1844.35</v>
      </c>
      <c r="G2086">
        <v>133102</v>
      </c>
      <c r="H2086" s="116"/>
      <c r="I2086" s="116"/>
      <c r="L2086" s="170">
        <v>45077</v>
      </c>
      <c r="M2086" s="116">
        <v>1835.8</v>
      </c>
      <c r="N2086" s="116">
        <v>1884.9</v>
      </c>
      <c r="O2086" s="116">
        <v>1745</v>
      </c>
      <c r="P2086" s="116">
        <v>1749</v>
      </c>
      <c r="Q2086" s="116">
        <v>1835.8</v>
      </c>
      <c r="R2086">
        <v>4659481</v>
      </c>
    </row>
    <row r="2087" spans="1:18" x14ac:dyDescent="0.25">
      <c r="A2087" s="170">
        <v>45078</v>
      </c>
      <c r="B2087" s="116">
        <v>1838.9</v>
      </c>
      <c r="C2087" s="116">
        <v>1775.15</v>
      </c>
      <c r="D2087" s="116">
        <v>1768.9</v>
      </c>
      <c r="E2087" s="116">
        <v>1838.9</v>
      </c>
      <c r="F2087" s="116">
        <v>1775.15</v>
      </c>
      <c r="G2087">
        <v>66739</v>
      </c>
      <c r="H2087" s="116"/>
      <c r="I2087" s="116"/>
      <c r="L2087" s="170">
        <v>45078</v>
      </c>
      <c r="M2087" s="116">
        <v>1774.8</v>
      </c>
      <c r="N2087" s="116">
        <v>1843.85</v>
      </c>
      <c r="O2087" s="116">
        <v>1763.9</v>
      </c>
      <c r="P2087" s="116">
        <v>1835.9</v>
      </c>
      <c r="Q2087" s="116">
        <v>1774.8</v>
      </c>
      <c r="R2087">
        <v>1113670</v>
      </c>
    </row>
    <row r="2088" spans="1:18" x14ac:dyDescent="0.25">
      <c r="A2088" s="170">
        <v>45079</v>
      </c>
      <c r="B2088" s="116">
        <v>1798.35</v>
      </c>
      <c r="C2088" s="116">
        <v>1776.8</v>
      </c>
      <c r="D2088" s="116">
        <v>1773.65</v>
      </c>
      <c r="E2088" s="116">
        <v>1785</v>
      </c>
      <c r="F2088" s="116">
        <v>1776.8</v>
      </c>
      <c r="G2088">
        <v>25800</v>
      </c>
      <c r="H2088" s="116"/>
      <c r="I2088" s="116"/>
      <c r="L2088" s="170">
        <v>45079</v>
      </c>
      <c r="M2088" s="116">
        <v>1777.45</v>
      </c>
      <c r="N2088" s="116">
        <v>1799.95</v>
      </c>
      <c r="O2088" s="116">
        <v>1773.95</v>
      </c>
      <c r="P2088" s="116">
        <v>1780.05</v>
      </c>
      <c r="Q2088" s="116">
        <v>1777.45</v>
      </c>
      <c r="R2088">
        <v>686203</v>
      </c>
    </row>
    <row r="2089" spans="1:18" x14ac:dyDescent="0.25">
      <c r="A2089" s="170">
        <v>45082</v>
      </c>
      <c r="B2089" s="116">
        <v>1784.9</v>
      </c>
      <c r="C2089" s="116">
        <v>1775.05</v>
      </c>
      <c r="D2089" s="116">
        <v>1770</v>
      </c>
      <c r="E2089" s="116">
        <v>1776.8</v>
      </c>
      <c r="F2089" s="116">
        <v>1775.05</v>
      </c>
      <c r="G2089">
        <v>3870</v>
      </c>
      <c r="H2089" s="116"/>
      <c r="I2089" s="116"/>
      <c r="L2089" s="170">
        <v>45082</v>
      </c>
      <c r="M2089" s="116">
        <v>1775.25</v>
      </c>
      <c r="N2089" s="116">
        <v>1793.4</v>
      </c>
      <c r="O2089" s="116">
        <v>1770.1</v>
      </c>
      <c r="P2089" s="116">
        <v>1778</v>
      </c>
      <c r="Q2089" s="116">
        <v>1775.25</v>
      </c>
      <c r="R2089">
        <v>208268</v>
      </c>
    </row>
    <row r="2090" spans="1:18" x14ac:dyDescent="0.25">
      <c r="A2090" s="170">
        <v>45083</v>
      </c>
      <c r="B2090" s="116">
        <v>1796.3</v>
      </c>
      <c r="C2090" s="116">
        <v>1788.75</v>
      </c>
      <c r="D2090" s="116">
        <v>1761.45</v>
      </c>
      <c r="E2090" s="116">
        <v>1765.2</v>
      </c>
      <c r="F2090" s="116">
        <v>1788.75</v>
      </c>
      <c r="G2090">
        <v>2655</v>
      </c>
      <c r="H2090" s="116"/>
      <c r="I2090" s="116"/>
      <c r="L2090" s="170">
        <v>45083</v>
      </c>
      <c r="M2090" s="116">
        <v>1788.1</v>
      </c>
      <c r="N2090" s="116">
        <v>1794.8</v>
      </c>
      <c r="O2090" s="116">
        <v>1766.25</v>
      </c>
      <c r="P2090" s="116">
        <v>1772.25</v>
      </c>
      <c r="Q2090" s="116">
        <v>1788.1</v>
      </c>
      <c r="R2090">
        <v>141214</v>
      </c>
    </row>
    <row r="2091" spans="1:18" x14ac:dyDescent="0.25">
      <c r="A2091" s="170">
        <v>45084</v>
      </c>
      <c r="B2091" s="116">
        <v>1815</v>
      </c>
      <c r="C2091" s="116">
        <v>1801.95</v>
      </c>
      <c r="D2091" s="116">
        <v>1791.1</v>
      </c>
      <c r="E2091" s="116">
        <v>1796.3</v>
      </c>
      <c r="F2091" s="116">
        <v>1801.95</v>
      </c>
      <c r="G2091">
        <v>5697</v>
      </c>
      <c r="H2091" s="116"/>
      <c r="I2091" s="116"/>
      <c r="L2091" s="170">
        <v>45084</v>
      </c>
      <c r="M2091" s="116">
        <v>1802.05</v>
      </c>
      <c r="N2091" s="116">
        <v>1814.9</v>
      </c>
      <c r="O2091" s="116">
        <v>1790.05</v>
      </c>
      <c r="P2091" s="116">
        <v>1800.95</v>
      </c>
      <c r="Q2091" s="116">
        <v>1802.05</v>
      </c>
      <c r="R2091">
        <v>249842</v>
      </c>
    </row>
    <row r="2092" spans="1:18" x14ac:dyDescent="0.25">
      <c r="A2092" s="170">
        <v>45085</v>
      </c>
      <c r="B2092" s="116">
        <v>1810</v>
      </c>
      <c r="C2092" s="116">
        <v>1796.75</v>
      </c>
      <c r="D2092" s="116">
        <v>1789.6</v>
      </c>
      <c r="E2092" s="116">
        <v>1810</v>
      </c>
      <c r="F2092" s="116">
        <v>1796.75</v>
      </c>
      <c r="G2092">
        <v>8065</v>
      </c>
      <c r="H2092" s="116"/>
      <c r="I2092" s="116"/>
      <c r="L2092" s="170">
        <v>45085</v>
      </c>
      <c r="M2092" s="116">
        <v>1797.8</v>
      </c>
      <c r="N2092" s="116">
        <v>1812.95</v>
      </c>
      <c r="O2092" s="116">
        <v>1788.95</v>
      </c>
      <c r="P2092" s="116">
        <v>1802.05</v>
      </c>
      <c r="Q2092" s="116">
        <v>1797.8</v>
      </c>
      <c r="R2092">
        <v>295727</v>
      </c>
    </row>
    <row r="2093" spans="1:18" x14ac:dyDescent="0.25">
      <c r="A2093" s="170">
        <v>45086</v>
      </c>
      <c r="B2093" s="116">
        <v>1821.55</v>
      </c>
      <c r="C2093" s="116">
        <v>1806.8</v>
      </c>
      <c r="D2093" s="116">
        <v>1799.95</v>
      </c>
      <c r="E2093" s="116">
        <v>1800.05</v>
      </c>
      <c r="F2093" s="116">
        <v>1806.8</v>
      </c>
      <c r="G2093">
        <v>4074</v>
      </c>
      <c r="H2093" s="116"/>
      <c r="I2093" s="116"/>
      <c r="L2093" s="170">
        <v>45086</v>
      </c>
      <c r="M2093" s="116">
        <v>1805.95</v>
      </c>
      <c r="N2093" s="116">
        <v>1822</v>
      </c>
      <c r="O2093" s="116">
        <v>1795.6</v>
      </c>
      <c r="P2093" s="116">
        <v>1808.5</v>
      </c>
      <c r="Q2093" s="116">
        <v>1805.95</v>
      </c>
      <c r="R2093">
        <v>264778</v>
      </c>
    </row>
    <row r="2094" spans="1:18" x14ac:dyDescent="0.25">
      <c r="A2094" s="170">
        <v>45089</v>
      </c>
      <c r="B2094" s="116">
        <v>1815</v>
      </c>
      <c r="C2094" s="116">
        <v>1809.3</v>
      </c>
      <c r="D2094" s="116">
        <v>1797.35</v>
      </c>
      <c r="E2094" s="116">
        <v>1810</v>
      </c>
      <c r="F2094" s="116">
        <v>1809.3</v>
      </c>
      <c r="G2094">
        <v>6246</v>
      </c>
      <c r="H2094" s="116"/>
      <c r="I2094" s="116"/>
      <c r="L2094" s="170">
        <v>45089</v>
      </c>
      <c r="M2094" s="116">
        <v>1806.35</v>
      </c>
      <c r="N2094" s="116">
        <v>1820</v>
      </c>
      <c r="O2094" s="116">
        <v>1797.55</v>
      </c>
      <c r="P2094" s="116">
        <v>1807.85</v>
      </c>
      <c r="Q2094" s="116">
        <v>1806.35</v>
      </c>
      <c r="R2094">
        <v>205319</v>
      </c>
    </row>
    <row r="2095" spans="1:18" x14ac:dyDescent="0.25">
      <c r="A2095" s="170">
        <v>45090</v>
      </c>
      <c r="B2095" s="116">
        <v>1821.15</v>
      </c>
      <c r="C2095" s="116">
        <v>1816.85</v>
      </c>
      <c r="D2095" s="116">
        <v>1807.1</v>
      </c>
      <c r="E2095" s="116">
        <v>1809.3</v>
      </c>
      <c r="F2095" s="116">
        <v>1816.85</v>
      </c>
      <c r="G2095">
        <v>3142</v>
      </c>
      <c r="H2095" s="116"/>
      <c r="I2095" s="116"/>
      <c r="L2095" s="170">
        <v>45090</v>
      </c>
      <c r="M2095" s="116">
        <v>1816.15</v>
      </c>
      <c r="N2095" s="116">
        <v>1820</v>
      </c>
      <c r="O2095" s="116">
        <v>1806.85</v>
      </c>
      <c r="P2095" s="116">
        <v>1815.95</v>
      </c>
      <c r="Q2095" s="116">
        <v>1816.15</v>
      </c>
      <c r="R2095">
        <v>662502</v>
      </c>
    </row>
    <row r="2096" spans="1:18" x14ac:dyDescent="0.25">
      <c r="A2096" s="170">
        <v>45091</v>
      </c>
      <c r="B2096" s="116">
        <v>1840.8</v>
      </c>
      <c r="C2096" s="116">
        <v>1834.4</v>
      </c>
      <c r="D2096" s="116">
        <v>1805.05</v>
      </c>
      <c r="E2096" s="116">
        <v>1805.05</v>
      </c>
      <c r="F2096" s="116">
        <v>1834.4</v>
      </c>
      <c r="G2096">
        <v>5122</v>
      </c>
      <c r="H2096" s="116"/>
      <c r="I2096" s="116"/>
      <c r="L2096" s="170">
        <v>45091</v>
      </c>
      <c r="M2096" s="116">
        <v>1831.5</v>
      </c>
      <c r="N2096" s="116">
        <v>1842.3</v>
      </c>
      <c r="O2096" s="116">
        <v>1811.25</v>
      </c>
      <c r="P2096" s="116">
        <v>1816.45</v>
      </c>
      <c r="Q2096" s="116">
        <v>1831.5</v>
      </c>
      <c r="R2096">
        <v>348900</v>
      </c>
    </row>
    <row r="2097" spans="1:18" x14ac:dyDescent="0.25">
      <c r="A2097" s="170">
        <v>45092</v>
      </c>
      <c r="B2097" s="116">
        <v>1855</v>
      </c>
      <c r="C2097" s="116">
        <v>1841</v>
      </c>
      <c r="D2097" s="116">
        <v>1832.25</v>
      </c>
      <c r="E2097" s="116">
        <v>1840</v>
      </c>
      <c r="F2097" s="116">
        <v>1841</v>
      </c>
      <c r="G2097">
        <v>6250</v>
      </c>
      <c r="H2097" s="116"/>
      <c r="I2097" s="116"/>
      <c r="L2097" s="170">
        <v>45092</v>
      </c>
      <c r="M2097" s="116">
        <v>1839.2</v>
      </c>
      <c r="N2097" s="116">
        <v>1857.6</v>
      </c>
      <c r="O2097" s="116">
        <v>1832.25</v>
      </c>
      <c r="P2097" s="116">
        <v>1839.45</v>
      </c>
      <c r="Q2097" s="116">
        <v>1839.2</v>
      </c>
      <c r="R2097">
        <v>388250</v>
      </c>
    </row>
    <row r="2098" spans="1:18" x14ac:dyDescent="0.25">
      <c r="A2098" s="170">
        <v>45093</v>
      </c>
      <c r="B2098" s="116">
        <v>1880</v>
      </c>
      <c r="C2098" s="116">
        <v>1857.3</v>
      </c>
      <c r="D2098" s="116">
        <v>1840.7</v>
      </c>
      <c r="E2098" s="116">
        <v>1880</v>
      </c>
      <c r="F2098" s="116">
        <v>1857.3</v>
      </c>
      <c r="G2098">
        <v>13006</v>
      </c>
      <c r="H2098" s="116"/>
      <c r="I2098" s="116"/>
      <c r="L2098" s="170">
        <v>45093</v>
      </c>
      <c r="M2098" s="116">
        <v>1858.2</v>
      </c>
      <c r="N2098" s="116">
        <v>1879.2</v>
      </c>
      <c r="O2098" s="116">
        <v>1840.85</v>
      </c>
      <c r="P2098" s="116">
        <v>1875</v>
      </c>
      <c r="Q2098" s="116">
        <v>1858.2</v>
      </c>
      <c r="R2098">
        <v>449596</v>
      </c>
    </row>
    <row r="2099" spans="1:18" x14ac:dyDescent="0.25">
      <c r="A2099" s="170">
        <v>45096</v>
      </c>
      <c r="B2099" s="116">
        <v>1869</v>
      </c>
      <c r="C2099" s="116">
        <v>1857.95</v>
      </c>
      <c r="D2099" s="116">
        <v>1843.05</v>
      </c>
      <c r="E2099" s="116">
        <v>1843.05</v>
      </c>
      <c r="F2099" s="116">
        <v>1857.95</v>
      </c>
      <c r="G2099">
        <v>2165</v>
      </c>
      <c r="H2099" s="116"/>
      <c r="I2099" s="116"/>
      <c r="L2099" s="170">
        <v>45096</v>
      </c>
      <c r="M2099" s="116">
        <v>1857.75</v>
      </c>
      <c r="N2099" s="116">
        <v>1870</v>
      </c>
      <c r="O2099" s="116">
        <v>1852</v>
      </c>
      <c r="P2099" s="116">
        <v>1859.95</v>
      </c>
      <c r="Q2099" s="116">
        <v>1857.75</v>
      </c>
      <c r="R2099">
        <v>164761</v>
      </c>
    </row>
    <row r="2100" spans="1:18" x14ac:dyDescent="0.25">
      <c r="A2100" s="170">
        <v>45097</v>
      </c>
      <c r="B2100" s="116">
        <v>1868</v>
      </c>
      <c r="C2100" s="116">
        <v>1858.2</v>
      </c>
      <c r="D2100" s="116">
        <v>1853.45</v>
      </c>
      <c r="E2100" s="116">
        <v>1860</v>
      </c>
      <c r="F2100" s="116">
        <v>1858.2</v>
      </c>
      <c r="G2100">
        <v>2087</v>
      </c>
      <c r="H2100" s="116"/>
      <c r="I2100" s="116"/>
      <c r="L2100" s="170">
        <v>45097</v>
      </c>
      <c r="M2100" s="116">
        <v>1860.05</v>
      </c>
      <c r="N2100" s="116">
        <v>1869.35</v>
      </c>
      <c r="O2100" s="116">
        <v>1852.25</v>
      </c>
      <c r="P2100" s="116">
        <v>1860</v>
      </c>
      <c r="Q2100" s="116">
        <v>1860.05</v>
      </c>
      <c r="R2100">
        <v>136393</v>
      </c>
    </row>
    <row r="2101" spans="1:18" x14ac:dyDescent="0.25">
      <c r="A2101" s="170">
        <v>45098</v>
      </c>
      <c r="B2101" s="116">
        <v>1870</v>
      </c>
      <c r="C2101" s="116">
        <v>1863.4</v>
      </c>
      <c r="D2101" s="116">
        <v>1857</v>
      </c>
      <c r="E2101" s="116">
        <v>1858.1</v>
      </c>
      <c r="F2101" s="116">
        <v>1863.4</v>
      </c>
      <c r="G2101">
        <v>983</v>
      </c>
      <c r="H2101" s="116"/>
      <c r="I2101" s="116"/>
      <c r="L2101" s="170">
        <v>45098</v>
      </c>
      <c r="M2101" s="116">
        <v>1862.2</v>
      </c>
      <c r="N2101" s="116">
        <v>1871.9</v>
      </c>
      <c r="O2101" s="116">
        <v>1856.5</v>
      </c>
      <c r="P2101" s="116">
        <v>1865.9</v>
      </c>
      <c r="Q2101" s="116">
        <v>1862.2</v>
      </c>
      <c r="R2101">
        <v>143078</v>
      </c>
    </row>
    <row r="2102" spans="1:18" x14ac:dyDescent="0.25">
      <c r="A2102" s="170">
        <v>45099</v>
      </c>
      <c r="B2102" s="116">
        <v>1877.05</v>
      </c>
      <c r="C2102" s="116">
        <v>1862.05</v>
      </c>
      <c r="D2102" s="116">
        <v>1857.15</v>
      </c>
      <c r="E2102" s="116">
        <v>1860.05</v>
      </c>
      <c r="F2102" s="116">
        <v>1862.05</v>
      </c>
      <c r="G2102">
        <v>2476</v>
      </c>
      <c r="H2102" s="116"/>
      <c r="I2102" s="116"/>
      <c r="L2102" s="170">
        <v>45099</v>
      </c>
      <c r="M2102" s="116">
        <v>1862.65</v>
      </c>
      <c r="N2102" s="116">
        <v>1878</v>
      </c>
      <c r="O2102" s="116">
        <v>1857.15</v>
      </c>
      <c r="P2102" s="116">
        <v>1865</v>
      </c>
      <c r="Q2102" s="116">
        <v>1862.65</v>
      </c>
      <c r="R2102">
        <v>195794</v>
      </c>
    </row>
    <row r="2103" spans="1:18" x14ac:dyDescent="0.25">
      <c r="A2103" s="170">
        <v>45100</v>
      </c>
      <c r="B2103" s="116">
        <v>1870.6</v>
      </c>
      <c r="C2103" s="116">
        <v>1864.5</v>
      </c>
      <c r="D2103" s="116">
        <v>1838.3</v>
      </c>
      <c r="E2103" s="116">
        <v>1860.1</v>
      </c>
      <c r="F2103" s="116">
        <v>1864.5</v>
      </c>
      <c r="G2103">
        <v>2018</v>
      </c>
      <c r="H2103" s="116"/>
      <c r="I2103" s="116"/>
      <c r="L2103" s="170">
        <v>45100</v>
      </c>
      <c r="M2103" s="116">
        <v>1863.05</v>
      </c>
      <c r="N2103" s="116">
        <v>1870</v>
      </c>
      <c r="O2103" s="116">
        <v>1795</v>
      </c>
      <c r="P2103" s="116">
        <v>1854.85</v>
      </c>
      <c r="Q2103" s="116">
        <v>1863.05</v>
      </c>
      <c r="R2103">
        <v>135365</v>
      </c>
    </row>
    <row r="2104" spans="1:18" x14ac:dyDescent="0.25">
      <c r="A2104" s="170">
        <v>45103</v>
      </c>
      <c r="B2104" s="116">
        <v>1882.7</v>
      </c>
      <c r="C2104" s="116">
        <v>1867.6</v>
      </c>
      <c r="D2104" s="116">
        <v>1830.05</v>
      </c>
      <c r="E2104" s="116">
        <v>1830.05</v>
      </c>
      <c r="F2104" s="116">
        <v>1867.6</v>
      </c>
      <c r="G2104">
        <v>4981</v>
      </c>
      <c r="H2104" s="116"/>
      <c r="I2104" s="116"/>
      <c r="L2104" s="170">
        <v>45103</v>
      </c>
      <c r="M2104" s="116">
        <v>1867.75</v>
      </c>
      <c r="N2104" s="116">
        <v>1883.7</v>
      </c>
      <c r="O2104" s="116">
        <v>1850</v>
      </c>
      <c r="P2104" s="116">
        <v>1879</v>
      </c>
      <c r="Q2104" s="116">
        <v>1867.75</v>
      </c>
      <c r="R2104">
        <v>233377</v>
      </c>
    </row>
    <row r="2105" spans="1:18" x14ac:dyDescent="0.25">
      <c r="A2105" s="170">
        <v>45104</v>
      </c>
      <c r="B2105" s="116">
        <v>1893.55</v>
      </c>
      <c r="C2105" s="116">
        <v>1877.6</v>
      </c>
      <c r="D2105" s="116">
        <v>1872.3</v>
      </c>
      <c r="E2105" s="116">
        <v>1872.3</v>
      </c>
      <c r="F2105" s="116">
        <v>1877.6</v>
      </c>
      <c r="G2105">
        <v>2136</v>
      </c>
      <c r="H2105" s="116"/>
      <c r="I2105" s="116"/>
      <c r="L2105" s="170">
        <v>45104</v>
      </c>
      <c r="M2105" s="116">
        <v>1879.05</v>
      </c>
      <c r="N2105" s="116">
        <v>1893</v>
      </c>
      <c r="O2105" s="116">
        <v>1867.2</v>
      </c>
      <c r="P2105" s="116">
        <v>1867.75</v>
      </c>
      <c r="Q2105" s="116">
        <v>1879.05</v>
      </c>
      <c r="R2105">
        <v>166248</v>
      </c>
    </row>
    <row r="2106" spans="1:18" x14ac:dyDescent="0.25">
      <c r="A2106" s="170">
        <v>45105</v>
      </c>
      <c r="B2106" s="116">
        <v>1981.5</v>
      </c>
      <c r="C2106" s="116">
        <v>1953.35</v>
      </c>
      <c r="D2106" s="116">
        <v>1850.15</v>
      </c>
      <c r="E2106" s="116">
        <v>1850.15</v>
      </c>
      <c r="F2106" s="116">
        <v>1953.35</v>
      </c>
      <c r="G2106">
        <v>6774</v>
      </c>
      <c r="H2106" s="116"/>
      <c r="I2106" s="116"/>
      <c r="L2106" s="170">
        <v>45105</v>
      </c>
      <c r="M2106" s="116">
        <v>1953.65</v>
      </c>
      <c r="N2106" s="116">
        <v>1984.25</v>
      </c>
      <c r="O2106" s="116">
        <v>1871.7</v>
      </c>
      <c r="P2106" s="116">
        <v>1883</v>
      </c>
      <c r="Q2106" s="116">
        <v>1953.65</v>
      </c>
      <c r="R2106">
        <v>1413657</v>
      </c>
    </row>
    <row r="2107" spans="1:18" x14ac:dyDescent="0.25">
      <c r="A2107" s="170">
        <v>45107</v>
      </c>
      <c r="B2107" s="116">
        <v>1943.95</v>
      </c>
      <c r="C2107" s="116">
        <v>1905.2</v>
      </c>
      <c r="D2107" s="116">
        <v>1899.65</v>
      </c>
      <c r="E2107" s="116">
        <v>1943.95</v>
      </c>
      <c r="F2107" s="116">
        <v>1905.2</v>
      </c>
      <c r="G2107">
        <v>5445</v>
      </c>
      <c r="H2107" s="116"/>
      <c r="I2107" s="116"/>
      <c r="L2107" s="170">
        <v>45107</v>
      </c>
      <c r="M2107" s="116">
        <v>1904.95</v>
      </c>
      <c r="N2107" s="116">
        <v>1939.95</v>
      </c>
      <c r="O2107" s="116">
        <v>1899.3</v>
      </c>
      <c r="P2107" s="116">
        <v>1937</v>
      </c>
      <c r="Q2107" s="116">
        <v>1904.95</v>
      </c>
      <c r="R2107">
        <v>558543</v>
      </c>
    </row>
    <row r="2108" spans="1:18" x14ac:dyDescent="0.25">
      <c r="A2108" s="170">
        <v>45110</v>
      </c>
      <c r="B2108" s="116">
        <v>1921.05</v>
      </c>
      <c r="C2108" s="116">
        <v>1891.45</v>
      </c>
      <c r="D2108" s="116">
        <v>1883.5</v>
      </c>
      <c r="E2108" s="116">
        <v>1905.25</v>
      </c>
      <c r="F2108" s="116">
        <v>1891.45</v>
      </c>
      <c r="G2108">
        <v>5448</v>
      </c>
      <c r="H2108" s="116"/>
      <c r="I2108" s="116"/>
      <c r="L2108" s="170">
        <v>45110</v>
      </c>
      <c r="M2108" s="116">
        <v>1890.9</v>
      </c>
      <c r="N2108" s="116">
        <v>1922.05</v>
      </c>
      <c r="O2108" s="116">
        <v>1883.15</v>
      </c>
      <c r="P2108" s="116">
        <v>1910</v>
      </c>
      <c r="Q2108" s="116">
        <v>1890.9</v>
      </c>
      <c r="R2108">
        <v>221209</v>
      </c>
    </row>
    <row r="2109" spans="1:18" x14ac:dyDescent="0.25">
      <c r="A2109" s="170">
        <v>45111</v>
      </c>
      <c r="B2109" s="116">
        <v>1901.2</v>
      </c>
      <c r="C2109" s="116">
        <v>1876.35</v>
      </c>
      <c r="D2109" s="116">
        <v>1862.15</v>
      </c>
      <c r="E2109" s="116">
        <v>1898.2</v>
      </c>
      <c r="F2109" s="116">
        <v>1876.35</v>
      </c>
      <c r="G2109">
        <v>4405</v>
      </c>
      <c r="H2109" s="116"/>
      <c r="I2109" s="116"/>
      <c r="L2109" s="170">
        <v>45111</v>
      </c>
      <c r="M2109" s="116">
        <v>1877.75</v>
      </c>
      <c r="N2109" s="116">
        <v>1903.15</v>
      </c>
      <c r="O2109" s="116">
        <v>1862.7</v>
      </c>
      <c r="P2109" s="116">
        <v>1900.9</v>
      </c>
      <c r="Q2109" s="116">
        <v>1877.75</v>
      </c>
      <c r="R2109">
        <v>137674</v>
      </c>
    </row>
    <row r="2110" spans="1:18" x14ac:dyDescent="0.25">
      <c r="A2110" s="170">
        <v>45112</v>
      </c>
      <c r="B2110" s="116">
        <v>1906.4</v>
      </c>
      <c r="C2110" s="116">
        <v>1884.15</v>
      </c>
      <c r="D2110" s="116">
        <v>1867.8</v>
      </c>
      <c r="E2110" s="116">
        <v>1893.15</v>
      </c>
      <c r="F2110" s="116">
        <v>1884.15</v>
      </c>
      <c r="G2110">
        <v>2570</v>
      </c>
      <c r="H2110" s="116"/>
      <c r="I2110" s="116"/>
      <c r="L2110" s="170">
        <v>45112</v>
      </c>
      <c r="M2110" s="116">
        <v>1886</v>
      </c>
      <c r="N2110" s="116">
        <v>1907.35</v>
      </c>
      <c r="O2110" s="116">
        <v>1866.6</v>
      </c>
      <c r="P2110" s="116">
        <v>1877.75</v>
      </c>
      <c r="Q2110" s="116">
        <v>1886</v>
      </c>
      <c r="R2110">
        <v>310309</v>
      </c>
    </row>
    <row r="2111" spans="1:18" x14ac:dyDescent="0.25">
      <c r="A2111" s="170">
        <v>45113</v>
      </c>
      <c r="B2111" s="116">
        <v>1918.8</v>
      </c>
      <c r="C2111" s="116">
        <v>1898.6</v>
      </c>
      <c r="D2111" s="116">
        <v>1895.35</v>
      </c>
      <c r="E2111" s="116">
        <v>1895.35</v>
      </c>
      <c r="F2111" s="116">
        <v>1898.6</v>
      </c>
      <c r="G2111">
        <v>3405</v>
      </c>
      <c r="H2111" s="116"/>
      <c r="I2111" s="116"/>
      <c r="L2111" s="170">
        <v>45113</v>
      </c>
      <c r="M2111" s="116">
        <v>1899.4</v>
      </c>
      <c r="N2111" s="116">
        <v>1918.4</v>
      </c>
      <c r="O2111" s="116">
        <v>1885.05</v>
      </c>
      <c r="P2111" s="116">
        <v>1898.6</v>
      </c>
      <c r="Q2111" s="116">
        <v>1899.4</v>
      </c>
      <c r="R2111">
        <v>387583</v>
      </c>
    </row>
    <row r="2112" spans="1:18" x14ac:dyDescent="0.25">
      <c r="A2112" s="170">
        <v>45114</v>
      </c>
      <c r="B2112" s="116">
        <v>1948.6</v>
      </c>
      <c r="C2112" s="116">
        <v>1902</v>
      </c>
      <c r="D2112" s="116">
        <v>1889.85</v>
      </c>
      <c r="E2112" s="116">
        <v>1897.8</v>
      </c>
      <c r="F2112" s="116">
        <v>1902</v>
      </c>
      <c r="G2112">
        <v>6886</v>
      </c>
      <c r="H2112" s="116"/>
      <c r="I2112" s="116"/>
      <c r="L2112" s="170">
        <v>45114</v>
      </c>
      <c r="M2112" s="116">
        <v>1902.25</v>
      </c>
      <c r="N2112" s="116">
        <v>1949</v>
      </c>
      <c r="O2112" s="116">
        <v>1891.25</v>
      </c>
      <c r="P2112" s="116">
        <v>1898</v>
      </c>
      <c r="Q2112" s="116">
        <v>1902.25</v>
      </c>
      <c r="R2112">
        <v>542361</v>
      </c>
    </row>
    <row r="2113" spans="1:18" x14ac:dyDescent="0.25">
      <c r="A2113" s="170">
        <v>45117</v>
      </c>
      <c r="B2113" s="116">
        <v>1918.6</v>
      </c>
      <c r="C2113" s="116">
        <v>1913.15</v>
      </c>
      <c r="D2113" s="116">
        <v>1865.05</v>
      </c>
      <c r="E2113" s="116">
        <v>1865.05</v>
      </c>
      <c r="F2113" s="116">
        <v>1913.15</v>
      </c>
      <c r="G2113">
        <v>2529</v>
      </c>
      <c r="H2113" s="116"/>
      <c r="I2113" s="116"/>
      <c r="L2113" s="170">
        <v>45117</v>
      </c>
      <c r="M2113" s="116">
        <v>1911.95</v>
      </c>
      <c r="N2113" s="116">
        <v>1919.4</v>
      </c>
      <c r="O2113" s="116">
        <v>1888.2</v>
      </c>
      <c r="P2113" s="116">
        <v>1919.4</v>
      </c>
      <c r="Q2113" s="116">
        <v>1911.95</v>
      </c>
      <c r="R2113">
        <v>194986</v>
      </c>
    </row>
    <row r="2114" spans="1:18" x14ac:dyDescent="0.25">
      <c r="A2114" s="170">
        <v>45118</v>
      </c>
      <c r="B2114" s="116">
        <v>1944</v>
      </c>
      <c r="C2114" s="116">
        <v>1940.6</v>
      </c>
      <c r="D2114" s="116">
        <v>1885.05</v>
      </c>
      <c r="E2114" s="116">
        <v>1885.05</v>
      </c>
      <c r="F2114" s="116">
        <v>1940.6</v>
      </c>
      <c r="G2114">
        <v>3890</v>
      </c>
      <c r="H2114" s="116"/>
      <c r="I2114" s="116"/>
      <c r="L2114" s="170">
        <v>45118</v>
      </c>
      <c r="M2114" s="116">
        <v>1941.6</v>
      </c>
      <c r="N2114" s="116">
        <v>1944.75</v>
      </c>
      <c r="O2114" s="116">
        <v>1906.75</v>
      </c>
      <c r="P2114" s="116">
        <v>1916.9</v>
      </c>
      <c r="Q2114" s="116">
        <v>1941.6</v>
      </c>
      <c r="R2114">
        <v>285210</v>
      </c>
    </row>
    <row r="2115" spans="1:18" x14ac:dyDescent="0.25">
      <c r="A2115" s="170">
        <v>45119</v>
      </c>
      <c r="B2115" s="116">
        <v>1946.45</v>
      </c>
      <c r="C2115" s="116">
        <v>1928.95</v>
      </c>
      <c r="D2115" s="116">
        <v>1910.05</v>
      </c>
      <c r="E2115" s="116">
        <v>1910.05</v>
      </c>
      <c r="F2115" s="116">
        <v>1928.95</v>
      </c>
      <c r="G2115">
        <v>1956</v>
      </c>
      <c r="H2115" s="116"/>
      <c r="I2115" s="116"/>
      <c r="L2115" s="170">
        <v>45119</v>
      </c>
      <c r="M2115" s="116">
        <v>1930</v>
      </c>
      <c r="N2115" s="116">
        <v>1950.4</v>
      </c>
      <c r="O2115" s="116">
        <v>1917</v>
      </c>
      <c r="P2115" s="116">
        <v>1944</v>
      </c>
      <c r="Q2115" s="116">
        <v>1930</v>
      </c>
      <c r="R2115">
        <v>191619</v>
      </c>
    </row>
    <row r="2116" spans="1:18" x14ac:dyDescent="0.25">
      <c r="A2116" s="170">
        <v>45120</v>
      </c>
      <c r="B2116" s="116">
        <v>1942.55</v>
      </c>
      <c r="C2116" s="116">
        <v>1932.2</v>
      </c>
      <c r="D2116" s="116">
        <v>1920.95</v>
      </c>
      <c r="E2116" s="116">
        <v>1935.05</v>
      </c>
      <c r="F2116" s="116">
        <v>1932.2</v>
      </c>
      <c r="G2116">
        <v>1457</v>
      </c>
      <c r="H2116" s="116"/>
      <c r="I2116" s="116"/>
      <c r="L2116" s="170">
        <v>45120</v>
      </c>
      <c r="M2116" s="116">
        <v>1930.35</v>
      </c>
      <c r="N2116" s="116">
        <v>1942.7</v>
      </c>
      <c r="O2116" s="116">
        <v>1919.1</v>
      </c>
      <c r="P2116" s="116">
        <v>1938</v>
      </c>
      <c r="Q2116" s="116">
        <v>1930.35</v>
      </c>
      <c r="R2116">
        <v>83865</v>
      </c>
    </row>
    <row r="2117" spans="1:18" x14ac:dyDescent="0.25">
      <c r="A2117" s="170">
        <v>45121</v>
      </c>
      <c r="B2117" s="116">
        <v>1948.4</v>
      </c>
      <c r="C2117" s="116">
        <v>1944.85</v>
      </c>
      <c r="D2117" s="116">
        <v>1916.6</v>
      </c>
      <c r="E2117" s="116">
        <v>1920.05</v>
      </c>
      <c r="F2117" s="116">
        <v>1944.85</v>
      </c>
      <c r="G2117">
        <v>2726</v>
      </c>
      <c r="H2117" s="116"/>
      <c r="I2117" s="116"/>
      <c r="L2117" s="170">
        <v>45121</v>
      </c>
      <c r="M2117" s="116">
        <v>1945.2</v>
      </c>
      <c r="N2117" s="116">
        <v>1949</v>
      </c>
      <c r="O2117" s="116">
        <v>1916.4</v>
      </c>
      <c r="P2117" s="116">
        <v>1930</v>
      </c>
      <c r="Q2117" s="116">
        <v>1945.2</v>
      </c>
      <c r="R2117">
        <v>127180</v>
      </c>
    </row>
    <row r="2118" spans="1:18" x14ac:dyDescent="0.25">
      <c r="A2118" s="170">
        <v>45124</v>
      </c>
      <c r="B2118" s="116">
        <v>1966.8</v>
      </c>
      <c r="C2118" s="116">
        <v>1941.3</v>
      </c>
      <c r="D2118" s="116">
        <v>1923.05</v>
      </c>
      <c r="E2118" s="116">
        <v>1923.05</v>
      </c>
      <c r="F2118" s="116">
        <v>1941.3</v>
      </c>
      <c r="G2118">
        <v>2055</v>
      </c>
      <c r="H2118" s="116"/>
      <c r="I2118" s="116"/>
      <c r="L2118" s="170">
        <v>45124</v>
      </c>
      <c r="M2118" s="116">
        <v>1942.8</v>
      </c>
      <c r="N2118" s="116">
        <v>1968.55</v>
      </c>
      <c r="O2118" s="116">
        <v>1940.05</v>
      </c>
      <c r="P2118" s="116">
        <v>1945.2</v>
      </c>
      <c r="Q2118" s="116">
        <v>1942.8</v>
      </c>
      <c r="R2118">
        <v>116965</v>
      </c>
    </row>
    <row r="2119" spans="1:18" x14ac:dyDescent="0.25">
      <c r="A2119" s="170">
        <v>45125</v>
      </c>
      <c r="B2119" s="116">
        <v>1953.3</v>
      </c>
      <c r="C2119" s="116">
        <v>1927.6</v>
      </c>
      <c r="D2119" s="116">
        <v>1924.95</v>
      </c>
      <c r="E2119" s="116">
        <v>1942.4</v>
      </c>
      <c r="F2119" s="116">
        <v>1927.6</v>
      </c>
      <c r="G2119">
        <v>1338</v>
      </c>
      <c r="H2119" s="116"/>
      <c r="I2119" s="116"/>
      <c r="L2119" s="170">
        <v>45125</v>
      </c>
      <c r="M2119" s="116">
        <v>1928.5</v>
      </c>
      <c r="N2119" s="116">
        <v>1955</v>
      </c>
      <c r="O2119" s="116">
        <v>1925</v>
      </c>
      <c r="P2119" s="116">
        <v>1942.8</v>
      </c>
      <c r="Q2119" s="116">
        <v>1928.5</v>
      </c>
      <c r="R2119">
        <v>95652</v>
      </c>
    </row>
    <row r="2120" spans="1:18" x14ac:dyDescent="0.25">
      <c r="A2120" s="170">
        <v>45126</v>
      </c>
      <c r="B2120" s="116">
        <v>1948.05</v>
      </c>
      <c r="C2120" s="116">
        <v>1924.5</v>
      </c>
      <c r="D2120" s="116">
        <v>1916.7</v>
      </c>
      <c r="E2120" s="116">
        <v>1935.45</v>
      </c>
      <c r="F2120" s="116">
        <v>1924.5</v>
      </c>
      <c r="G2120">
        <v>1803</v>
      </c>
      <c r="H2120" s="116"/>
      <c r="I2120" s="116"/>
      <c r="L2120" s="170">
        <v>45126</v>
      </c>
      <c r="M2120" s="116">
        <v>1924.55</v>
      </c>
      <c r="N2120" s="116">
        <v>1949</v>
      </c>
      <c r="O2120" s="116">
        <v>1917</v>
      </c>
      <c r="P2120" s="116">
        <v>1933.95</v>
      </c>
      <c r="Q2120" s="116">
        <v>1924.55</v>
      </c>
      <c r="R2120">
        <v>251803</v>
      </c>
    </row>
    <row r="2121" spans="1:18" x14ac:dyDescent="0.25">
      <c r="A2121" s="170">
        <v>45127</v>
      </c>
      <c r="B2121" s="116">
        <v>1939.6</v>
      </c>
      <c r="C2121" s="116">
        <v>1930.05</v>
      </c>
      <c r="D2121" s="116">
        <v>1925.9</v>
      </c>
      <c r="E2121" s="116">
        <v>1935.55</v>
      </c>
      <c r="F2121" s="116">
        <v>1930.05</v>
      </c>
      <c r="G2121">
        <v>1893</v>
      </c>
      <c r="H2121" s="116"/>
      <c r="I2121" s="116"/>
      <c r="L2121" s="170">
        <v>45127</v>
      </c>
      <c r="M2121" s="116">
        <v>1930.35</v>
      </c>
      <c r="N2121" s="116">
        <v>1941.95</v>
      </c>
      <c r="O2121" s="116">
        <v>1925.8</v>
      </c>
      <c r="P2121" s="116">
        <v>1934.7</v>
      </c>
      <c r="Q2121" s="116">
        <v>1930.35</v>
      </c>
      <c r="R2121">
        <v>217774</v>
      </c>
    </row>
    <row r="2122" spans="1:18" x14ac:dyDescent="0.25">
      <c r="A2122" s="170">
        <v>45128</v>
      </c>
      <c r="B2122" s="116">
        <v>1982.55</v>
      </c>
      <c r="C2122" s="116">
        <v>1939.55</v>
      </c>
      <c r="D2122" s="116">
        <v>1921.25</v>
      </c>
      <c r="E2122" s="116">
        <v>1921.25</v>
      </c>
      <c r="F2122" s="116">
        <v>1939.55</v>
      </c>
      <c r="G2122">
        <v>4714</v>
      </c>
      <c r="H2122" s="116"/>
      <c r="I2122" s="116"/>
      <c r="L2122" s="170">
        <v>45128</v>
      </c>
      <c r="M2122" s="116">
        <v>1938.75</v>
      </c>
      <c r="N2122" s="116">
        <v>1983.1</v>
      </c>
      <c r="O2122" s="116">
        <v>1915</v>
      </c>
      <c r="P2122" s="116">
        <v>1915</v>
      </c>
      <c r="Q2122" s="116">
        <v>1938.75</v>
      </c>
      <c r="R2122">
        <v>247640</v>
      </c>
    </row>
    <row r="2123" spans="1:18" x14ac:dyDescent="0.25">
      <c r="A2123" s="170">
        <v>45131</v>
      </c>
      <c r="B2123" s="116">
        <v>1953</v>
      </c>
      <c r="C2123" s="116">
        <v>1941.8</v>
      </c>
      <c r="D2123" s="116">
        <v>1930.2</v>
      </c>
      <c r="E2123" s="116">
        <v>1939.55</v>
      </c>
      <c r="F2123" s="116">
        <v>1941.8</v>
      </c>
      <c r="G2123">
        <v>2586</v>
      </c>
      <c r="H2123" s="116"/>
      <c r="I2123" s="116"/>
      <c r="L2123" s="170">
        <v>45131</v>
      </c>
      <c r="M2123" s="116">
        <v>1941</v>
      </c>
      <c r="N2123" s="116">
        <v>1953.5</v>
      </c>
      <c r="O2123" s="116">
        <v>1930.05</v>
      </c>
      <c r="P2123" s="116">
        <v>1946.95</v>
      </c>
      <c r="Q2123" s="116">
        <v>1941</v>
      </c>
      <c r="R2123">
        <v>170993</v>
      </c>
    </row>
    <row r="2124" spans="1:18" x14ac:dyDescent="0.25">
      <c r="A2124" s="170">
        <v>45132</v>
      </c>
      <c r="B2124" s="116">
        <v>1980.3</v>
      </c>
      <c r="C2124" s="116">
        <v>1972.1</v>
      </c>
      <c r="D2124" s="116">
        <v>1941.8</v>
      </c>
      <c r="E2124" s="116">
        <v>1941.8</v>
      </c>
      <c r="F2124" s="116">
        <v>1972.1</v>
      </c>
      <c r="G2124">
        <v>4771</v>
      </c>
      <c r="H2124" s="116"/>
      <c r="I2124" s="116"/>
      <c r="L2124" s="170">
        <v>45132</v>
      </c>
      <c r="M2124" s="116">
        <v>1972.5</v>
      </c>
      <c r="N2124" s="116">
        <v>1982</v>
      </c>
      <c r="O2124" s="116">
        <v>1941.55</v>
      </c>
      <c r="P2124" s="116">
        <v>1948.9</v>
      </c>
      <c r="Q2124" s="116">
        <v>1972.5</v>
      </c>
      <c r="R2124">
        <v>299707</v>
      </c>
    </row>
    <row r="2125" spans="1:18" x14ac:dyDescent="0.25">
      <c r="A2125" s="170">
        <v>45133</v>
      </c>
      <c r="B2125" s="116">
        <v>1988.85</v>
      </c>
      <c r="C2125" s="116">
        <v>1970.4</v>
      </c>
      <c r="D2125" s="116">
        <v>1959</v>
      </c>
      <c r="E2125" s="116">
        <v>1975</v>
      </c>
      <c r="F2125" s="116">
        <v>1970.4</v>
      </c>
      <c r="G2125">
        <v>3059</v>
      </c>
      <c r="H2125" s="116"/>
      <c r="I2125" s="116"/>
      <c r="L2125" s="170">
        <v>45133</v>
      </c>
      <c r="M2125" s="116">
        <v>1970.8</v>
      </c>
      <c r="N2125" s="116">
        <v>1993.2</v>
      </c>
      <c r="O2125" s="116">
        <v>1959</v>
      </c>
      <c r="P2125" s="116">
        <v>1981.6</v>
      </c>
      <c r="Q2125" s="116">
        <v>1970.8</v>
      </c>
      <c r="R2125">
        <v>216093</v>
      </c>
    </row>
    <row r="2126" spans="1:18" x14ac:dyDescent="0.25">
      <c r="A2126" s="170">
        <v>45134</v>
      </c>
      <c r="B2126" s="116">
        <v>2004.55</v>
      </c>
      <c r="C2126" s="116">
        <v>1991.75</v>
      </c>
      <c r="D2126" s="116">
        <v>1964.4</v>
      </c>
      <c r="E2126" s="116">
        <v>1980.5</v>
      </c>
      <c r="F2126" s="116">
        <v>1991.75</v>
      </c>
      <c r="G2126">
        <v>3237</v>
      </c>
      <c r="H2126" s="116"/>
      <c r="I2126" s="116"/>
      <c r="L2126" s="170">
        <v>45134</v>
      </c>
      <c r="M2126" s="116">
        <v>1992</v>
      </c>
      <c r="N2126" s="116">
        <v>2008</v>
      </c>
      <c r="O2126" s="116">
        <v>1963.05</v>
      </c>
      <c r="P2126" s="116">
        <v>1974.55</v>
      </c>
      <c r="Q2126" s="116">
        <v>1992</v>
      </c>
      <c r="R2126">
        <v>389701</v>
      </c>
    </row>
    <row r="2127" spans="1:18" x14ac:dyDescent="0.25">
      <c r="A2127" s="170">
        <v>45135</v>
      </c>
      <c r="B2127" s="116">
        <v>2036.15</v>
      </c>
      <c r="C2127" s="116">
        <v>1990.2</v>
      </c>
      <c r="D2127" s="116">
        <v>1977.2</v>
      </c>
      <c r="E2127" s="116">
        <v>1977.2</v>
      </c>
      <c r="F2127" s="116">
        <v>1990.2</v>
      </c>
      <c r="G2127">
        <v>5577</v>
      </c>
      <c r="H2127" s="116"/>
      <c r="I2127" s="116"/>
      <c r="L2127" s="170">
        <v>45135</v>
      </c>
      <c r="M2127" s="116">
        <v>1990.3</v>
      </c>
      <c r="N2127" s="116">
        <v>2036.5</v>
      </c>
      <c r="O2127" s="116">
        <v>1981.05</v>
      </c>
      <c r="P2127" s="116">
        <v>1995.25</v>
      </c>
      <c r="Q2127" s="116">
        <v>1990.3</v>
      </c>
      <c r="R2127">
        <v>251110</v>
      </c>
    </row>
    <row r="2128" spans="1:18" x14ac:dyDescent="0.25">
      <c r="A2128" s="170">
        <v>45138</v>
      </c>
      <c r="B2128" s="116">
        <v>2012</v>
      </c>
      <c r="C2128" s="116">
        <v>2002.75</v>
      </c>
      <c r="D2128" s="116">
        <v>1930</v>
      </c>
      <c r="E2128" s="116">
        <v>1930</v>
      </c>
      <c r="F2128" s="116">
        <v>2002.75</v>
      </c>
      <c r="G2128">
        <v>5976</v>
      </c>
      <c r="H2128" s="116"/>
      <c r="I2128" s="116"/>
      <c r="L2128" s="170">
        <v>45138</v>
      </c>
      <c r="M2128" s="116">
        <v>2002.85</v>
      </c>
      <c r="N2128" s="116">
        <v>2014.8</v>
      </c>
      <c r="O2128" s="116">
        <v>1909</v>
      </c>
      <c r="P2128" s="116">
        <v>1909</v>
      </c>
      <c r="Q2128" s="116">
        <v>2002.85</v>
      </c>
      <c r="R2128">
        <v>324909</v>
      </c>
    </row>
    <row r="2129" spans="1:18" x14ac:dyDescent="0.25">
      <c r="A2129" s="170">
        <v>45139</v>
      </c>
      <c r="B2129" s="116">
        <v>2020.1</v>
      </c>
      <c r="C2129" s="116">
        <v>1980.15</v>
      </c>
      <c r="D2129" s="116">
        <v>1975.9</v>
      </c>
      <c r="E2129" s="116">
        <v>1989.05</v>
      </c>
      <c r="F2129" s="116">
        <v>1980.15</v>
      </c>
      <c r="G2129">
        <v>3145</v>
      </c>
      <c r="H2129" s="116"/>
      <c r="I2129" s="116"/>
      <c r="L2129" s="170">
        <v>45139</v>
      </c>
      <c r="M2129" s="116">
        <v>1983.5</v>
      </c>
      <c r="N2129" s="116">
        <v>2021.9</v>
      </c>
      <c r="O2129" s="116">
        <v>1974.4</v>
      </c>
      <c r="P2129" s="116">
        <v>2007.65</v>
      </c>
      <c r="Q2129" s="116">
        <v>1983.5</v>
      </c>
      <c r="R2129">
        <v>521389</v>
      </c>
    </row>
    <row r="2130" spans="1:18" x14ac:dyDescent="0.25">
      <c r="A2130" s="170">
        <v>45140</v>
      </c>
      <c r="B2130" s="116">
        <v>1986.4</v>
      </c>
      <c r="C2130" s="116">
        <v>1965.2</v>
      </c>
      <c r="D2130" s="116">
        <v>1953.1</v>
      </c>
      <c r="E2130" s="116">
        <v>1971.05</v>
      </c>
      <c r="F2130" s="116">
        <v>1965.2</v>
      </c>
      <c r="G2130">
        <v>2052</v>
      </c>
      <c r="H2130" s="116"/>
      <c r="I2130" s="116"/>
      <c r="L2130" s="170">
        <v>45140</v>
      </c>
      <c r="M2130" s="116">
        <v>1965.8</v>
      </c>
      <c r="N2130" s="116">
        <v>1988.4</v>
      </c>
      <c r="O2130" s="116">
        <v>1953.95</v>
      </c>
      <c r="P2130" s="116">
        <v>1965</v>
      </c>
      <c r="Q2130" s="116">
        <v>1965.8</v>
      </c>
      <c r="R2130">
        <v>207780</v>
      </c>
    </row>
    <row r="2131" spans="1:18" x14ac:dyDescent="0.25">
      <c r="A2131" s="170">
        <v>45141</v>
      </c>
      <c r="B2131" s="116">
        <v>2010.15</v>
      </c>
      <c r="C2131" s="116">
        <v>1997.25</v>
      </c>
      <c r="D2131" s="116">
        <v>1963.2</v>
      </c>
      <c r="E2131" s="116">
        <v>1963.2</v>
      </c>
      <c r="F2131" s="116">
        <v>1997.25</v>
      </c>
      <c r="G2131">
        <v>8187</v>
      </c>
      <c r="H2131" s="116"/>
      <c r="I2131" s="116"/>
      <c r="L2131" s="170">
        <v>45141</v>
      </c>
      <c r="M2131" s="116">
        <v>1995.8</v>
      </c>
      <c r="N2131" s="116">
        <v>2009.1</v>
      </c>
      <c r="O2131" s="116">
        <v>1963.8</v>
      </c>
      <c r="P2131" s="116">
        <v>1967.9</v>
      </c>
      <c r="Q2131" s="116">
        <v>1995.8</v>
      </c>
      <c r="R2131">
        <v>331574</v>
      </c>
    </row>
    <row r="2132" spans="1:18" x14ac:dyDescent="0.25">
      <c r="A2132" s="170">
        <v>45142</v>
      </c>
      <c r="B2132" s="116">
        <v>2081.3000000000002</v>
      </c>
      <c r="C2132" s="116">
        <v>2061.5500000000002</v>
      </c>
      <c r="D2132" s="116">
        <v>2004.45</v>
      </c>
      <c r="E2132" s="116">
        <v>2014.95</v>
      </c>
      <c r="F2132" s="116">
        <v>2061.5500000000002</v>
      </c>
      <c r="G2132">
        <v>10068</v>
      </c>
      <c r="H2132" s="116"/>
      <c r="I2132" s="116"/>
      <c r="L2132" s="170">
        <v>45142</v>
      </c>
      <c r="M2132" s="116">
        <v>2062.15</v>
      </c>
      <c r="N2132" s="116">
        <v>2081</v>
      </c>
      <c r="O2132" s="116">
        <v>2004.5</v>
      </c>
      <c r="P2132" s="116">
        <v>2004.8</v>
      </c>
      <c r="Q2132" s="116">
        <v>2062.15</v>
      </c>
      <c r="R2132">
        <v>817028</v>
      </c>
    </row>
    <row r="2133" spans="1:18" x14ac:dyDescent="0.25">
      <c r="A2133" s="170">
        <v>45145</v>
      </c>
      <c r="B2133" s="116">
        <v>2079.5500000000002</v>
      </c>
      <c r="C2133" s="116">
        <v>2051.5</v>
      </c>
      <c r="D2133" s="116">
        <v>2045</v>
      </c>
      <c r="E2133" s="116">
        <v>2061.5500000000002</v>
      </c>
      <c r="F2133" s="116">
        <v>2051.5</v>
      </c>
      <c r="G2133">
        <v>5294</v>
      </c>
      <c r="H2133" s="116"/>
      <c r="I2133" s="116"/>
      <c r="L2133" s="170">
        <v>45145</v>
      </c>
      <c r="M2133" s="116">
        <v>2051.4</v>
      </c>
      <c r="N2133" s="116">
        <v>2080.8000000000002</v>
      </c>
      <c r="O2133" s="116">
        <v>2043.4</v>
      </c>
      <c r="P2133" s="116">
        <v>2070.65</v>
      </c>
      <c r="Q2133" s="116">
        <v>2051.4</v>
      </c>
      <c r="R2133">
        <v>305278</v>
      </c>
    </row>
    <row r="2134" spans="1:18" x14ac:dyDescent="0.25">
      <c r="A2134" s="170">
        <v>45146</v>
      </c>
      <c r="B2134" s="116">
        <v>2089.85</v>
      </c>
      <c r="C2134" s="116">
        <v>2040.4</v>
      </c>
      <c r="D2134" s="116">
        <v>2019.6</v>
      </c>
      <c r="E2134" s="116">
        <v>2071.5</v>
      </c>
      <c r="F2134" s="116">
        <v>2040.4</v>
      </c>
      <c r="G2134">
        <v>14305</v>
      </c>
      <c r="H2134" s="116"/>
      <c r="I2134" s="116"/>
      <c r="L2134" s="170">
        <v>45146</v>
      </c>
      <c r="M2134" s="116">
        <v>2040.35</v>
      </c>
      <c r="N2134" s="116">
        <v>2094.5500000000002</v>
      </c>
      <c r="O2134" s="116">
        <v>2022.65</v>
      </c>
      <c r="P2134" s="116">
        <v>2069</v>
      </c>
      <c r="Q2134" s="116">
        <v>2040.35</v>
      </c>
      <c r="R2134">
        <v>599781</v>
      </c>
    </row>
    <row r="2135" spans="1:18" x14ac:dyDescent="0.25">
      <c r="A2135" s="170">
        <v>45147</v>
      </c>
      <c r="B2135" s="116">
        <v>2095.1999999999998</v>
      </c>
      <c r="C2135" s="116">
        <v>2072.9499999999998</v>
      </c>
      <c r="D2135" s="116">
        <v>2040</v>
      </c>
      <c r="E2135" s="116">
        <v>2040</v>
      </c>
      <c r="F2135" s="116">
        <v>2072.9499999999998</v>
      </c>
      <c r="G2135">
        <v>11599</v>
      </c>
      <c r="H2135" s="116"/>
      <c r="I2135" s="116"/>
      <c r="L2135" s="170">
        <v>45147</v>
      </c>
      <c r="M2135" s="116">
        <v>2073.85</v>
      </c>
      <c r="N2135" s="116">
        <v>2093.9499999999998</v>
      </c>
      <c r="O2135" s="116">
        <v>2048.0500000000002</v>
      </c>
      <c r="P2135" s="116">
        <v>2050</v>
      </c>
      <c r="Q2135" s="116">
        <v>2073.85</v>
      </c>
      <c r="R2135">
        <v>402813</v>
      </c>
    </row>
    <row r="2136" spans="1:18" x14ac:dyDescent="0.25">
      <c r="A2136" s="170">
        <v>45148</v>
      </c>
      <c r="B2136" s="116">
        <v>2099.9499999999998</v>
      </c>
      <c r="C2136" s="116">
        <v>2031.2</v>
      </c>
      <c r="D2136" s="116">
        <v>2025.15</v>
      </c>
      <c r="E2136" s="116">
        <v>2099.9499999999998</v>
      </c>
      <c r="F2136" s="116">
        <v>2031.2</v>
      </c>
      <c r="G2136">
        <v>1742</v>
      </c>
      <c r="H2136" s="116"/>
      <c r="I2136" s="116"/>
      <c r="L2136" s="170">
        <v>45148</v>
      </c>
      <c r="M2136" s="116">
        <v>2030.45</v>
      </c>
      <c r="N2136" s="116">
        <v>2074.9</v>
      </c>
      <c r="O2136" s="116">
        <v>2023.5</v>
      </c>
      <c r="P2136" s="116">
        <v>2074.9</v>
      </c>
      <c r="Q2136" s="116">
        <v>2030.45</v>
      </c>
      <c r="R2136">
        <v>99313</v>
      </c>
    </row>
    <row r="2137" spans="1:18" x14ac:dyDescent="0.25">
      <c r="A2137" s="170">
        <v>45149</v>
      </c>
      <c r="B2137" s="116">
        <v>2035.65</v>
      </c>
      <c r="C2137" s="116">
        <v>1994.9</v>
      </c>
      <c r="D2137" s="116">
        <v>1990</v>
      </c>
      <c r="E2137" s="116">
        <v>2035.65</v>
      </c>
      <c r="F2137" s="116">
        <v>1994.9</v>
      </c>
      <c r="G2137">
        <v>3981</v>
      </c>
      <c r="H2137" s="116"/>
      <c r="I2137" s="116"/>
      <c r="L2137" s="170">
        <v>45149</v>
      </c>
      <c r="M2137" s="116">
        <v>1995.25</v>
      </c>
      <c r="N2137" s="116">
        <v>2053.25</v>
      </c>
      <c r="O2137" s="116">
        <v>1990.05</v>
      </c>
      <c r="P2137" s="116">
        <v>2053.25</v>
      </c>
      <c r="Q2137" s="116">
        <v>1995.25</v>
      </c>
      <c r="R2137">
        <v>226071</v>
      </c>
    </row>
    <row r="2138" spans="1:18" x14ac:dyDescent="0.25">
      <c r="A2138" s="170">
        <v>45152</v>
      </c>
      <c r="B2138" s="116">
        <v>1990</v>
      </c>
      <c r="C2138" s="116">
        <v>1970.6</v>
      </c>
      <c r="D2138" s="116">
        <v>1957</v>
      </c>
      <c r="E2138" s="116">
        <v>1957</v>
      </c>
      <c r="F2138" s="116">
        <v>1970.6</v>
      </c>
      <c r="G2138">
        <v>7077</v>
      </c>
      <c r="H2138" s="116"/>
      <c r="I2138" s="116"/>
      <c r="L2138" s="170">
        <v>45152</v>
      </c>
      <c r="M2138" s="116">
        <v>1971.9</v>
      </c>
      <c r="N2138" s="116">
        <v>1990</v>
      </c>
      <c r="O2138" s="116">
        <v>1960.45</v>
      </c>
      <c r="P2138" s="116">
        <v>1986.95</v>
      </c>
      <c r="Q2138" s="116">
        <v>1971.9</v>
      </c>
      <c r="R2138">
        <v>431664</v>
      </c>
    </row>
    <row r="2139" spans="1:18" x14ac:dyDescent="0.25">
      <c r="A2139" s="170">
        <v>45154</v>
      </c>
      <c r="B2139" s="116">
        <v>1994.95</v>
      </c>
      <c r="C2139" s="116">
        <v>1987.25</v>
      </c>
      <c r="D2139" s="116">
        <v>1961.35</v>
      </c>
      <c r="E2139" s="116">
        <v>1961.35</v>
      </c>
      <c r="F2139" s="116">
        <v>1987.25</v>
      </c>
      <c r="G2139">
        <v>2546</v>
      </c>
      <c r="H2139" s="116"/>
      <c r="I2139" s="116"/>
      <c r="L2139" s="170">
        <v>45154</v>
      </c>
      <c r="M2139" s="116">
        <v>1986.3</v>
      </c>
      <c r="N2139" s="116">
        <v>1994.95</v>
      </c>
      <c r="O2139" s="116">
        <v>1958.3</v>
      </c>
      <c r="P2139" s="116">
        <v>1960</v>
      </c>
      <c r="Q2139" s="116">
        <v>1986.3</v>
      </c>
      <c r="R2139">
        <v>206300</v>
      </c>
    </row>
    <row r="2140" spans="1:18" x14ac:dyDescent="0.25">
      <c r="A2140" s="170">
        <v>45155</v>
      </c>
      <c r="B2140" s="116">
        <v>1987.6</v>
      </c>
      <c r="C2140" s="116">
        <v>1982.8</v>
      </c>
      <c r="D2140" s="116">
        <v>1962.9</v>
      </c>
      <c r="E2140" s="116">
        <v>1970.05</v>
      </c>
      <c r="F2140" s="116">
        <v>1982.8</v>
      </c>
      <c r="G2140">
        <v>2752</v>
      </c>
      <c r="H2140" s="116"/>
      <c r="I2140" s="116"/>
      <c r="L2140" s="170">
        <v>45155</v>
      </c>
      <c r="M2140" s="116">
        <v>1983.25</v>
      </c>
      <c r="N2140" s="116">
        <v>1989.55</v>
      </c>
      <c r="O2140" s="116">
        <v>1961.5</v>
      </c>
      <c r="P2140" s="116">
        <v>1988</v>
      </c>
      <c r="Q2140" s="116">
        <v>1983.25</v>
      </c>
      <c r="R2140">
        <v>246659</v>
      </c>
    </row>
    <row r="2141" spans="1:18" x14ac:dyDescent="0.25">
      <c r="A2141" s="170">
        <v>45156</v>
      </c>
      <c r="B2141" s="116">
        <v>1985.15</v>
      </c>
      <c r="C2141" s="116">
        <v>1979.65</v>
      </c>
      <c r="D2141" s="116">
        <v>1954.85</v>
      </c>
      <c r="E2141" s="116">
        <v>1983.1</v>
      </c>
      <c r="F2141" s="116">
        <v>1979.65</v>
      </c>
      <c r="G2141">
        <v>2442</v>
      </c>
      <c r="H2141" s="116"/>
      <c r="I2141" s="116"/>
      <c r="L2141" s="170">
        <v>45156</v>
      </c>
      <c r="M2141" s="116">
        <v>1980.6</v>
      </c>
      <c r="N2141" s="116">
        <v>1991.05</v>
      </c>
      <c r="O2141" s="116">
        <v>1953.2</v>
      </c>
      <c r="P2141" s="116">
        <v>1982.45</v>
      </c>
      <c r="Q2141" s="116">
        <v>1980.6</v>
      </c>
      <c r="R2141">
        <v>260080</v>
      </c>
    </row>
    <row r="2142" spans="1:18" x14ac:dyDescent="0.25">
      <c r="A2142" s="170">
        <v>45159</v>
      </c>
      <c r="B2142" s="116">
        <v>1992.95</v>
      </c>
      <c r="C2142" s="116">
        <v>1978.25</v>
      </c>
      <c r="D2142" s="116">
        <v>1945.05</v>
      </c>
      <c r="E2142" s="116">
        <v>1945.05</v>
      </c>
      <c r="F2142" s="116">
        <v>1978.25</v>
      </c>
      <c r="G2142">
        <v>32872</v>
      </c>
      <c r="H2142" s="116"/>
      <c r="I2142" s="116"/>
      <c r="L2142" s="170">
        <v>45159</v>
      </c>
      <c r="M2142" s="116">
        <v>1975.75</v>
      </c>
      <c r="N2142" s="116">
        <v>1992.55</v>
      </c>
      <c r="O2142" s="116">
        <v>1962.65</v>
      </c>
      <c r="P2142" s="116">
        <v>1980.6</v>
      </c>
      <c r="Q2142" s="116">
        <v>1975.75</v>
      </c>
      <c r="R2142">
        <v>312698</v>
      </c>
    </row>
    <row r="2143" spans="1:18" x14ac:dyDescent="0.25">
      <c r="A2143" s="170">
        <v>45160</v>
      </c>
      <c r="B2143" s="116">
        <v>1984.75</v>
      </c>
      <c r="C2143" s="116">
        <v>1977.1</v>
      </c>
      <c r="D2143" s="116">
        <v>1963.5</v>
      </c>
      <c r="E2143" s="116">
        <v>1975</v>
      </c>
      <c r="F2143" s="116">
        <v>1977.1</v>
      </c>
      <c r="G2143">
        <v>1795</v>
      </c>
      <c r="H2143" s="116"/>
      <c r="I2143" s="116"/>
      <c r="L2143" s="170">
        <v>45160</v>
      </c>
      <c r="M2143" s="116">
        <v>1976.6</v>
      </c>
      <c r="N2143" s="116">
        <v>1986.1</v>
      </c>
      <c r="O2143" s="116">
        <v>1963.05</v>
      </c>
      <c r="P2143" s="116">
        <v>1986.1</v>
      </c>
      <c r="Q2143" s="116">
        <v>1976.6</v>
      </c>
      <c r="R2143">
        <v>294912</v>
      </c>
    </row>
    <row r="2144" spans="1:18" x14ac:dyDescent="0.25">
      <c r="A2144" s="170">
        <v>45161</v>
      </c>
      <c r="B2144" s="116">
        <v>2003.5</v>
      </c>
      <c r="C2144" s="116">
        <v>1935.05</v>
      </c>
      <c r="D2144" s="116">
        <v>1923.5</v>
      </c>
      <c r="E2144" s="116">
        <v>1984.95</v>
      </c>
      <c r="F2144" s="116">
        <v>1935.05</v>
      </c>
      <c r="G2144">
        <v>14193</v>
      </c>
      <c r="H2144" s="116"/>
      <c r="I2144" s="116"/>
      <c r="L2144" s="170">
        <v>45161</v>
      </c>
      <c r="M2144" s="116">
        <v>1938.5</v>
      </c>
      <c r="N2144" s="116">
        <v>2009.1</v>
      </c>
      <c r="O2144" s="116">
        <v>1928</v>
      </c>
      <c r="P2144" s="116">
        <v>1999.15</v>
      </c>
      <c r="Q2144" s="116">
        <v>1938.5</v>
      </c>
      <c r="R2144">
        <v>400707</v>
      </c>
    </row>
    <row r="2145" spans="1:18" x14ac:dyDescent="0.25">
      <c r="A2145" s="170">
        <v>45162</v>
      </c>
      <c r="B2145" s="116">
        <v>1978.45</v>
      </c>
      <c r="C2145" s="116">
        <v>1960.5</v>
      </c>
      <c r="D2145" s="116">
        <v>1945.1</v>
      </c>
      <c r="E2145" s="116">
        <v>1960.05</v>
      </c>
      <c r="F2145" s="116">
        <v>1960.5</v>
      </c>
      <c r="G2145">
        <v>8973</v>
      </c>
      <c r="H2145" s="116"/>
      <c r="I2145" s="116"/>
      <c r="L2145" s="170">
        <v>45162</v>
      </c>
      <c r="M2145" s="116">
        <v>1961.95</v>
      </c>
      <c r="N2145" s="116">
        <v>1978</v>
      </c>
      <c r="O2145" s="116">
        <v>1945</v>
      </c>
      <c r="P2145" s="116">
        <v>1970</v>
      </c>
      <c r="Q2145" s="116">
        <v>1961.95</v>
      </c>
      <c r="R2145">
        <v>430022</v>
      </c>
    </row>
    <row r="2146" spans="1:18" x14ac:dyDescent="0.25">
      <c r="A2146" s="170">
        <v>45163</v>
      </c>
      <c r="B2146" s="116">
        <v>1962.45</v>
      </c>
      <c r="C2146" s="116">
        <v>1939.85</v>
      </c>
      <c r="D2146" s="116">
        <v>1924.6</v>
      </c>
      <c r="E2146" s="116">
        <v>1960.5</v>
      </c>
      <c r="F2146" s="116">
        <v>1939.85</v>
      </c>
      <c r="G2146">
        <v>31306</v>
      </c>
      <c r="H2146" s="116"/>
      <c r="I2146" s="116"/>
      <c r="L2146" s="170">
        <v>45163</v>
      </c>
      <c r="M2146" s="116">
        <v>1937.8</v>
      </c>
      <c r="N2146" s="116">
        <v>1964.35</v>
      </c>
      <c r="O2146" s="116">
        <v>1925</v>
      </c>
      <c r="P2146" s="116">
        <v>1960</v>
      </c>
      <c r="Q2146" s="116">
        <v>1937.8</v>
      </c>
      <c r="R2146">
        <v>228849</v>
      </c>
    </row>
    <row r="2147" spans="1:18" x14ac:dyDescent="0.25">
      <c r="A2147" s="170">
        <v>45166</v>
      </c>
      <c r="B2147" s="116">
        <v>1964.05</v>
      </c>
      <c r="C2147" s="116">
        <v>1957.2</v>
      </c>
      <c r="D2147" s="116">
        <v>1934.3</v>
      </c>
      <c r="E2147" s="116">
        <v>1959.95</v>
      </c>
      <c r="F2147" s="116">
        <v>1957.2</v>
      </c>
      <c r="G2147">
        <v>4141</v>
      </c>
      <c r="H2147" s="116"/>
      <c r="I2147" s="116"/>
      <c r="L2147" s="170">
        <v>45166</v>
      </c>
      <c r="M2147" s="116">
        <v>1958.15</v>
      </c>
      <c r="N2147" s="116">
        <v>1962.85</v>
      </c>
      <c r="O2147" s="116">
        <v>1934.85</v>
      </c>
      <c r="P2147" s="116">
        <v>1941.1</v>
      </c>
      <c r="Q2147" s="116">
        <v>1958.15</v>
      </c>
      <c r="R2147">
        <v>206578</v>
      </c>
    </row>
    <row r="2148" spans="1:18" x14ac:dyDescent="0.25">
      <c r="A2148" s="170">
        <v>45167</v>
      </c>
      <c r="B2148" s="116">
        <v>1971.6</v>
      </c>
      <c r="C2148" s="116">
        <v>1962.6</v>
      </c>
      <c r="D2148" s="116">
        <v>1944.8</v>
      </c>
      <c r="E2148" s="116">
        <v>1944.8</v>
      </c>
      <c r="F2148" s="116">
        <v>1962.6</v>
      </c>
      <c r="G2148">
        <v>1727</v>
      </c>
      <c r="H2148" s="116"/>
      <c r="I2148" s="116"/>
      <c r="L2148" s="170">
        <v>45167</v>
      </c>
      <c r="M2148" s="116">
        <v>1958.8</v>
      </c>
      <c r="N2148" s="116">
        <v>1974</v>
      </c>
      <c r="O2148" s="116">
        <v>1946</v>
      </c>
      <c r="P2148" s="116">
        <v>1974</v>
      </c>
      <c r="Q2148" s="116">
        <v>1958.8</v>
      </c>
      <c r="R2148">
        <v>342802</v>
      </c>
    </row>
    <row r="2149" spans="1:18" x14ac:dyDescent="0.25">
      <c r="A2149" s="170">
        <v>45168</v>
      </c>
      <c r="B2149" s="116">
        <v>1982</v>
      </c>
      <c r="C2149" s="116">
        <v>1954.2</v>
      </c>
      <c r="D2149" s="116">
        <v>1948.25</v>
      </c>
      <c r="E2149" s="116">
        <v>1953.1</v>
      </c>
      <c r="F2149" s="116">
        <v>1954.2</v>
      </c>
      <c r="G2149">
        <v>6407</v>
      </c>
      <c r="H2149" s="116"/>
      <c r="I2149" s="116"/>
      <c r="L2149" s="170">
        <v>45168</v>
      </c>
      <c r="M2149" s="116">
        <v>1954.7</v>
      </c>
      <c r="N2149" s="116">
        <v>1983.4</v>
      </c>
      <c r="O2149" s="116">
        <v>1947.5</v>
      </c>
      <c r="P2149" s="116">
        <v>1969.1</v>
      </c>
      <c r="Q2149" s="116">
        <v>1954.7</v>
      </c>
      <c r="R2149">
        <v>441134</v>
      </c>
    </row>
    <row r="2150" spans="1:18" x14ac:dyDescent="0.25">
      <c r="A2150" s="170">
        <v>45169</v>
      </c>
      <c r="B2150" s="116">
        <v>1948.65</v>
      </c>
      <c r="C2150" s="116">
        <v>1843.5</v>
      </c>
      <c r="D2150" s="116">
        <v>1837.5</v>
      </c>
      <c r="E2150" s="116">
        <v>1945.2</v>
      </c>
      <c r="F2150" s="116">
        <v>1843.5</v>
      </c>
      <c r="G2150">
        <v>20896</v>
      </c>
      <c r="H2150" s="116"/>
      <c r="I2150" s="116"/>
      <c r="L2150" s="170">
        <v>45169</v>
      </c>
      <c r="M2150" s="116">
        <v>1842.5</v>
      </c>
      <c r="N2150" s="116">
        <v>1954.65</v>
      </c>
      <c r="O2150" s="116">
        <v>1837.75</v>
      </c>
      <c r="P2150" s="116">
        <v>1950.2</v>
      </c>
      <c r="Q2150" s="116">
        <v>1842.5</v>
      </c>
      <c r="R2150">
        <v>1411236</v>
      </c>
    </row>
    <row r="2151" spans="1:18" x14ac:dyDescent="0.25">
      <c r="A2151" s="170">
        <v>45170</v>
      </c>
      <c r="B2151" s="116">
        <v>1869.9</v>
      </c>
      <c r="C2151" s="116">
        <v>1785.4</v>
      </c>
      <c r="D2151" s="116">
        <v>1771.35</v>
      </c>
      <c r="E2151" s="116">
        <v>1869.9</v>
      </c>
      <c r="F2151" s="116">
        <v>1785.4</v>
      </c>
      <c r="G2151">
        <v>32819</v>
      </c>
      <c r="H2151" s="116"/>
      <c r="I2151" s="116"/>
      <c r="L2151" s="170">
        <v>45170</v>
      </c>
      <c r="M2151" s="116">
        <v>1785.8</v>
      </c>
      <c r="N2151" s="116">
        <v>1851.6</v>
      </c>
      <c r="O2151" s="116">
        <v>1772.05</v>
      </c>
      <c r="P2151" s="116">
        <v>1850</v>
      </c>
      <c r="Q2151" s="116">
        <v>1785.8</v>
      </c>
      <c r="R2151">
        <v>2429819</v>
      </c>
    </row>
    <row r="2152" spans="1:18" x14ac:dyDescent="0.25">
      <c r="A2152" s="170">
        <v>45173</v>
      </c>
      <c r="B2152" s="116">
        <v>1851</v>
      </c>
      <c r="C2152" s="116">
        <v>1828.45</v>
      </c>
      <c r="D2152" s="116">
        <v>1793.95</v>
      </c>
      <c r="E2152" s="116">
        <v>1821.15</v>
      </c>
      <c r="F2152" s="116">
        <v>1828.45</v>
      </c>
      <c r="G2152">
        <v>16066</v>
      </c>
      <c r="H2152" s="116"/>
      <c r="I2152" s="116"/>
      <c r="L2152" s="170">
        <v>45173</v>
      </c>
      <c r="M2152" s="116">
        <v>1827</v>
      </c>
      <c r="N2152" s="116">
        <v>1851.85</v>
      </c>
      <c r="O2152" s="116">
        <v>1795.4</v>
      </c>
      <c r="P2152" s="116">
        <v>1805</v>
      </c>
      <c r="Q2152" s="116">
        <v>1827</v>
      </c>
      <c r="R2152">
        <v>1189152</v>
      </c>
    </row>
    <row r="2153" spans="1:18" x14ac:dyDescent="0.25">
      <c r="A2153" s="170">
        <v>45174</v>
      </c>
      <c r="B2153" s="116">
        <v>1874.9</v>
      </c>
      <c r="C2153" s="116">
        <v>1872.7</v>
      </c>
      <c r="D2153" s="116">
        <v>1836.95</v>
      </c>
      <c r="E2153" s="116">
        <v>1847</v>
      </c>
      <c r="F2153" s="116">
        <v>1872.7</v>
      </c>
      <c r="G2153">
        <v>25794</v>
      </c>
      <c r="H2153" s="116"/>
      <c r="I2153" s="116"/>
      <c r="L2153" s="170">
        <v>45174</v>
      </c>
      <c r="M2153" s="116">
        <v>1873.5</v>
      </c>
      <c r="N2153" s="116">
        <v>1876</v>
      </c>
      <c r="O2153" s="116">
        <v>1833.7</v>
      </c>
      <c r="P2153" s="116">
        <v>1846.5</v>
      </c>
      <c r="Q2153" s="116">
        <v>1873.5</v>
      </c>
      <c r="R2153">
        <v>811765</v>
      </c>
    </row>
    <row r="2154" spans="1:18" x14ac:dyDescent="0.25">
      <c r="A2154" s="170">
        <v>45175</v>
      </c>
      <c r="B2154" s="116">
        <v>1936.75</v>
      </c>
      <c r="C2154" s="116">
        <v>1920.7</v>
      </c>
      <c r="D2154" s="116">
        <v>1875.6</v>
      </c>
      <c r="E2154" s="116">
        <v>1889.55</v>
      </c>
      <c r="F2154" s="116">
        <v>1920.7</v>
      </c>
      <c r="G2154">
        <v>14918</v>
      </c>
      <c r="H2154" s="116"/>
      <c r="I2154" s="116"/>
      <c r="L2154" s="170">
        <v>45175</v>
      </c>
      <c r="M2154" s="116">
        <v>1922.05</v>
      </c>
      <c r="N2154" s="116">
        <v>1938.35</v>
      </c>
      <c r="O2154" s="116">
        <v>1874.1</v>
      </c>
      <c r="P2154" s="116">
        <v>1885</v>
      </c>
      <c r="Q2154" s="116">
        <v>1922.05</v>
      </c>
      <c r="R2154">
        <v>1201476</v>
      </c>
    </row>
    <row r="2155" spans="1:18" x14ac:dyDescent="0.25">
      <c r="A2155" s="170">
        <v>45176</v>
      </c>
      <c r="B2155" s="116">
        <v>1929.5</v>
      </c>
      <c r="C2155" s="116">
        <v>1892.15</v>
      </c>
      <c r="D2155" s="116">
        <v>1887.05</v>
      </c>
      <c r="E2155" s="116">
        <v>1910.7</v>
      </c>
      <c r="F2155" s="116">
        <v>1892.15</v>
      </c>
      <c r="G2155">
        <v>7259</v>
      </c>
      <c r="H2155" s="116"/>
      <c r="I2155" s="116"/>
      <c r="L2155" s="170">
        <v>45176</v>
      </c>
      <c r="M2155" s="116">
        <v>1891.5</v>
      </c>
      <c r="N2155" s="116">
        <v>1927.8</v>
      </c>
      <c r="O2155" s="116">
        <v>1884.25</v>
      </c>
      <c r="P2155" s="116">
        <v>1927.45</v>
      </c>
      <c r="Q2155" s="116">
        <v>1891.5</v>
      </c>
      <c r="R2155">
        <v>528543</v>
      </c>
    </row>
    <row r="2156" spans="1:18" x14ac:dyDescent="0.25">
      <c r="A2156" s="170">
        <v>45177</v>
      </c>
      <c r="B2156" s="116">
        <v>1899.95</v>
      </c>
      <c r="C2156" s="116">
        <v>1872.95</v>
      </c>
      <c r="D2156" s="116">
        <v>1862.6</v>
      </c>
      <c r="E2156" s="116">
        <v>1899.95</v>
      </c>
      <c r="F2156" s="116">
        <v>1872.95</v>
      </c>
      <c r="G2156">
        <v>11191</v>
      </c>
      <c r="H2156" s="116"/>
      <c r="I2156" s="116"/>
      <c r="L2156" s="170">
        <v>45177</v>
      </c>
      <c r="M2156" s="116">
        <v>1872.75</v>
      </c>
      <c r="N2156" s="116">
        <v>1899.9</v>
      </c>
      <c r="O2156" s="116">
        <v>1862</v>
      </c>
      <c r="P2156" s="116">
        <v>1898.2</v>
      </c>
      <c r="Q2156" s="116">
        <v>1872.75</v>
      </c>
      <c r="R2156">
        <v>498277</v>
      </c>
    </row>
    <row r="2157" spans="1:18" x14ac:dyDescent="0.25">
      <c r="A2157" s="170">
        <v>45180</v>
      </c>
      <c r="B2157" s="116">
        <v>1895</v>
      </c>
      <c r="C2157" s="116">
        <v>1867.8</v>
      </c>
      <c r="D2157" s="116">
        <v>1861.05</v>
      </c>
      <c r="E2157" s="116">
        <v>1880.1</v>
      </c>
      <c r="F2157" s="116">
        <v>1867.8</v>
      </c>
      <c r="G2157">
        <v>8964</v>
      </c>
      <c r="H2157" s="116"/>
      <c r="I2157" s="116"/>
      <c r="L2157" s="170">
        <v>45180</v>
      </c>
      <c r="M2157" s="116">
        <v>1867.25</v>
      </c>
      <c r="N2157" s="116">
        <v>1897.65</v>
      </c>
      <c r="O2157" s="116">
        <v>1860</v>
      </c>
      <c r="P2157" s="116">
        <v>1876.25</v>
      </c>
      <c r="Q2157" s="116">
        <v>1867.25</v>
      </c>
      <c r="R2157">
        <v>707356</v>
      </c>
    </row>
    <row r="2158" spans="1:18" x14ac:dyDescent="0.25">
      <c r="A2158" s="170">
        <v>45181</v>
      </c>
      <c r="B2158" s="116">
        <v>1885.75</v>
      </c>
      <c r="C2158" s="116">
        <v>1857.35</v>
      </c>
      <c r="D2158" s="116">
        <v>1847.5</v>
      </c>
      <c r="E2158" s="116">
        <v>1865.25</v>
      </c>
      <c r="F2158" s="116">
        <v>1857.35</v>
      </c>
      <c r="G2158">
        <v>7652</v>
      </c>
      <c r="H2158" s="116"/>
      <c r="I2158" s="116"/>
      <c r="L2158" s="170">
        <v>45181</v>
      </c>
      <c r="M2158" s="116">
        <v>1857.5</v>
      </c>
      <c r="N2158" s="116">
        <v>1885.75</v>
      </c>
      <c r="O2158" s="116">
        <v>1847.35</v>
      </c>
      <c r="P2158" s="116">
        <v>1879</v>
      </c>
      <c r="Q2158" s="116">
        <v>1857.5</v>
      </c>
      <c r="R2158">
        <v>359243</v>
      </c>
    </row>
    <row r="2159" spans="1:18" x14ac:dyDescent="0.25">
      <c r="A2159" s="170">
        <v>45182</v>
      </c>
      <c r="B2159" s="116">
        <v>1876</v>
      </c>
      <c r="C2159" s="116">
        <v>1868.3</v>
      </c>
      <c r="D2159" s="116">
        <v>1825.15</v>
      </c>
      <c r="E2159" s="116">
        <v>1825.15</v>
      </c>
      <c r="F2159" s="116">
        <v>1868.3</v>
      </c>
      <c r="G2159">
        <v>3923</v>
      </c>
      <c r="H2159" s="116"/>
      <c r="I2159" s="116"/>
      <c r="L2159" s="170">
        <v>45182</v>
      </c>
      <c r="M2159" s="116">
        <v>1868.55</v>
      </c>
      <c r="N2159" s="116">
        <v>1876.95</v>
      </c>
      <c r="O2159" s="116">
        <v>1848.2</v>
      </c>
      <c r="P2159" s="116">
        <v>1864.65</v>
      </c>
      <c r="Q2159" s="116">
        <v>1868.55</v>
      </c>
      <c r="R2159">
        <v>338259</v>
      </c>
    </row>
    <row r="2160" spans="1:18" x14ac:dyDescent="0.25">
      <c r="A2160" s="170">
        <v>45183</v>
      </c>
      <c r="B2160" s="116">
        <v>1882.1</v>
      </c>
      <c r="C2160" s="116">
        <v>1839.3</v>
      </c>
      <c r="D2160" s="116">
        <v>1838</v>
      </c>
      <c r="E2160" s="116">
        <v>1860.1</v>
      </c>
      <c r="F2160" s="116">
        <v>1839.3</v>
      </c>
      <c r="G2160">
        <v>7402</v>
      </c>
      <c r="H2160" s="116"/>
      <c r="I2160" s="116"/>
      <c r="L2160" s="170">
        <v>45183</v>
      </c>
      <c r="M2160" s="116">
        <v>1839.7</v>
      </c>
      <c r="N2160" s="116">
        <v>1885.9</v>
      </c>
      <c r="O2160" s="116">
        <v>1837.6</v>
      </c>
      <c r="P2160" s="116">
        <v>1880</v>
      </c>
      <c r="Q2160" s="116">
        <v>1839.7</v>
      </c>
      <c r="R2160">
        <v>593724</v>
      </c>
    </row>
    <row r="2161" spans="1:18" x14ac:dyDescent="0.25">
      <c r="A2161" s="170">
        <v>45184</v>
      </c>
      <c r="B2161" s="116">
        <v>1875.55</v>
      </c>
      <c r="C2161" s="116">
        <v>1870.1</v>
      </c>
      <c r="D2161" s="116">
        <v>1848.35</v>
      </c>
      <c r="E2161" s="116">
        <v>1848.4</v>
      </c>
      <c r="F2161" s="116">
        <v>1870.1</v>
      </c>
      <c r="G2161">
        <v>4366</v>
      </c>
      <c r="H2161" s="116"/>
      <c r="I2161" s="116"/>
      <c r="L2161" s="170">
        <v>45184</v>
      </c>
      <c r="M2161" s="116">
        <v>1872</v>
      </c>
      <c r="N2161" s="116">
        <v>1875</v>
      </c>
      <c r="O2161" s="116">
        <v>1846.5</v>
      </c>
      <c r="P2161" s="116">
        <v>1850</v>
      </c>
      <c r="Q2161" s="116">
        <v>1872</v>
      </c>
      <c r="R2161">
        <v>525652</v>
      </c>
    </row>
    <row r="2162" spans="1:18" x14ac:dyDescent="0.25">
      <c r="A2162" s="170">
        <v>45187</v>
      </c>
      <c r="B2162" s="116">
        <v>1896.65</v>
      </c>
      <c r="C2162" s="116">
        <v>1884.65</v>
      </c>
      <c r="D2162" s="116">
        <v>1866.95</v>
      </c>
      <c r="E2162" s="116">
        <v>1871.05</v>
      </c>
      <c r="F2162" s="116">
        <v>1884.65</v>
      </c>
      <c r="G2162">
        <v>39792</v>
      </c>
      <c r="H2162" s="116"/>
      <c r="I2162" s="116"/>
      <c r="L2162" s="170">
        <v>45187</v>
      </c>
      <c r="M2162" s="116">
        <v>1884.45</v>
      </c>
      <c r="N2162" s="116">
        <v>1897.35</v>
      </c>
      <c r="O2162" s="116">
        <v>1863.25</v>
      </c>
      <c r="P2162" s="116">
        <v>1879</v>
      </c>
      <c r="Q2162" s="116">
        <v>1884.45</v>
      </c>
      <c r="R2162">
        <v>246025</v>
      </c>
    </row>
    <row r="2163" spans="1:18" x14ac:dyDescent="0.25">
      <c r="A2163" s="170">
        <v>45189</v>
      </c>
      <c r="B2163" s="116">
        <v>1892.4</v>
      </c>
      <c r="C2163" s="116">
        <v>1883.45</v>
      </c>
      <c r="D2163" s="116">
        <v>1872.4</v>
      </c>
      <c r="E2163" s="116">
        <v>1885.05</v>
      </c>
      <c r="F2163" s="116">
        <v>1883.45</v>
      </c>
      <c r="G2163">
        <v>6379</v>
      </c>
      <c r="H2163" s="116"/>
      <c r="I2163" s="116"/>
      <c r="L2163" s="170">
        <v>45189</v>
      </c>
      <c r="M2163" s="116">
        <v>1884.15</v>
      </c>
      <c r="N2163" s="116">
        <v>1892.95</v>
      </c>
      <c r="O2163" s="116">
        <v>1871.15</v>
      </c>
      <c r="P2163" s="116">
        <v>1887.4</v>
      </c>
      <c r="Q2163" s="116">
        <v>1884.15</v>
      </c>
      <c r="R2163">
        <v>318131</v>
      </c>
    </row>
    <row r="2164" spans="1:18" x14ac:dyDescent="0.25">
      <c r="A2164" s="170">
        <v>45190</v>
      </c>
      <c r="B2164" s="116">
        <v>1885.9</v>
      </c>
      <c r="C2164" s="116">
        <v>1874.8</v>
      </c>
      <c r="D2164" s="116">
        <v>1866.25</v>
      </c>
      <c r="E2164" s="116">
        <v>1883.45</v>
      </c>
      <c r="F2164" s="116">
        <v>1874.8</v>
      </c>
      <c r="G2164">
        <v>1555</v>
      </c>
      <c r="H2164" s="116"/>
      <c r="I2164" s="116"/>
      <c r="L2164" s="170">
        <v>45190</v>
      </c>
      <c r="M2164" s="116">
        <v>1874.4</v>
      </c>
      <c r="N2164" s="116">
        <v>1887.55</v>
      </c>
      <c r="O2164" s="116">
        <v>1863.5</v>
      </c>
      <c r="P2164" s="116">
        <v>1882</v>
      </c>
      <c r="Q2164" s="116">
        <v>1874.4</v>
      </c>
      <c r="R2164">
        <v>386004</v>
      </c>
    </row>
    <row r="2165" spans="1:18" x14ac:dyDescent="0.25">
      <c r="A2165" s="170">
        <v>45191</v>
      </c>
      <c r="B2165" s="116">
        <v>1872.6</v>
      </c>
      <c r="C2165" s="116">
        <v>1851.2</v>
      </c>
      <c r="D2165" s="116">
        <v>1835.15</v>
      </c>
      <c r="E2165" s="116">
        <v>1872.6</v>
      </c>
      <c r="F2165" s="116">
        <v>1851.2</v>
      </c>
      <c r="G2165">
        <v>29379</v>
      </c>
      <c r="H2165" s="116"/>
      <c r="I2165" s="116"/>
      <c r="L2165" s="170">
        <v>45191</v>
      </c>
      <c r="M2165" s="116">
        <v>1850.4</v>
      </c>
      <c r="N2165" s="116">
        <v>1875</v>
      </c>
      <c r="O2165" s="116">
        <v>1835</v>
      </c>
      <c r="P2165" s="116">
        <v>1875</v>
      </c>
      <c r="Q2165" s="116">
        <v>1850.4</v>
      </c>
      <c r="R2165">
        <v>498682</v>
      </c>
    </row>
    <row r="2166" spans="1:18" x14ac:dyDescent="0.25">
      <c r="A2166" s="170">
        <v>45194</v>
      </c>
      <c r="B2166" s="116">
        <v>1853.55</v>
      </c>
      <c r="C2166" s="116">
        <v>1847.25</v>
      </c>
      <c r="D2166" s="116">
        <v>1830.05</v>
      </c>
      <c r="E2166" s="116">
        <v>1840.05</v>
      </c>
      <c r="F2166" s="116">
        <v>1847.25</v>
      </c>
      <c r="G2166">
        <v>4471</v>
      </c>
      <c r="H2166" s="116"/>
      <c r="I2166" s="116"/>
      <c r="L2166" s="170">
        <v>45194</v>
      </c>
      <c r="M2166" s="116">
        <v>1847.15</v>
      </c>
      <c r="N2166" s="116">
        <v>1855.5</v>
      </c>
      <c r="O2166" s="116">
        <v>1830</v>
      </c>
      <c r="P2166" s="116">
        <v>1850</v>
      </c>
      <c r="Q2166" s="116">
        <v>1847.15</v>
      </c>
      <c r="R2166">
        <v>284735</v>
      </c>
    </row>
    <row r="2167" spans="1:18" x14ac:dyDescent="0.25">
      <c r="A2167" s="170">
        <v>45195</v>
      </c>
      <c r="B2167" s="116">
        <v>1849.85</v>
      </c>
      <c r="C2167" s="116">
        <v>1828.25</v>
      </c>
      <c r="D2167" s="116">
        <v>1822.25</v>
      </c>
      <c r="E2167" s="116">
        <v>1848</v>
      </c>
      <c r="F2167" s="116">
        <v>1828.25</v>
      </c>
      <c r="G2167">
        <v>3845</v>
      </c>
      <c r="H2167" s="116"/>
      <c r="I2167" s="116"/>
      <c r="L2167" s="170">
        <v>45195</v>
      </c>
      <c r="M2167" s="116">
        <v>1832.6</v>
      </c>
      <c r="N2167" s="116">
        <v>1849.95</v>
      </c>
      <c r="O2167" s="116">
        <v>1821.45</v>
      </c>
      <c r="P2167" s="116">
        <v>1845</v>
      </c>
      <c r="Q2167" s="116">
        <v>1832.6</v>
      </c>
      <c r="R2167">
        <v>502205</v>
      </c>
    </row>
    <row r="2168" spans="1:18" x14ac:dyDescent="0.25">
      <c r="A2168" s="170">
        <v>45196</v>
      </c>
      <c r="B2168" s="116">
        <v>1851.4</v>
      </c>
      <c r="C2168" s="116">
        <v>1848.75</v>
      </c>
      <c r="D2168" s="116">
        <v>1831</v>
      </c>
      <c r="E2168" s="116">
        <v>1831</v>
      </c>
      <c r="F2168" s="116">
        <v>1848.75</v>
      </c>
      <c r="G2168">
        <v>2447</v>
      </c>
      <c r="H2168" s="116"/>
      <c r="I2168" s="116"/>
      <c r="L2168" s="170">
        <v>45196</v>
      </c>
      <c r="M2168" s="116">
        <v>1847.8</v>
      </c>
      <c r="N2168" s="116">
        <v>1850</v>
      </c>
      <c r="O2168" s="116">
        <v>1832.6</v>
      </c>
      <c r="P2168" s="116">
        <v>1837.4</v>
      </c>
      <c r="Q2168" s="116">
        <v>1847.8</v>
      </c>
      <c r="R2168">
        <v>434743</v>
      </c>
    </row>
    <row r="2169" spans="1:18" x14ac:dyDescent="0.25">
      <c r="A2169" s="170">
        <v>45197</v>
      </c>
      <c r="B2169" s="116">
        <v>1876.6</v>
      </c>
      <c r="C2169" s="116">
        <v>1865.6</v>
      </c>
      <c r="D2169" s="116">
        <v>1848.85</v>
      </c>
      <c r="E2169" s="116">
        <v>1869.85</v>
      </c>
      <c r="F2169" s="116">
        <v>1865.6</v>
      </c>
      <c r="G2169">
        <v>4678</v>
      </c>
      <c r="H2169" s="116"/>
      <c r="I2169" s="116"/>
      <c r="L2169" s="170">
        <v>45197</v>
      </c>
      <c r="M2169" s="116">
        <v>1863.6</v>
      </c>
      <c r="N2169" s="116">
        <v>1879</v>
      </c>
      <c r="O2169" s="116">
        <v>1848.4</v>
      </c>
      <c r="P2169" s="116">
        <v>1849.7</v>
      </c>
      <c r="Q2169" s="116">
        <v>1863.6</v>
      </c>
      <c r="R2169">
        <v>381282</v>
      </c>
    </row>
    <row r="2170" spans="1:18" x14ac:dyDescent="0.25">
      <c r="A2170" s="170">
        <v>45198</v>
      </c>
      <c r="B2170" s="116">
        <v>1936.7</v>
      </c>
      <c r="C2170" s="116">
        <v>1928.35</v>
      </c>
      <c r="D2170" s="116">
        <v>1864.5</v>
      </c>
      <c r="E2170" s="116">
        <v>1875.95</v>
      </c>
      <c r="F2170" s="116">
        <v>1928.35</v>
      </c>
      <c r="G2170">
        <v>18343</v>
      </c>
      <c r="H2170" s="116"/>
      <c r="I2170" s="116"/>
      <c r="L2170" s="170">
        <v>45198</v>
      </c>
      <c r="M2170" s="116">
        <v>1929.1</v>
      </c>
      <c r="N2170" s="116">
        <v>1945</v>
      </c>
      <c r="O2170" s="116">
        <v>1864.55</v>
      </c>
      <c r="P2170" s="116">
        <v>1864.55</v>
      </c>
      <c r="Q2170" s="116">
        <v>1929.1</v>
      </c>
      <c r="R2170">
        <v>509887</v>
      </c>
    </row>
    <row r="2171" spans="1:18" x14ac:dyDescent="0.25">
      <c r="A2171" s="170">
        <v>45202</v>
      </c>
      <c r="B2171" s="116">
        <v>1942.4</v>
      </c>
      <c r="C2171" s="116">
        <v>1880.55</v>
      </c>
      <c r="D2171" s="116">
        <v>1873.9</v>
      </c>
      <c r="E2171" s="116">
        <v>1939.85</v>
      </c>
      <c r="F2171" s="116">
        <v>1880.55</v>
      </c>
      <c r="G2171">
        <v>4306</v>
      </c>
      <c r="H2171" s="116"/>
      <c r="I2171" s="116"/>
      <c r="L2171" s="170">
        <v>45202</v>
      </c>
      <c r="M2171" s="116">
        <v>1880.25</v>
      </c>
      <c r="N2171" s="116">
        <v>1949</v>
      </c>
      <c r="O2171" s="116">
        <v>1874.05</v>
      </c>
      <c r="P2171" s="116">
        <v>1927</v>
      </c>
      <c r="Q2171" s="116">
        <v>1880.25</v>
      </c>
      <c r="R2171">
        <v>458399</v>
      </c>
    </row>
    <row r="2172" spans="1:18" x14ac:dyDescent="0.25">
      <c r="A2172" s="170">
        <v>45203</v>
      </c>
      <c r="B2172" s="116">
        <v>1899.85</v>
      </c>
      <c r="C2172" s="116">
        <v>1864.8</v>
      </c>
      <c r="D2172" s="116">
        <v>1852.8</v>
      </c>
      <c r="E2172" s="116">
        <v>1899.85</v>
      </c>
      <c r="F2172" s="116">
        <v>1864.8</v>
      </c>
      <c r="G2172">
        <v>2888</v>
      </c>
      <c r="H2172" s="116"/>
      <c r="I2172" s="116"/>
      <c r="L2172" s="170">
        <v>45203</v>
      </c>
      <c r="M2172" s="116">
        <v>1864.15</v>
      </c>
      <c r="N2172" s="116">
        <v>1881.8</v>
      </c>
      <c r="O2172" s="116">
        <v>1851.2</v>
      </c>
      <c r="P2172" s="116">
        <v>1880.3</v>
      </c>
      <c r="Q2172" s="116">
        <v>1864.15</v>
      </c>
      <c r="R2172">
        <v>187618</v>
      </c>
    </row>
    <row r="2173" spans="1:18" x14ac:dyDescent="0.25">
      <c r="A2173" s="170">
        <v>45204</v>
      </c>
      <c r="B2173" s="116">
        <v>1876.9</v>
      </c>
      <c r="C2173" s="116">
        <v>1849.5</v>
      </c>
      <c r="D2173" s="116">
        <v>1843</v>
      </c>
      <c r="E2173" s="116">
        <v>1876.9</v>
      </c>
      <c r="F2173" s="116">
        <v>1849.5</v>
      </c>
      <c r="G2173">
        <v>2883</v>
      </c>
      <c r="H2173" s="116"/>
      <c r="I2173" s="116"/>
      <c r="L2173" s="170">
        <v>45204</v>
      </c>
      <c r="M2173" s="116">
        <v>1850.6</v>
      </c>
      <c r="N2173" s="116">
        <v>1868.2</v>
      </c>
      <c r="O2173" s="116">
        <v>1842</v>
      </c>
      <c r="P2173" s="116">
        <v>1865.2</v>
      </c>
      <c r="Q2173" s="116">
        <v>1850.6</v>
      </c>
      <c r="R2173">
        <v>517609</v>
      </c>
    </row>
    <row r="2174" spans="1:18" x14ac:dyDescent="0.25">
      <c r="A2174" s="170">
        <v>45205</v>
      </c>
      <c r="B2174" s="116">
        <v>1897.3</v>
      </c>
      <c r="C2174" s="116">
        <v>1894.65</v>
      </c>
      <c r="D2174" s="116">
        <v>1858.55</v>
      </c>
      <c r="E2174" s="116">
        <v>1864.95</v>
      </c>
      <c r="F2174" s="116">
        <v>1894.65</v>
      </c>
      <c r="G2174">
        <v>6390</v>
      </c>
      <c r="H2174" s="116"/>
      <c r="I2174" s="116"/>
      <c r="L2174" s="170">
        <v>45205</v>
      </c>
      <c r="M2174" s="116">
        <v>1894.05</v>
      </c>
      <c r="N2174" s="116">
        <v>1899</v>
      </c>
      <c r="O2174" s="116">
        <v>1855.95</v>
      </c>
      <c r="P2174" s="116">
        <v>1857.7</v>
      </c>
      <c r="Q2174" s="116">
        <v>1894.05</v>
      </c>
      <c r="R2174">
        <v>408253</v>
      </c>
    </row>
    <row r="2175" spans="1:18" x14ac:dyDescent="0.25">
      <c r="A2175" s="170">
        <v>45208</v>
      </c>
      <c r="B2175" s="116">
        <v>1904.65</v>
      </c>
      <c r="C2175" s="116">
        <v>1889.65</v>
      </c>
      <c r="D2175" s="116">
        <v>1850.05</v>
      </c>
      <c r="E2175" s="116">
        <v>1850.05</v>
      </c>
      <c r="F2175" s="116">
        <v>1889.65</v>
      </c>
      <c r="G2175">
        <v>5463</v>
      </c>
      <c r="H2175" s="116"/>
      <c r="I2175" s="116"/>
      <c r="L2175" s="170">
        <v>45208</v>
      </c>
      <c r="M2175" s="116">
        <v>1890.65</v>
      </c>
      <c r="N2175" s="116">
        <v>1906.2</v>
      </c>
      <c r="O2175" s="116">
        <v>1877.35</v>
      </c>
      <c r="P2175" s="116">
        <v>1880</v>
      </c>
      <c r="Q2175" s="116">
        <v>1890.65</v>
      </c>
      <c r="R2175">
        <v>169472</v>
      </c>
    </row>
    <row r="2176" spans="1:18" x14ac:dyDescent="0.25">
      <c r="A2176" s="170">
        <v>45209</v>
      </c>
      <c r="B2176" s="116">
        <v>1900</v>
      </c>
      <c r="C2176" s="116">
        <v>1867.1</v>
      </c>
      <c r="D2176" s="116">
        <v>1862.8</v>
      </c>
      <c r="E2176" s="116">
        <v>1900</v>
      </c>
      <c r="F2176" s="116">
        <v>1867.1</v>
      </c>
      <c r="G2176">
        <v>1321</v>
      </c>
      <c r="H2176" s="116"/>
      <c r="I2176" s="116"/>
      <c r="L2176" s="170">
        <v>45209</v>
      </c>
      <c r="M2176" s="116">
        <v>1868.25</v>
      </c>
      <c r="N2176" s="116">
        <v>1898.9</v>
      </c>
      <c r="O2176" s="116">
        <v>1865</v>
      </c>
      <c r="P2176" s="116">
        <v>1897.95</v>
      </c>
      <c r="Q2176" s="116">
        <v>1868.25</v>
      </c>
      <c r="R2176">
        <v>88144</v>
      </c>
    </row>
    <row r="2177" spans="1:18" x14ac:dyDescent="0.25">
      <c r="A2177" s="170">
        <v>45210</v>
      </c>
      <c r="B2177" s="116">
        <v>1907.5</v>
      </c>
      <c r="C2177" s="116">
        <v>1885.55</v>
      </c>
      <c r="D2177" s="116">
        <v>1877.85</v>
      </c>
      <c r="E2177" s="116">
        <v>1879.95</v>
      </c>
      <c r="F2177" s="116">
        <v>1885.55</v>
      </c>
      <c r="G2177">
        <v>4148</v>
      </c>
      <c r="H2177" s="116"/>
      <c r="I2177" s="116"/>
      <c r="L2177" s="170">
        <v>45210</v>
      </c>
      <c r="M2177" s="116">
        <v>1885.5</v>
      </c>
      <c r="N2177" s="116">
        <v>1908.55</v>
      </c>
      <c r="O2177" s="116">
        <v>1872.1</v>
      </c>
      <c r="P2177" s="116">
        <v>1875.45</v>
      </c>
      <c r="Q2177" s="116">
        <v>1885.5</v>
      </c>
      <c r="R2177">
        <v>267605</v>
      </c>
    </row>
    <row r="2178" spans="1:18" x14ac:dyDescent="0.25">
      <c r="A2178" s="170">
        <v>45211</v>
      </c>
      <c r="B2178" s="116">
        <v>1897.9</v>
      </c>
      <c r="C2178" s="116">
        <v>1881</v>
      </c>
      <c r="D2178" s="116">
        <v>1874.9</v>
      </c>
      <c r="E2178" s="116">
        <v>1897.9</v>
      </c>
      <c r="F2178" s="116">
        <v>1881</v>
      </c>
      <c r="G2178">
        <v>2208</v>
      </c>
      <c r="H2178" s="116"/>
      <c r="I2178" s="116"/>
      <c r="L2178" s="170">
        <v>45211</v>
      </c>
      <c r="M2178" s="116">
        <v>1881.5</v>
      </c>
      <c r="N2178" s="116">
        <v>1896.9</v>
      </c>
      <c r="O2178" s="116">
        <v>1873.35</v>
      </c>
      <c r="P2178" s="116">
        <v>1893</v>
      </c>
      <c r="Q2178" s="116">
        <v>1881.5</v>
      </c>
      <c r="R2178">
        <v>162795</v>
      </c>
    </row>
    <row r="2179" spans="1:18" x14ac:dyDescent="0.25">
      <c r="A2179" s="170">
        <v>45212</v>
      </c>
      <c r="B2179" s="116">
        <v>1914.75</v>
      </c>
      <c r="C2179" s="116">
        <v>1892.75</v>
      </c>
      <c r="D2179" s="116">
        <v>1855.15</v>
      </c>
      <c r="E2179" s="116">
        <v>1855.15</v>
      </c>
      <c r="F2179" s="116">
        <v>1892.75</v>
      </c>
      <c r="G2179">
        <v>10737</v>
      </c>
      <c r="H2179" s="116"/>
      <c r="I2179" s="116"/>
      <c r="L2179" s="170">
        <v>45212</v>
      </c>
      <c r="M2179" s="116">
        <v>1895.6</v>
      </c>
      <c r="N2179" s="116">
        <v>1914.75</v>
      </c>
      <c r="O2179" s="116">
        <v>1871.55</v>
      </c>
      <c r="P2179" s="116">
        <v>1880</v>
      </c>
      <c r="Q2179" s="116">
        <v>1895.6</v>
      </c>
      <c r="R2179">
        <v>276953</v>
      </c>
    </row>
    <row r="2180" spans="1:18" x14ac:dyDescent="0.25">
      <c r="A2180" s="170">
        <v>45215</v>
      </c>
      <c r="B2180" s="116">
        <v>1925</v>
      </c>
      <c r="C2180" s="116">
        <v>1911.35</v>
      </c>
      <c r="D2180" s="116">
        <v>1894.5</v>
      </c>
      <c r="E2180" s="116">
        <v>1895</v>
      </c>
      <c r="F2180" s="116">
        <v>1911.35</v>
      </c>
      <c r="G2180">
        <v>23805</v>
      </c>
      <c r="H2180" s="116"/>
      <c r="I2180" s="116"/>
      <c r="L2180" s="170">
        <v>45215</v>
      </c>
      <c r="M2180" s="116">
        <v>1912.35</v>
      </c>
      <c r="N2180" s="116">
        <v>1939</v>
      </c>
      <c r="O2180" s="116">
        <v>1894.55</v>
      </c>
      <c r="P2180" s="116">
        <v>1895.6</v>
      </c>
      <c r="Q2180" s="116">
        <v>1912.35</v>
      </c>
      <c r="R2180">
        <v>510628</v>
      </c>
    </row>
    <row r="2181" spans="1:18" x14ac:dyDescent="0.25">
      <c r="A2181" s="170">
        <v>45216</v>
      </c>
      <c r="B2181" s="116">
        <v>1935.15</v>
      </c>
      <c r="C2181" s="116">
        <v>1921.15</v>
      </c>
      <c r="D2181" s="116">
        <v>1902.45</v>
      </c>
      <c r="E2181" s="116">
        <v>1911.2</v>
      </c>
      <c r="F2181" s="116">
        <v>1921.15</v>
      </c>
      <c r="G2181">
        <v>3024</v>
      </c>
      <c r="H2181" s="116"/>
      <c r="I2181" s="116"/>
      <c r="L2181" s="170">
        <v>45216</v>
      </c>
      <c r="M2181" s="116">
        <v>1921.55</v>
      </c>
      <c r="N2181" s="116">
        <v>1936.35</v>
      </c>
      <c r="O2181" s="116">
        <v>1902.3</v>
      </c>
      <c r="P2181" s="116">
        <v>1917.25</v>
      </c>
      <c r="Q2181" s="116">
        <v>1921.55</v>
      </c>
      <c r="R2181">
        <v>300335</v>
      </c>
    </row>
    <row r="2182" spans="1:18" x14ac:dyDescent="0.25">
      <c r="A2182" s="170">
        <v>45217</v>
      </c>
      <c r="B2182" s="116">
        <v>1938.95</v>
      </c>
      <c r="C2182" s="116">
        <v>1922.15</v>
      </c>
      <c r="D2182" s="116">
        <v>1907.75</v>
      </c>
      <c r="E2182" s="116">
        <v>1920.75</v>
      </c>
      <c r="F2182" s="116">
        <v>1922.15</v>
      </c>
      <c r="G2182">
        <v>3181</v>
      </c>
      <c r="H2182" s="116"/>
      <c r="I2182" s="116"/>
      <c r="L2182" s="170">
        <v>45217</v>
      </c>
      <c r="M2182" s="116">
        <v>1917</v>
      </c>
      <c r="N2182" s="116">
        <v>1939</v>
      </c>
      <c r="O2182" s="116">
        <v>1906.1</v>
      </c>
      <c r="P2182" s="116">
        <v>1924.1</v>
      </c>
      <c r="Q2182" s="116">
        <v>1917</v>
      </c>
      <c r="R2182">
        <v>405999</v>
      </c>
    </row>
    <row r="2183" spans="1:18" x14ac:dyDescent="0.25">
      <c r="A2183" s="170">
        <v>45218</v>
      </c>
      <c r="B2183" s="116">
        <v>1922.2</v>
      </c>
      <c r="C2183" s="116">
        <v>1918.45</v>
      </c>
      <c r="D2183" s="116">
        <v>1878.7</v>
      </c>
      <c r="E2183" s="116">
        <v>1878.7</v>
      </c>
      <c r="F2183" s="116">
        <v>1918.45</v>
      </c>
      <c r="G2183">
        <v>2783</v>
      </c>
      <c r="H2183" s="116"/>
      <c r="I2183" s="116"/>
      <c r="L2183" s="170">
        <v>45218</v>
      </c>
      <c r="M2183" s="116">
        <v>1919.2</v>
      </c>
      <c r="N2183" s="116">
        <v>1922.95</v>
      </c>
      <c r="O2183" s="116">
        <v>1897.55</v>
      </c>
      <c r="P2183" s="116">
        <v>1920.25</v>
      </c>
      <c r="Q2183" s="116">
        <v>1919.2</v>
      </c>
      <c r="R2183">
        <v>101361</v>
      </c>
    </row>
    <row r="2184" spans="1:18" x14ac:dyDescent="0.25">
      <c r="A2184" s="170">
        <v>45219</v>
      </c>
      <c r="B2184" s="116">
        <v>1937</v>
      </c>
      <c r="C2184" s="116">
        <v>1888.95</v>
      </c>
      <c r="D2184" s="116">
        <v>1883.85</v>
      </c>
      <c r="E2184" s="116">
        <v>1909.35</v>
      </c>
      <c r="F2184" s="116">
        <v>1888.95</v>
      </c>
      <c r="G2184">
        <v>3625</v>
      </c>
      <c r="H2184" s="116"/>
      <c r="I2184" s="116"/>
      <c r="L2184" s="170">
        <v>45219</v>
      </c>
      <c r="M2184" s="116">
        <v>1891.6</v>
      </c>
      <c r="N2184" s="116">
        <v>1939.9</v>
      </c>
      <c r="O2184" s="116">
        <v>1882.05</v>
      </c>
      <c r="P2184" s="116">
        <v>1911.3</v>
      </c>
      <c r="Q2184" s="116">
        <v>1891.6</v>
      </c>
      <c r="R2184">
        <v>299259</v>
      </c>
    </row>
    <row r="2185" spans="1:18" x14ac:dyDescent="0.25">
      <c r="A2185" s="170">
        <v>45222</v>
      </c>
      <c r="B2185" s="116">
        <v>1925.95</v>
      </c>
      <c r="C2185" s="116">
        <v>1874.2</v>
      </c>
      <c r="D2185" s="116">
        <v>1868.85</v>
      </c>
      <c r="E2185" s="116">
        <v>1925.95</v>
      </c>
      <c r="F2185" s="116">
        <v>1874.2</v>
      </c>
      <c r="G2185">
        <v>3054</v>
      </c>
      <c r="H2185" s="116"/>
      <c r="I2185" s="116"/>
      <c r="L2185" s="170">
        <v>45222</v>
      </c>
      <c r="M2185" s="116">
        <v>1877.3</v>
      </c>
      <c r="N2185" s="116">
        <v>1910.95</v>
      </c>
      <c r="O2185" s="116">
        <v>1867.75</v>
      </c>
      <c r="P2185" s="116">
        <v>1898.3</v>
      </c>
      <c r="Q2185" s="116">
        <v>1877.3</v>
      </c>
      <c r="R2185">
        <v>224516</v>
      </c>
    </row>
    <row r="2186" spans="1:18" x14ac:dyDescent="0.25">
      <c r="A2186" s="170">
        <v>45224</v>
      </c>
      <c r="B2186" s="116">
        <v>1952.95</v>
      </c>
      <c r="C2186" s="116">
        <v>1919.3</v>
      </c>
      <c r="D2186" s="116">
        <v>1822.8</v>
      </c>
      <c r="E2186" s="116">
        <v>1911.45</v>
      </c>
      <c r="F2186" s="116">
        <v>1919.3</v>
      </c>
      <c r="G2186">
        <v>23405</v>
      </c>
      <c r="H2186" s="116"/>
      <c r="I2186" s="116"/>
      <c r="L2186" s="170">
        <v>45224</v>
      </c>
      <c r="M2186" s="116">
        <v>1922.25</v>
      </c>
      <c r="N2186" s="116">
        <v>1954.05</v>
      </c>
      <c r="O2186" s="116">
        <v>1822.55</v>
      </c>
      <c r="P2186" s="116">
        <v>1909</v>
      </c>
      <c r="Q2186" s="116">
        <v>1922.25</v>
      </c>
      <c r="R2186">
        <v>1682093</v>
      </c>
    </row>
    <row r="2187" spans="1:18" x14ac:dyDescent="0.25">
      <c r="A2187" s="170">
        <v>45225</v>
      </c>
      <c r="B2187" s="116">
        <v>1925</v>
      </c>
      <c r="C2187" s="116">
        <v>1891.25</v>
      </c>
      <c r="D2187" s="116">
        <v>1860.55</v>
      </c>
      <c r="E2187" s="116">
        <v>1925</v>
      </c>
      <c r="F2187" s="116">
        <v>1891.25</v>
      </c>
      <c r="G2187">
        <v>9470</v>
      </c>
      <c r="H2187" s="116"/>
      <c r="I2187" s="116"/>
      <c r="L2187" s="170">
        <v>45225</v>
      </c>
      <c r="M2187" s="116">
        <v>1889.65</v>
      </c>
      <c r="N2187" s="116">
        <v>1919.8</v>
      </c>
      <c r="O2187" s="116">
        <v>1859.55</v>
      </c>
      <c r="P2187" s="116">
        <v>1919.8</v>
      </c>
      <c r="Q2187" s="116">
        <v>1889.65</v>
      </c>
      <c r="R2187">
        <v>433022</v>
      </c>
    </row>
    <row r="2188" spans="1:18" x14ac:dyDescent="0.25">
      <c r="A2188" s="170">
        <v>45226</v>
      </c>
      <c r="B2188" s="116">
        <v>1950</v>
      </c>
      <c r="C2188" s="116">
        <v>1922.35</v>
      </c>
      <c r="D2188" s="116">
        <v>1900.5</v>
      </c>
      <c r="E2188" s="116">
        <v>1908.95</v>
      </c>
      <c r="F2188" s="116">
        <v>1922.35</v>
      </c>
      <c r="G2188">
        <v>9086</v>
      </c>
      <c r="H2188" s="116"/>
      <c r="I2188" s="116"/>
      <c r="L2188" s="170">
        <v>45226</v>
      </c>
      <c r="M2188" s="116">
        <v>1920.65</v>
      </c>
      <c r="N2188" s="116">
        <v>1950.8</v>
      </c>
      <c r="O2188" s="116">
        <v>1895.4</v>
      </c>
      <c r="P2188" s="116">
        <v>1895.55</v>
      </c>
      <c r="Q2188" s="116">
        <v>1920.65</v>
      </c>
      <c r="R2188">
        <v>695215</v>
      </c>
    </row>
    <row r="2189" spans="1:18" x14ac:dyDescent="0.25">
      <c r="A2189" s="170">
        <v>45229</v>
      </c>
      <c r="B2189" s="116">
        <v>1950.7</v>
      </c>
      <c r="C2189" s="116">
        <v>1927.6</v>
      </c>
      <c r="D2189" s="116">
        <v>1918.9</v>
      </c>
      <c r="E2189" s="116">
        <v>1939.95</v>
      </c>
      <c r="F2189" s="116">
        <v>1927.6</v>
      </c>
      <c r="G2189">
        <v>6620</v>
      </c>
      <c r="H2189" s="116"/>
      <c r="I2189" s="116"/>
      <c r="L2189" s="170">
        <v>45229</v>
      </c>
      <c r="M2189" s="116">
        <v>1930.35</v>
      </c>
      <c r="N2189" s="116">
        <v>1951.4</v>
      </c>
      <c r="O2189" s="116">
        <v>1918.6</v>
      </c>
      <c r="P2189" s="116">
        <v>1930.05</v>
      </c>
      <c r="Q2189" s="116">
        <v>1930.35</v>
      </c>
      <c r="R2189">
        <v>287857</v>
      </c>
    </row>
    <row r="2190" spans="1:18" x14ac:dyDescent="0.25">
      <c r="A2190" s="170">
        <v>45230</v>
      </c>
      <c r="B2190" s="116">
        <v>1944.3</v>
      </c>
      <c r="C2190" s="116">
        <v>1927.55</v>
      </c>
      <c r="D2190" s="116">
        <v>1918.25</v>
      </c>
      <c r="E2190" s="116">
        <v>1928.05</v>
      </c>
      <c r="F2190" s="116">
        <v>1927.55</v>
      </c>
      <c r="G2190">
        <v>3482</v>
      </c>
      <c r="H2190" s="116"/>
      <c r="I2190" s="116"/>
      <c r="L2190" s="170">
        <v>45230</v>
      </c>
      <c r="M2190" s="116">
        <v>1924.25</v>
      </c>
      <c r="N2190" s="116">
        <v>1944.8</v>
      </c>
      <c r="O2190" s="116">
        <v>1918</v>
      </c>
      <c r="P2190" s="116">
        <v>1944.8</v>
      </c>
      <c r="Q2190" s="116">
        <v>1924.25</v>
      </c>
      <c r="R2190">
        <v>184243</v>
      </c>
    </row>
    <row r="2191" spans="1:18" x14ac:dyDescent="0.25">
      <c r="A2191" s="170">
        <v>45231</v>
      </c>
      <c r="B2191" s="116">
        <v>1939.15</v>
      </c>
      <c r="C2191" s="116">
        <v>1916.95</v>
      </c>
      <c r="D2191" s="116">
        <v>1912.5</v>
      </c>
      <c r="E2191" s="116">
        <v>1937.5</v>
      </c>
      <c r="F2191" s="116">
        <v>1916.95</v>
      </c>
      <c r="G2191">
        <v>4628</v>
      </c>
      <c r="H2191" s="116"/>
      <c r="I2191" s="116"/>
      <c r="L2191" s="170">
        <v>45231</v>
      </c>
      <c r="M2191" s="116">
        <v>1920.05</v>
      </c>
      <c r="N2191" s="116">
        <v>1941.55</v>
      </c>
      <c r="O2191" s="116">
        <v>1913.35</v>
      </c>
      <c r="P2191" s="116">
        <v>1929.8</v>
      </c>
      <c r="Q2191" s="116">
        <v>1920.05</v>
      </c>
      <c r="R2191">
        <v>249601</v>
      </c>
    </row>
    <row r="2192" spans="1:18" x14ac:dyDescent="0.25">
      <c r="A2192" s="170">
        <v>45232</v>
      </c>
      <c r="B2192" s="116">
        <v>1945.05</v>
      </c>
      <c r="C2192" s="116">
        <v>1926.65</v>
      </c>
      <c r="D2192" s="116">
        <v>1918</v>
      </c>
      <c r="E2192" s="116">
        <v>1918</v>
      </c>
      <c r="F2192" s="116">
        <v>1926.65</v>
      </c>
      <c r="G2192">
        <v>2878</v>
      </c>
      <c r="H2192" s="116"/>
      <c r="I2192" s="116"/>
      <c r="L2192" s="170">
        <v>45232</v>
      </c>
      <c r="M2192" s="116">
        <v>1927.4</v>
      </c>
      <c r="N2192" s="116">
        <v>1945</v>
      </c>
      <c r="O2192" s="116">
        <v>1921.5</v>
      </c>
      <c r="P2192" s="116">
        <v>1926.85</v>
      </c>
      <c r="Q2192" s="116">
        <v>1927.4</v>
      </c>
      <c r="R2192">
        <v>220680</v>
      </c>
    </row>
    <row r="2193" spans="1:18" x14ac:dyDescent="0.25">
      <c r="A2193" s="170">
        <v>45233</v>
      </c>
      <c r="B2193" s="116">
        <v>1967.9</v>
      </c>
      <c r="C2193" s="116">
        <v>1959.95</v>
      </c>
      <c r="D2193" s="116">
        <v>1929.8</v>
      </c>
      <c r="E2193" s="116">
        <v>1942.7</v>
      </c>
      <c r="F2193" s="116">
        <v>1959.95</v>
      </c>
      <c r="G2193">
        <v>4328</v>
      </c>
      <c r="H2193" s="116"/>
      <c r="I2193" s="116"/>
      <c r="L2193" s="170">
        <v>45233</v>
      </c>
      <c r="M2193" s="116">
        <v>1960.4</v>
      </c>
      <c r="N2193" s="116">
        <v>1967.9</v>
      </c>
      <c r="O2193" s="116">
        <v>1932.65</v>
      </c>
      <c r="P2193" s="116">
        <v>1935.4</v>
      </c>
      <c r="Q2193" s="116">
        <v>1960.4</v>
      </c>
      <c r="R2193">
        <v>401602</v>
      </c>
    </row>
    <row r="2194" spans="1:18" x14ac:dyDescent="0.25">
      <c r="A2194" s="170">
        <v>45236</v>
      </c>
      <c r="B2194" s="116">
        <v>1995.95</v>
      </c>
      <c r="C2194" s="116">
        <v>1964.05</v>
      </c>
      <c r="D2194" s="116">
        <v>1957.7</v>
      </c>
      <c r="E2194" s="116">
        <v>1995.95</v>
      </c>
      <c r="F2194" s="116">
        <v>1964.05</v>
      </c>
      <c r="G2194">
        <v>3285</v>
      </c>
      <c r="H2194" s="116"/>
      <c r="I2194" s="116"/>
      <c r="L2194" s="170">
        <v>45236</v>
      </c>
      <c r="M2194" s="116">
        <v>1966.5</v>
      </c>
      <c r="N2194" s="116">
        <v>1994</v>
      </c>
      <c r="O2194" s="116">
        <v>1954.55</v>
      </c>
      <c r="P2194" s="116">
        <v>1978.4</v>
      </c>
      <c r="Q2194" s="116">
        <v>1966.5</v>
      </c>
      <c r="R2194">
        <v>221392</v>
      </c>
    </row>
    <row r="2195" spans="1:18" x14ac:dyDescent="0.25">
      <c r="A2195" s="170">
        <v>45237</v>
      </c>
      <c r="B2195" s="116">
        <v>2001.1</v>
      </c>
      <c r="C2195" s="116">
        <v>1997.85</v>
      </c>
      <c r="D2195" s="116">
        <v>1924.85</v>
      </c>
      <c r="E2195" s="116">
        <v>1924.85</v>
      </c>
      <c r="F2195" s="116">
        <v>1997.85</v>
      </c>
      <c r="G2195">
        <v>2912</v>
      </c>
      <c r="H2195" s="116"/>
      <c r="I2195" s="116"/>
      <c r="L2195" s="170">
        <v>45237</v>
      </c>
      <c r="M2195" s="116">
        <v>1998.4</v>
      </c>
      <c r="N2195" s="116">
        <v>2001</v>
      </c>
      <c r="O2195" s="116">
        <v>1966.25</v>
      </c>
      <c r="P2195" s="116">
        <v>1968.8</v>
      </c>
      <c r="Q2195" s="116">
        <v>1998.4</v>
      </c>
      <c r="R2195">
        <v>295281</v>
      </c>
    </row>
    <row r="2196" spans="1:18" x14ac:dyDescent="0.25">
      <c r="A2196" s="170">
        <v>45238</v>
      </c>
      <c r="B2196" s="116">
        <v>2053.15</v>
      </c>
      <c r="C2196" s="116">
        <v>2027.95</v>
      </c>
      <c r="D2196" s="116">
        <v>1997.95</v>
      </c>
      <c r="E2196" s="116">
        <v>1997.95</v>
      </c>
      <c r="F2196" s="116">
        <v>2027.95</v>
      </c>
      <c r="G2196">
        <v>9146</v>
      </c>
      <c r="H2196" s="116"/>
      <c r="I2196" s="116"/>
      <c r="L2196" s="170">
        <v>45238</v>
      </c>
      <c r="M2196" s="116">
        <v>2028.1</v>
      </c>
      <c r="N2196" s="116">
        <v>2053.6</v>
      </c>
      <c r="O2196" s="116">
        <v>2002.1</v>
      </c>
      <c r="P2196" s="116">
        <v>2017.1</v>
      </c>
      <c r="Q2196" s="116">
        <v>2028.1</v>
      </c>
      <c r="R2196">
        <v>439459</v>
      </c>
    </row>
    <row r="2197" spans="1:18" x14ac:dyDescent="0.25">
      <c r="A2197" s="170">
        <v>45239</v>
      </c>
      <c r="B2197" s="116">
        <v>2059.9</v>
      </c>
      <c r="C2197" s="116">
        <v>2047.8</v>
      </c>
      <c r="D2197" s="116">
        <v>2019.75</v>
      </c>
      <c r="E2197" s="116">
        <v>2025.05</v>
      </c>
      <c r="F2197" s="116">
        <v>2047.8</v>
      </c>
      <c r="G2197">
        <v>7287</v>
      </c>
      <c r="H2197" s="116"/>
      <c r="I2197" s="116"/>
      <c r="L2197" s="170">
        <v>45239</v>
      </c>
      <c r="M2197" s="116">
        <v>2051.1999999999998</v>
      </c>
      <c r="N2197" s="116">
        <v>2059.9</v>
      </c>
      <c r="O2197" s="116">
        <v>2016.9</v>
      </c>
      <c r="P2197" s="116">
        <v>2034.45</v>
      </c>
      <c r="Q2197" s="116">
        <v>2051.1999999999998</v>
      </c>
      <c r="R2197">
        <v>308733</v>
      </c>
    </row>
    <row r="2198" spans="1:18" x14ac:dyDescent="0.25">
      <c r="A2198" s="170">
        <v>45240</v>
      </c>
      <c r="B2198" s="116">
        <v>2088.8000000000002</v>
      </c>
      <c r="C2198" s="116">
        <v>2057.35</v>
      </c>
      <c r="D2198" s="116">
        <v>2044</v>
      </c>
      <c r="E2198" s="116">
        <v>2088.8000000000002</v>
      </c>
      <c r="F2198" s="116">
        <v>2057.35</v>
      </c>
      <c r="G2198">
        <v>5034</v>
      </c>
      <c r="H2198" s="116"/>
      <c r="I2198" s="116"/>
      <c r="L2198" s="170">
        <v>45240</v>
      </c>
      <c r="M2198" s="116">
        <v>2058.1999999999998</v>
      </c>
      <c r="N2198" s="116">
        <v>2068.9</v>
      </c>
      <c r="O2198" s="116">
        <v>2044.25</v>
      </c>
      <c r="P2198" s="116">
        <v>2061.1999999999998</v>
      </c>
      <c r="Q2198" s="116">
        <v>2058.1999999999998</v>
      </c>
      <c r="R2198">
        <v>206637</v>
      </c>
    </row>
    <row r="2199" spans="1:18" x14ac:dyDescent="0.25">
      <c r="A2199" s="170">
        <v>45242</v>
      </c>
      <c r="B2199" s="116">
        <v>2075.15</v>
      </c>
      <c r="C2199" s="116">
        <v>2066.5500000000002</v>
      </c>
      <c r="D2199" s="116">
        <v>2053.6</v>
      </c>
      <c r="E2199" s="116">
        <v>2075.15</v>
      </c>
      <c r="F2199" s="116">
        <v>2066.5500000000002</v>
      </c>
      <c r="G2199">
        <v>1363</v>
      </c>
      <c r="H2199" s="116"/>
      <c r="I2199" s="116"/>
      <c r="L2199" s="170">
        <v>45242</v>
      </c>
      <c r="M2199" s="116">
        <v>2063.9</v>
      </c>
      <c r="N2199" s="116">
        <v>2076.75</v>
      </c>
      <c r="O2199" s="116">
        <v>2050</v>
      </c>
      <c r="P2199" s="116">
        <v>2066.1999999999998</v>
      </c>
      <c r="Q2199" s="116">
        <v>2063.9</v>
      </c>
      <c r="R2199">
        <v>17428</v>
      </c>
    </row>
    <row r="2200" spans="1:18" x14ac:dyDescent="0.25">
      <c r="A2200" s="170">
        <v>45243</v>
      </c>
      <c r="B2200" s="116">
        <v>2093.85</v>
      </c>
      <c r="C2200" s="116">
        <v>2064.8000000000002</v>
      </c>
      <c r="D2200" s="116">
        <v>2048.85</v>
      </c>
      <c r="E2200" s="116">
        <v>2093.85</v>
      </c>
      <c r="F2200" s="116">
        <v>2064.8000000000002</v>
      </c>
      <c r="G2200">
        <v>3809</v>
      </c>
      <c r="H2200" s="116"/>
      <c r="I2200" s="116"/>
      <c r="L2200" s="170">
        <v>45243</v>
      </c>
      <c r="M2200" s="116">
        <v>2066</v>
      </c>
      <c r="N2200" s="116">
        <v>2075.6</v>
      </c>
      <c r="O2200" s="116">
        <v>2049.25</v>
      </c>
      <c r="P2200" s="116">
        <v>2056.1999999999998</v>
      </c>
      <c r="Q2200" s="116">
        <v>2066</v>
      </c>
      <c r="R2200">
        <v>188309</v>
      </c>
    </row>
    <row r="2201" spans="1:18" x14ac:dyDescent="0.25">
      <c r="A2201" s="170">
        <v>45245</v>
      </c>
      <c r="B2201" s="116">
        <v>2094.9499999999998</v>
      </c>
      <c r="C2201" s="116">
        <v>2052.3000000000002</v>
      </c>
      <c r="D2201" s="116">
        <v>2048.65</v>
      </c>
      <c r="E2201" s="116">
        <v>2094.9499999999998</v>
      </c>
      <c r="F2201" s="116">
        <v>2052.3000000000002</v>
      </c>
      <c r="G2201">
        <v>1449</v>
      </c>
      <c r="H2201" s="116"/>
      <c r="I2201" s="116"/>
      <c r="L2201" s="170">
        <v>45245</v>
      </c>
      <c r="M2201" s="116">
        <v>2054.6</v>
      </c>
      <c r="N2201" s="116">
        <v>2084.75</v>
      </c>
      <c r="O2201" s="116">
        <v>2048.75</v>
      </c>
      <c r="P2201" s="116">
        <v>2084.75</v>
      </c>
      <c r="Q2201" s="116">
        <v>2054.6</v>
      </c>
      <c r="R2201">
        <v>179655</v>
      </c>
    </row>
    <row r="2202" spans="1:18" x14ac:dyDescent="0.25">
      <c r="A2202" s="170">
        <v>45246</v>
      </c>
      <c r="B2202" s="116">
        <v>2089.25</v>
      </c>
      <c r="C2202" s="116">
        <v>2038.6</v>
      </c>
      <c r="D2202" s="116">
        <v>2035.15</v>
      </c>
      <c r="E2202" s="116">
        <v>2089.25</v>
      </c>
      <c r="F2202" s="116">
        <v>2038.6</v>
      </c>
      <c r="G2202">
        <v>3129</v>
      </c>
      <c r="H2202" s="116"/>
      <c r="I2202" s="116"/>
      <c r="L2202" s="170">
        <v>45246</v>
      </c>
      <c r="M2202" s="116">
        <v>2039.55</v>
      </c>
      <c r="N2202" s="116">
        <v>2057.9499999999998</v>
      </c>
      <c r="O2202" s="116">
        <v>2033.95</v>
      </c>
      <c r="P2202" s="116">
        <v>2057.9499999999998</v>
      </c>
      <c r="Q2202" s="116">
        <v>2039.55</v>
      </c>
      <c r="R2202">
        <v>342090</v>
      </c>
    </row>
    <row r="2203" spans="1:18" x14ac:dyDescent="0.25">
      <c r="A2203" s="170">
        <v>45247</v>
      </c>
      <c r="B2203" s="116">
        <v>2087.9</v>
      </c>
      <c r="C2203" s="116">
        <v>2081.6</v>
      </c>
      <c r="D2203" s="116">
        <v>2035.6</v>
      </c>
      <c r="E2203" s="116">
        <v>2054.9499999999998</v>
      </c>
      <c r="F2203" s="116">
        <v>2081.6</v>
      </c>
      <c r="G2203">
        <v>2865</v>
      </c>
      <c r="H2203" s="116"/>
      <c r="I2203" s="116"/>
      <c r="L2203" s="170">
        <v>45247</v>
      </c>
      <c r="M2203" s="116">
        <v>2082.35</v>
      </c>
      <c r="N2203" s="116">
        <v>2088</v>
      </c>
      <c r="O2203" s="116">
        <v>2024.65</v>
      </c>
      <c r="P2203" s="116">
        <v>2039.6</v>
      </c>
      <c r="Q2203" s="116">
        <v>2082.35</v>
      </c>
      <c r="R2203">
        <v>147474</v>
      </c>
    </row>
    <row r="2204" spans="1:18" x14ac:dyDescent="0.25">
      <c r="A2204" s="170">
        <v>45250</v>
      </c>
      <c r="B2204" s="116">
        <v>2115.65</v>
      </c>
      <c r="C2204" s="116">
        <v>2111.35</v>
      </c>
      <c r="D2204" s="116">
        <v>2082.1999999999998</v>
      </c>
      <c r="E2204" s="116">
        <v>2090</v>
      </c>
      <c r="F2204" s="116">
        <v>2111.35</v>
      </c>
      <c r="G2204">
        <v>6458</v>
      </c>
      <c r="H2204" s="116"/>
      <c r="I2204" s="116"/>
      <c r="L2204" s="170">
        <v>45250</v>
      </c>
      <c r="M2204" s="116">
        <v>2110.75</v>
      </c>
      <c r="N2204" s="116">
        <v>2118.8000000000002</v>
      </c>
      <c r="O2204" s="116">
        <v>2081.8000000000002</v>
      </c>
      <c r="P2204" s="116">
        <v>2082.35</v>
      </c>
      <c r="Q2204" s="116">
        <v>2110.75</v>
      </c>
      <c r="R2204">
        <v>318186</v>
      </c>
    </row>
    <row r="2205" spans="1:18" x14ac:dyDescent="0.25">
      <c r="A2205" s="170">
        <v>45251</v>
      </c>
      <c r="B2205" s="116">
        <v>2169.15</v>
      </c>
      <c r="C2205" s="116">
        <v>2119.15</v>
      </c>
      <c r="D2205" s="116">
        <v>2111.35</v>
      </c>
      <c r="E2205" s="116">
        <v>2169.15</v>
      </c>
      <c r="F2205" s="116">
        <v>2119.15</v>
      </c>
      <c r="G2205">
        <v>8501</v>
      </c>
      <c r="H2205" s="116"/>
      <c r="I2205" s="116"/>
      <c r="L2205" s="170">
        <v>45251</v>
      </c>
      <c r="M2205" s="116">
        <v>2119.65</v>
      </c>
      <c r="N2205" s="116">
        <v>2145</v>
      </c>
      <c r="O2205" s="116">
        <v>2109.5500000000002</v>
      </c>
      <c r="P2205" s="116">
        <v>2134</v>
      </c>
      <c r="Q2205" s="116">
        <v>2119.65</v>
      </c>
      <c r="R2205">
        <v>288221</v>
      </c>
    </row>
    <row r="2206" spans="1:18" x14ac:dyDescent="0.25">
      <c r="A2206" s="170">
        <v>45252</v>
      </c>
      <c r="B2206" s="116">
        <v>2130.8000000000002</v>
      </c>
      <c r="C2206" s="116">
        <v>2113.6999999999998</v>
      </c>
      <c r="D2206" s="116">
        <v>2084</v>
      </c>
      <c r="E2206" s="116">
        <v>2102.25</v>
      </c>
      <c r="F2206" s="116">
        <v>2113.6999999999998</v>
      </c>
      <c r="G2206">
        <v>2393</v>
      </c>
      <c r="H2206" s="116"/>
      <c r="I2206" s="116"/>
      <c r="L2206" s="170">
        <v>45252</v>
      </c>
      <c r="M2206" s="116">
        <v>2111.5500000000002</v>
      </c>
      <c r="N2206" s="116">
        <v>2132.4</v>
      </c>
      <c r="O2206" s="116">
        <v>2083.4</v>
      </c>
      <c r="P2206" s="116">
        <v>2116.1999999999998</v>
      </c>
      <c r="Q2206" s="116">
        <v>2111.5500000000002</v>
      </c>
      <c r="R2206">
        <v>164055</v>
      </c>
    </row>
    <row r="2207" spans="1:18" x14ac:dyDescent="0.25">
      <c r="A2207" s="170">
        <v>45253</v>
      </c>
      <c r="B2207" s="116">
        <v>2135.0500000000002</v>
      </c>
      <c r="C2207" s="116">
        <v>2106.6999999999998</v>
      </c>
      <c r="D2207" s="116">
        <v>2082.1999999999998</v>
      </c>
      <c r="E2207" s="116">
        <v>2129.9499999999998</v>
      </c>
      <c r="F2207" s="116">
        <v>2106.6999999999998</v>
      </c>
      <c r="G2207">
        <v>5984</v>
      </c>
      <c r="H2207" s="116"/>
      <c r="I2207" s="116"/>
      <c r="L2207" s="170">
        <v>45253</v>
      </c>
      <c r="M2207" s="116">
        <v>2106.5500000000002</v>
      </c>
      <c r="N2207" s="116">
        <v>2135.9499999999998</v>
      </c>
      <c r="O2207" s="116">
        <v>2082</v>
      </c>
      <c r="P2207" s="116">
        <v>2135.0500000000002</v>
      </c>
      <c r="Q2207" s="116">
        <v>2106.5500000000002</v>
      </c>
      <c r="R2207">
        <v>189688</v>
      </c>
    </row>
    <row r="2208" spans="1:18" x14ac:dyDescent="0.25">
      <c r="A2208" s="170">
        <v>45254</v>
      </c>
      <c r="B2208" s="116">
        <v>2127.9</v>
      </c>
      <c r="C2208" s="116">
        <v>2089.4</v>
      </c>
      <c r="D2208" s="116">
        <v>2084.5</v>
      </c>
      <c r="E2208" s="116">
        <v>2106.6999999999998</v>
      </c>
      <c r="F2208" s="116">
        <v>2089.4</v>
      </c>
      <c r="G2208">
        <v>2895</v>
      </c>
      <c r="H2208" s="116"/>
      <c r="I2208" s="116"/>
      <c r="L2208" s="170">
        <v>45254</v>
      </c>
      <c r="M2208" s="116">
        <v>2090.8000000000002</v>
      </c>
      <c r="N2208" s="116">
        <v>2129</v>
      </c>
      <c r="O2208" s="116">
        <v>2083.3000000000002</v>
      </c>
      <c r="P2208" s="116">
        <v>2109.9</v>
      </c>
      <c r="Q2208" s="116">
        <v>2090.8000000000002</v>
      </c>
      <c r="R2208">
        <v>157910</v>
      </c>
    </row>
    <row r="2209" spans="1:18" x14ac:dyDescent="0.25">
      <c r="A2209" s="170">
        <v>45258</v>
      </c>
      <c r="B2209" s="116">
        <v>2124.9499999999998</v>
      </c>
      <c r="C2209" s="116">
        <v>2079.8000000000002</v>
      </c>
      <c r="D2209" s="116">
        <v>2074.1</v>
      </c>
      <c r="E2209" s="116">
        <v>2124.9499999999998</v>
      </c>
      <c r="F2209" s="116">
        <v>2079.8000000000002</v>
      </c>
      <c r="G2209">
        <v>3225</v>
      </c>
      <c r="H2209" s="116"/>
      <c r="I2209" s="116"/>
      <c r="L2209" s="170">
        <v>45258</v>
      </c>
      <c r="M2209" s="116">
        <v>2079</v>
      </c>
      <c r="N2209" s="116">
        <v>2105.1999999999998</v>
      </c>
      <c r="O2209" s="116">
        <v>2072.25</v>
      </c>
      <c r="P2209" s="116">
        <v>2099.8000000000002</v>
      </c>
      <c r="Q2209" s="116">
        <v>2079</v>
      </c>
      <c r="R2209">
        <v>306047</v>
      </c>
    </row>
    <row r="2210" spans="1:18" x14ac:dyDescent="0.25">
      <c r="A2210" s="170">
        <v>45259</v>
      </c>
      <c r="B2210" s="116">
        <v>2122.35</v>
      </c>
      <c r="C2210" s="116">
        <v>2091.3000000000002</v>
      </c>
      <c r="D2210" s="116">
        <v>2073.5500000000002</v>
      </c>
      <c r="E2210" s="116">
        <v>2083.75</v>
      </c>
      <c r="F2210" s="116">
        <v>2091.3000000000002</v>
      </c>
      <c r="G2210">
        <v>4467</v>
      </c>
      <c r="H2210" s="116"/>
      <c r="I2210" s="116"/>
      <c r="L2210" s="170">
        <v>45259</v>
      </c>
      <c r="M2210" s="116">
        <v>2091.85</v>
      </c>
      <c r="N2210" s="116">
        <v>2124.9499999999998</v>
      </c>
      <c r="O2210" s="116">
        <v>2074.3000000000002</v>
      </c>
      <c r="P2210" s="116">
        <v>2081</v>
      </c>
      <c r="Q2210" s="116">
        <v>2091.85</v>
      </c>
      <c r="R2210">
        <v>209338</v>
      </c>
    </row>
    <row r="2211" spans="1:18" x14ac:dyDescent="0.25">
      <c r="A2211" s="170">
        <v>45260</v>
      </c>
      <c r="B2211" s="116">
        <v>2141.9</v>
      </c>
      <c r="C2211" s="116">
        <v>2127.35</v>
      </c>
      <c r="D2211" s="116">
        <v>2078.8000000000002</v>
      </c>
      <c r="E2211" s="116">
        <v>2105.4499999999998</v>
      </c>
      <c r="F2211" s="116">
        <v>2127.35</v>
      </c>
      <c r="G2211">
        <v>2328</v>
      </c>
      <c r="H2211" s="116"/>
      <c r="I2211" s="116"/>
      <c r="L2211" s="170">
        <v>45260</v>
      </c>
      <c r="M2211" s="116">
        <v>2126.5500000000002</v>
      </c>
      <c r="N2211" s="116">
        <v>2140</v>
      </c>
      <c r="O2211" s="116">
        <v>2077.85</v>
      </c>
      <c r="P2211" s="116">
        <v>2091.85</v>
      </c>
      <c r="Q2211" s="116">
        <v>2126.5500000000002</v>
      </c>
      <c r="R2211">
        <v>529836</v>
      </c>
    </row>
    <row r="2212" spans="1:18" x14ac:dyDescent="0.25">
      <c r="A2212" s="170">
        <v>45261</v>
      </c>
      <c r="B2212" s="116">
        <v>2156.85</v>
      </c>
      <c r="C2212" s="116">
        <v>2151.3000000000002</v>
      </c>
      <c r="D2212" s="116">
        <v>2118.6</v>
      </c>
      <c r="E2212" s="116">
        <v>2130</v>
      </c>
      <c r="F2212" s="116">
        <v>2151.3000000000002</v>
      </c>
      <c r="G2212">
        <v>5728</v>
      </c>
      <c r="H2212" s="116"/>
      <c r="I2212" s="116"/>
      <c r="L2212" s="170">
        <v>45261</v>
      </c>
      <c r="M2212" s="116">
        <v>2151.25</v>
      </c>
      <c r="N2212" s="116">
        <v>2157.4499999999998</v>
      </c>
      <c r="O2212" s="116">
        <v>2118.5</v>
      </c>
      <c r="P2212" s="116">
        <v>2135</v>
      </c>
      <c r="Q2212" s="116">
        <v>2151.25</v>
      </c>
      <c r="R2212">
        <v>308776</v>
      </c>
    </row>
    <row r="2213" spans="1:18" x14ac:dyDescent="0.25">
      <c r="A2213" s="170">
        <v>45264</v>
      </c>
      <c r="B2213" s="116">
        <v>2181.9499999999998</v>
      </c>
      <c r="C2213" s="116">
        <v>2131.4499999999998</v>
      </c>
      <c r="D2213" s="116">
        <v>2113.4</v>
      </c>
      <c r="E2213" s="116">
        <v>2181.9499999999998</v>
      </c>
      <c r="F2213" s="116">
        <v>2131.4499999999998</v>
      </c>
      <c r="G2213">
        <v>7091</v>
      </c>
      <c r="H2213" s="116"/>
      <c r="I2213" s="116"/>
      <c r="L2213" s="170">
        <v>45264</v>
      </c>
      <c r="M2213" s="116">
        <v>2133.6</v>
      </c>
      <c r="N2213" s="116">
        <v>2172.5500000000002</v>
      </c>
      <c r="O2213" s="116">
        <v>2112.3000000000002</v>
      </c>
      <c r="P2213" s="116">
        <v>2170</v>
      </c>
      <c r="Q2213" s="116">
        <v>2133.6</v>
      </c>
      <c r="R2213">
        <v>272694</v>
      </c>
    </row>
    <row r="2214" spans="1:18" x14ac:dyDescent="0.25">
      <c r="A2214" s="170">
        <v>45265</v>
      </c>
      <c r="B2214" s="116">
        <v>2160</v>
      </c>
      <c r="C2214" s="116">
        <v>2099.6</v>
      </c>
      <c r="D2214" s="116">
        <v>2095.25</v>
      </c>
      <c r="E2214" s="116">
        <v>2146.4</v>
      </c>
      <c r="F2214" s="116">
        <v>2099.6</v>
      </c>
      <c r="G2214">
        <v>6562</v>
      </c>
      <c r="H2214" s="116"/>
      <c r="I2214" s="116"/>
      <c r="L2214" s="170">
        <v>45265</v>
      </c>
      <c r="M2214" s="116">
        <v>2100</v>
      </c>
      <c r="N2214" s="116">
        <v>2160</v>
      </c>
      <c r="O2214" s="116">
        <v>2096.0500000000002</v>
      </c>
      <c r="P2214" s="116">
        <v>2135.75</v>
      </c>
      <c r="Q2214" s="116">
        <v>2100</v>
      </c>
      <c r="R2214">
        <v>676468</v>
      </c>
    </row>
    <row r="2215" spans="1:18" x14ac:dyDescent="0.25">
      <c r="A2215" s="170">
        <v>45266</v>
      </c>
      <c r="B2215" s="116">
        <v>2125</v>
      </c>
      <c r="C2215" s="116">
        <v>2079.5</v>
      </c>
      <c r="D2215" s="116">
        <v>2075.1</v>
      </c>
      <c r="E2215" s="116">
        <v>2117.3000000000002</v>
      </c>
      <c r="F2215" s="116">
        <v>2079.5</v>
      </c>
      <c r="G2215">
        <v>4398</v>
      </c>
      <c r="H2215" s="116"/>
      <c r="I2215" s="116"/>
      <c r="L2215" s="170">
        <v>45266</v>
      </c>
      <c r="M2215" s="116">
        <v>2079.9499999999998</v>
      </c>
      <c r="N2215" s="116">
        <v>2125</v>
      </c>
      <c r="O2215" s="116">
        <v>2075</v>
      </c>
      <c r="P2215" s="116">
        <v>2106.8000000000002</v>
      </c>
      <c r="Q2215" s="116">
        <v>2079.9499999999998</v>
      </c>
      <c r="R2215">
        <v>183439</v>
      </c>
    </row>
    <row r="2216" spans="1:18" x14ac:dyDescent="0.25">
      <c r="A2216" s="170">
        <v>45267</v>
      </c>
      <c r="B2216" s="116">
        <v>2104.9499999999998</v>
      </c>
      <c r="C2216" s="116">
        <v>2101.4</v>
      </c>
      <c r="D2216" s="116">
        <v>2076.65</v>
      </c>
      <c r="E2216" s="116">
        <v>2095.8000000000002</v>
      </c>
      <c r="F2216" s="116">
        <v>2101.4</v>
      </c>
      <c r="G2216">
        <v>2489</v>
      </c>
      <c r="H2216" s="116"/>
      <c r="I2216" s="116"/>
      <c r="L2216" s="170">
        <v>45267</v>
      </c>
      <c r="M2216" s="116">
        <v>2100.5500000000002</v>
      </c>
      <c r="N2216" s="116">
        <v>2107.9499999999998</v>
      </c>
      <c r="O2216" s="116">
        <v>2074.5</v>
      </c>
      <c r="P2216" s="116">
        <v>2085.4</v>
      </c>
      <c r="Q2216" s="116">
        <v>2100.5500000000002</v>
      </c>
      <c r="R2216">
        <v>145283</v>
      </c>
    </row>
    <row r="2217" spans="1:18" x14ac:dyDescent="0.25">
      <c r="A2217" s="170">
        <v>45268</v>
      </c>
      <c r="B2217" s="116">
        <v>2110.4499999999998</v>
      </c>
      <c r="C2217" s="116">
        <v>2053.75</v>
      </c>
      <c r="D2217" s="116">
        <v>2043.3</v>
      </c>
      <c r="E2217" s="116">
        <v>2110.4499999999998</v>
      </c>
      <c r="F2217" s="116">
        <v>2053.75</v>
      </c>
      <c r="G2217">
        <v>7331</v>
      </c>
      <c r="H2217" s="116"/>
      <c r="I2217" s="116"/>
      <c r="L2217" s="170">
        <v>45268</v>
      </c>
      <c r="M2217" s="116">
        <v>2053.4499999999998</v>
      </c>
      <c r="N2217" s="116">
        <v>2103.9</v>
      </c>
      <c r="O2217" s="116">
        <v>2044.15</v>
      </c>
      <c r="P2217" s="116">
        <v>2099.5</v>
      </c>
      <c r="Q2217" s="116">
        <v>2053.4499999999998</v>
      </c>
      <c r="R2217">
        <v>221098</v>
      </c>
    </row>
    <row r="2218" spans="1:18" x14ac:dyDescent="0.25">
      <c r="A2218" s="170">
        <v>45271</v>
      </c>
      <c r="B2218" s="116">
        <v>2080</v>
      </c>
      <c r="C2218" s="116">
        <v>2078.5500000000002</v>
      </c>
      <c r="D2218" s="116">
        <v>2038.35</v>
      </c>
      <c r="E2218" s="116">
        <v>2054.8000000000002</v>
      </c>
      <c r="F2218" s="116">
        <v>2078.5500000000002</v>
      </c>
      <c r="G2218">
        <v>6124</v>
      </c>
      <c r="H2218" s="116"/>
      <c r="I2218" s="116"/>
      <c r="L2218" s="170">
        <v>45271</v>
      </c>
      <c r="M2218" s="116">
        <v>2078.35</v>
      </c>
      <c r="N2218" s="116">
        <v>2080</v>
      </c>
      <c r="O2218" s="116">
        <v>2037.7</v>
      </c>
      <c r="P2218" s="116">
        <v>2058.8000000000002</v>
      </c>
      <c r="Q2218" s="116">
        <v>2078.35</v>
      </c>
      <c r="R2218">
        <v>254019</v>
      </c>
    </row>
    <row r="2219" spans="1:18" x14ac:dyDescent="0.25">
      <c r="A2219" s="170">
        <v>45272</v>
      </c>
      <c r="B2219" s="116">
        <v>2095</v>
      </c>
      <c r="C2219" s="116">
        <v>2047.85</v>
      </c>
      <c r="D2219" s="116">
        <v>2031.6</v>
      </c>
      <c r="E2219" s="116">
        <v>2079.85</v>
      </c>
      <c r="F2219" s="116">
        <v>2047.85</v>
      </c>
      <c r="G2219">
        <v>5880</v>
      </c>
      <c r="H2219" s="116"/>
      <c r="I2219" s="116"/>
      <c r="L2219" s="170">
        <v>45272</v>
      </c>
      <c r="M2219" s="116">
        <v>2048</v>
      </c>
      <c r="N2219" s="116">
        <v>2097</v>
      </c>
      <c r="O2219" s="116">
        <v>2032</v>
      </c>
      <c r="P2219" s="116">
        <v>2070</v>
      </c>
      <c r="Q2219" s="116">
        <v>2048</v>
      </c>
      <c r="R2219">
        <v>279183</v>
      </c>
    </row>
    <row r="2220" spans="1:18" x14ac:dyDescent="0.25">
      <c r="A2220" s="170">
        <v>45273</v>
      </c>
      <c r="B2220" s="116">
        <v>2087.8000000000002</v>
      </c>
      <c r="C2220" s="116">
        <v>2080.4</v>
      </c>
      <c r="D2220" s="116">
        <v>2025</v>
      </c>
      <c r="E2220" s="116">
        <v>2047.05</v>
      </c>
      <c r="F2220" s="116">
        <v>2080.4</v>
      </c>
      <c r="G2220">
        <v>4537</v>
      </c>
      <c r="H2220" s="116"/>
      <c r="I2220" s="116"/>
      <c r="L2220" s="170">
        <v>45273</v>
      </c>
      <c r="M2220" s="116">
        <v>2079.1</v>
      </c>
      <c r="N2220" s="116">
        <v>2086.5500000000002</v>
      </c>
      <c r="O2220" s="116">
        <v>2025.7</v>
      </c>
      <c r="P2220" s="116">
        <v>2046.1</v>
      </c>
      <c r="Q2220" s="116">
        <v>2079.1</v>
      </c>
      <c r="R2220">
        <v>267134</v>
      </c>
    </row>
    <row r="2221" spans="1:18" x14ac:dyDescent="0.25">
      <c r="A2221" s="170">
        <v>45274</v>
      </c>
      <c r="B2221" s="116">
        <v>2109.85</v>
      </c>
      <c r="C2221" s="116">
        <v>2103.4</v>
      </c>
      <c r="D2221" s="116">
        <v>2075.35</v>
      </c>
      <c r="E2221" s="116">
        <v>2079.1</v>
      </c>
      <c r="F2221" s="116">
        <v>2103.4</v>
      </c>
      <c r="G2221">
        <v>5654</v>
      </c>
      <c r="H2221" s="116"/>
      <c r="I2221" s="116"/>
      <c r="L2221" s="170">
        <v>45274</v>
      </c>
      <c r="M2221" s="116">
        <v>2103.4</v>
      </c>
      <c r="N2221" s="116">
        <v>2110</v>
      </c>
      <c r="O2221" s="116">
        <v>2073.4499999999998</v>
      </c>
      <c r="P2221" s="116">
        <v>2085</v>
      </c>
      <c r="Q2221" s="116">
        <v>2103.4</v>
      </c>
      <c r="R2221">
        <v>183980</v>
      </c>
    </row>
    <row r="2222" spans="1:18" x14ac:dyDescent="0.25">
      <c r="A2222" s="170">
        <v>45275</v>
      </c>
      <c r="B2222" s="116">
        <v>2105.5500000000002</v>
      </c>
      <c r="C2222" s="116">
        <v>2093.4</v>
      </c>
      <c r="D2222" s="116">
        <v>2075</v>
      </c>
      <c r="E2222" s="116">
        <v>2083.1</v>
      </c>
      <c r="F2222" s="116">
        <v>2093.4</v>
      </c>
      <c r="G2222">
        <v>3046</v>
      </c>
      <c r="H2222" s="116"/>
      <c r="I2222" s="116"/>
      <c r="L2222" s="170">
        <v>45275</v>
      </c>
      <c r="M2222" s="116">
        <v>2093.35</v>
      </c>
      <c r="N2222" s="116">
        <v>2110</v>
      </c>
      <c r="O2222" s="116">
        <v>2074.35</v>
      </c>
      <c r="P2222" s="116">
        <v>2107.4499999999998</v>
      </c>
      <c r="Q2222" s="116">
        <v>2093.35</v>
      </c>
      <c r="R2222">
        <v>550534</v>
      </c>
    </row>
    <row r="2223" spans="1:18" x14ac:dyDescent="0.25">
      <c r="A2223" s="170">
        <v>45278</v>
      </c>
      <c r="B2223" s="116">
        <v>2152</v>
      </c>
      <c r="C2223" s="116">
        <v>2143.9</v>
      </c>
      <c r="D2223" s="116">
        <v>2098</v>
      </c>
      <c r="E2223" s="116">
        <v>2109</v>
      </c>
      <c r="F2223" s="116">
        <v>2143.9</v>
      </c>
      <c r="G2223">
        <v>39879</v>
      </c>
      <c r="H2223" s="116"/>
      <c r="I2223" s="116"/>
      <c r="L2223" s="170">
        <v>45278</v>
      </c>
      <c r="M2223" s="116">
        <v>2144.1999999999998</v>
      </c>
      <c r="N2223" s="116">
        <v>2153</v>
      </c>
      <c r="O2223" s="116">
        <v>2095.1999999999998</v>
      </c>
      <c r="P2223" s="116">
        <v>2096.0500000000002</v>
      </c>
      <c r="Q2223" s="116">
        <v>2144.1999999999998</v>
      </c>
      <c r="R2223">
        <v>568660</v>
      </c>
    </row>
    <row r="2224" spans="1:18" x14ac:dyDescent="0.25">
      <c r="A2224" s="170">
        <v>45279</v>
      </c>
      <c r="B2224" s="116">
        <v>2183.9499999999998</v>
      </c>
      <c r="C2224" s="116">
        <v>2170.1</v>
      </c>
      <c r="D2224" s="116">
        <v>2147.9</v>
      </c>
      <c r="E2224" s="116">
        <v>2169.0500000000002</v>
      </c>
      <c r="F2224" s="116">
        <v>2170.1</v>
      </c>
      <c r="G2224">
        <v>5005</v>
      </c>
      <c r="H2224" s="116"/>
      <c r="I2224" s="116"/>
      <c r="L2224" s="170">
        <v>45279</v>
      </c>
      <c r="M2224" s="116">
        <v>2170.5500000000002</v>
      </c>
      <c r="N2224" s="116">
        <v>2184.5</v>
      </c>
      <c r="O2224" s="116">
        <v>2147.6</v>
      </c>
      <c r="P2224" s="116">
        <v>2166.8000000000002</v>
      </c>
      <c r="Q2224" s="116">
        <v>2170.5500000000002</v>
      </c>
      <c r="R2224">
        <v>342287</v>
      </c>
    </row>
    <row r="2225" spans="1:18" x14ac:dyDescent="0.25">
      <c r="A2225" s="170">
        <v>45280</v>
      </c>
      <c r="B2225" s="116">
        <v>2199</v>
      </c>
      <c r="C2225" s="116">
        <v>2144.4499999999998</v>
      </c>
      <c r="D2225" s="116">
        <v>2136.4499999999998</v>
      </c>
      <c r="E2225" s="116">
        <v>2198.8000000000002</v>
      </c>
      <c r="F2225" s="116">
        <v>2144.4499999999998</v>
      </c>
      <c r="G2225">
        <v>4447</v>
      </c>
      <c r="H2225" s="116"/>
      <c r="I2225" s="116"/>
      <c r="L2225" s="170">
        <v>45280</v>
      </c>
      <c r="M2225" s="116">
        <v>2147.0500000000002</v>
      </c>
      <c r="N2225" s="116">
        <v>2200</v>
      </c>
      <c r="O2225" s="116">
        <v>2131.3000000000002</v>
      </c>
      <c r="P2225" s="116">
        <v>2185</v>
      </c>
      <c r="Q2225" s="116">
        <v>2147.0500000000002</v>
      </c>
      <c r="R2225">
        <v>352547</v>
      </c>
    </row>
    <row r="2226" spans="1:18" x14ac:dyDescent="0.25">
      <c r="A2226" s="170">
        <v>45281</v>
      </c>
      <c r="B2226" s="116">
        <v>2204.9499999999998</v>
      </c>
      <c r="C2226" s="116">
        <v>2194.75</v>
      </c>
      <c r="D2226" s="116">
        <v>2115.9499999999998</v>
      </c>
      <c r="E2226" s="116">
        <v>2147.0500000000002</v>
      </c>
      <c r="F2226" s="116">
        <v>2194.75</v>
      </c>
      <c r="G2226">
        <v>5563</v>
      </c>
      <c r="H2226" s="116"/>
      <c r="I2226" s="116"/>
      <c r="L2226" s="170">
        <v>45281</v>
      </c>
      <c r="M2226" s="116">
        <v>2195.1999999999998</v>
      </c>
      <c r="N2226" s="116">
        <v>2206.6999999999998</v>
      </c>
      <c r="O2226" s="116">
        <v>2113.8000000000002</v>
      </c>
      <c r="P2226" s="116">
        <v>2135.5</v>
      </c>
      <c r="Q2226" s="116">
        <v>2195.1999999999998</v>
      </c>
      <c r="R2226">
        <v>272796</v>
      </c>
    </row>
    <row r="2227" spans="1:18" x14ac:dyDescent="0.25">
      <c r="A2227" s="170">
        <v>45282</v>
      </c>
      <c r="B2227" s="116">
        <v>2235</v>
      </c>
      <c r="C2227" s="116">
        <v>2215.15</v>
      </c>
      <c r="D2227" s="116">
        <v>2189.1</v>
      </c>
      <c r="E2227" s="116">
        <v>2196.1999999999998</v>
      </c>
      <c r="F2227" s="116">
        <v>2215.15</v>
      </c>
      <c r="G2227">
        <v>6026</v>
      </c>
      <c r="H2227" s="116"/>
      <c r="I2227" s="116"/>
      <c r="L2227" s="170">
        <v>45282</v>
      </c>
      <c r="M2227" s="116">
        <v>2222.5</v>
      </c>
      <c r="N2227" s="116">
        <v>2235.6</v>
      </c>
      <c r="O2227" s="116">
        <v>2189.35</v>
      </c>
      <c r="P2227" s="116">
        <v>2197</v>
      </c>
      <c r="Q2227" s="116">
        <v>2222.5</v>
      </c>
      <c r="R2227">
        <v>288655</v>
      </c>
    </row>
    <row r="2228" spans="1:18" x14ac:dyDescent="0.25">
      <c r="A2228" s="170">
        <v>45286</v>
      </c>
      <c r="B2228" s="116">
        <v>2288.1999999999998</v>
      </c>
      <c r="C2228" s="116">
        <v>2281.3000000000002</v>
      </c>
      <c r="D2228" s="116">
        <v>2223.9</v>
      </c>
      <c r="E2228" s="116">
        <v>2226.85</v>
      </c>
      <c r="F2228" s="116">
        <v>2281.3000000000002</v>
      </c>
      <c r="G2228">
        <v>3906</v>
      </c>
      <c r="H2228" s="116"/>
      <c r="I2228" s="116"/>
      <c r="L2228" s="170">
        <v>45286</v>
      </c>
      <c r="M2228" s="116">
        <v>2282.3000000000002</v>
      </c>
      <c r="N2228" s="116">
        <v>2289.65</v>
      </c>
      <c r="O2228" s="116">
        <v>2223</v>
      </c>
      <c r="P2228" s="116">
        <v>2223.9</v>
      </c>
      <c r="Q2228" s="116">
        <v>2282.3000000000002</v>
      </c>
      <c r="R2228">
        <v>277523</v>
      </c>
    </row>
    <row r="2229" spans="1:18" x14ac:dyDescent="0.25">
      <c r="A2229" s="170">
        <v>45287</v>
      </c>
      <c r="B2229" s="116">
        <v>2302.85</v>
      </c>
      <c r="C2229" s="116">
        <v>2267.6</v>
      </c>
      <c r="D2229" s="116">
        <v>2259.65</v>
      </c>
      <c r="E2229" s="116">
        <v>2285.15</v>
      </c>
      <c r="F2229" s="116">
        <v>2267.6</v>
      </c>
      <c r="G2229">
        <v>5117</v>
      </c>
      <c r="H2229" s="116"/>
      <c r="I2229" s="116"/>
      <c r="L2229" s="170">
        <v>45287</v>
      </c>
      <c r="M2229" s="116">
        <v>2263.75</v>
      </c>
      <c r="N2229" s="116">
        <v>2302.85</v>
      </c>
      <c r="O2229" s="116">
        <v>2256.75</v>
      </c>
      <c r="P2229" s="116">
        <v>2279.25</v>
      </c>
      <c r="Q2229" s="116">
        <v>2263.75</v>
      </c>
      <c r="R2229">
        <v>244967</v>
      </c>
    </row>
    <row r="2230" spans="1:18" x14ac:dyDescent="0.25">
      <c r="A2230" s="170">
        <v>45288</v>
      </c>
      <c r="B2230" s="116">
        <v>2279.85</v>
      </c>
      <c r="C2230" s="116">
        <v>2257.85</v>
      </c>
      <c r="D2230" s="116">
        <v>2248.6999999999998</v>
      </c>
      <c r="E2230" s="116">
        <v>2279.85</v>
      </c>
      <c r="F2230" s="116">
        <v>2257.85</v>
      </c>
      <c r="G2230">
        <v>26797</v>
      </c>
      <c r="H2230" s="116"/>
      <c r="I2230" s="116"/>
      <c r="L2230" s="170">
        <v>45288</v>
      </c>
      <c r="M2230" s="116">
        <v>2255.6</v>
      </c>
      <c r="N2230" s="116">
        <v>2278.15</v>
      </c>
      <c r="O2230" s="116">
        <v>2248.0500000000002</v>
      </c>
      <c r="P2230" s="116">
        <v>2268.15</v>
      </c>
      <c r="Q2230" s="116">
        <v>2255.6</v>
      </c>
      <c r="R2230">
        <v>549145</v>
      </c>
    </row>
    <row r="2231" spans="1:18" x14ac:dyDescent="0.25">
      <c r="A2231" s="170">
        <v>45289</v>
      </c>
      <c r="B2231" s="116">
        <v>2309.9</v>
      </c>
      <c r="C2231" s="116">
        <v>2305</v>
      </c>
      <c r="D2231" s="116">
        <v>2249.6</v>
      </c>
      <c r="E2231" s="116">
        <v>2269.5500000000002</v>
      </c>
      <c r="F2231" s="116">
        <v>2305</v>
      </c>
      <c r="G2231">
        <v>4224</v>
      </c>
      <c r="H2231" s="116"/>
      <c r="I2231" s="116"/>
      <c r="L2231" s="170">
        <v>45289</v>
      </c>
      <c r="M2231" s="116">
        <v>2305.5500000000002</v>
      </c>
      <c r="N2231" s="116">
        <v>2310.15</v>
      </c>
      <c r="O2231" s="116">
        <v>2249.35</v>
      </c>
      <c r="P2231" s="116">
        <v>2256.5</v>
      </c>
      <c r="Q2231" s="116">
        <v>2305.5500000000002</v>
      </c>
      <c r="R2231">
        <v>194385</v>
      </c>
    </row>
    <row r="2232" spans="1:18" x14ac:dyDescent="0.25">
      <c r="A2232" s="170">
        <v>45292</v>
      </c>
      <c r="B2232" s="116">
        <v>2351.65</v>
      </c>
      <c r="C2232" s="116">
        <v>2295.85</v>
      </c>
      <c r="D2232" s="116">
        <v>2289.85</v>
      </c>
      <c r="E2232" s="116">
        <v>2351.65</v>
      </c>
      <c r="F2232" s="116">
        <v>2295.85</v>
      </c>
      <c r="G2232">
        <v>2256</v>
      </c>
      <c r="H2232" s="116"/>
      <c r="I2232" s="116"/>
      <c r="L2232" s="170">
        <v>45292</v>
      </c>
      <c r="M2232" s="116">
        <v>2296.3000000000002</v>
      </c>
      <c r="N2232" s="116">
        <v>2331.6999999999998</v>
      </c>
      <c r="O2232" s="116">
        <v>2288.6999999999998</v>
      </c>
      <c r="P2232" s="116">
        <v>2325</v>
      </c>
      <c r="Q2232" s="116">
        <v>2296.3000000000002</v>
      </c>
      <c r="R2232">
        <v>99208</v>
      </c>
    </row>
    <row r="2233" spans="1:18" x14ac:dyDescent="0.25">
      <c r="A2233" s="170">
        <v>45293</v>
      </c>
      <c r="B2233" s="116">
        <v>2328.5500000000002</v>
      </c>
      <c r="C2233" s="116">
        <v>2321.65</v>
      </c>
      <c r="D2233" s="116">
        <v>2270.15</v>
      </c>
      <c r="E2233" s="116">
        <v>2270.15</v>
      </c>
      <c r="F2233" s="116">
        <v>2321.65</v>
      </c>
      <c r="G2233">
        <v>7315</v>
      </c>
      <c r="H2233" s="116"/>
      <c r="I2233" s="116"/>
      <c r="L2233" s="170">
        <v>45293</v>
      </c>
      <c r="M2233" s="116">
        <v>2322.1999999999998</v>
      </c>
      <c r="N2233" s="116">
        <v>2328.25</v>
      </c>
      <c r="O2233" s="116">
        <v>2291.6</v>
      </c>
      <c r="P2233" s="116">
        <v>2300.9499999999998</v>
      </c>
      <c r="Q2233" s="116">
        <v>2322.1999999999998</v>
      </c>
      <c r="R2233">
        <v>235455</v>
      </c>
    </row>
    <row r="2234" spans="1:18" x14ac:dyDescent="0.25">
      <c r="A2234" s="170">
        <v>45294</v>
      </c>
      <c r="B2234" s="116">
        <v>2367.4499999999998</v>
      </c>
      <c r="C2234" s="116">
        <v>2352</v>
      </c>
      <c r="D2234" s="116">
        <v>2302.75</v>
      </c>
      <c r="E2234" s="116">
        <v>2319.85</v>
      </c>
      <c r="F2234" s="116">
        <v>2352</v>
      </c>
      <c r="G2234">
        <v>6752</v>
      </c>
      <c r="H2234" s="116"/>
      <c r="I2234" s="116"/>
      <c r="L2234" s="170">
        <v>45294</v>
      </c>
      <c r="M2234" s="116">
        <v>2351.4</v>
      </c>
      <c r="N2234" s="116">
        <v>2368.1999999999998</v>
      </c>
      <c r="O2234" s="116">
        <v>2301.6</v>
      </c>
      <c r="P2234" s="116">
        <v>2310.0500000000002</v>
      </c>
      <c r="Q2234" s="116">
        <v>2351.4</v>
      </c>
      <c r="R2234">
        <v>292829</v>
      </c>
    </row>
    <row r="2235" spans="1:18" x14ac:dyDescent="0.25">
      <c r="A2235" s="170">
        <v>45295</v>
      </c>
      <c r="B2235" s="116">
        <v>2385.4</v>
      </c>
      <c r="C2235" s="116">
        <v>2371.9</v>
      </c>
      <c r="D2235" s="116">
        <v>2331.6</v>
      </c>
      <c r="E2235" s="116">
        <v>2354</v>
      </c>
      <c r="F2235" s="116">
        <v>2371.9</v>
      </c>
      <c r="G2235">
        <v>10204</v>
      </c>
      <c r="H2235" s="116"/>
      <c r="I2235" s="116"/>
      <c r="L2235" s="170">
        <v>45295</v>
      </c>
      <c r="M2235" s="116">
        <v>2371.6999999999998</v>
      </c>
      <c r="N2235" s="116">
        <v>2385.9</v>
      </c>
      <c r="O2235" s="116">
        <v>2330.85</v>
      </c>
      <c r="P2235" s="116">
        <v>2355</v>
      </c>
      <c r="Q2235" s="116">
        <v>2371.6999999999998</v>
      </c>
      <c r="R2235">
        <v>337858</v>
      </c>
    </row>
    <row r="2236" spans="1:18" x14ac:dyDescent="0.25">
      <c r="A2236" s="170">
        <v>45296</v>
      </c>
      <c r="B2236" s="116">
        <v>2393.8000000000002</v>
      </c>
      <c r="C2236" s="116">
        <v>2343.65</v>
      </c>
      <c r="D2236" s="116">
        <v>2332.6</v>
      </c>
      <c r="E2236" s="116">
        <v>2393.8000000000002</v>
      </c>
      <c r="F2236" s="116">
        <v>2343.65</v>
      </c>
      <c r="G2236">
        <v>9090</v>
      </c>
      <c r="H2236" s="116"/>
      <c r="I2236" s="116"/>
      <c r="L2236" s="170">
        <v>45296</v>
      </c>
      <c r="M2236" s="116">
        <v>2350.1</v>
      </c>
      <c r="N2236" s="116">
        <v>2381</v>
      </c>
      <c r="O2236" s="116">
        <v>2333</v>
      </c>
      <c r="P2236" s="116">
        <v>2381</v>
      </c>
      <c r="Q2236" s="116">
        <v>2350.1</v>
      </c>
      <c r="R2236">
        <v>324466</v>
      </c>
    </row>
    <row r="2237" spans="1:18" x14ac:dyDescent="0.25">
      <c r="A2237" s="170">
        <v>45299</v>
      </c>
      <c r="B2237" s="116">
        <v>2366.85</v>
      </c>
      <c r="C2237" s="116">
        <v>2322</v>
      </c>
      <c r="D2237" s="116">
        <v>2317.25</v>
      </c>
      <c r="E2237" s="116">
        <v>2353.15</v>
      </c>
      <c r="F2237" s="116">
        <v>2322</v>
      </c>
      <c r="G2237">
        <v>9522</v>
      </c>
      <c r="H2237" s="116"/>
      <c r="I2237" s="116"/>
      <c r="L2237" s="170">
        <v>45299</v>
      </c>
      <c r="M2237" s="116">
        <v>2324.6</v>
      </c>
      <c r="N2237" s="116">
        <v>2375.35</v>
      </c>
      <c r="O2237" s="116">
        <v>2312</v>
      </c>
      <c r="P2237" s="116">
        <v>2375.35</v>
      </c>
      <c r="Q2237" s="116">
        <v>2324.6</v>
      </c>
      <c r="R2237">
        <v>249754</v>
      </c>
    </row>
    <row r="2238" spans="1:18" x14ac:dyDescent="0.25">
      <c r="A2238" s="170">
        <v>45300</v>
      </c>
      <c r="B2238" s="116">
        <v>2365</v>
      </c>
      <c r="C2238" s="116">
        <v>2338.25</v>
      </c>
      <c r="D2238" s="116">
        <v>2327.5</v>
      </c>
      <c r="E2238" s="116">
        <v>2334.85</v>
      </c>
      <c r="F2238" s="116">
        <v>2338.25</v>
      </c>
      <c r="G2238">
        <v>2390</v>
      </c>
      <c r="H2238" s="116"/>
      <c r="I2238" s="116"/>
      <c r="L2238" s="170">
        <v>45300</v>
      </c>
      <c r="M2238" s="116">
        <v>2337.9</v>
      </c>
      <c r="N2238" s="116">
        <v>2365</v>
      </c>
      <c r="O2238" s="116">
        <v>2327.5</v>
      </c>
      <c r="P2238" s="116">
        <v>2327.5</v>
      </c>
      <c r="Q2238" s="116">
        <v>2337.9</v>
      </c>
      <c r="R2238">
        <v>235412</v>
      </c>
    </row>
    <row r="2239" spans="1:18" x14ac:dyDescent="0.25">
      <c r="A2239" s="170">
        <v>45301</v>
      </c>
      <c r="B2239" s="116">
        <v>2360</v>
      </c>
      <c r="C2239" s="116">
        <v>2351.15</v>
      </c>
      <c r="D2239" s="116">
        <v>2323.9499999999998</v>
      </c>
      <c r="E2239" s="116">
        <v>2338</v>
      </c>
      <c r="F2239" s="116">
        <v>2351.15</v>
      </c>
      <c r="G2239">
        <v>3438</v>
      </c>
      <c r="H2239" s="116"/>
      <c r="I2239" s="116"/>
      <c r="L2239" s="170">
        <v>45301</v>
      </c>
      <c r="M2239" s="116">
        <v>2352.9</v>
      </c>
      <c r="N2239" s="116">
        <v>2362.85</v>
      </c>
      <c r="O2239" s="116">
        <v>2323.0500000000002</v>
      </c>
      <c r="P2239" s="116">
        <v>2339.85</v>
      </c>
      <c r="Q2239" s="116">
        <v>2352.9</v>
      </c>
      <c r="R2239">
        <v>221790</v>
      </c>
    </row>
    <row r="2240" spans="1:18" x14ac:dyDescent="0.25">
      <c r="A2240" s="170">
        <v>45302</v>
      </c>
      <c r="B2240" s="116">
        <v>2475.1</v>
      </c>
      <c r="C2240" s="116">
        <v>2468.4</v>
      </c>
      <c r="D2240" s="116">
        <v>2355.6</v>
      </c>
      <c r="E2240" s="116">
        <v>2355.6</v>
      </c>
      <c r="F2240" s="116">
        <v>2468.4</v>
      </c>
      <c r="G2240">
        <v>13395</v>
      </c>
      <c r="H2240" s="116"/>
      <c r="I2240" s="116"/>
      <c r="L2240" s="170">
        <v>45302</v>
      </c>
      <c r="M2240" s="116">
        <v>2468.9499999999998</v>
      </c>
      <c r="N2240" s="116">
        <v>2476.5</v>
      </c>
      <c r="O2240" s="116">
        <v>2359.3000000000002</v>
      </c>
      <c r="P2240" s="116">
        <v>2359.3000000000002</v>
      </c>
      <c r="Q2240" s="116">
        <v>2468.9499999999998</v>
      </c>
      <c r="R2240">
        <v>693516</v>
      </c>
    </row>
    <row r="2241" spans="1:18" x14ac:dyDescent="0.25">
      <c r="A2241" s="170">
        <v>45303</v>
      </c>
      <c r="B2241" s="116">
        <v>2477.25</v>
      </c>
      <c r="C2241" s="116">
        <v>2468.35</v>
      </c>
      <c r="D2241" s="116">
        <v>2445.75</v>
      </c>
      <c r="E2241" s="116">
        <v>2475</v>
      </c>
      <c r="F2241" s="116">
        <v>2468.35</v>
      </c>
      <c r="G2241">
        <v>4254</v>
      </c>
      <c r="H2241" s="116"/>
      <c r="I2241" s="116"/>
      <c r="L2241" s="170">
        <v>45303</v>
      </c>
      <c r="M2241" s="116">
        <v>2468.75</v>
      </c>
      <c r="N2241" s="116">
        <v>2475.85</v>
      </c>
      <c r="O2241" s="116">
        <v>2440.25</v>
      </c>
      <c r="P2241" s="116">
        <v>2475.85</v>
      </c>
      <c r="Q2241" s="116">
        <v>2468.75</v>
      </c>
      <c r="R2241">
        <v>166278</v>
      </c>
    </row>
    <row r="2242" spans="1:18" x14ac:dyDescent="0.25">
      <c r="A2242" s="170">
        <v>45306</v>
      </c>
      <c r="B2242" s="116">
        <v>2487.9</v>
      </c>
      <c r="C2242" s="116">
        <v>2476.65</v>
      </c>
      <c r="D2242" s="116">
        <v>2454.6</v>
      </c>
      <c r="E2242" s="116">
        <v>2487.9</v>
      </c>
      <c r="F2242" s="116">
        <v>2476.65</v>
      </c>
      <c r="G2242">
        <v>2074</v>
      </c>
      <c r="H2242" s="116"/>
      <c r="I2242" s="116"/>
      <c r="L2242" s="170">
        <v>45306</v>
      </c>
      <c r="M2242" s="116">
        <v>2475.15</v>
      </c>
      <c r="N2242" s="116">
        <v>2489.9</v>
      </c>
      <c r="O2242" s="116">
        <v>2452.75</v>
      </c>
      <c r="P2242" s="116">
        <v>2475</v>
      </c>
      <c r="Q2242" s="116">
        <v>2475.15</v>
      </c>
      <c r="R2242">
        <v>112984</v>
      </c>
    </row>
    <row r="2243" spans="1:18" x14ac:dyDescent="0.25">
      <c r="A2243" s="170">
        <v>45307</v>
      </c>
      <c r="B2243" s="116">
        <v>2484.1999999999998</v>
      </c>
      <c r="C2243" s="116">
        <v>2449.75</v>
      </c>
      <c r="D2243" s="116">
        <v>2438.75</v>
      </c>
      <c r="E2243" s="116">
        <v>2484.1999999999998</v>
      </c>
      <c r="F2243" s="116">
        <v>2449.75</v>
      </c>
      <c r="G2243">
        <v>3125</v>
      </c>
      <c r="H2243" s="116"/>
      <c r="I2243" s="116"/>
      <c r="L2243" s="170">
        <v>45307</v>
      </c>
      <c r="M2243" s="116">
        <v>2449.6999999999998</v>
      </c>
      <c r="N2243" s="116">
        <v>2479.9</v>
      </c>
      <c r="O2243" s="116">
        <v>2438</v>
      </c>
      <c r="P2243" s="116">
        <v>2479.9</v>
      </c>
      <c r="Q2243" s="116">
        <v>2449.6999999999998</v>
      </c>
      <c r="R2243">
        <v>246441</v>
      </c>
    </row>
    <row r="2244" spans="1:18" x14ac:dyDescent="0.25">
      <c r="A2244" s="170">
        <v>45308</v>
      </c>
      <c r="B2244" s="116">
        <v>2482.6</v>
      </c>
      <c r="C2244" s="116">
        <v>2468.3000000000002</v>
      </c>
      <c r="D2244" s="116">
        <v>2415.1</v>
      </c>
      <c r="E2244" s="116">
        <v>2415.1</v>
      </c>
      <c r="F2244" s="116">
        <v>2468.3000000000002</v>
      </c>
      <c r="G2244">
        <v>7935</v>
      </c>
      <c r="H2244" s="116"/>
      <c r="I2244" s="116"/>
      <c r="L2244" s="170">
        <v>45308</v>
      </c>
      <c r="M2244" s="116">
        <v>2472.1999999999998</v>
      </c>
      <c r="N2244" s="116">
        <v>2482.9499999999998</v>
      </c>
      <c r="O2244" s="116">
        <v>2416.5500000000002</v>
      </c>
      <c r="P2244" s="116">
        <v>2438.1</v>
      </c>
      <c r="Q2244" s="116">
        <v>2472.1999999999998</v>
      </c>
      <c r="R2244">
        <v>306575</v>
      </c>
    </row>
    <row r="2245" spans="1:18" x14ac:dyDescent="0.25">
      <c r="A2245" s="170">
        <v>45309</v>
      </c>
      <c r="B2245" s="116">
        <v>2494.1</v>
      </c>
      <c r="C2245" s="116">
        <v>2461.75</v>
      </c>
      <c r="D2245" s="116">
        <v>2410.65</v>
      </c>
      <c r="E2245" s="116">
        <v>2494.1</v>
      </c>
      <c r="F2245" s="116">
        <v>2461.75</v>
      </c>
      <c r="G2245">
        <v>2524</v>
      </c>
      <c r="H2245" s="116"/>
      <c r="I2245" s="116"/>
      <c r="L2245" s="170">
        <v>45309</v>
      </c>
      <c r="M2245" s="116">
        <v>2462.5500000000002</v>
      </c>
      <c r="N2245" s="116">
        <v>2479.15</v>
      </c>
      <c r="O2245" s="116">
        <v>2407.25</v>
      </c>
      <c r="P2245" s="116">
        <v>2470</v>
      </c>
      <c r="Q2245" s="116">
        <v>2462.5500000000002</v>
      </c>
      <c r="R2245">
        <v>131306</v>
      </c>
    </row>
    <row r="2246" spans="1:18" x14ac:dyDescent="0.25">
      <c r="A2246" s="170">
        <v>45310</v>
      </c>
      <c r="B2246" s="116">
        <v>2476.85</v>
      </c>
      <c r="C2246" s="116">
        <v>2462.5500000000002</v>
      </c>
      <c r="D2246" s="116">
        <v>2429.25</v>
      </c>
      <c r="E2246" s="116">
        <v>2429.25</v>
      </c>
      <c r="F2246" s="116">
        <v>2462.5500000000002</v>
      </c>
      <c r="G2246">
        <v>1710</v>
      </c>
      <c r="H2246" s="116"/>
      <c r="I2246" s="116"/>
      <c r="L2246" s="170">
        <v>45310</v>
      </c>
      <c r="M2246" s="116">
        <v>2463.85</v>
      </c>
      <c r="N2246" s="116">
        <v>2478</v>
      </c>
      <c r="O2246" s="116">
        <v>2446.5</v>
      </c>
      <c r="P2246" s="116">
        <v>2469.8000000000002</v>
      </c>
      <c r="Q2246" s="116">
        <v>2463.85</v>
      </c>
      <c r="R2246">
        <v>117583</v>
      </c>
    </row>
    <row r="2247" spans="1:18" x14ac:dyDescent="0.25">
      <c r="A2247" s="170">
        <v>45311</v>
      </c>
      <c r="B2247" s="116">
        <v>2539.8000000000002</v>
      </c>
      <c r="C2247" s="116">
        <v>2531.5500000000002</v>
      </c>
      <c r="D2247" s="116">
        <v>2462.5500000000002</v>
      </c>
      <c r="E2247" s="116">
        <v>2462.65</v>
      </c>
      <c r="F2247" s="116">
        <v>2531.5500000000002</v>
      </c>
      <c r="G2247">
        <v>3396</v>
      </c>
      <c r="H2247" s="116"/>
      <c r="I2247" s="116"/>
      <c r="L2247" s="170">
        <v>45311</v>
      </c>
      <c r="M2247" s="116">
        <v>2531.85</v>
      </c>
      <c r="N2247" s="116">
        <v>2540</v>
      </c>
      <c r="O2247" s="116">
        <v>2469.0500000000002</v>
      </c>
      <c r="P2247" s="116">
        <v>2469.5</v>
      </c>
      <c r="Q2247" s="116">
        <v>2531.85</v>
      </c>
      <c r="R2247">
        <v>225132</v>
      </c>
    </row>
    <row r="2248" spans="1:18" x14ac:dyDescent="0.25">
      <c r="A2248" s="170">
        <v>45314</v>
      </c>
      <c r="B2248" s="116">
        <v>2553</v>
      </c>
      <c r="C2248" s="116">
        <v>2492.1</v>
      </c>
      <c r="D2248" s="116">
        <v>2471.1999999999998</v>
      </c>
      <c r="E2248" s="116">
        <v>2531.6</v>
      </c>
      <c r="F2248" s="116">
        <v>2492.1</v>
      </c>
      <c r="G2248">
        <v>7118</v>
      </c>
      <c r="H2248" s="116"/>
      <c r="I2248" s="116"/>
      <c r="L2248" s="170">
        <v>45314</v>
      </c>
      <c r="M2248" s="116">
        <v>2493.35</v>
      </c>
      <c r="N2248" s="116">
        <v>2551.8000000000002</v>
      </c>
      <c r="O2248" s="116">
        <v>2467.35</v>
      </c>
      <c r="P2248" s="116">
        <v>2540</v>
      </c>
      <c r="Q2248" s="116">
        <v>2493.35</v>
      </c>
      <c r="R2248">
        <v>306184</v>
      </c>
    </row>
    <row r="2249" spans="1:18" x14ac:dyDescent="0.25">
      <c r="A2249" s="170">
        <v>45315</v>
      </c>
      <c r="B2249" s="116">
        <v>2515</v>
      </c>
      <c r="C2249" s="116">
        <v>2509.1999999999998</v>
      </c>
      <c r="D2249" s="116">
        <v>2460.6999999999998</v>
      </c>
      <c r="E2249" s="116">
        <v>2460.6999999999998</v>
      </c>
      <c r="F2249" s="116">
        <v>2509.1999999999998</v>
      </c>
      <c r="G2249">
        <v>1541</v>
      </c>
      <c r="H2249" s="116"/>
      <c r="I2249" s="116"/>
      <c r="L2249" s="170">
        <v>45315</v>
      </c>
      <c r="M2249" s="116">
        <v>2507.0500000000002</v>
      </c>
      <c r="N2249" s="116">
        <v>2515.9</v>
      </c>
      <c r="O2249" s="116">
        <v>2475.5500000000002</v>
      </c>
      <c r="P2249" s="116">
        <v>2493.35</v>
      </c>
      <c r="Q2249" s="116">
        <v>2507.0500000000002</v>
      </c>
      <c r="R2249">
        <v>170599</v>
      </c>
    </row>
    <row r="2250" spans="1:18" x14ac:dyDescent="0.25">
      <c r="A2250" s="170">
        <v>45316</v>
      </c>
      <c r="B2250" s="116">
        <v>2510</v>
      </c>
      <c r="C2250" s="116">
        <v>2474.25</v>
      </c>
      <c r="D2250" s="116">
        <v>2458.5500000000002</v>
      </c>
      <c r="E2250" s="116">
        <v>2510</v>
      </c>
      <c r="F2250" s="116">
        <v>2474.25</v>
      </c>
      <c r="G2250">
        <v>532410</v>
      </c>
      <c r="H2250" s="116"/>
      <c r="I2250" s="116"/>
      <c r="L2250" s="170">
        <v>45316</v>
      </c>
      <c r="M2250" s="116">
        <v>2473.4</v>
      </c>
      <c r="N2250" s="116">
        <v>2510.9499999999998</v>
      </c>
      <c r="O2250" s="116">
        <v>2458.5500000000002</v>
      </c>
      <c r="P2250" s="116">
        <v>2510.9499999999998</v>
      </c>
      <c r="Q2250" s="116">
        <v>2473.4</v>
      </c>
      <c r="R2250">
        <v>287050</v>
      </c>
    </row>
    <row r="2251" spans="1:18" x14ac:dyDescent="0.25">
      <c r="A2251" s="170">
        <v>45320</v>
      </c>
      <c r="B2251" s="116">
        <v>2472.25</v>
      </c>
      <c r="C2251" s="116">
        <v>2439.0500000000002</v>
      </c>
      <c r="D2251" s="116">
        <v>2415</v>
      </c>
      <c r="E2251" s="116">
        <v>2472.25</v>
      </c>
      <c r="F2251" s="116">
        <v>2439.0500000000002</v>
      </c>
      <c r="G2251">
        <v>3712</v>
      </c>
      <c r="H2251" s="116"/>
      <c r="I2251" s="116"/>
      <c r="L2251" s="170">
        <v>45320</v>
      </c>
      <c r="M2251" s="116">
        <v>2437.9</v>
      </c>
      <c r="N2251" s="116">
        <v>2484.5500000000002</v>
      </c>
      <c r="O2251" s="116">
        <v>2414</v>
      </c>
      <c r="P2251" s="116">
        <v>2473.4</v>
      </c>
      <c r="Q2251" s="116">
        <v>2437.9</v>
      </c>
      <c r="R2251">
        <v>272821</v>
      </c>
    </row>
    <row r="2252" spans="1:18" x14ac:dyDescent="0.25">
      <c r="A2252" s="170">
        <v>45321</v>
      </c>
      <c r="B2252" s="116">
        <v>2500</v>
      </c>
      <c r="C2252" s="116">
        <v>2471.1</v>
      </c>
      <c r="D2252" s="116">
        <v>2430.15</v>
      </c>
      <c r="E2252" s="116">
        <v>2430.15</v>
      </c>
      <c r="F2252" s="116">
        <v>2471.1</v>
      </c>
      <c r="G2252">
        <v>2841</v>
      </c>
      <c r="H2252" s="116"/>
      <c r="I2252" s="116"/>
      <c r="L2252" s="170">
        <v>45321</v>
      </c>
      <c r="M2252" s="116">
        <v>2473.15</v>
      </c>
      <c r="N2252" s="116">
        <v>2489.8000000000002</v>
      </c>
      <c r="O2252" s="116">
        <v>2441.4499999999998</v>
      </c>
      <c r="P2252" s="116">
        <v>2441.4499999999998</v>
      </c>
      <c r="Q2252" s="116">
        <v>2473.15</v>
      </c>
      <c r="R2252">
        <v>110028</v>
      </c>
    </row>
    <row r="2253" spans="1:18" x14ac:dyDescent="0.25">
      <c r="A2253" s="170">
        <v>45322</v>
      </c>
      <c r="B2253" s="116">
        <v>2538.35</v>
      </c>
      <c r="C2253" s="116">
        <v>2531.65</v>
      </c>
      <c r="D2253" s="116">
        <v>2460.0500000000002</v>
      </c>
      <c r="E2253" s="116">
        <v>2460.0500000000002</v>
      </c>
      <c r="F2253" s="116">
        <v>2531.65</v>
      </c>
      <c r="G2253">
        <v>3270</v>
      </c>
      <c r="H2253" s="116"/>
      <c r="I2253" s="116"/>
      <c r="L2253" s="170">
        <v>45322</v>
      </c>
      <c r="M2253" s="116">
        <v>2531.1</v>
      </c>
      <c r="N2253" s="116">
        <v>2540.25</v>
      </c>
      <c r="O2253" s="116">
        <v>2463</v>
      </c>
      <c r="P2253" s="116">
        <v>2475.4</v>
      </c>
      <c r="Q2253" s="116">
        <v>2531.1</v>
      </c>
      <c r="R2253">
        <v>227428</v>
      </c>
    </row>
    <row r="2254" spans="1:18" x14ac:dyDescent="0.25">
      <c r="A2254" s="170">
        <v>45323</v>
      </c>
      <c r="B2254" s="116">
        <v>2540.65</v>
      </c>
      <c r="C2254" s="116">
        <v>2511.8000000000002</v>
      </c>
      <c r="D2254" s="116">
        <v>2487.35</v>
      </c>
      <c r="E2254" s="116">
        <v>2540.65</v>
      </c>
      <c r="F2254" s="116">
        <v>2511.8000000000002</v>
      </c>
      <c r="G2254">
        <v>2996</v>
      </c>
      <c r="H2254" s="116"/>
      <c r="I2254" s="116"/>
      <c r="L2254" s="170">
        <v>45323</v>
      </c>
      <c r="M2254" s="116">
        <v>2512.5</v>
      </c>
      <c r="N2254" s="116">
        <v>2537.5500000000002</v>
      </c>
      <c r="O2254" s="116">
        <v>2487.15</v>
      </c>
      <c r="P2254" s="116">
        <v>2537.5</v>
      </c>
      <c r="Q2254" s="116">
        <v>2512.5</v>
      </c>
      <c r="R2254">
        <v>136887</v>
      </c>
    </row>
    <row r="2255" spans="1:18" x14ac:dyDescent="0.25">
      <c r="A2255" s="170">
        <v>45324</v>
      </c>
      <c r="B2255" s="116">
        <v>2575</v>
      </c>
      <c r="C2255" s="116">
        <v>2524.6999999999998</v>
      </c>
      <c r="D2255" s="116">
        <v>2481.15</v>
      </c>
      <c r="E2255" s="116">
        <v>2512.9499999999998</v>
      </c>
      <c r="F2255" s="116">
        <v>2524.6999999999998</v>
      </c>
      <c r="G2255">
        <v>13088</v>
      </c>
      <c r="H2255" s="116"/>
      <c r="I2255" s="116"/>
      <c r="L2255" s="170">
        <v>45324</v>
      </c>
      <c r="M2255" s="116">
        <v>2525.65</v>
      </c>
      <c r="N2255" s="116">
        <v>2576</v>
      </c>
      <c r="O2255" s="116">
        <v>2480.65</v>
      </c>
      <c r="P2255" s="116">
        <v>2520</v>
      </c>
      <c r="Q2255" s="116">
        <v>2525.65</v>
      </c>
      <c r="R2255">
        <v>456411</v>
      </c>
    </row>
    <row r="2256" spans="1:18" x14ac:dyDescent="0.25">
      <c r="A2256" s="170">
        <v>45327</v>
      </c>
      <c r="B2256" s="116">
        <v>2681</v>
      </c>
      <c r="C2256" s="116">
        <v>2643.25</v>
      </c>
      <c r="D2256" s="116">
        <v>2543.0500000000002</v>
      </c>
      <c r="E2256" s="116">
        <v>2555.1</v>
      </c>
      <c r="F2256" s="116">
        <v>2643.25</v>
      </c>
      <c r="G2256">
        <v>13556</v>
      </c>
      <c r="H2256" s="116"/>
      <c r="I2256" s="116"/>
      <c r="L2256" s="170">
        <v>45327</v>
      </c>
      <c r="M2256" s="116">
        <v>2643.7</v>
      </c>
      <c r="N2256" s="116">
        <v>2685</v>
      </c>
      <c r="O2256" s="116">
        <v>2540.0500000000002</v>
      </c>
      <c r="P2256" s="116">
        <v>2580</v>
      </c>
      <c r="Q2256" s="116">
        <v>2643.7</v>
      </c>
      <c r="R2256">
        <v>588737</v>
      </c>
    </row>
    <row r="2257" spans="1:18" x14ac:dyDescent="0.25">
      <c r="A2257" s="170">
        <v>45328</v>
      </c>
      <c r="B2257" s="116">
        <v>2642.55</v>
      </c>
      <c r="C2257" s="116">
        <v>2612.0500000000002</v>
      </c>
      <c r="D2257" s="116">
        <v>2584.0500000000002</v>
      </c>
      <c r="E2257" s="116">
        <v>2642.55</v>
      </c>
      <c r="F2257" s="116">
        <v>2612.0500000000002</v>
      </c>
      <c r="G2257">
        <v>2351</v>
      </c>
      <c r="H2257" s="116"/>
      <c r="I2257" s="116"/>
      <c r="L2257" s="170">
        <v>45328</v>
      </c>
      <c r="M2257" s="116">
        <v>2610.75</v>
      </c>
      <c r="N2257" s="116">
        <v>2642</v>
      </c>
      <c r="O2257" s="116">
        <v>2581</v>
      </c>
      <c r="P2257" s="116">
        <v>2636</v>
      </c>
      <c r="Q2257" s="116">
        <v>2610.75</v>
      </c>
      <c r="R2257">
        <v>234980</v>
      </c>
    </row>
    <row r="2258" spans="1:18" x14ac:dyDescent="0.25">
      <c r="A2258" s="170">
        <v>45329</v>
      </c>
      <c r="B2258" s="116">
        <v>2699.95</v>
      </c>
      <c r="C2258" s="116">
        <v>2647.6</v>
      </c>
      <c r="D2258" s="116">
        <v>2615.35</v>
      </c>
      <c r="E2258" s="116">
        <v>2622.1</v>
      </c>
      <c r="F2258" s="116">
        <v>2647.6</v>
      </c>
      <c r="G2258">
        <v>7208</v>
      </c>
      <c r="H2258" s="116"/>
      <c r="I2258" s="116"/>
      <c r="L2258" s="170">
        <v>45329</v>
      </c>
      <c r="M2258" s="116">
        <v>2649.35</v>
      </c>
      <c r="N2258" s="116">
        <v>2700</v>
      </c>
      <c r="O2258" s="116">
        <v>2612.0500000000002</v>
      </c>
      <c r="P2258" s="116">
        <v>2634.4</v>
      </c>
      <c r="Q2258" s="116">
        <v>2649.35</v>
      </c>
      <c r="R2258">
        <v>376095</v>
      </c>
    </row>
    <row r="2259" spans="1:18" x14ac:dyDescent="0.25">
      <c r="A2259" s="170">
        <v>45330</v>
      </c>
      <c r="B2259" s="116">
        <v>2680.05</v>
      </c>
      <c r="C2259" s="116">
        <v>2648.45</v>
      </c>
      <c r="D2259" s="116">
        <v>2636.9</v>
      </c>
      <c r="E2259" s="116">
        <v>2648</v>
      </c>
      <c r="F2259" s="116">
        <v>2648.45</v>
      </c>
      <c r="G2259">
        <v>2503</v>
      </c>
      <c r="H2259" s="116"/>
      <c r="I2259" s="116"/>
      <c r="L2259" s="170">
        <v>45330</v>
      </c>
      <c r="M2259" s="116">
        <v>2645.9</v>
      </c>
      <c r="N2259" s="116">
        <v>2679.15</v>
      </c>
      <c r="O2259" s="116">
        <v>2635.4</v>
      </c>
      <c r="P2259" s="116">
        <v>2650.45</v>
      </c>
      <c r="Q2259" s="116">
        <v>2645.9</v>
      </c>
      <c r="R2259">
        <v>167199</v>
      </c>
    </row>
    <row r="2260" spans="1:18" x14ac:dyDescent="0.25">
      <c r="A2260" s="170">
        <v>45331</v>
      </c>
      <c r="B2260" s="116">
        <v>2671.6</v>
      </c>
      <c r="C2260" s="116">
        <v>2657.25</v>
      </c>
      <c r="D2260" s="116">
        <v>2601.0500000000002</v>
      </c>
      <c r="E2260" s="116">
        <v>2601.0500000000002</v>
      </c>
      <c r="F2260" s="116">
        <v>2657.25</v>
      </c>
      <c r="G2260">
        <v>4160</v>
      </c>
      <c r="H2260" s="116"/>
      <c r="I2260" s="116"/>
      <c r="L2260" s="170">
        <v>45331</v>
      </c>
      <c r="M2260" s="116">
        <v>2657.35</v>
      </c>
      <c r="N2260" s="116">
        <v>2673</v>
      </c>
      <c r="O2260" s="116">
        <v>2615.65</v>
      </c>
      <c r="P2260" s="116">
        <v>2638.8</v>
      </c>
      <c r="Q2260" s="116">
        <v>2657.35</v>
      </c>
      <c r="R2260">
        <v>95974</v>
      </c>
    </row>
    <row r="2261" spans="1:18" x14ac:dyDescent="0.25">
      <c r="A2261" s="170">
        <v>45334</v>
      </c>
      <c r="B2261" s="116">
        <v>2656.4</v>
      </c>
      <c r="C2261" s="116">
        <v>2620.4</v>
      </c>
      <c r="D2261" s="116">
        <v>2603.6</v>
      </c>
      <c r="E2261" s="116">
        <v>2656.4</v>
      </c>
      <c r="F2261" s="116">
        <v>2620.4</v>
      </c>
      <c r="G2261">
        <v>1937</v>
      </c>
      <c r="H2261" s="116"/>
      <c r="I2261" s="116"/>
      <c r="L2261" s="170">
        <v>45334</v>
      </c>
      <c r="M2261" s="116">
        <v>2619.65</v>
      </c>
      <c r="N2261" s="116">
        <v>2655.8</v>
      </c>
      <c r="O2261" s="116">
        <v>2604.6</v>
      </c>
      <c r="P2261" s="116">
        <v>2650.95</v>
      </c>
      <c r="Q2261" s="116">
        <v>2619.65</v>
      </c>
      <c r="R2261">
        <v>96224</v>
      </c>
    </row>
    <row r="2262" spans="1:18" x14ac:dyDescent="0.25">
      <c r="A2262" s="170">
        <v>45335</v>
      </c>
      <c r="B2262" s="116">
        <v>2632.45</v>
      </c>
      <c r="C2262" s="116">
        <v>2622.05</v>
      </c>
      <c r="D2262" s="116">
        <v>2589</v>
      </c>
      <c r="E2262" s="116">
        <v>2615</v>
      </c>
      <c r="F2262" s="116">
        <v>2622.05</v>
      </c>
      <c r="G2262">
        <v>2099</v>
      </c>
      <c r="H2262" s="116"/>
      <c r="I2262" s="116"/>
      <c r="L2262" s="170">
        <v>45335</v>
      </c>
      <c r="M2262" s="116">
        <v>2621.75</v>
      </c>
      <c r="N2262" s="116">
        <v>2633.35</v>
      </c>
      <c r="O2262" s="116">
        <v>2609</v>
      </c>
      <c r="P2262" s="116">
        <v>2627.05</v>
      </c>
      <c r="Q2262" s="116">
        <v>2621.75</v>
      </c>
      <c r="R2262">
        <v>137215</v>
      </c>
    </row>
    <row r="2263" spans="1:18" x14ac:dyDescent="0.25">
      <c r="A2263" s="170">
        <v>45336</v>
      </c>
      <c r="B2263" s="116">
        <v>2624.85</v>
      </c>
      <c r="C2263" s="116">
        <v>2606.3000000000002</v>
      </c>
      <c r="D2263" s="116">
        <v>2576.3000000000002</v>
      </c>
      <c r="E2263" s="116">
        <v>2624.85</v>
      </c>
      <c r="F2263" s="116">
        <v>2606.3000000000002</v>
      </c>
      <c r="G2263">
        <v>3412</v>
      </c>
      <c r="H2263" s="116"/>
      <c r="I2263" s="116"/>
      <c r="L2263" s="170">
        <v>45336</v>
      </c>
      <c r="M2263" s="116">
        <v>2604.25</v>
      </c>
      <c r="N2263" s="116">
        <v>2619.1</v>
      </c>
      <c r="O2263" s="116">
        <v>2575</v>
      </c>
      <c r="P2263" s="116">
        <v>2614</v>
      </c>
      <c r="Q2263" s="116">
        <v>2604.25</v>
      </c>
      <c r="R2263">
        <v>179312</v>
      </c>
    </row>
    <row r="2264" spans="1:18" x14ac:dyDescent="0.25">
      <c r="A2264" s="170">
        <v>45337</v>
      </c>
      <c r="B2264" s="116">
        <v>2615.35</v>
      </c>
      <c r="C2264" s="116">
        <v>2577.65</v>
      </c>
      <c r="D2264" s="116">
        <v>2567</v>
      </c>
      <c r="E2264" s="116">
        <v>2611.6999999999998</v>
      </c>
      <c r="F2264" s="116">
        <v>2577.65</v>
      </c>
      <c r="G2264">
        <v>3320</v>
      </c>
      <c r="H2264" s="116"/>
      <c r="I2264" s="116"/>
      <c r="L2264" s="170">
        <v>45337</v>
      </c>
      <c r="M2264" s="116">
        <v>2577.85</v>
      </c>
      <c r="N2264" s="116">
        <v>2617.85</v>
      </c>
      <c r="O2264" s="116">
        <v>2566.4499999999998</v>
      </c>
      <c r="P2264" s="116">
        <v>2614.9</v>
      </c>
      <c r="Q2264" s="116">
        <v>2577.85</v>
      </c>
      <c r="R2264">
        <v>110816</v>
      </c>
    </row>
    <row r="2265" spans="1:18" x14ac:dyDescent="0.25">
      <c r="A2265" s="170">
        <v>45338</v>
      </c>
      <c r="B2265" s="116">
        <v>2649.95</v>
      </c>
      <c r="C2265" s="116">
        <v>2640.65</v>
      </c>
      <c r="D2265" s="116">
        <v>2581.5500000000002</v>
      </c>
      <c r="E2265" s="116">
        <v>2602.15</v>
      </c>
      <c r="F2265" s="116">
        <v>2640.65</v>
      </c>
      <c r="G2265">
        <v>2215</v>
      </c>
      <c r="H2265" s="116"/>
      <c r="I2265" s="116"/>
      <c r="L2265" s="170">
        <v>45338</v>
      </c>
      <c r="M2265" s="116">
        <v>2639.45</v>
      </c>
      <c r="N2265" s="116">
        <v>2648.55</v>
      </c>
      <c r="O2265" s="116">
        <v>2579.0500000000002</v>
      </c>
      <c r="P2265" s="116">
        <v>2599</v>
      </c>
      <c r="Q2265" s="116">
        <v>2639.45</v>
      </c>
      <c r="R2265">
        <v>179212</v>
      </c>
    </row>
    <row r="2266" spans="1:18" x14ac:dyDescent="0.25">
      <c r="A2266" s="170">
        <v>45341</v>
      </c>
      <c r="B2266" s="116">
        <v>2653.75</v>
      </c>
      <c r="C2266" s="116">
        <v>2614.85</v>
      </c>
      <c r="D2266" s="116">
        <v>2594.4</v>
      </c>
      <c r="E2266" s="116">
        <v>2641</v>
      </c>
      <c r="F2266" s="116">
        <v>2614.85</v>
      </c>
      <c r="G2266">
        <v>2855</v>
      </c>
      <c r="H2266" s="116"/>
      <c r="I2266" s="116"/>
      <c r="L2266" s="170">
        <v>45341</v>
      </c>
      <c r="M2266" s="116">
        <v>2615</v>
      </c>
      <c r="N2266" s="116">
        <v>2655</v>
      </c>
      <c r="O2266" s="116">
        <v>2595.3000000000002</v>
      </c>
      <c r="P2266" s="116">
        <v>2639.45</v>
      </c>
      <c r="Q2266" s="116">
        <v>2615</v>
      </c>
      <c r="R2266">
        <v>248087</v>
      </c>
    </row>
    <row r="2267" spans="1:18" x14ac:dyDescent="0.25">
      <c r="A2267" s="170">
        <v>45342</v>
      </c>
      <c r="B2267" s="116">
        <v>2651.35</v>
      </c>
      <c r="C2267" s="116">
        <v>2643.9</v>
      </c>
      <c r="D2267" s="116">
        <v>2611.9</v>
      </c>
      <c r="E2267" s="116">
        <v>2614.4499999999998</v>
      </c>
      <c r="F2267" s="116">
        <v>2643.9</v>
      </c>
      <c r="G2267">
        <v>3187</v>
      </c>
      <c r="H2267" s="116"/>
      <c r="I2267" s="116"/>
      <c r="L2267" s="170">
        <v>45342</v>
      </c>
      <c r="M2267" s="116">
        <v>2644.65</v>
      </c>
      <c r="N2267" s="116">
        <v>2655</v>
      </c>
      <c r="O2267" s="116">
        <v>2609.35</v>
      </c>
      <c r="P2267" s="116">
        <v>2614</v>
      </c>
      <c r="Q2267" s="116">
        <v>2644.65</v>
      </c>
      <c r="R2267">
        <v>191515</v>
      </c>
    </row>
    <row r="2268" spans="1:18" x14ac:dyDescent="0.25">
      <c r="A2268" s="170">
        <v>45343</v>
      </c>
      <c r="B2268" s="116">
        <v>2665.95</v>
      </c>
      <c r="C2268" s="116">
        <v>2601.4</v>
      </c>
      <c r="D2268" s="116">
        <v>2593.75</v>
      </c>
      <c r="E2268" s="116">
        <v>2617.35</v>
      </c>
      <c r="F2268" s="116">
        <v>2601.4</v>
      </c>
      <c r="G2268">
        <v>1952</v>
      </c>
      <c r="H2268" s="116"/>
      <c r="I2268" s="116"/>
      <c r="L2268" s="170">
        <v>45343</v>
      </c>
      <c r="M2268" s="116">
        <v>2603</v>
      </c>
      <c r="N2268" s="116">
        <v>2668.25</v>
      </c>
      <c r="O2268" s="116">
        <v>2591.4499999999998</v>
      </c>
      <c r="P2268" s="116">
        <v>2644.65</v>
      </c>
      <c r="Q2268" s="116">
        <v>2603</v>
      </c>
      <c r="R2268">
        <v>232279</v>
      </c>
    </row>
    <row r="2269" spans="1:18" x14ac:dyDescent="0.25">
      <c r="A2269" s="170">
        <v>45344</v>
      </c>
      <c r="B2269" s="116">
        <v>2619.9</v>
      </c>
      <c r="C2269" s="116">
        <v>2608.85</v>
      </c>
      <c r="D2269" s="116">
        <v>2579</v>
      </c>
      <c r="E2269" s="116">
        <v>2599.4</v>
      </c>
      <c r="F2269" s="116">
        <v>2608.85</v>
      </c>
      <c r="G2269">
        <v>1153</v>
      </c>
      <c r="H2269" s="116"/>
      <c r="I2269" s="116"/>
      <c r="L2269" s="170">
        <v>45344</v>
      </c>
      <c r="M2269" s="116">
        <v>2608</v>
      </c>
      <c r="N2269" s="116">
        <v>2623.85</v>
      </c>
      <c r="O2269" s="116">
        <v>2576.1</v>
      </c>
      <c r="P2269" s="116">
        <v>2603</v>
      </c>
      <c r="Q2269" s="116">
        <v>2608</v>
      </c>
      <c r="R2269">
        <v>169732</v>
      </c>
    </row>
    <row r="2270" spans="1:18" x14ac:dyDescent="0.25">
      <c r="A2270" s="170">
        <v>45345</v>
      </c>
      <c r="B2270" s="116">
        <v>2653.45</v>
      </c>
      <c r="C2270" s="116">
        <v>2627.1</v>
      </c>
      <c r="D2270" s="116">
        <v>2601.4499999999998</v>
      </c>
      <c r="E2270" s="116">
        <v>2653.45</v>
      </c>
      <c r="F2270" s="116">
        <v>2627.1</v>
      </c>
      <c r="G2270">
        <v>1650</v>
      </c>
      <c r="H2270" s="116"/>
      <c r="I2270" s="116"/>
      <c r="L2270" s="170">
        <v>45345</v>
      </c>
      <c r="M2270" s="116">
        <v>2626.95</v>
      </c>
      <c r="N2270" s="116">
        <v>2638.6</v>
      </c>
      <c r="O2270" s="116">
        <v>2598.1</v>
      </c>
      <c r="P2270" s="116">
        <v>2610</v>
      </c>
      <c r="Q2270" s="116">
        <v>2626.95</v>
      </c>
      <c r="R2270">
        <v>184936</v>
      </c>
    </row>
    <row r="2271" spans="1:18" x14ac:dyDescent="0.25">
      <c r="A2271" s="170">
        <v>45348</v>
      </c>
      <c r="B2271" s="116">
        <v>2643.2</v>
      </c>
      <c r="C2271" s="116">
        <v>2622.85</v>
      </c>
      <c r="D2271" s="116">
        <v>2613.4</v>
      </c>
      <c r="E2271" s="116">
        <v>2627.6</v>
      </c>
      <c r="F2271" s="116">
        <v>2622.85</v>
      </c>
      <c r="G2271">
        <v>2980</v>
      </c>
      <c r="H2271" s="116"/>
      <c r="I2271" s="116"/>
      <c r="L2271" s="170">
        <v>45348</v>
      </c>
      <c r="M2271" s="116">
        <v>2624.1</v>
      </c>
      <c r="N2271" s="116">
        <v>2643.9</v>
      </c>
      <c r="O2271" s="116">
        <v>2611.1</v>
      </c>
      <c r="P2271" s="116">
        <v>2626.95</v>
      </c>
      <c r="Q2271" s="116">
        <v>2624.1</v>
      </c>
      <c r="R2271">
        <v>72375</v>
      </c>
    </row>
    <row r="2272" spans="1:18" x14ac:dyDescent="0.25">
      <c r="A2272" s="170">
        <v>45349</v>
      </c>
      <c r="B2272" s="116">
        <v>2643.25</v>
      </c>
      <c r="C2272" s="116">
        <v>2624.45</v>
      </c>
      <c r="D2272" s="116">
        <v>2609.25</v>
      </c>
      <c r="E2272" s="116">
        <v>2615</v>
      </c>
      <c r="F2272" s="116">
        <v>2624.45</v>
      </c>
      <c r="G2272">
        <v>759</v>
      </c>
      <c r="H2272" s="116"/>
      <c r="I2272" s="116"/>
      <c r="L2272" s="170">
        <v>45349</v>
      </c>
      <c r="M2272" s="116">
        <v>2625.95</v>
      </c>
      <c r="N2272" s="116">
        <v>2644.75</v>
      </c>
      <c r="O2272" s="116">
        <v>2606.6999999999998</v>
      </c>
      <c r="P2272" s="116">
        <v>2624.05</v>
      </c>
      <c r="Q2272" s="116">
        <v>2625.95</v>
      </c>
      <c r="R2272">
        <v>107979</v>
      </c>
    </row>
    <row r="2273" spans="1:18" x14ac:dyDescent="0.25">
      <c r="A2273" s="170">
        <v>45350</v>
      </c>
      <c r="B2273" s="116">
        <v>2659.1</v>
      </c>
      <c r="C2273" s="116">
        <v>2609.0500000000002</v>
      </c>
      <c r="D2273" s="116">
        <v>2593</v>
      </c>
      <c r="E2273" s="116">
        <v>2649.95</v>
      </c>
      <c r="F2273" s="116">
        <v>2609.0500000000002</v>
      </c>
      <c r="G2273">
        <v>735</v>
      </c>
      <c r="H2273" s="116"/>
      <c r="I2273" s="116"/>
      <c r="L2273" s="170">
        <v>45350</v>
      </c>
      <c r="M2273" s="116">
        <v>2613.1</v>
      </c>
      <c r="N2273" s="116">
        <v>2657.95</v>
      </c>
      <c r="O2273" s="116">
        <v>2593.4</v>
      </c>
      <c r="P2273" s="116">
        <v>2632.45</v>
      </c>
      <c r="Q2273" s="116">
        <v>2613.1</v>
      </c>
      <c r="R2273">
        <v>89697</v>
      </c>
    </row>
    <row r="2274" spans="1:18" x14ac:dyDescent="0.25">
      <c r="A2274" s="170">
        <v>45351</v>
      </c>
      <c r="B2274" s="116">
        <v>2675</v>
      </c>
      <c r="C2274" s="116">
        <v>2664.45</v>
      </c>
      <c r="D2274" s="116">
        <v>2588.8000000000002</v>
      </c>
      <c r="E2274" s="116">
        <v>2592.0500000000002</v>
      </c>
      <c r="F2274" s="116">
        <v>2664.45</v>
      </c>
      <c r="G2274">
        <v>3502</v>
      </c>
      <c r="H2274" s="116"/>
      <c r="I2274" s="116"/>
      <c r="L2274" s="170">
        <v>45351</v>
      </c>
      <c r="M2274" s="116">
        <v>2666.1</v>
      </c>
      <c r="N2274" s="116">
        <v>2675</v>
      </c>
      <c r="O2274" s="116">
        <v>2586.65</v>
      </c>
      <c r="P2274" s="116">
        <v>2614.15</v>
      </c>
      <c r="Q2274" s="116">
        <v>2666.1</v>
      </c>
      <c r="R2274">
        <v>470994</v>
      </c>
    </row>
    <row r="2275" spans="1:18" x14ac:dyDescent="0.25">
      <c r="A2275" s="170">
        <v>45352</v>
      </c>
      <c r="B2275" s="116">
        <v>2721.85</v>
      </c>
      <c r="C2275" s="116">
        <v>2666.75</v>
      </c>
      <c r="D2275" s="116">
        <v>2657.3</v>
      </c>
      <c r="E2275" s="116">
        <v>2717.75</v>
      </c>
      <c r="F2275" s="116">
        <v>2666.75</v>
      </c>
      <c r="G2275">
        <v>6452</v>
      </c>
      <c r="H2275" s="116"/>
      <c r="I2275" s="116"/>
      <c r="L2275" s="170">
        <v>45352</v>
      </c>
      <c r="M2275" s="116">
        <v>2668.65</v>
      </c>
      <c r="N2275" s="116">
        <v>2723.95</v>
      </c>
      <c r="O2275" s="116">
        <v>2658.05</v>
      </c>
      <c r="P2275" s="116">
        <v>2686.1</v>
      </c>
      <c r="Q2275" s="116">
        <v>2668.65</v>
      </c>
      <c r="R2275">
        <v>435032</v>
      </c>
    </row>
    <row r="2276" spans="1:18" x14ac:dyDescent="0.25">
      <c r="A2276" s="170">
        <v>45353</v>
      </c>
      <c r="B2276" s="116">
        <v>2720.05</v>
      </c>
      <c r="C2276" s="116">
        <v>2696.85</v>
      </c>
      <c r="D2276" s="116">
        <v>2664.65</v>
      </c>
      <c r="E2276" s="116">
        <v>2720.05</v>
      </c>
      <c r="F2276" s="116">
        <v>2696.85</v>
      </c>
      <c r="G2276">
        <v>135</v>
      </c>
      <c r="H2276" s="116"/>
      <c r="I2276" s="116"/>
      <c r="L2276" s="170">
        <v>45353</v>
      </c>
      <c r="M2276" s="116">
        <v>2691.5</v>
      </c>
      <c r="N2276" s="116">
        <v>2703.45</v>
      </c>
      <c r="O2276" s="116">
        <v>2655.45</v>
      </c>
      <c r="P2276" s="116">
        <v>2689.95</v>
      </c>
      <c r="Q2276" s="116">
        <v>2691.5</v>
      </c>
      <c r="R2276">
        <v>9800</v>
      </c>
    </row>
    <row r="2277" spans="1:18" x14ac:dyDescent="0.25">
      <c r="A2277" s="170">
        <v>45355</v>
      </c>
      <c r="B2277" s="116">
        <v>2733.35</v>
      </c>
      <c r="C2277" s="116">
        <v>2689.9</v>
      </c>
      <c r="D2277" s="116">
        <v>2675.4</v>
      </c>
      <c r="E2277" s="116">
        <v>2675.4</v>
      </c>
      <c r="F2277" s="116">
        <v>2689.9</v>
      </c>
      <c r="G2277">
        <v>5858</v>
      </c>
      <c r="H2277" s="116"/>
      <c r="I2277" s="116"/>
      <c r="L2277" s="170">
        <v>45355</v>
      </c>
      <c r="M2277" s="116">
        <v>2690.85</v>
      </c>
      <c r="N2277" s="116">
        <v>2733</v>
      </c>
      <c r="O2277" s="116">
        <v>2681.55</v>
      </c>
      <c r="P2277" s="116">
        <v>2699.55</v>
      </c>
      <c r="Q2277" s="116">
        <v>2690.85</v>
      </c>
      <c r="R2277">
        <v>239363</v>
      </c>
    </row>
    <row r="2278" spans="1:18" x14ac:dyDescent="0.25">
      <c r="A2278" s="170">
        <v>45356</v>
      </c>
      <c r="B2278" s="116">
        <v>2729.75</v>
      </c>
      <c r="C2278" s="116">
        <v>2662.2</v>
      </c>
      <c r="D2278" s="116">
        <v>2649.65</v>
      </c>
      <c r="E2278" s="116">
        <v>2729.75</v>
      </c>
      <c r="F2278" s="116">
        <v>2662.2</v>
      </c>
      <c r="G2278">
        <v>860</v>
      </c>
      <c r="H2278" s="116"/>
      <c r="I2278" s="116"/>
      <c r="L2278" s="170">
        <v>45356</v>
      </c>
      <c r="M2278" s="116">
        <v>2661.95</v>
      </c>
      <c r="N2278" s="116">
        <v>2699</v>
      </c>
      <c r="O2278" s="116">
        <v>2648.25</v>
      </c>
      <c r="P2278" s="116">
        <v>2690.85</v>
      </c>
      <c r="Q2278" s="116">
        <v>2661.95</v>
      </c>
      <c r="R2278">
        <v>199888</v>
      </c>
    </row>
    <row r="2279" spans="1:18" x14ac:dyDescent="0.25">
      <c r="A2279" s="170">
        <v>45357</v>
      </c>
      <c r="B2279" s="116">
        <v>2745.55</v>
      </c>
      <c r="C2279" s="116">
        <v>2694.4</v>
      </c>
      <c r="D2279" s="116">
        <v>2644.85</v>
      </c>
      <c r="E2279" s="116">
        <v>2670.3</v>
      </c>
      <c r="F2279" s="116">
        <v>2694.4</v>
      </c>
      <c r="G2279">
        <v>14236</v>
      </c>
      <c r="H2279" s="116"/>
      <c r="I2279" s="116"/>
      <c r="L2279" s="170">
        <v>45357</v>
      </c>
      <c r="M2279" s="116">
        <v>2691.2</v>
      </c>
      <c r="N2279" s="116">
        <v>2742.6</v>
      </c>
      <c r="O2279" s="116">
        <v>2642.4</v>
      </c>
      <c r="P2279" s="116">
        <v>2684</v>
      </c>
      <c r="Q2279" s="116">
        <v>2691.2</v>
      </c>
      <c r="R2279">
        <v>538870</v>
      </c>
    </row>
    <row r="2280" spans="1:18" x14ac:dyDescent="0.25">
      <c r="A2280" s="170">
        <v>45358</v>
      </c>
      <c r="B2280" s="116">
        <v>2681.85</v>
      </c>
      <c r="C2280" s="116">
        <v>2663.4</v>
      </c>
      <c r="D2280" s="116">
        <v>2645.6</v>
      </c>
      <c r="E2280" s="116">
        <v>2671.9</v>
      </c>
      <c r="F2280" s="116">
        <v>2663.4</v>
      </c>
      <c r="G2280">
        <v>3458</v>
      </c>
      <c r="H2280" s="116"/>
      <c r="I2280" s="116"/>
      <c r="L2280" s="170">
        <v>45358</v>
      </c>
      <c r="M2280" s="116">
        <v>2664.8</v>
      </c>
      <c r="N2280" s="116">
        <v>2693.85</v>
      </c>
      <c r="O2280" s="116">
        <v>2645</v>
      </c>
      <c r="P2280" s="116">
        <v>2685.5</v>
      </c>
      <c r="Q2280" s="116">
        <v>2664.8</v>
      </c>
      <c r="R2280">
        <v>414029</v>
      </c>
    </row>
    <row r="2281" spans="1:18" x14ac:dyDescent="0.25">
      <c r="A2281" s="170">
        <v>45362</v>
      </c>
      <c r="B2281" s="116">
        <v>2743.55</v>
      </c>
      <c r="C2281" s="116">
        <v>2697</v>
      </c>
      <c r="D2281" s="116">
        <v>2668.5</v>
      </c>
      <c r="E2281" s="116">
        <v>2716.35</v>
      </c>
      <c r="F2281" s="116">
        <v>2697</v>
      </c>
      <c r="G2281">
        <v>3986</v>
      </c>
      <c r="H2281" s="116"/>
      <c r="I2281" s="116"/>
      <c r="L2281" s="170">
        <v>45362</v>
      </c>
      <c r="M2281" s="116">
        <v>2697.8</v>
      </c>
      <c r="N2281" s="116">
        <v>2744</v>
      </c>
      <c r="O2281" s="116">
        <v>2664.8</v>
      </c>
      <c r="P2281" s="116">
        <v>2691.35</v>
      </c>
      <c r="Q2281" s="116">
        <v>2697.8</v>
      </c>
      <c r="R2281">
        <v>375130</v>
      </c>
    </row>
    <row r="2282" spans="1:18" x14ac:dyDescent="0.25">
      <c r="A2282" s="170">
        <v>45363</v>
      </c>
      <c r="B2282" s="116">
        <v>2705</v>
      </c>
      <c r="C2282" s="116">
        <v>2674.85</v>
      </c>
      <c r="D2282" s="116">
        <v>2657.2</v>
      </c>
      <c r="E2282" s="116">
        <v>2664.45</v>
      </c>
      <c r="F2282" s="116">
        <v>2674.85</v>
      </c>
      <c r="G2282">
        <v>1418</v>
      </c>
      <c r="H2282" s="116"/>
      <c r="I2282" s="116"/>
      <c r="L2282" s="170">
        <v>45363</v>
      </c>
      <c r="M2282" s="116">
        <v>2673.95</v>
      </c>
      <c r="N2282" s="116">
        <v>2711.95</v>
      </c>
      <c r="O2282" s="116">
        <v>2655.05</v>
      </c>
      <c r="P2282" s="116">
        <v>2697.8</v>
      </c>
      <c r="Q2282" s="116">
        <v>2673.95</v>
      </c>
      <c r="R2282">
        <v>136884</v>
      </c>
    </row>
    <row r="2283" spans="1:18" x14ac:dyDescent="0.25">
      <c r="A2283" s="170">
        <v>45364</v>
      </c>
      <c r="B2283" s="116">
        <v>2691.4</v>
      </c>
      <c r="C2283" s="116">
        <v>2664.05</v>
      </c>
      <c r="D2283" s="116">
        <v>2621.65</v>
      </c>
      <c r="E2283" s="116">
        <v>2621.65</v>
      </c>
      <c r="F2283" s="116">
        <v>2664.05</v>
      </c>
      <c r="G2283">
        <v>8798</v>
      </c>
      <c r="H2283" s="116"/>
      <c r="I2283" s="116"/>
      <c r="L2283" s="170">
        <v>45364</v>
      </c>
      <c r="M2283" s="116">
        <v>2663.95</v>
      </c>
      <c r="N2283" s="116">
        <v>2690.45</v>
      </c>
      <c r="O2283" s="116">
        <v>2638.95</v>
      </c>
      <c r="P2283" s="116">
        <v>2678.3</v>
      </c>
      <c r="Q2283" s="116">
        <v>2663.95</v>
      </c>
      <c r="R2283">
        <v>413261</v>
      </c>
    </row>
    <row r="2284" spans="1:18" x14ac:dyDescent="0.25">
      <c r="A2284" s="170">
        <v>45365</v>
      </c>
      <c r="B2284" s="116">
        <v>2726.8</v>
      </c>
      <c r="C2284" s="116">
        <v>2696.75</v>
      </c>
      <c r="D2284" s="116">
        <v>2612.25</v>
      </c>
      <c r="E2284" s="116">
        <v>2612.25</v>
      </c>
      <c r="F2284" s="116">
        <v>2696.75</v>
      </c>
      <c r="G2284">
        <v>7264</v>
      </c>
      <c r="H2284" s="116"/>
      <c r="I2284" s="116"/>
      <c r="L2284" s="170">
        <v>45365</v>
      </c>
      <c r="M2284" s="116">
        <v>2690.4</v>
      </c>
      <c r="N2284" s="116">
        <v>2731</v>
      </c>
      <c r="O2284" s="116">
        <v>2643.05</v>
      </c>
      <c r="P2284" s="116">
        <v>2652</v>
      </c>
      <c r="Q2284" s="116">
        <v>2690.4</v>
      </c>
      <c r="R2284">
        <v>566479</v>
      </c>
    </row>
    <row r="2285" spans="1:18" x14ac:dyDescent="0.25">
      <c r="A2285" s="170">
        <v>45366</v>
      </c>
      <c r="B2285" s="116">
        <v>2709.8</v>
      </c>
      <c r="C2285" s="116">
        <v>2588.15</v>
      </c>
      <c r="D2285" s="116">
        <v>2575.1</v>
      </c>
      <c r="E2285" s="116">
        <v>2702.9</v>
      </c>
      <c r="F2285" s="116">
        <v>2588.15</v>
      </c>
      <c r="G2285">
        <v>22165</v>
      </c>
      <c r="H2285" s="116"/>
      <c r="I2285" s="116"/>
      <c r="L2285" s="170">
        <v>45366</v>
      </c>
      <c r="M2285" s="116">
        <v>2594.4499999999998</v>
      </c>
      <c r="N2285" s="116">
        <v>2711.1</v>
      </c>
      <c r="O2285" s="116">
        <v>2577</v>
      </c>
      <c r="P2285" s="116">
        <v>2711.1</v>
      </c>
      <c r="Q2285" s="116">
        <v>2594.4499999999998</v>
      </c>
      <c r="R2285">
        <v>493248</v>
      </c>
    </row>
    <row r="2286" spans="1:18" x14ac:dyDescent="0.25">
      <c r="A2286" s="170">
        <v>45369</v>
      </c>
      <c r="B2286" s="116">
        <v>2600.1</v>
      </c>
      <c r="C2286" s="116">
        <v>2567.1999999999998</v>
      </c>
      <c r="D2286" s="116">
        <v>2545.1</v>
      </c>
      <c r="E2286" s="116">
        <v>2600.1</v>
      </c>
      <c r="F2286" s="116">
        <v>2567.1999999999998</v>
      </c>
      <c r="G2286">
        <v>4025</v>
      </c>
      <c r="H2286" s="116"/>
      <c r="I2286" s="116"/>
      <c r="L2286" s="170">
        <v>45369</v>
      </c>
      <c r="M2286" s="116">
        <v>2569.65</v>
      </c>
      <c r="N2286" s="116">
        <v>2602</v>
      </c>
      <c r="O2286" s="116">
        <v>2544</v>
      </c>
      <c r="P2286" s="116">
        <v>2602</v>
      </c>
      <c r="Q2286" s="116">
        <v>2569.65</v>
      </c>
      <c r="R2286">
        <v>452371</v>
      </c>
    </row>
    <row r="2287" spans="1:18" x14ac:dyDescent="0.25">
      <c r="A2287" s="170">
        <v>45370</v>
      </c>
      <c r="B2287" s="116">
        <v>2573.0500000000002</v>
      </c>
      <c r="C2287" s="116">
        <v>2498.15</v>
      </c>
      <c r="D2287" s="116">
        <v>2488</v>
      </c>
      <c r="E2287" s="116">
        <v>2567.85</v>
      </c>
      <c r="F2287" s="116">
        <v>2498.15</v>
      </c>
      <c r="G2287">
        <v>2946</v>
      </c>
      <c r="H2287" s="116"/>
      <c r="I2287" s="116"/>
      <c r="L2287" s="170">
        <v>45370</v>
      </c>
      <c r="M2287" s="116">
        <v>2501.5</v>
      </c>
      <c r="N2287" s="116">
        <v>2584</v>
      </c>
      <c r="O2287" s="116">
        <v>2487.8000000000002</v>
      </c>
      <c r="P2287" s="116">
        <v>2584</v>
      </c>
      <c r="Q2287" s="116">
        <v>2501.5</v>
      </c>
      <c r="R2287">
        <v>368335</v>
      </c>
    </row>
    <row r="2288" spans="1:18" x14ac:dyDescent="0.25">
      <c r="A2288" s="170">
        <v>45371</v>
      </c>
      <c r="B2288" s="116">
        <v>2549.5500000000002</v>
      </c>
      <c r="C2288" s="116">
        <v>2519.65</v>
      </c>
      <c r="D2288" s="116">
        <v>2491</v>
      </c>
      <c r="E2288" s="116">
        <v>2549.5500000000002</v>
      </c>
      <c r="F2288" s="116">
        <v>2519.65</v>
      </c>
      <c r="G2288">
        <v>1449</v>
      </c>
      <c r="H2288" s="116"/>
      <c r="I2288" s="116"/>
      <c r="L2288" s="170">
        <v>45371</v>
      </c>
      <c r="M2288" s="116">
        <v>2518.9499999999998</v>
      </c>
      <c r="N2288" s="116">
        <v>2531.15</v>
      </c>
      <c r="O2288" s="116">
        <v>2489.3000000000002</v>
      </c>
      <c r="P2288" s="116">
        <v>2519</v>
      </c>
      <c r="Q2288" s="116">
        <v>2518.9499999999998</v>
      </c>
      <c r="R2288">
        <v>174271</v>
      </c>
    </row>
    <row r="2289" spans="1:18" x14ac:dyDescent="0.25">
      <c r="A2289" s="170">
        <v>45372</v>
      </c>
      <c r="B2289" s="116">
        <v>2561.35</v>
      </c>
      <c r="C2289" s="116">
        <v>2556.25</v>
      </c>
      <c r="D2289" s="116">
        <v>2502.5500000000002</v>
      </c>
      <c r="E2289" s="116">
        <v>2525.4499999999998</v>
      </c>
      <c r="F2289" s="116">
        <v>2556.25</v>
      </c>
      <c r="G2289">
        <v>2714</v>
      </c>
      <c r="H2289" s="116"/>
      <c r="I2289" s="116"/>
      <c r="L2289" s="170">
        <v>45372</v>
      </c>
      <c r="M2289" s="116">
        <v>2554.4</v>
      </c>
      <c r="N2289" s="116">
        <v>2561.3000000000002</v>
      </c>
      <c r="O2289" s="116">
        <v>2500.5</v>
      </c>
      <c r="P2289" s="116">
        <v>2529.85</v>
      </c>
      <c r="Q2289" s="116">
        <v>2554.4</v>
      </c>
      <c r="R2289">
        <v>176094</v>
      </c>
    </row>
    <row r="2290" spans="1:18" x14ac:dyDescent="0.25">
      <c r="A2290" s="170">
        <v>45373</v>
      </c>
      <c r="B2290" s="116">
        <v>2569.5500000000002</v>
      </c>
      <c r="C2290" s="116">
        <v>2561</v>
      </c>
      <c r="D2290" s="116">
        <v>2533.1999999999998</v>
      </c>
      <c r="E2290" s="116">
        <v>2550.0500000000002</v>
      </c>
      <c r="F2290" s="116">
        <v>2561</v>
      </c>
      <c r="G2290">
        <v>1875</v>
      </c>
      <c r="H2290" s="116"/>
      <c r="I2290" s="116"/>
      <c r="L2290" s="170">
        <v>45373</v>
      </c>
      <c r="M2290" s="116">
        <v>2559.8000000000002</v>
      </c>
      <c r="N2290" s="116">
        <v>2575.5500000000002</v>
      </c>
      <c r="O2290" s="116">
        <v>2532</v>
      </c>
      <c r="P2290" s="116">
        <v>2554.4</v>
      </c>
      <c r="Q2290" s="116">
        <v>2559.8000000000002</v>
      </c>
      <c r="R2290">
        <v>133752</v>
      </c>
    </row>
    <row r="2291" spans="1:18" x14ac:dyDescent="0.25">
      <c r="A2291" s="170">
        <v>45377</v>
      </c>
      <c r="B2291" s="116">
        <v>2609</v>
      </c>
      <c r="C2291" s="116">
        <v>2569.6</v>
      </c>
      <c r="D2291" s="116">
        <v>2548.1</v>
      </c>
      <c r="E2291" s="116">
        <v>2593.6999999999998</v>
      </c>
      <c r="F2291" s="116">
        <v>2569.6</v>
      </c>
      <c r="G2291">
        <v>3790</v>
      </c>
      <c r="H2291" s="116"/>
      <c r="I2291" s="116"/>
      <c r="L2291" s="170">
        <v>45377</v>
      </c>
      <c r="M2291" s="116">
        <v>2570.5</v>
      </c>
      <c r="N2291" s="116">
        <v>2610</v>
      </c>
      <c r="O2291" s="116">
        <v>2548.8000000000002</v>
      </c>
      <c r="P2291" s="116">
        <v>2560.25</v>
      </c>
      <c r="Q2291" s="116">
        <v>2570.5</v>
      </c>
      <c r="R2291">
        <v>300411</v>
      </c>
    </row>
    <row r="2292" spans="1:18" x14ac:dyDescent="0.25">
      <c r="A2292" s="170">
        <v>45378</v>
      </c>
      <c r="B2292" s="116">
        <v>2598.9</v>
      </c>
      <c r="C2292" s="116">
        <v>2564.0500000000002</v>
      </c>
      <c r="D2292" s="116">
        <v>2544.85</v>
      </c>
      <c r="E2292" s="116">
        <v>2594.9499999999998</v>
      </c>
      <c r="F2292" s="116">
        <v>2564.0500000000002</v>
      </c>
      <c r="G2292">
        <v>2299</v>
      </c>
      <c r="H2292" s="116"/>
      <c r="I2292" s="116"/>
      <c r="L2292" s="170">
        <v>45378</v>
      </c>
      <c r="M2292" s="116">
        <v>2572.4</v>
      </c>
      <c r="N2292" s="116">
        <v>2599</v>
      </c>
      <c r="O2292" s="116">
        <v>2515.0500000000002</v>
      </c>
      <c r="P2292" s="116">
        <v>2594.25</v>
      </c>
      <c r="Q2292" s="116">
        <v>2572.4</v>
      </c>
      <c r="R2292">
        <v>257181</v>
      </c>
    </row>
    <row r="2293" spans="1:18" x14ac:dyDescent="0.25">
      <c r="A2293" s="170">
        <v>45379</v>
      </c>
      <c r="B2293" s="116">
        <v>2616.5</v>
      </c>
      <c r="C2293" s="116">
        <v>2601.15</v>
      </c>
      <c r="D2293" s="116">
        <v>2510</v>
      </c>
      <c r="E2293" s="116">
        <v>2589.3000000000002</v>
      </c>
      <c r="F2293" s="116">
        <v>2601.15</v>
      </c>
      <c r="G2293">
        <v>5800</v>
      </c>
      <c r="H2293" s="116"/>
      <c r="I2293" s="116"/>
      <c r="L2293" s="170">
        <v>45379</v>
      </c>
      <c r="M2293" s="116">
        <v>2600.6</v>
      </c>
      <c r="N2293" s="116">
        <v>2625</v>
      </c>
      <c r="O2293" s="116">
        <v>2522</v>
      </c>
      <c r="P2293" s="116">
        <v>2568.75</v>
      </c>
      <c r="Q2293" s="116">
        <v>2600.6</v>
      </c>
      <c r="R2293">
        <v>370338</v>
      </c>
    </row>
    <row r="2294" spans="1:18" x14ac:dyDescent="0.25">
      <c r="A2294" s="170">
        <v>45383</v>
      </c>
      <c r="B2294" s="116">
        <v>2687.2</v>
      </c>
      <c r="C2294" s="116">
        <v>2678.35</v>
      </c>
      <c r="D2294" s="116">
        <v>2613.5500000000002</v>
      </c>
      <c r="E2294" s="116">
        <v>2619.5</v>
      </c>
      <c r="F2294" s="116">
        <v>2678.35</v>
      </c>
      <c r="G2294">
        <v>5190</v>
      </c>
      <c r="H2294" s="116"/>
      <c r="I2294" s="116"/>
      <c r="L2294" s="170">
        <v>45383</v>
      </c>
      <c r="M2294" s="116">
        <v>2675.35</v>
      </c>
      <c r="N2294" s="116">
        <v>2689.7</v>
      </c>
      <c r="O2294" s="116">
        <v>2608.0500000000002</v>
      </c>
      <c r="P2294" s="116">
        <v>2608.6999999999998</v>
      </c>
      <c r="Q2294" s="116">
        <v>2675.35</v>
      </c>
      <c r="R2294">
        <v>422474</v>
      </c>
    </row>
    <row r="2295" spans="1:18" x14ac:dyDescent="0.25">
      <c r="A2295" s="170">
        <v>45384</v>
      </c>
      <c r="B2295" s="116">
        <v>2684.95</v>
      </c>
      <c r="C2295" s="116">
        <v>2668.2</v>
      </c>
      <c r="D2295" s="116">
        <v>2643.65</v>
      </c>
      <c r="E2295" s="116">
        <v>2683.7</v>
      </c>
      <c r="F2295" s="116">
        <v>2668.2</v>
      </c>
      <c r="G2295">
        <v>2697</v>
      </c>
      <c r="H2295" s="116"/>
      <c r="I2295" s="116"/>
      <c r="L2295" s="170">
        <v>45384</v>
      </c>
      <c r="M2295" s="116">
        <v>2668.55</v>
      </c>
      <c r="N2295" s="116">
        <v>2684.95</v>
      </c>
      <c r="O2295" s="116">
        <v>2641.6</v>
      </c>
      <c r="P2295" s="116">
        <v>2680.95</v>
      </c>
      <c r="Q2295" s="116">
        <v>2668.55</v>
      </c>
      <c r="R2295">
        <v>181201</v>
      </c>
    </row>
    <row r="2296" spans="1:18" x14ac:dyDescent="0.25">
      <c r="A2296" s="170">
        <v>45385</v>
      </c>
      <c r="B2296" s="116">
        <v>2668.2</v>
      </c>
      <c r="C2296" s="116">
        <v>2588.9</v>
      </c>
      <c r="D2296" s="116">
        <v>2585</v>
      </c>
      <c r="E2296" s="116">
        <v>2668.2</v>
      </c>
      <c r="F2296" s="116">
        <v>2588.9</v>
      </c>
      <c r="G2296">
        <v>5114</v>
      </c>
      <c r="H2296" s="116"/>
      <c r="I2296" s="116"/>
      <c r="L2296" s="170">
        <v>45385</v>
      </c>
      <c r="M2296" s="116">
        <v>2588.65</v>
      </c>
      <c r="N2296" s="116">
        <v>2666.2</v>
      </c>
      <c r="O2296" s="116">
        <v>2583.15</v>
      </c>
      <c r="P2296" s="116">
        <v>2666.2</v>
      </c>
      <c r="Q2296" s="116">
        <v>2588.65</v>
      </c>
      <c r="R2296">
        <v>261270</v>
      </c>
    </row>
    <row r="2297" spans="1:18" x14ac:dyDescent="0.25">
      <c r="A2297" s="170">
        <v>45386</v>
      </c>
      <c r="B2297" s="116">
        <v>2602</v>
      </c>
      <c r="C2297" s="116">
        <v>2542.6</v>
      </c>
      <c r="D2297" s="116">
        <v>2528</v>
      </c>
      <c r="E2297" s="116">
        <v>2602</v>
      </c>
      <c r="F2297" s="116">
        <v>2542.6</v>
      </c>
      <c r="G2297">
        <v>7421</v>
      </c>
      <c r="H2297" s="116"/>
      <c r="I2297" s="116"/>
      <c r="L2297" s="170">
        <v>45386</v>
      </c>
      <c r="M2297" s="116">
        <v>2537.5500000000002</v>
      </c>
      <c r="N2297" s="116">
        <v>2608.9499999999998</v>
      </c>
      <c r="O2297" s="116">
        <v>2525.4499999999998</v>
      </c>
      <c r="P2297" s="116">
        <v>2608.9499999999998</v>
      </c>
      <c r="Q2297" s="116">
        <v>2537.5500000000002</v>
      </c>
      <c r="R2297">
        <v>229321</v>
      </c>
    </row>
    <row r="2298" spans="1:18" x14ac:dyDescent="0.25">
      <c r="A2298" s="170">
        <v>45387</v>
      </c>
      <c r="B2298" s="116">
        <v>2618.9</v>
      </c>
      <c r="C2298" s="116">
        <v>2578.1999999999998</v>
      </c>
      <c r="D2298" s="116">
        <v>2549</v>
      </c>
      <c r="E2298" s="116">
        <v>2551</v>
      </c>
      <c r="F2298" s="116">
        <v>2578.1999999999998</v>
      </c>
      <c r="G2298">
        <v>8620</v>
      </c>
      <c r="H2298" s="116"/>
      <c r="I2298" s="116"/>
      <c r="L2298" s="170">
        <v>45387</v>
      </c>
      <c r="M2298" s="116">
        <v>2577.1</v>
      </c>
      <c r="N2298" s="116">
        <v>2619.3000000000002</v>
      </c>
      <c r="O2298" s="116">
        <v>2544.1</v>
      </c>
      <c r="P2298" s="116">
        <v>2544.1</v>
      </c>
      <c r="Q2298" s="116">
        <v>2577.1</v>
      </c>
      <c r="R2298">
        <v>331883</v>
      </c>
    </row>
    <row r="2299" spans="1:18" x14ac:dyDescent="0.25">
      <c r="A2299" s="170">
        <v>45390</v>
      </c>
      <c r="B2299" s="116">
        <v>2625.2</v>
      </c>
      <c r="C2299" s="116">
        <v>2598.0500000000002</v>
      </c>
      <c r="D2299" s="116">
        <v>2540.0500000000002</v>
      </c>
      <c r="E2299" s="116">
        <v>2587.35</v>
      </c>
      <c r="F2299" s="116">
        <v>2598.0500000000002</v>
      </c>
      <c r="G2299">
        <v>6599</v>
      </c>
      <c r="H2299" s="116"/>
      <c r="I2299" s="116"/>
      <c r="L2299" s="170">
        <v>45390</v>
      </c>
      <c r="M2299" s="116">
        <v>2597.3000000000002</v>
      </c>
      <c r="N2299" s="116">
        <v>2626.9</v>
      </c>
      <c r="O2299" s="116">
        <v>2534.5</v>
      </c>
      <c r="P2299" s="116">
        <v>2595.0500000000002</v>
      </c>
      <c r="Q2299" s="116">
        <v>2597.3000000000002</v>
      </c>
      <c r="R2299">
        <v>359617</v>
      </c>
    </row>
    <row r="2300" spans="1:18" x14ac:dyDescent="0.25">
      <c r="A2300" s="170">
        <v>45391</v>
      </c>
      <c r="B2300" s="116">
        <v>2609.15</v>
      </c>
      <c r="C2300" s="116">
        <v>2578.9</v>
      </c>
      <c r="D2300" s="116">
        <v>2565</v>
      </c>
      <c r="E2300" s="116">
        <v>2606.1999999999998</v>
      </c>
      <c r="F2300" s="116">
        <v>2578.9</v>
      </c>
      <c r="G2300">
        <v>6838</v>
      </c>
      <c r="H2300" s="116"/>
      <c r="I2300" s="116"/>
      <c r="L2300" s="170">
        <v>45391</v>
      </c>
      <c r="M2300" s="116">
        <v>2578.1</v>
      </c>
      <c r="N2300" s="116">
        <v>2609.8000000000002</v>
      </c>
      <c r="O2300" s="116">
        <v>2563.25</v>
      </c>
      <c r="P2300" s="116">
        <v>2609.8000000000002</v>
      </c>
      <c r="Q2300" s="116">
        <v>2578.1</v>
      </c>
      <c r="R2300">
        <v>109121</v>
      </c>
    </row>
    <row r="2301" spans="1:18" x14ac:dyDescent="0.25">
      <c r="A2301" s="170">
        <v>45392</v>
      </c>
      <c r="B2301" s="116">
        <v>2588.25</v>
      </c>
      <c r="C2301" s="116">
        <v>2578</v>
      </c>
      <c r="D2301" s="116">
        <v>2556</v>
      </c>
      <c r="E2301" s="116">
        <v>2585.25</v>
      </c>
      <c r="F2301" s="116">
        <v>2578</v>
      </c>
      <c r="G2301">
        <v>2195</v>
      </c>
      <c r="H2301" s="116"/>
      <c r="I2301" s="116"/>
      <c r="L2301" s="170">
        <v>45392</v>
      </c>
      <c r="M2301" s="116">
        <v>2578.9499999999998</v>
      </c>
      <c r="N2301" s="116">
        <v>2590.1999999999998</v>
      </c>
      <c r="O2301" s="116">
        <v>2556.6</v>
      </c>
      <c r="P2301" s="116">
        <v>2579.9499999999998</v>
      </c>
      <c r="Q2301" s="116">
        <v>2578.9499999999998</v>
      </c>
      <c r="R2301">
        <v>175245</v>
      </c>
    </row>
    <row r="2302" spans="1:18" x14ac:dyDescent="0.25">
      <c r="A2302" s="170">
        <v>45394</v>
      </c>
      <c r="B2302" s="116">
        <v>2595.9</v>
      </c>
      <c r="C2302" s="116">
        <v>2576.4</v>
      </c>
      <c r="D2302" s="116">
        <v>2555.6</v>
      </c>
      <c r="E2302" s="116">
        <v>2577.9499999999998</v>
      </c>
      <c r="F2302" s="116">
        <v>2576.4</v>
      </c>
      <c r="G2302">
        <v>1277</v>
      </c>
      <c r="H2302" s="116"/>
      <c r="I2302" s="116"/>
      <c r="L2302" s="170">
        <v>45394</v>
      </c>
      <c r="M2302" s="116">
        <v>2577.6999999999998</v>
      </c>
      <c r="N2302" s="116">
        <v>2599.9499999999998</v>
      </c>
      <c r="O2302" s="116">
        <v>2551.6</v>
      </c>
      <c r="P2302" s="116">
        <v>2580</v>
      </c>
      <c r="Q2302" s="116">
        <v>2577.6999999999998</v>
      </c>
      <c r="R2302">
        <v>132838</v>
      </c>
    </row>
    <row r="2303" spans="1:18" x14ac:dyDescent="0.25">
      <c r="A2303" s="170">
        <v>45397</v>
      </c>
      <c r="B2303" s="116">
        <v>2573.4</v>
      </c>
      <c r="C2303" s="116">
        <v>2519.4</v>
      </c>
      <c r="D2303" s="116">
        <v>2515</v>
      </c>
      <c r="E2303" s="116">
        <v>2524.9</v>
      </c>
      <c r="F2303" s="116">
        <v>2519.4</v>
      </c>
      <c r="G2303">
        <v>2004</v>
      </c>
      <c r="H2303" s="116"/>
      <c r="I2303" s="116"/>
      <c r="L2303" s="170">
        <v>45397</v>
      </c>
      <c r="M2303" s="116">
        <v>2519.85</v>
      </c>
      <c r="N2303" s="116">
        <v>2574.85</v>
      </c>
      <c r="O2303" s="116">
        <v>2514</v>
      </c>
      <c r="P2303" s="116">
        <v>2530.5</v>
      </c>
      <c r="Q2303" s="116">
        <v>2519.85</v>
      </c>
      <c r="R2303">
        <v>201879</v>
      </c>
    </row>
    <row r="2304" spans="1:18" x14ac:dyDescent="0.25">
      <c r="A2304" s="170">
        <v>45398</v>
      </c>
      <c r="B2304" s="116">
        <v>2542.85</v>
      </c>
      <c r="C2304" s="116">
        <v>2536.65</v>
      </c>
      <c r="D2304" s="116">
        <v>2508.65</v>
      </c>
      <c r="E2304" s="116">
        <v>2512.35</v>
      </c>
      <c r="F2304" s="116">
        <v>2536.65</v>
      </c>
      <c r="G2304">
        <v>1615</v>
      </c>
      <c r="H2304" s="116"/>
      <c r="I2304" s="116"/>
      <c r="L2304" s="170">
        <v>45398</v>
      </c>
      <c r="M2304" s="116">
        <v>2537.6</v>
      </c>
      <c r="N2304" s="116">
        <v>2546</v>
      </c>
      <c r="O2304" s="116">
        <v>2505.3000000000002</v>
      </c>
      <c r="P2304" s="116">
        <v>2519</v>
      </c>
      <c r="Q2304" s="116">
        <v>2537.6</v>
      </c>
      <c r="R2304">
        <v>119210</v>
      </c>
    </row>
    <row r="2305" spans="1:18" x14ac:dyDescent="0.25">
      <c r="A2305" s="170">
        <v>45400</v>
      </c>
      <c r="B2305" s="116">
        <v>2580.6</v>
      </c>
      <c r="C2305" s="116">
        <v>2547.5</v>
      </c>
      <c r="D2305" s="116">
        <v>2533.35</v>
      </c>
      <c r="E2305" s="116">
        <v>2547.6</v>
      </c>
      <c r="F2305" s="116">
        <v>2547.5</v>
      </c>
      <c r="G2305">
        <v>2057</v>
      </c>
      <c r="H2305" s="116"/>
      <c r="I2305" s="116"/>
      <c r="L2305" s="170">
        <v>45400</v>
      </c>
      <c r="M2305" s="116">
        <v>2546.85</v>
      </c>
      <c r="N2305" s="116">
        <v>2585.5</v>
      </c>
      <c r="O2305" s="116">
        <v>2532</v>
      </c>
      <c r="P2305" s="116">
        <v>2555</v>
      </c>
      <c r="Q2305" s="116">
        <v>2546.85</v>
      </c>
      <c r="R2305">
        <v>264434</v>
      </c>
    </row>
    <row r="2306" spans="1:18" x14ac:dyDescent="0.25">
      <c r="A2306" s="170">
        <v>45401</v>
      </c>
      <c r="B2306" s="116">
        <v>2559</v>
      </c>
      <c r="C2306" s="116">
        <v>2536.85</v>
      </c>
      <c r="D2306" s="116">
        <v>2525</v>
      </c>
      <c r="E2306" s="116">
        <v>2546.15</v>
      </c>
      <c r="F2306" s="116">
        <v>2536.85</v>
      </c>
      <c r="G2306">
        <v>1605</v>
      </c>
      <c r="H2306" s="116"/>
      <c r="I2306" s="116"/>
      <c r="L2306" s="170">
        <v>45401</v>
      </c>
      <c r="M2306" s="116">
        <v>2539.4</v>
      </c>
      <c r="N2306" s="116">
        <v>2560</v>
      </c>
      <c r="O2306" s="116">
        <v>2523.0500000000002</v>
      </c>
      <c r="P2306" s="116">
        <v>2540</v>
      </c>
      <c r="Q2306" s="116">
        <v>2539.4</v>
      </c>
      <c r="R2306">
        <v>287483</v>
      </c>
    </row>
    <row r="2307" spans="1:18" x14ac:dyDescent="0.25">
      <c r="A2307" s="170">
        <v>45404</v>
      </c>
      <c r="B2307" s="116">
        <v>2616.5500000000002</v>
      </c>
      <c r="C2307" s="116">
        <v>2590.6999999999998</v>
      </c>
      <c r="D2307" s="116">
        <v>2537.15</v>
      </c>
      <c r="E2307" s="116">
        <v>2537.15</v>
      </c>
      <c r="F2307" s="116">
        <v>2590.6999999999998</v>
      </c>
      <c r="G2307">
        <v>4372</v>
      </c>
      <c r="H2307" s="116"/>
      <c r="I2307" s="116"/>
      <c r="L2307" s="170">
        <v>45404</v>
      </c>
      <c r="M2307" s="116">
        <v>2591.9</v>
      </c>
      <c r="N2307" s="116">
        <v>2616.75</v>
      </c>
      <c r="O2307" s="116">
        <v>2544.4499999999998</v>
      </c>
      <c r="P2307" s="116">
        <v>2562.1</v>
      </c>
      <c r="Q2307" s="116">
        <v>2591.9</v>
      </c>
      <c r="R2307">
        <v>278112</v>
      </c>
    </row>
    <row r="2308" spans="1:18" x14ac:dyDescent="0.25">
      <c r="A2308" s="170">
        <v>45405</v>
      </c>
      <c r="B2308" s="116">
        <v>2644</v>
      </c>
      <c r="C2308" s="116">
        <v>2636.3</v>
      </c>
      <c r="D2308" s="116">
        <v>2588</v>
      </c>
      <c r="E2308" s="116">
        <v>2610</v>
      </c>
      <c r="F2308" s="116">
        <v>2636.3</v>
      </c>
      <c r="G2308">
        <v>1466</v>
      </c>
      <c r="H2308" s="116"/>
      <c r="I2308" s="116"/>
      <c r="L2308" s="170">
        <v>45405</v>
      </c>
      <c r="M2308" s="116">
        <v>2637.4</v>
      </c>
      <c r="N2308" s="116">
        <v>2645.55</v>
      </c>
      <c r="O2308" s="116">
        <v>2583.9499999999998</v>
      </c>
      <c r="P2308" s="116">
        <v>2610</v>
      </c>
      <c r="Q2308" s="116">
        <v>2637.4</v>
      </c>
      <c r="R2308">
        <v>286051</v>
      </c>
    </row>
    <row r="2309" spans="1:18" x14ac:dyDescent="0.25">
      <c r="A2309" s="170">
        <v>45406</v>
      </c>
      <c r="B2309" s="116">
        <v>2698.95</v>
      </c>
      <c r="C2309" s="116">
        <v>2685</v>
      </c>
      <c r="D2309" s="116">
        <v>2649.45</v>
      </c>
      <c r="E2309" s="116">
        <v>2649.95</v>
      </c>
      <c r="F2309" s="116">
        <v>2685</v>
      </c>
      <c r="G2309">
        <v>4480</v>
      </c>
      <c r="H2309" s="116"/>
      <c r="I2309" s="116"/>
      <c r="L2309" s="170">
        <v>45406</v>
      </c>
      <c r="M2309" s="116">
        <v>2686.45</v>
      </c>
      <c r="N2309" s="116">
        <v>2699</v>
      </c>
      <c r="O2309" s="116">
        <v>2639.9</v>
      </c>
      <c r="P2309" s="116">
        <v>2639.9</v>
      </c>
      <c r="Q2309" s="116">
        <v>2686.45</v>
      </c>
      <c r="R2309">
        <v>254562</v>
      </c>
    </row>
    <row r="2310" spans="1:18" x14ac:dyDescent="0.25">
      <c r="A2310" s="170">
        <v>45407</v>
      </c>
      <c r="B2310" s="116">
        <v>2700</v>
      </c>
      <c r="C2310" s="116">
        <v>2692.45</v>
      </c>
      <c r="D2310" s="116">
        <v>2670.9</v>
      </c>
      <c r="E2310" s="116">
        <v>2690</v>
      </c>
      <c r="F2310" s="116">
        <v>2692.45</v>
      </c>
      <c r="G2310">
        <v>1149</v>
      </c>
      <c r="H2310" s="116"/>
      <c r="I2310" s="116"/>
      <c r="L2310" s="170">
        <v>45407</v>
      </c>
      <c r="M2310" s="116">
        <v>2694.3</v>
      </c>
      <c r="N2310" s="116">
        <v>2702.05</v>
      </c>
      <c r="O2310" s="116">
        <v>2672</v>
      </c>
      <c r="P2310" s="116">
        <v>2691.9</v>
      </c>
      <c r="Q2310" s="116">
        <v>2694.3</v>
      </c>
      <c r="R2310">
        <v>137290</v>
      </c>
    </row>
    <row r="2311" spans="1:18" x14ac:dyDescent="0.25">
      <c r="A2311" s="170">
        <v>45408</v>
      </c>
      <c r="B2311" s="116">
        <v>2730.4</v>
      </c>
      <c r="C2311" s="116">
        <v>2690.45</v>
      </c>
      <c r="D2311" s="116">
        <v>2683.65</v>
      </c>
      <c r="E2311" s="116">
        <v>2695.55</v>
      </c>
      <c r="F2311" s="116">
        <v>2690.45</v>
      </c>
      <c r="G2311">
        <v>4270</v>
      </c>
      <c r="H2311" s="116"/>
      <c r="I2311" s="116"/>
      <c r="L2311" s="170">
        <v>45408</v>
      </c>
      <c r="M2311" s="116">
        <v>2691</v>
      </c>
      <c r="N2311" s="116">
        <v>2729.2</v>
      </c>
      <c r="O2311" s="116">
        <v>2685.1</v>
      </c>
      <c r="P2311" s="116">
        <v>2700.15</v>
      </c>
      <c r="Q2311" s="116">
        <v>2691</v>
      </c>
      <c r="R2311">
        <v>146666</v>
      </c>
    </row>
    <row r="2312" spans="1:18" x14ac:dyDescent="0.25">
      <c r="A2312" s="170">
        <v>45411</v>
      </c>
      <c r="B2312" s="116">
        <v>2743.75</v>
      </c>
      <c r="C2312" s="116">
        <v>2688.2</v>
      </c>
      <c r="D2312" s="116">
        <v>2656.35</v>
      </c>
      <c r="E2312" s="116">
        <v>2743.75</v>
      </c>
      <c r="F2312" s="116">
        <v>2688.2</v>
      </c>
      <c r="G2312">
        <v>1395</v>
      </c>
      <c r="H2312" s="116"/>
      <c r="I2312" s="116"/>
      <c r="L2312" s="170">
        <v>45411</v>
      </c>
      <c r="M2312" s="116">
        <v>2687.45</v>
      </c>
      <c r="N2312" s="116">
        <v>2698.95</v>
      </c>
      <c r="O2312" s="116">
        <v>2653.5</v>
      </c>
      <c r="P2312" s="116">
        <v>2696.8</v>
      </c>
      <c r="Q2312" s="116">
        <v>2687.45</v>
      </c>
      <c r="R2312">
        <v>217666</v>
      </c>
    </row>
    <row r="2313" spans="1:18" x14ac:dyDescent="0.25">
      <c r="A2313" s="170">
        <v>45412</v>
      </c>
      <c r="B2313" s="116">
        <v>2710</v>
      </c>
      <c r="C2313" s="116">
        <v>2640.4</v>
      </c>
      <c r="D2313" s="116">
        <v>2634.8</v>
      </c>
      <c r="E2313" s="116">
        <v>2687.9</v>
      </c>
      <c r="F2313" s="116">
        <v>2640.4</v>
      </c>
      <c r="G2313">
        <v>2463</v>
      </c>
      <c r="H2313" s="116"/>
      <c r="I2313" s="116"/>
      <c r="L2313" s="170">
        <v>45412</v>
      </c>
      <c r="M2313" s="116">
        <v>2642.55</v>
      </c>
      <c r="N2313" s="116">
        <v>2712.1</v>
      </c>
      <c r="O2313" s="116">
        <v>2635.8</v>
      </c>
      <c r="P2313" s="116">
        <v>2696</v>
      </c>
      <c r="Q2313" s="116">
        <v>2642.55</v>
      </c>
      <c r="R2313">
        <v>212255</v>
      </c>
    </row>
    <row r="2314" spans="1:18" x14ac:dyDescent="0.25">
      <c r="A2314" s="170">
        <v>45414</v>
      </c>
      <c r="B2314" s="116">
        <v>2687.25</v>
      </c>
      <c r="C2314" s="116">
        <v>2673.8</v>
      </c>
      <c r="D2314" s="116">
        <v>2641.05</v>
      </c>
      <c r="E2314" s="116">
        <v>2650.4</v>
      </c>
      <c r="F2314" s="116">
        <v>2673.8</v>
      </c>
      <c r="G2314">
        <v>1063</v>
      </c>
      <c r="H2314" s="116"/>
      <c r="I2314" s="116"/>
      <c r="L2314" s="170">
        <v>45414</v>
      </c>
      <c r="M2314" s="116">
        <v>2670</v>
      </c>
      <c r="N2314" s="116">
        <v>2688.4</v>
      </c>
      <c r="O2314" s="116">
        <v>2642.5</v>
      </c>
      <c r="P2314" s="116">
        <v>2652.8</v>
      </c>
      <c r="Q2314" s="116">
        <v>2670</v>
      </c>
      <c r="R2314">
        <v>93529</v>
      </c>
    </row>
    <row r="2315" spans="1:18" x14ac:dyDescent="0.25">
      <c r="A2315" s="170">
        <v>45415</v>
      </c>
      <c r="B2315" s="116">
        <v>2782</v>
      </c>
      <c r="C2315" s="116">
        <v>2732.6</v>
      </c>
      <c r="D2315" s="116">
        <v>2683</v>
      </c>
      <c r="E2315" s="116">
        <v>2683</v>
      </c>
      <c r="F2315" s="116">
        <v>2732.6</v>
      </c>
      <c r="G2315">
        <v>12576</v>
      </c>
      <c r="H2315" s="116"/>
      <c r="I2315" s="116"/>
      <c r="L2315" s="170">
        <v>45415</v>
      </c>
      <c r="M2315" s="116">
        <v>2734.7</v>
      </c>
      <c r="N2315" s="116">
        <v>2782.85</v>
      </c>
      <c r="O2315" s="116">
        <v>2672.3</v>
      </c>
      <c r="P2315" s="116">
        <v>2672.3</v>
      </c>
      <c r="Q2315" s="116">
        <v>2734.7</v>
      </c>
      <c r="R2315">
        <v>939897</v>
      </c>
    </row>
    <row r="2316" spans="1:18" x14ac:dyDescent="0.25">
      <c r="A2316" s="170">
        <v>45418</v>
      </c>
      <c r="B2316" s="116">
        <v>2774.5</v>
      </c>
      <c r="C2316" s="116">
        <v>2715.55</v>
      </c>
      <c r="D2316" s="116">
        <v>2696.8</v>
      </c>
      <c r="E2316" s="116">
        <v>2774.5</v>
      </c>
      <c r="F2316" s="116">
        <v>2715.55</v>
      </c>
      <c r="G2316">
        <v>3390</v>
      </c>
      <c r="H2316" s="116"/>
      <c r="I2316" s="116"/>
      <c r="L2316" s="170">
        <v>45418</v>
      </c>
      <c r="M2316" s="116">
        <v>2717.2</v>
      </c>
      <c r="N2316" s="116">
        <v>2761.9</v>
      </c>
      <c r="O2316" s="116">
        <v>2697.05</v>
      </c>
      <c r="P2316" s="116">
        <v>2750</v>
      </c>
      <c r="Q2316" s="116">
        <v>2717.2</v>
      </c>
      <c r="R2316">
        <v>262320</v>
      </c>
    </row>
    <row r="2317" spans="1:18" x14ac:dyDescent="0.25">
      <c r="A2317" s="170">
        <v>45419</v>
      </c>
      <c r="B2317" s="116">
        <v>2726.35</v>
      </c>
      <c r="C2317" s="116">
        <v>2617.4499999999998</v>
      </c>
      <c r="D2317" s="116">
        <v>2608.1999999999998</v>
      </c>
      <c r="E2317" s="116">
        <v>2716.3</v>
      </c>
      <c r="F2317" s="116">
        <v>2617.4499999999998</v>
      </c>
      <c r="G2317">
        <v>2391</v>
      </c>
      <c r="H2317" s="116"/>
      <c r="I2317" s="116"/>
      <c r="L2317" s="170">
        <v>45419</v>
      </c>
      <c r="M2317" s="116">
        <v>2619.35</v>
      </c>
      <c r="N2317" s="116">
        <v>2725.9</v>
      </c>
      <c r="O2317" s="116">
        <v>2610.0500000000002</v>
      </c>
      <c r="P2317" s="116">
        <v>2723.3</v>
      </c>
      <c r="Q2317" s="116">
        <v>2619.35</v>
      </c>
      <c r="R2317">
        <v>196277</v>
      </c>
    </row>
    <row r="2318" spans="1:18" x14ac:dyDescent="0.25">
      <c r="A2318" s="170">
        <v>45420</v>
      </c>
      <c r="B2318" s="116">
        <v>2624.55</v>
      </c>
      <c r="C2318" s="116">
        <v>2587.8000000000002</v>
      </c>
      <c r="D2318" s="116">
        <v>2517.9</v>
      </c>
      <c r="E2318" s="116">
        <v>2517.9</v>
      </c>
      <c r="F2318" s="116">
        <v>2587.8000000000002</v>
      </c>
      <c r="G2318">
        <v>1356</v>
      </c>
      <c r="H2318" s="116"/>
      <c r="I2318" s="116"/>
      <c r="L2318" s="170">
        <v>45420</v>
      </c>
      <c r="M2318" s="116">
        <v>2587.5500000000002</v>
      </c>
      <c r="N2318" s="116">
        <v>2625.45</v>
      </c>
      <c r="O2318" s="116">
        <v>2575.1</v>
      </c>
      <c r="P2318" s="116">
        <v>2620</v>
      </c>
      <c r="Q2318" s="116">
        <v>2587.5500000000002</v>
      </c>
      <c r="R2318">
        <v>217789</v>
      </c>
    </row>
    <row r="2319" spans="1:18" x14ac:dyDescent="0.25">
      <c r="A2319" s="170">
        <v>45421</v>
      </c>
      <c r="B2319" s="116">
        <v>2599.85</v>
      </c>
      <c r="C2319" s="116">
        <v>2521.8000000000002</v>
      </c>
      <c r="D2319" s="116">
        <v>2513.0500000000002</v>
      </c>
      <c r="E2319" s="116">
        <v>2583.4</v>
      </c>
      <c r="F2319" s="116">
        <v>2521.8000000000002</v>
      </c>
      <c r="G2319">
        <v>4947</v>
      </c>
      <c r="H2319" s="116"/>
      <c r="I2319" s="116"/>
      <c r="L2319" s="170">
        <v>45421</v>
      </c>
      <c r="M2319" s="116">
        <v>2524.35</v>
      </c>
      <c r="N2319" s="116">
        <v>2613.1</v>
      </c>
      <c r="O2319" s="116">
        <v>2519.9499999999998</v>
      </c>
      <c r="P2319" s="116">
        <v>2595</v>
      </c>
      <c r="Q2319" s="116">
        <v>2524.35</v>
      </c>
      <c r="R2319">
        <v>151139</v>
      </c>
    </row>
    <row r="2320" spans="1:18" x14ac:dyDescent="0.25">
      <c r="A2320" s="170">
        <v>45422</v>
      </c>
      <c r="B2320" s="116">
        <v>2614.9499999999998</v>
      </c>
      <c r="C2320" s="116">
        <v>2601.4499999999998</v>
      </c>
      <c r="D2320" s="116">
        <v>2529.5</v>
      </c>
      <c r="E2320" s="116">
        <v>2539.9499999999998</v>
      </c>
      <c r="F2320" s="116">
        <v>2601.4499999999998</v>
      </c>
      <c r="G2320">
        <v>1706</v>
      </c>
      <c r="H2320" s="116"/>
      <c r="I2320" s="116"/>
      <c r="L2320" s="170">
        <v>45422</v>
      </c>
      <c r="M2320" s="116">
        <v>2599.9</v>
      </c>
      <c r="N2320" s="116">
        <v>2618</v>
      </c>
      <c r="O2320" s="116">
        <v>2526.5</v>
      </c>
      <c r="P2320" s="116">
        <v>2526.5</v>
      </c>
      <c r="Q2320" s="116">
        <v>2599.9</v>
      </c>
      <c r="R2320">
        <v>166701</v>
      </c>
    </row>
    <row r="2321" spans="1:18" x14ac:dyDescent="0.25">
      <c r="A2321" s="170">
        <v>45425</v>
      </c>
      <c r="B2321" s="116">
        <v>2618.4499999999998</v>
      </c>
      <c r="C2321" s="116">
        <v>2604.25</v>
      </c>
      <c r="D2321" s="116">
        <v>2573.4</v>
      </c>
      <c r="E2321" s="116">
        <v>2614.9499999999998</v>
      </c>
      <c r="F2321" s="116">
        <v>2604.25</v>
      </c>
      <c r="G2321">
        <v>2448</v>
      </c>
      <c r="H2321" s="116"/>
      <c r="I2321" s="116"/>
      <c r="L2321" s="170">
        <v>45425</v>
      </c>
      <c r="M2321" s="116">
        <v>2604.6</v>
      </c>
      <c r="N2321" s="116">
        <v>2625</v>
      </c>
      <c r="O2321" s="116">
        <v>2575</v>
      </c>
      <c r="P2321" s="116">
        <v>2609.6999999999998</v>
      </c>
      <c r="Q2321" s="116">
        <v>2604.6</v>
      </c>
      <c r="R2321">
        <v>235650</v>
      </c>
    </row>
    <row r="2322" spans="1:18" x14ac:dyDescent="0.25">
      <c r="A2322" s="170">
        <v>45426</v>
      </c>
      <c r="B2322" s="116">
        <v>2635.1</v>
      </c>
      <c r="C2322" s="116">
        <v>2630.15</v>
      </c>
      <c r="D2322" s="116">
        <v>2583.9499999999998</v>
      </c>
      <c r="E2322" s="116">
        <v>2603.65</v>
      </c>
      <c r="F2322" s="116">
        <v>2630.15</v>
      </c>
      <c r="G2322">
        <v>881</v>
      </c>
      <c r="H2322" s="116"/>
      <c r="I2322" s="116"/>
      <c r="L2322" s="170">
        <v>45426</v>
      </c>
      <c r="M2322" s="116">
        <v>2630.65</v>
      </c>
      <c r="N2322" s="116">
        <v>2637.95</v>
      </c>
      <c r="O2322" s="116">
        <v>2585.15</v>
      </c>
      <c r="P2322" s="116">
        <v>2605.0500000000002</v>
      </c>
      <c r="Q2322" s="116">
        <v>2630.65</v>
      </c>
      <c r="R2322">
        <v>130290</v>
      </c>
    </row>
    <row r="2323" spans="1:18" x14ac:dyDescent="0.25">
      <c r="A2323" s="170">
        <v>45427</v>
      </c>
      <c r="B2323" s="116">
        <v>2657</v>
      </c>
      <c r="C2323" s="116">
        <v>2650.65</v>
      </c>
      <c r="D2323" s="116">
        <v>2620</v>
      </c>
      <c r="E2323" s="116">
        <v>2640.4</v>
      </c>
      <c r="F2323" s="116">
        <v>2650.65</v>
      </c>
      <c r="G2323">
        <v>1001</v>
      </c>
      <c r="H2323" s="116"/>
      <c r="I2323" s="116"/>
      <c r="L2323" s="170">
        <v>45427</v>
      </c>
      <c r="M2323" s="116">
        <v>2648.95</v>
      </c>
      <c r="N2323" s="116">
        <v>2655.2</v>
      </c>
      <c r="O2323" s="116">
        <v>2619.3000000000002</v>
      </c>
      <c r="P2323" s="116">
        <v>2639.05</v>
      </c>
      <c r="Q2323" s="116">
        <v>2648.95</v>
      </c>
      <c r="R2323">
        <v>98937</v>
      </c>
    </row>
    <row r="2324" spans="1:18" x14ac:dyDescent="0.25">
      <c r="A2324" s="170">
        <v>45428</v>
      </c>
      <c r="B2324" s="116">
        <v>2719.95</v>
      </c>
      <c r="C2324" s="116">
        <v>2703.7</v>
      </c>
      <c r="D2324" s="116">
        <v>2620.0500000000002</v>
      </c>
      <c r="E2324" s="116">
        <v>2620.0500000000002</v>
      </c>
      <c r="F2324" s="116">
        <v>2703.7</v>
      </c>
      <c r="G2324">
        <v>4162</v>
      </c>
      <c r="H2324" s="116"/>
      <c r="I2324" s="116"/>
      <c r="L2324" s="170">
        <v>45428</v>
      </c>
      <c r="M2324" s="116">
        <v>2699.95</v>
      </c>
      <c r="N2324" s="116">
        <v>2720</v>
      </c>
      <c r="O2324" s="116">
        <v>2635.35</v>
      </c>
      <c r="P2324" s="116">
        <v>2648.95</v>
      </c>
      <c r="Q2324" s="116">
        <v>2699.95</v>
      </c>
      <c r="R2324">
        <v>136934</v>
      </c>
    </row>
    <row r="2325" spans="1:18" x14ac:dyDescent="0.25">
      <c r="A2325" s="170">
        <v>45429</v>
      </c>
      <c r="B2325" s="116">
        <v>2757.8</v>
      </c>
      <c r="C2325" s="116">
        <v>2698.25</v>
      </c>
      <c r="D2325" s="116">
        <v>2685</v>
      </c>
      <c r="E2325" s="116">
        <v>2757.8</v>
      </c>
      <c r="F2325" s="116">
        <v>2698.25</v>
      </c>
      <c r="G2325">
        <v>2748</v>
      </c>
      <c r="H2325" s="116"/>
      <c r="I2325" s="116"/>
      <c r="L2325" s="170">
        <v>45429</v>
      </c>
      <c r="M2325" s="116">
        <v>2698.7</v>
      </c>
      <c r="N2325" s="116">
        <v>2718.8</v>
      </c>
      <c r="O2325" s="116">
        <v>2684.4</v>
      </c>
      <c r="P2325" s="116">
        <v>2702.6</v>
      </c>
      <c r="Q2325" s="116">
        <v>2698.7</v>
      </c>
      <c r="R2325">
        <v>74126</v>
      </c>
    </row>
    <row r="2326" spans="1:18" x14ac:dyDescent="0.25">
      <c r="A2326" s="170">
        <v>45430</v>
      </c>
      <c r="B2326" s="116">
        <v>2711.95</v>
      </c>
      <c r="C2326" s="116">
        <v>2705.2</v>
      </c>
      <c r="D2326" s="116">
        <v>2693.7</v>
      </c>
      <c r="E2326" s="116">
        <v>2701.1</v>
      </c>
      <c r="F2326" s="116">
        <v>2705.2</v>
      </c>
      <c r="G2326">
        <v>366</v>
      </c>
      <c r="H2326" s="116"/>
      <c r="I2326" s="116"/>
      <c r="L2326" s="170">
        <v>45430</v>
      </c>
      <c r="M2326" s="116">
        <v>2707</v>
      </c>
      <c r="N2326" s="116">
        <v>2721.6</v>
      </c>
      <c r="O2326" s="116">
        <v>2691.95</v>
      </c>
      <c r="P2326" s="116">
        <v>2719.6</v>
      </c>
      <c r="Q2326" s="116">
        <v>2707</v>
      </c>
      <c r="R2326">
        <v>10293</v>
      </c>
    </row>
    <row r="2327" spans="1:18" x14ac:dyDescent="0.25">
      <c r="A2327" s="170">
        <v>45433</v>
      </c>
      <c r="B2327" s="116">
        <v>2705</v>
      </c>
      <c r="C2327" s="116">
        <v>2682.2</v>
      </c>
      <c r="D2327" s="116">
        <v>2652.15</v>
      </c>
      <c r="E2327" s="116">
        <v>2705</v>
      </c>
      <c r="F2327" s="116">
        <v>2682.2</v>
      </c>
      <c r="G2327">
        <v>1830</v>
      </c>
      <c r="H2327" s="116"/>
      <c r="I2327" s="116"/>
      <c r="L2327" s="170">
        <v>45433</v>
      </c>
      <c r="M2327" s="116">
        <v>2681.7</v>
      </c>
      <c r="N2327" s="116">
        <v>2706.95</v>
      </c>
      <c r="O2327" s="116">
        <v>2650.9</v>
      </c>
      <c r="P2327" s="116">
        <v>2680.6</v>
      </c>
      <c r="Q2327" s="116">
        <v>2681.7</v>
      </c>
      <c r="R2327">
        <v>153450</v>
      </c>
    </row>
    <row r="2328" spans="1:18" x14ac:dyDescent="0.25">
      <c r="A2328" s="170">
        <v>45434</v>
      </c>
      <c r="B2328" s="116">
        <v>2707.5</v>
      </c>
      <c r="C2328" s="116">
        <v>2667.5</v>
      </c>
      <c r="D2328" s="116">
        <v>2647.75</v>
      </c>
      <c r="E2328" s="116">
        <v>2700</v>
      </c>
      <c r="F2328" s="116">
        <v>2667.5</v>
      </c>
      <c r="G2328">
        <v>1817</v>
      </c>
      <c r="H2328" s="116"/>
      <c r="I2328" s="116"/>
      <c r="L2328" s="170">
        <v>45434</v>
      </c>
      <c r="M2328" s="116">
        <v>2663.75</v>
      </c>
      <c r="N2328" s="116">
        <v>2702.9</v>
      </c>
      <c r="O2328" s="116">
        <v>2646.85</v>
      </c>
      <c r="P2328" s="116">
        <v>2698.9</v>
      </c>
      <c r="Q2328" s="116">
        <v>2663.75</v>
      </c>
      <c r="R2328">
        <v>121332</v>
      </c>
    </row>
    <row r="2329" spans="1:18" x14ac:dyDescent="0.25">
      <c r="A2329" s="170">
        <v>45435</v>
      </c>
      <c r="B2329" s="116">
        <v>2695.85</v>
      </c>
      <c r="C2329" s="116">
        <v>2691.8</v>
      </c>
      <c r="D2329" s="116">
        <v>2660.5</v>
      </c>
      <c r="E2329" s="116">
        <v>2665</v>
      </c>
      <c r="F2329" s="116">
        <v>2691.8</v>
      </c>
      <c r="G2329">
        <v>2462</v>
      </c>
      <c r="H2329" s="116"/>
      <c r="I2329" s="116"/>
      <c r="L2329" s="170">
        <v>45435</v>
      </c>
      <c r="M2329" s="116">
        <v>2692.9</v>
      </c>
      <c r="N2329" s="116">
        <v>2697.75</v>
      </c>
      <c r="O2329" s="116">
        <v>2657.4</v>
      </c>
      <c r="P2329" s="116">
        <v>2671.55</v>
      </c>
      <c r="Q2329" s="116">
        <v>2692.9</v>
      </c>
      <c r="R2329">
        <v>91602</v>
      </c>
    </row>
    <row r="2330" spans="1:18" x14ac:dyDescent="0.25">
      <c r="A2330" s="170">
        <v>45436</v>
      </c>
      <c r="B2330" s="116">
        <v>2702.1</v>
      </c>
      <c r="C2330" s="116">
        <v>2612.0500000000002</v>
      </c>
      <c r="D2330" s="116">
        <v>2601.0500000000002</v>
      </c>
      <c r="E2330" s="116">
        <v>2700</v>
      </c>
      <c r="F2330" s="116">
        <v>2612.0500000000002</v>
      </c>
      <c r="G2330">
        <v>3697</v>
      </c>
      <c r="H2330" s="116"/>
      <c r="I2330" s="116"/>
      <c r="L2330" s="170">
        <v>45436</v>
      </c>
      <c r="M2330" s="116">
        <v>2612.5500000000002</v>
      </c>
      <c r="N2330" s="116">
        <v>2705</v>
      </c>
      <c r="O2330" s="116">
        <v>2600</v>
      </c>
      <c r="P2330" s="116">
        <v>2705</v>
      </c>
      <c r="Q2330" s="116">
        <v>2612.5500000000002</v>
      </c>
      <c r="R2330">
        <v>199442</v>
      </c>
    </row>
    <row r="2331" spans="1:18" x14ac:dyDescent="0.25">
      <c r="A2331" s="170">
        <v>45439</v>
      </c>
      <c r="B2331" s="116">
        <v>2839.9</v>
      </c>
      <c r="C2331" s="116">
        <v>2654.05</v>
      </c>
      <c r="D2331" s="116">
        <v>2642</v>
      </c>
      <c r="E2331" s="116">
        <v>2839.9</v>
      </c>
      <c r="F2331" s="116">
        <v>2654.05</v>
      </c>
      <c r="G2331">
        <v>21149</v>
      </c>
      <c r="H2331" s="116"/>
      <c r="I2331" s="116"/>
      <c r="L2331" s="170">
        <v>45439</v>
      </c>
      <c r="M2331" s="116">
        <v>2655.25</v>
      </c>
      <c r="N2331" s="116">
        <v>2795</v>
      </c>
      <c r="O2331" s="116">
        <v>2645</v>
      </c>
      <c r="P2331" s="116">
        <v>2795</v>
      </c>
      <c r="Q2331" s="116">
        <v>2655.25</v>
      </c>
      <c r="R2331">
        <v>1077403</v>
      </c>
    </row>
    <row r="2332" spans="1:18" x14ac:dyDescent="0.25">
      <c r="A2332" s="170">
        <v>45440</v>
      </c>
      <c r="B2332" s="116">
        <v>2673.7</v>
      </c>
      <c r="C2332" s="116">
        <v>2667.15</v>
      </c>
      <c r="D2332" s="116">
        <v>2632.45</v>
      </c>
      <c r="E2332" s="116">
        <v>2652.05</v>
      </c>
      <c r="F2332" s="116">
        <v>2667.15</v>
      </c>
      <c r="G2332">
        <v>1195</v>
      </c>
      <c r="H2332" s="116"/>
      <c r="I2332" s="116"/>
      <c r="L2332" s="170">
        <v>45440</v>
      </c>
      <c r="M2332" s="116">
        <v>2666.7</v>
      </c>
      <c r="N2332" s="116">
        <v>2674</v>
      </c>
      <c r="O2332" s="116">
        <v>2634.6</v>
      </c>
      <c r="P2332" s="116">
        <v>2660</v>
      </c>
      <c r="Q2332" s="116">
        <v>2666.7</v>
      </c>
      <c r="R2332">
        <v>210787</v>
      </c>
    </row>
    <row r="2333" spans="1:18" x14ac:dyDescent="0.25">
      <c r="A2333" s="170">
        <v>45441</v>
      </c>
      <c r="B2333" s="116">
        <v>2734.95</v>
      </c>
      <c r="C2333" s="116">
        <v>2715.15</v>
      </c>
      <c r="D2333" s="116">
        <v>2647.1</v>
      </c>
      <c r="E2333" s="116">
        <v>2682</v>
      </c>
      <c r="F2333" s="116">
        <v>2715.15</v>
      </c>
      <c r="G2333">
        <v>8375</v>
      </c>
      <c r="H2333" s="116"/>
      <c r="I2333" s="116"/>
      <c r="L2333" s="170">
        <v>45441</v>
      </c>
      <c r="M2333" s="116">
        <v>2714.2</v>
      </c>
      <c r="N2333" s="116">
        <v>2735</v>
      </c>
      <c r="O2333" s="116">
        <v>2648</v>
      </c>
      <c r="P2333" s="116">
        <v>2677</v>
      </c>
      <c r="Q2333" s="116">
        <v>2714.2</v>
      </c>
      <c r="R2333">
        <v>387361</v>
      </c>
    </row>
    <row r="2334" spans="1:18" x14ac:dyDescent="0.25">
      <c r="A2334" s="170">
        <v>45442</v>
      </c>
      <c r="B2334" s="116">
        <v>2735</v>
      </c>
      <c r="C2334" s="116">
        <v>2659.05</v>
      </c>
      <c r="D2334" s="116">
        <v>2650.7</v>
      </c>
      <c r="E2334" s="116">
        <v>2718.95</v>
      </c>
      <c r="F2334" s="116">
        <v>2659.05</v>
      </c>
      <c r="G2334">
        <v>4474</v>
      </c>
      <c r="H2334" s="116"/>
      <c r="I2334" s="116"/>
      <c r="L2334" s="170">
        <v>45442</v>
      </c>
      <c r="M2334" s="116">
        <v>2658.05</v>
      </c>
      <c r="N2334" s="116">
        <v>2740</v>
      </c>
      <c r="O2334" s="116">
        <v>2648</v>
      </c>
      <c r="P2334" s="116">
        <v>2714.2</v>
      </c>
      <c r="Q2334" s="116">
        <v>2658.05</v>
      </c>
      <c r="R2334">
        <v>257586</v>
      </c>
    </row>
    <row r="2335" spans="1:18" x14ac:dyDescent="0.25">
      <c r="A2335" s="170">
        <v>45443</v>
      </c>
      <c r="B2335" s="116">
        <v>2720</v>
      </c>
      <c r="C2335" s="116">
        <v>2696.4</v>
      </c>
      <c r="D2335" s="116">
        <v>2648.85</v>
      </c>
      <c r="E2335" s="116">
        <v>2659.05</v>
      </c>
      <c r="F2335" s="116">
        <v>2696.4</v>
      </c>
      <c r="G2335">
        <v>5007</v>
      </c>
      <c r="H2335" s="116"/>
      <c r="I2335" s="116"/>
      <c r="L2335" s="170">
        <v>45443</v>
      </c>
      <c r="M2335" s="116">
        <v>2696.05</v>
      </c>
      <c r="N2335" s="116">
        <v>2722.85</v>
      </c>
      <c r="O2335" s="116">
        <v>2648</v>
      </c>
      <c r="P2335" s="116">
        <v>2660</v>
      </c>
      <c r="Q2335" s="116">
        <v>2696.05</v>
      </c>
      <c r="R2335">
        <v>1001916</v>
      </c>
    </row>
    <row r="2336" spans="1:18" x14ac:dyDescent="0.25">
      <c r="A2336" s="170">
        <v>45446</v>
      </c>
      <c r="B2336" s="116">
        <v>2730.2</v>
      </c>
      <c r="C2336" s="116">
        <v>2677.7</v>
      </c>
      <c r="D2336" s="116">
        <v>2668.9</v>
      </c>
      <c r="E2336" s="116">
        <v>2724.9</v>
      </c>
      <c r="F2336" s="116">
        <v>2677.7</v>
      </c>
      <c r="G2336">
        <v>6671</v>
      </c>
      <c r="H2336" s="116"/>
      <c r="I2336" s="116"/>
      <c r="L2336" s="170">
        <v>45446</v>
      </c>
      <c r="M2336" s="116">
        <v>2677.95</v>
      </c>
      <c r="N2336" s="116">
        <v>2729.05</v>
      </c>
      <c r="O2336" s="116">
        <v>2669.85</v>
      </c>
      <c r="P2336" s="116">
        <v>2712</v>
      </c>
      <c r="Q2336" s="116">
        <v>2677.95</v>
      </c>
      <c r="R2336">
        <v>224866</v>
      </c>
    </row>
    <row r="2337" spans="1:18" x14ac:dyDescent="0.25">
      <c r="A2337" s="170">
        <v>45447</v>
      </c>
      <c r="B2337" s="116">
        <v>2718.45</v>
      </c>
      <c r="C2337" s="116">
        <v>2697.05</v>
      </c>
      <c r="D2337" s="116">
        <v>2576.4</v>
      </c>
      <c r="E2337" s="116">
        <v>2684.6</v>
      </c>
      <c r="F2337" s="116">
        <v>2697.05</v>
      </c>
      <c r="G2337">
        <v>4851</v>
      </c>
      <c r="H2337" s="116"/>
      <c r="I2337" s="116"/>
      <c r="L2337" s="170">
        <v>45447</v>
      </c>
      <c r="M2337" s="116">
        <v>2694</v>
      </c>
      <c r="N2337" s="116">
        <v>2719.95</v>
      </c>
      <c r="O2337" s="116">
        <v>2570.4499999999998</v>
      </c>
      <c r="P2337" s="116">
        <v>2678.1</v>
      </c>
      <c r="Q2337" s="116">
        <v>2694</v>
      </c>
      <c r="R2337">
        <v>328146</v>
      </c>
    </row>
    <row r="2338" spans="1:18" x14ac:dyDescent="0.25">
      <c r="A2338" s="170">
        <v>45448</v>
      </c>
      <c r="B2338" s="116">
        <v>2800</v>
      </c>
      <c r="C2338" s="116">
        <v>2780.05</v>
      </c>
      <c r="D2338" s="116">
        <v>2688</v>
      </c>
      <c r="E2338" s="116">
        <v>2720.05</v>
      </c>
      <c r="F2338" s="116">
        <v>2780.05</v>
      </c>
      <c r="G2338">
        <v>13681</v>
      </c>
      <c r="H2338" s="116"/>
      <c r="I2338" s="116"/>
      <c r="L2338" s="170">
        <v>45448</v>
      </c>
      <c r="M2338" s="116">
        <v>2780.4</v>
      </c>
      <c r="N2338" s="116">
        <v>2800.7</v>
      </c>
      <c r="O2338" s="116">
        <v>2690.25</v>
      </c>
      <c r="P2338" s="116">
        <v>2730.6</v>
      </c>
      <c r="Q2338" s="116">
        <v>2780.4</v>
      </c>
      <c r="R2338">
        <v>310617</v>
      </c>
    </row>
    <row r="2339" spans="1:18" x14ac:dyDescent="0.25">
      <c r="A2339" s="170">
        <v>45449</v>
      </c>
      <c r="B2339" s="116">
        <v>2834.35</v>
      </c>
      <c r="C2339" s="116">
        <v>2781.15</v>
      </c>
      <c r="D2339" s="116">
        <v>2750</v>
      </c>
      <c r="E2339" s="116">
        <v>2834.35</v>
      </c>
      <c r="F2339" s="116">
        <v>2781.15</v>
      </c>
      <c r="G2339">
        <v>16755</v>
      </c>
      <c r="H2339" s="116"/>
      <c r="I2339" s="116"/>
      <c r="L2339" s="170">
        <v>45449</v>
      </c>
      <c r="M2339" s="116">
        <v>2782</v>
      </c>
      <c r="N2339" s="116">
        <v>2830.95</v>
      </c>
      <c r="O2339" s="116">
        <v>2745.35</v>
      </c>
      <c r="P2339" s="116">
        <v>2815</v>
      </c>
      <c r="Q2339" s="116">
        <v>2782</v>
      </c>
      <c r="R2339">
        <v>255802</v>
      </c>
    </row>
    <row r="2340" spans="1:18" x14ac:dyDescent="0.25">
      <c r="A2340" s="170">
        <v>45450</v>
      </c>
      <c r="B2340" s="116">
        <v>2862</v>
      </c>
      <c r="C2340" s="116">
        <v>2842.8</v>
      </c>
      <c r="D2340" s="116">
        <v>2759.95</v>
      </c>
      <c r="E2340" s="116">
        <v>2771.65</v>
      </c>
      <c r="F2340" s="116">
        <v>2842.8</v>
      </c>
      <c r="G2340">
        <v>2220</v>
      </c>
      <c r="H2340" s="116"/>
      <c r="I2340" s="116"/>
      <c r="L2340" s="170">
        <v>45450</v>
      </c>
      <c r="M2340" s="116">
        <v>2844.95</v>
      </c>
      <c r="N2340" s="116">
        <v>2866.75</v>
      </c>
      <c r="O2340" s="116">
        <v>2758.95</v>
      </c>
      <c r="P2340" s="116">
        <v>2780</v>
      </c>
      <c r="Q2340" s="116">
        <v>2844.95</v>
      </c>
      <c r="R2340">
        <v>311615</v>
      </c>
    </row>
    <row r="2341" spans="1:18" x14ac:dyDescent="0.25">
      <c r="A2341" s="170">
        <v>45453</v>
      </c>
      <c r="B2341" s="116">
        <v>2870</v>
      </c>
      <c r="C2341" s="116">
        <v>2864.05</v>
      </c>
      <c r="D2341" s="116">
        <v>2833.25</v>
      </c>
      <c r="E2341" s="116">
        <v>2844.7</v>
      </c>
      <c r="F2341" s="116">
        <v>2864.05</v>
      </c>
      <c r="G2341">
        <v>3016</v>
      </c>
      <c r="H2341" s="116"/>
      <c r="I2341" s="116"/>
      <c r="L2341" s="170">
        <v>45453</v>
      </c>
      <c r="M2341" s="116">
        <v>2863.95</v>
      </c>
      <c r="N2341" s="116">
        <v>2879.85</v>
      </c>
      <c r="O2341" s="116">
        <v>2834</v>
      </c>
      <c r="P2341" s="116">
        <v>2879.85</v>
      </c>
      <c r="Q2341" s="116">
        <v>2863.95</v>
      </c>
      <c r="R2341">
        <v>184170</v>
      </c>
    </row>
    <row r="2342" spans="1:18" x14ac:dyDescent="0.25">
      <c r="A2342" s="170">
        <v>45454</v>
      </c>
      <c r="B2342" s="116">
        <v>2904.6</v>
      </c>
      <c r="C2342" s="116">
        <v>2850.6</v>
      </c>
      <c r="D2342" s="116">
        <v>2845.75</v>
      </c>
      <c r="E2342" s="116">
        <v>2880</v>
      </c>
      <c r="F2342" s="116">
        <v>2850.6</v>
      </c>
      <c r="G2342">
        <v>7859</v>
      </c>
      <c r="H2342" s="116"/>
      <c r="I2342" s="116"/>
      <c r="L2342" s="170">
        <v>45454</v>
      </c>
      <c r="M2342" s="116">
        <v>2851</v>
      </c>
      <c r="N2342" s="116">
        <v>2905.55</v>
      </c>
      <c r="O2342" s="116">
        <v>2845.9</v>
      </c>
      <c r="P2342" s="116">
        <v>2882</v>
      </c>
      <c r="Q2342" s="116">
        <v>2851</v>
      </c>
      <c r="R2342">
        <v>227961</v>
      </c>
    </row>
    <row r="2343" spans="1:18" x14ac:dyDescent="0.25">
      <c r="A2343" s="170">
        <v>45455</v>
      </c>
      <c r="B2343" s="116">
        <v>2919.95</v>
      </c>
      <c r="C2343" s="116">
        <v>2894.45</v>
      </c>
      <c r="D2343" s="116">
        <v>2856.2</v>
      </c>
      <c r="E2343" s="116">
        <v>2866.4</v>
      </c>
      <c r="F2343" s="116">
        <v>2894.45</v>
      </c>
      <c r="G2343">
        <v>3609</v>
      </c>
      <c r="H2343" s="116"/>
      <c r="I2343" s="116"/>
      <c r="L2343" s="170">
        <v>45455</v>
      </c>
      <c r="M2343" s="116">
        <v>2893.5</v>
      </c>
      <c r="N2343" s="116">
        <v>2918.8</v>
      </c>
      <c r="O2343" s="116">
        <v>2854.9</v>
      </c>
      <c r="P2343" s="116">
        <v>2875</v>
      </c>
      <c r="Q2343" s="116">
        <v>2893.5</v>
      </c>
      <c r="R2343">
        <v>221740</v>
      </c>
    </row>
    <row r="2344" spans="1:18" x14ac:dyDescent="0.25">
      <c r="A2344" s="170">
        <v>45456</v>
      </c>
      <c r="B2344" s="116">
        <v>2912.45</v>
      </c>
      <c r="C2344" s="116">
        <v>2873.2</v>
      </c>
      <c r="D2344" s="116">
        <v>2800.05</v>
      </c>
      <c r="E2344" s="116">
        <v>2800.05</v>
      </c>
      <c r="F2344" s="116">
        <v>2873.2</v>
      </c>
      <c r="G2344">
        <v>6096</v>
      </c>
      <c r="H2344" s="116"/>
      <c r="I2344" s="116"/>
      <c r="L2344" s="170">
        <v>45456</v>
      </c>
      <c r="M2344" s="116">
        <v>2874.9</v>
      </c>
      <c r="N2344" s="116">
        <v>2908.7</v>
      </c>
      <c r="O2344" s="116">
        <v>2845.65</v>
      </c>
      <c r="P2344" s="116">
        <v>2870</v>
      </c>
      <c r="Q2344" s="116">
        <v>2874.9</v>
      </c>
      <c r="R2344">
        <v>218452</v>
      </c>
    </row>
    <row r="2345" spans="1:18" x14ac:dyDescent="0.25">
      <c r="A2345" s="170">
        <v>45457</v>
      </c>
      <c r="B2345" s="116">
        <v>2919.25</v>
      </c>
      <c r="C2345" s="116">
        <v>2882.55</v>
      </c>
      <c r="D2345" s="116">
        <v>2870</v>
      </c>
      <c r="E2345" s="116">
        <v>2874.7</v>
      </c>
      <c r="F2345" s="116">
        <v>2882.55</v>
      </c>
      <c r="G2345">
        <v>1244</v>
      </c>
      <c r="H2345" s="116"/>
      <c r="I2345" s="116"/>
      <c r="L2345" s="170">
        <v>45457</v>
      </c>
      <c r="M2345" s="116">
        <v>2882.1</v>
      </c>
      <c r="N2345" s="116">
        <v>2919.3</v>
      </c>
      <c r="O2345" s="116">
        <v>2860</v>
      </c>
      <c r="P2345" s="116">
        <v>2873</v>
      </c>
      <c r="Q2345" s="116">
        <v>2882.1</v>
      </c>
      <c r="R2345">
        <v>125792</v>
      </c>
    </row>
    <row r="2346" spans="1:18" x14ac:dyDescent="0.25">
      <c r="A2346" s="170">
        <v>45461</v>
      </c>
      <c r="B2346" s="116">
        <v>2932.95</v>
      </c>
      <c r="C2346" s="116">
        <v>2886.4</v>
      </c>
      <c r="D2346" s="116">
        <v>2859.2</v>
      </c>
      <c r="E2346" s="116">
        <v>2932.95</v>
      </c>
      <c r="F2346" s="116">
        <v>2886.4</v>
      </c>
      <c r="G2346">
        <v>3944</v>
      </c>
      <c r="H2346" s="116"/>
      <c r="I2346" s="116"/>
      <c r="L2346" s="170">
        <v>45461</v>
      </c>
      <c r="M2346" s="116">
        <v>2886.85</v>
      </c>
      <c r="N2346" s="116">
        <v>2909</v>
      </c>
      <c r="O2346" s="116">
        <v>2860.4</v>
      </c>
      <c r="P2346" s="116">
        <v>2909</v>
      </c>
      <c r="Q2346" s="116">
        <v>2886.85</v>
      </c>
      <c r="R2346">
        <v>186896</v>
      </c>
    </row>
    <row r="2347" spans="1:18" x14ac:dyDescent="0.25">
      <c r="A2347" s="170">
        <v>45462</v>
      </c>
      <c r="B2347" s="116">
        <v>2977.1</v>
      </c>
      <c r="C2347" s="116">
        <v>2883.2</v>
      </c>
      <c r="D2347" s="116">
        <v>2871</v>
      </c>
      <c r="E2347" s="116">
        <v>2910</v>
      </c>
      <c r="F2347" s="116">
        <v>2883.2</v>
      </c>
      <c r="G2347">
        <v>8645</v>
      </c>
      <c r="H2347" s="116"/>
      <c r="I2347" s="116"/>
      <c r="L2347" s="170">
        <v>45462</v>
      </c>
      <c r="M2347" s="116">
        <v>2885.55</v>
      </c>
      <c r="N2347" s="116">
        <v>2980</v>
      </c>
      <c r="O2347" s="116">
        <v>2867.95</v>
      </c>
      <c r="P2347" s="116">
        <v>2894.2</v>
      </c>
      <c r="Q2347" s="116">
        <v>2885.55</v>
      </c>
      <c r="R2347">
        <v>579158</v>
      </c>
    </row>
    <row r="2348" spans="1:18" x14ac:dyDescent="0.25">
      <c r="A2348" s="170">
        <v>45463</v>
      </c>
      <c r="B2348" s="116">
        <v>2908.45</v>
      </c>
      <c r="C2348" s="116">
        <v>2861.9</v>
      </c>
      <c r="D2348" s="116">
        <v>2839</v>
      </c>
      <c r="E2348" s="116">
        <v>2908.45</v>
      </c>
      <c r="F2348" s="116">
        <v>2861.9</v>
      </c>
      <c r="G2348">
        <v>1684</v>
      </c>
      <c r="H2348" s="116"/>
      <c r="I2348" s="116"/>
      <c r="L2348" s="170">
        <v>45463</v>
      </c>
      <c r="M2348" s="116">
        <v>2858.1</v>
      </c>
      <c r="N2348" s="116">
        <v>2899.8</v>
      </c>
      <c r="O2348" s="116">
        <v>2838.1</v>
      </c>
      <c r="P2348" s="116">
        <v>2899.8</v>
      </c>
      <c r="Q2348" s="116">
        <v>2858.1</v>
      </c>
      <c r="R2348">
        <v>154689</v>
      </c>
    </row>
    <row r="2349" spans="1:18" x14ac:dyDescent="0.25">
      <c r="A2349" s="170">
        <v>45464</v>
      </c>
      <c r="B2349" s="116">
        <v>2902.8</v>
      </c>
      <c r="C2349" s="116">
        <v>2830.55</v>
      </c>
      <c r="D2349" s="116">
        <v>2819</v>
      </c>
      <c r="E2349" s="116">
        <v>2861.9</v>
      </c>
      <c r="F2349" s="116">
        <v>2830.55</v>
      </c>
      <c r="G2349">
        <v>2760</v>
      </c>
      <c r="H2349" s="116"/>
      <c r="I2349" s="116"/>
      <c r="L2349" s="170">
        <v>45464</v>
      </c>
      <c r="M2349" s="116">
        <v>2831.25</v>
      </c>
      <c r="N2349" s="116">
        <v>2904.75</v>
      </c>
      <c r="O2349" s="116">
        <v>2815.65</v>
      </c>
      <c r="P2349" s="116">
        <v>2858.1</v>
      </c>
      <c r="Q2349" s="116">
        <v>2831.25</v>
      </c>
      <c r="R2349">
        <v>255631</v>
      </c>
    </row>
    <row r="2350" spans="1:18" x14ac:dyDescent="0.25">
      <c r="A2350" s="170">
        <v>45467</v>
      </c>
      <c r="B2350" s="116">
        <v>2888.3</v>
      </c>
      <c r="C2350" s="116">
        <v>2838.65</v>
      </c>
      <c r="D2350" s="116">
        <v>2814.35</v>
      </c>
      <c r="E2350" s="116">
        <v>2837</v>
      </c>
      <c r="F2350" s="116">
        <v>2838.65</v>
      </c>
      <c r="G2350">
        <v>1432</v>
      </c>
      <c r="H2350" s="116"/>
      <c r="I2350" s="116"/>
      <c r="L2350" s="170">
        <v>45467</v>
      </c>
      <c r="M2350" s="116">
        <v>2840.45</v>
      </c>
      <c r="N2350" s="116">
        <v>2890</v>
      </c>
      <c r="O2350" s="116">
        <v>2808.05</v>
      </c>
      <c r="P2350" s="116">
        <v>2829.1</v>
      </c>
      <c r="Q2350" s="116">
        <v>2840.45</v>
      </c>
      <c r="R2350">
        <v>227280</v>
      </c>
    </row>
    <row r="2351" spans="1:18" x14ac:dyDescent="0.25">
      <c r="A2351" s="170">
        <v>45468</v>
      </c>
      <c r="B2351" s="116">
        <v>2852.85</v>
      </c>
      <c r="C2351" s="116">
        <v>2830.35</v>
      </c>
      <c r="D2351" s="116">
        <v>2815</v>
      </c>
      <c r="E2351" s="116">
        <v>2852.3</v>
      </c>
      <c r="F2351" s="116">
        <v>2830.35</v>
      </c>
      <c r="G2351">
        <v>1528</v>
      </c>
      <c r="H2351" s="116"/>
      <c r="I2351" s="116"/>
      <c r="L2351" s="170">
        <v>45468</v>
      </c>
      <c r="M2351" s="116">
        <v>2830.45</v>
      </c>
      <c r="N2351" s="116">
        <v>2856.1</v>
      </c>
      <c r="O2351" s="116">
        <v>2810.45</v>
      </c>
      <c r="P2351" s="116">
        <v>2843.75</v>
      </c>
      <c r="Q2351" s="116">
        <v>2830.45</v>
      </c>
      <c r="R2351">
        <v>75860</v>
      </c>
    </row>
    <row r="2352" spans="1:18" x14ac:dyDescent="0.25">
      <c r="A2352" s="170">
        <v>45469</v>
      </c>
      <c r="B2352" s="116">
        <v>2887</v>
      </c>
      <c r="C2352" s="116">
        <v>2791.05</v>
      </c>
      <c r="D2352" s="116">
        <v>2780.55</v>
      </c>
      <c r="E2352" s="116">
        <v>2887</v>
      </c>
      <c r="F2352" s="116">
        <v>2791.05</v>
      </c>
      <c r="G2352">
        <v>978</v>
      </c>
      <c r="H2352" s="116"/>
      <c r="I2352" s="116"/>
      <c r="L2352" s="170">
        <v>45469</v>
      </c>
      <c r="M2352" s="116">
        <v>2790.55</v>
      </c>
      <c r="N2352" s="116">
        <v>2843.2</v>
      </c>
      <c r="O2352" s="116">
        <v>2779.25</v>
      </c>
      <c r="P2352" s="116">
        <v>2833.5</v>
      </c>
      <c r="Q2352" s="116">
        <v>2790.55</v>
      </c>
      <c r="R2352">
        <v>184605</v>
      </c>
    </row>
    <row r="2353" spans="1:18" x14ac:dyDescent="0.25">
      <c r="A2353" s="170">
        <v>45470</v>
      </c>
      <c r="B2353" s="116">
        <v>2810</v>
      </c>
      <c r="C2353" s="116">
        <v>2772.1</v>
      </c>
      <c r="D2353" s="116">
        <v>2755</v>
      </c>
      <c r="E2353" s="116">
        <v>2810</v>
      </c>
      <c r="F2353" s="116">
        <v>2772.1</v>
      </c>
      <c r="G2353">
        <v>2929</v>
      </c>
      <c r="H2353" s="116"/>
      <c r="I2353" s="116"/>
      <c r="L2353" s="170">
        <v>45470</v>
      </c>
      <c r="M2353" s="116">
        <v>2771.7</v>
      </c>
      <c r="N2353" s="116">
        <v>2806.5</v>
      </c>
      <c r="O2353" s="116">
        <v>2755.9</v>
      </c>
      <c r="P2353" s="116">
        <v>2790</v>
      </c>
      <c r="Q2353" s="116">
        <v>2771.7</v>
      </c>
      <c r="R2353">
        <v>229004</v>
      </c>
    </row>
    <row r="2354" spans="1:18" x14ac:dyDescent="0.25">
      <c r="A2354" s="170">
        <v>45471</v>
      </c>
      <c r="B2354" s="116">
        <v>2830.15</v>
      </c>
      <c r="C2354" s="116">
        <v>2789.9</v>
      </c>
      <c r="D2354" s="116">
        <v>2784.05</v>
      </c>
      <c r="E2354" s="116">
        <v>2788.1</v>
      </c>
      <c r="F2354" s="116">
        <v>2789.9</v>
      </c>
      <c r="G2354">
        <v>2431</v>
      </c>
      <c r="H2354" s="116"/>
      <c r="I2354" s="116"/>
      <c r="L2354" s="170">
        <v>45471</v>
      </c>
      <c r="M2354" s="116">
        <v>2791.3</v>
      </c>
      <c r="N2354" s="116">
        <v>2833</v>
      </c>
      <c r="O2354" s="116">
        <v>2780.05</v>
      </c>
      <c r="P2354" s="116">
        <v>2784.8</v>
      </c>
      <c r="Q2354" s="116">
        <v>2791.3</v>
      </c>
      <c r="R2354">
        <v>130761</v>
      </c>
    </row>
    <row r="2355" spans="1:18" x14ac:dyDescent="0.25">
      <c r="A2355" s="170">
        <v>45474</v>
      </c>
      <c r="B2355" s="116">
        <v>2830</v>
      </c>
      <c r="C2355" s="116">
        <v>2779.4</v>
      </c>
      <c r="D2355" s="116">
        <v>2760.3</v>
      </c>
      <c r="E2355" s="116">
        <v>2793.05</v>
      </c>
      <c r="F2355" s="116">
        <v>2779.4</v>
      </c>
      <c r="G2355">
        <v>1921</v>
      </c>
      <c r="H2355" s="116"/>
      <c r="I2355" s="116"/>
      <c r="L2355" s="170">
        <v>45474</v>
      </c>
      <c r="M2355" s="116">
        <v>2781.2</v>
      </c>
      <c r="N2355" s="116">
        <v>2816.6</v>
      </c>
      <c r="O2355" s="116">
        <v>2757.9</v>
      </c>
      <c r="P2355" s="116">
        <v>2796.1</v>
      </c>
      <c r="Q2355" s="116">
        <v>2781.2</v>
      </c>
      <c r="R2355">
        <v>376124</v>
      </c>
    </row>
    <row r="2356" spans="1:18" x14ac:dyDescent="0.25">
      <c r="A2356" s="170">
        <v>45475</v>
      </c>
      <c r="B2356" s="116">
        <v>2833.55</v>
      </c>
      <c r="C2356" s="116">
        <v>2820.95</v>
      </c>
      <c r="D2356" s="116">
        <v>2781.55</v>
      </c>
      <c r="E2356" s="116">
        <v>2781.55</v>
      </c>
      <c r="F2356" s="116">
        <v>2820.95</v>
      </c>
      <c r="G2356">
        <v>2293</v>
      </c>
      <c r="H2356" s="116"/>
      <c r="I2356" s="116"/>
      <c r="L2356" s="170">
        <v>45475</v>
      </c>
      <c r="M2356" s="116">
        <v>2819.65</v>
      </c>
      <c r="N2356" s="116">
        <v>2837</v>
      </c>
      <c r="O2356" s="116">
        <v>2785.05</v>
      </c>
      <c r="P2356" s="116">
        <v>2785.05</v>
      </c>
      <c r="Q2356" s="116">
        <v>2819.65</v>
      </c>
      <c r="R2356">
        <v>468913</v>
      </c>
    </row>
    <row r="2357" spans="1:18" x14ac:dyDescent="0.25">
      <c r="A2357" s="170">
        <v>45476</v>
      </c>
      <c r="B2357" s="116">
        <v>2850.05</v>
      </c>
      <c r="C2357" s="116">
        <v>2839.65</v>
      </c>
      <c r="D2357" s="116">
        <v>2817.9</v>
      </c>
      <c r="E2357" s="116">
        <v>2828.5</v>
      </c>
      <c r="F2357" s="116">
        <v>2839.65</v>
      </c>
      <c r="G2357">
        <v>3976</v>
      </c>
      <c r="H2357" s="116"/>
      <c r="I2357" s="116"/>
      <c r="L2357" s="170">
        <v>45476</v>
      </c>
      <c r="M2357" s="116">
        <v>2837.5</v>
      </c>
      <c r="N2357" s="116">
        <v>2853.05</v>
      </c>
      <c r="O2357" s="116">
        <v>2815.45</v>
      </c>
      <c r="P2357" s="116">
        <v>2837</v>
      </c>
      <c r="Q2357" s="116">
        <v>2837.5</v>
      </c>
      <c r="R2357">
        <v>218267</v>
      </c>
    </row>
    <row r="2358" spans="1:18" x14ac:dyDescent="0.25">
      <c r="A2358" s="170">
        <v>45477</v>
      </c>
      <c r="B2358" s="116">
        <v>2879</v>
      </c>
      <c r="C2358" s="116">
        <v>2871.05</v>
      </c>
      <c r="D2358" s="116">
        <v>2798.25</v>
      </c>
      <c r="E2358" s="116">
        <v>2840.05</v>
      </c>
      <c r="F2358" s="116">
        <v>2871.05</v>
      </c>
      <c r="G2358">
        <v>5322</v>
      </c>
      <c r="H2358" s="116"/>
      <c r="I2358" s="116"/>
      <c r="L2358" s="170">
        <v>45477</v>
      </c>
      <c r="M2358" s="116">
        <v>2870.3</v>
      </c>
      <c r="N2358" s="116">
        <v>2880</v>
      </c>
      <c r="O2358" s="116">
        <v>2799.85</v>
      </c>
      <c r="P2358" s="116">
        <v>2846.4</v>
      </c>
      <c r="Q2358" s="116">
        <v>2870.3</v>
      </c>
      <c r="R2358">
        <v>318200</v>
      </c>
    </row>
    <row r="2359" spans="1:18" x14ac:dyDescent="0.25">
      <c r="A2359" s="170">
        <v>45478</v>
      </c>
      <c r="B2359" s="116">
        <v>2924.35</v>
      </c>
      <c r="C2359" s="116">
        <v>2888.55</v>
      </c>
      <c r="D2359" s="116">
        <v>2870</v>
      </c>
      <c r="E2359" s="116">
        <v>2870</v>
      </c>
      <c r="F2359" s="116">
        <v>2888.55</v>
      </c>
      <c r="G2359">
        <v>11829</v>
      </c>
      <c r="H2359" s="116"/>
      <c r="I2359" s="116"/>
      <c r="L2359" s="170">
        <v>45478</v>
      </c>
      <c r="M2359" s="116">
        <v>2891.1</v>
      </c>
      <c r="N2359" s="116">
        <v>2925</v>
      </c>
      <c r="O2359" s="116">
        <v>2874.7</v>
      </c>
      <c r="P2359" s="116">
        <v>2874.7</v>
      </c>
      <c r="Q2359" s="116">
        <v>2891.1</v>
      </c>
      <c r="R2359">
        <v>252725</v>
      </c>
    </row>
    <row r="2360" spans="1:18" x14ac:dyDescent="0.25">
      <c r="A2360" s="170">
        <v>45481</v>
      </c>
      <c r="B2360" s="116">
        <v>2916.65</v>
      </c>
      <c r="C2360" s="116">
        <v>2875.15</v>
      </c>
      <c r="D2360" s="116">
        <v>2847.1</v>
      </c>
      <c r="E2360" s="116">
        <v>2862.65</v>
      </c>
      <c r="F2360" s="116">
        <v>2875.15</v>
      </c>
      <c r="G2360">
        <v>938</v>
      </c>
      <c r="H2360" s="116"/>
      <c r="I2360" s="116"/>
      <c r="L2360" s="170">
        <v>45481</v>
      </c>
      <c r="M2360" s="116">
        <v>2882.75</v>
      </c>
      <c r="N2360" s="116">
        <v>2919.5</v>
      </c>
      <c r="O2360" s="116">
        <v>2846.65</v>
      </c>
      <c r="P2360" s="116">
        <v>2891.85</v>
      </c>
      <c r="Q2360" s="116">
        <v>2882.75</v>
      </c>
      <c r="R2360">
        <v>143062</v>
      </c>
    </row>
    <row r="2361" spans="1:18" x14ac:dyDescent="0.25">
      <c r="A2361" s="170">
        <v>45482</v>
      </c>
      <c r="B2361" s="116">
        <v>2938.65</v>
      </c>
      <c r="C2361" s="116">
        <v>2936.1</v>
      </c>
      <c r="D2361" s="116">
        <v>2878.35</v>
      </c>
      <c r="E2361" s="116">
        <v>2898.95</v>
      </c>
      <c r="F2361" s="116">
        <v>2936.1</v>
      </c>
      <c r="G2361">
        <v>1888</v>
      </c>
      <c r="H2361" s="116"/>
      <c r="I2361" s="116"/>
      <c r="L2361" s="170">
        <v>45482</v>
      </c>
      <c r="M2361" s="116">
        <v>2936.1</v>
      </c>
      <c r="N2361" s="116">
        <v>2940</v>
      </c>
      <c r="O2361" s="116">
        <v>2878.15</v>
      </c>
      <c r="P2361" s="116">
        <v>2881.1</v>
      </c>
      <c r="Q2361" s="116">
        <v>2936.1</v>
      </c>
      <c r="R2361">
        <v>209993</v>
      </c>
    </row>
    <row r="2362" spans="1:18" x14ac:dyDescent="0.25">
      <c r="A2362" s="170">
        <v>45483</v>
      </c>
      <c r="B2362" s="116">
        <v>2965</v>
      </c>
      <c r="C2362" s="116">
        <v>2953.1</v>
      </c>
      <c r="D2362" s="116">
        <v>2901.3</v>
      </c>
      <c r="E2362" s="116">
        <v>2936.1</v>
      </c>
      <c r="F2362" s="116">
        <v>2953.1</v>
      </c>
      <c r="G2362">
        <v>6234</v>
      </c>
      <c r="H2362" s="116"/>
      <c r="I2362" s="116"/>
      <c r="L2362" s="170">
        <v>45483</v>
      </c>
      <c r="M2362" s="116">
        <v>2951.75</v>
      </c>
      <c r="N2362" s="116">
        <v>2965.25</v>
      </c>
      <c r="O2362" s="116">
        <v>2901.35</v>
      </c>
      <c r="P2362" s="116">
        <v>2950</v>
      </c>
      <c r="Q2362" s="116">
        <v>2951.75</v>
      </c>
      <c r="R2362">
        <v>232495</v>
      </c>
    </row>
    <row r="2363" spans="1:18" x14ac:dyDescent="0.25">
      <c r="A2363" s="170">
        <v>45484</v>
      </c>
      <c r="B2363" s="116">
        <v>2976.5</v>
      </c>
      <c r="C2363" s="116">
        <v>2957</v>
      </c>
      <c r="D2363" s="116">
        <v>2922.05</v>
      </c>
      <c r="E2363" s="116">
        <v>2943.1</v>
      </c>
      <c r="F2363" s="116">
        <v>2957</v>
      </c>
      <c r="G2363">
        <v>3044</v>
      </c>
      <c r="H2363" s="116"/>
      <c r="I2363" s="116"/>
      <c r="L2363" s="170">
        <v>45484</v>
      </c>
      <c r="M2363" s="116">
        <v>2958.4</v>
      </c>
      <c r="N2363" s="116">
        <v>2978.4</v>
      </c>
      <c r="O2363" s="116">
        <v>2921.1</v>
      </c>
      <c r="P2363" s="116">
        <v>2951.9</v>
      </c>
      <c r="Q2363" s="116">
        <v>2958.4</v>
      </c>
      <c r="R2363">
        <v>257651</v>
      </c>
    </row>
    <row r="2364" spans="1:18" x14ac:dyDescent="0.25">
      <c r="A2364" s="170">
        <v>45485</v>
      </c>
      <c r="B2364" s="116">
        <v>2976.2</v>
      </c>
      <c r="C2364" s="116">
        <v>2949.5</v>
      </c>
      <c r="D2364" s="116">
        <v>2930.45</v>
      </c>
      <c r="E2364" s="116">
        <v>2960</v>
      </c>
      <c r="F2364" s="116">
        <v>2949.5</v>
      </c>
      <c r="G2364">
        <v>960</v>
      </c>
      <c r="H2364" s="116"/>
      <c r="I2364" s="116"/>
      <c r="L2364" s="170">
        <v>45485</v>
      </c>
      <c r="M2364" s="116">
        <v>2948.45</v>
      </c>
      <c r="N2364" s="116">
        <v>2984</v>
      </c>
      <c r="O2364" s="116">
        <v>2929.05</v>
      </c>
      <c r="P2364" s="116">
        <v>2969.8</v>
      </c>
      <c r="Q2364" s="116">
        <v>2948.45</v>
      </c>
      <c r="R2364">
        <v>124957</v>
      </c>
    </row>
    <row r="2365" spans="1:18" x14ac:dyDescent="0.25">
      <c r="A2365" s="170">
        <v>45488</v>
      </c>
      <c r="B2365" s="116">
        <v>2977.4</v>
      </c>
      <c r="C2365" s="116">
        <v>2951.25</v>
      </c>
      <c r="D2365" s="116">
        <v>2921</v>
      </c>
      <c r="E2365" s="116">
        <v>2921</v>
      </c>
      <c r="F2365" s="116">
        <v>2951.25</v>
      </c>
      <c r="G2365">
        <v>2597</v>
      </c>
      <c r="H2365" s="116"/>
      <c r="I2365" s="116"/>
      <c r="L2365" s="170">
        <v>45488</v>
      </c>
      <c r="M2365" s="116">
        <v>2953.7</v>
      </c>
      <c r="N2365" s="116">
        <v>2978.5</v>
      </c>
      <c r="O2365" s="116">
        <v>2947</v>
      </c>
      <c r="P2365" s="116">
        <v>2950</v>
      </c>
      <c r="Q2365" s="116">
        <v>2953.7</v>
      </c>
      <c r="R2365">
        <v>136293</v>
      </c>
    </row>
    <row r="2366" spans="1:18" x14ac:dyDescent="0.25">
      <c r="A2366" s="170">
        <v>45489</v>
      </c>
      <c r="B2366" s="116">
        <v>3003.4</v>
      </c>
      <c r="C2366" s="116">
        <v>2973.45</v>
      </c>
      <c r="D2366" s="116">
        <v>2947</v>
      </c>
      <c r="E2366" s="116">
        <v>2947</v>
      </c>
      <c r="F2366" s="116">
        <v>2973.45</v>
      </c>
      <c r="G2366">
        <v>3608</v>
      </c>
      <c r="H2366" s="116"/>
      <c r="I2366" s="116"/>
      <c r="L2366" s="170">
        <v>45489</v>
      </c>
      <c r="M2366" s="116">
        <v>2975.05</v>
      </c>
      <c r="N2366" s="116">
        <v>3005</v>
      </c>
      <c r="O2366" s="116">
        <v>2945.65</v>
      </c>
      <c r="P2366" s="116">
        <v>2953.7</v>
      </c>
      <c r="Q2366" s="116">
        <v>2975.05</v>
      </c>
      <c r="R2366">
        <v>315395</v>
      </c>
    </row>
    <row r="2367" spans="1:18" x14ac:dyDescent="0.25">
      <c r="A2367" s="170">
        <v>45491</v>
      </c>
      <c r="B2367" s="116">
        <v>3068.95</v>
      </c>
      <c r="C2367" s="116">
        <v>3053.9</v>
      </c>
      <c r="D2367" s="116">
        <v>2953.35</v>
      </c>
      <c r="E2367" s="116">
        <v>2999.95</v>
      </c>
      <c r="F2367" s="116">
        <v>3053.9</v>
      </c>
      <c r="G2367">
        <v>3013</v>
      </c>
      <c r="H2367" s="116"/>
      <c r="I2367" s="116"/>
      <c r="L2367" s="170">
        <v>45491</v>
      </c>
      <c r="M2367" s="116">
        <v>3058.3</v>
      </c>
      <c r="N2367" s="116">
        <v>3073.95</v>
      </c>
      <c r="O2367" s="116">
        <v>2953.05</v>
      </c>
      <c r="P2367" s="116">
        <v>2977.7</v>
      </c>
      <c r="Q2367" s="116">
        <v>3058.3</v>
      </c>
      <c r="R2367">
        <v>416024</v>
      </c>
    </row>
    <row r="2368" spans="1:18" x14ac:dyDescent="0.25">
      <c r="A2368" s="170">
        <v>45492</v>
      </c>
      <c r="B2368" s="116">
        <v>3079</v>
      </c>
      <c r="C2368" s="116">
        <v>2948.5</v>
      </c>
      <c r="D2368" s="116">
        <v>2937.15</v>
      </c>
      <c r="E2368" s="116">
        <v>3079</v>
      </c>
      <c r="F2368" s="116">
        <v>2948.5</v>
      </c>
      <c r="G2368">
        <v>1550</v>
      </c>
      <c r="H2368" s="116"/>
      <c r="I2368" s="116"/>
      <c r="L2368" s="170">
        <v>45492</v>
      </c>
      <c r="M2368" s="116">
        <v>2946.35</v>
      </c>
      <c r="N2368" s="116">
        <v>3059.2</v>
      </c>
      <c r="O2368" s="116">
        <v>2935.1</v>
      </c>
      <c r="P2368" s="116">
        <v>3054.55</v>
      </c>
      <c r="Q2368" s="116">
        <v>2946.35</v>
      </c>
      <c r="R2368">
        <v>155562</v>
      </c>
    </row>
    <row r="2369" spans="1:18" x14ac:dyDescent="0.25">
      <c r="A2369" s="170">
        <v>45495</v>
      </c>
      <c r="B2369" s="116">
        <v>3044.15</v>
      </c>
      <c r="C2369" s="116">
        <v>3028.8</v>
      </c>
      <c r="D2369" s="116">
        <v>2906.9</v>
      </c>
      <c r="E2369" s="116">
        <v>2947.55</v>
      </c>
      <c r="F2369" s="116">
        <v>3028.8</v>
      </c>
      <c r="G2369">
        <v>4808</v>
      </c>
      <c r="H2369" s="116"/>
      <c r="I2369" s="116"/>
      <c r="L2369" s="170">
        <v>45495</v>
      </c>
      <c r="M2369" s="116">
        <v>3029.8</v>
      </c>
      <c r="N2369" s="116">
        <v>3044.65</v>
      </c>
      <c r="O2369" s="116">
        <v>2870</v>
      </c>
      <c r="P2369" s="116">
        <v>2957.6</v>
      </c>
      <c r="Q2369" s="116">
        <v>3029.8</v>
      </c>
      <c r="R2369">
        <v>240962</v>
      </c>
    </row>
    <row r="2370" spans="1:18" x14ac:dyDescent="0.25">
      <c r="A2370" s="170">
        <v>45496</v>
      </c>
      <c r="B2370" s="116">
        <v>3170</v>
      </c>
      <c r="C2370" s="116">
        <v>3137.15</v>
      </c>
      <c r="D2370" s="116">
        <v>2998</v>
      </c>
      <c r="E2370" s="116">
        <v>3044.05</v>
      </c>
      <c r="F2370" s="116">
        <v>3137.15</v>
      </c>
      <c r="G2370">
        <v>14582</v>
      </c>
      <c r="H2370" s="116"/>
      <c r="I2370" s="116"/>
      <c r="L2370" s="170">
        <v>45496</v>
      </c>
      <c r="M2370" s="116">
        <v>3138.7</v>
      </c>
      <c r="N2370" s="116">
        <v>3176.55</v>
      </c>
      <c r="O2370" s="116">
        <v>2993.85</v>
      </c>
      <c r="P2370" s="116">
        <v>3035</v>
      </c>
      <c r="Q2370" s="116">
        <v>3138.7</v>
      </c>
      <c r="R2370">
        <v>585410</v>
      </c>
    </row>
    <row r="2371" spans="1:18" x14ac:dyDescent="0.25">
      <c r="A2371" s="170">
        <v>45497</v>
      </c>
      <c r="B2371" s="116">
        <v>3185.3</v>
      </c>
      <c r="C2371" s="116">
        <v>3148.4</v>
      </c>
      <c r="D2371" s="116">
        <v>3003.3</v>
      </c>
      <c r="E2371" s="116">
        <v>3158.95</v>
      </c>
      <c r="F2371" s="116">
        <v>3148.4</v>
      </c>
      <c r="G2371">
        <v>16227</v>
      </c>
      <c r="H2371" s="116"/>
      <c r="I2371" s="116"/>
      <c r="L2371" s="170">
        <v>45497</v>
      </c>
      <c r="M2371" s="116">
        <v>3145.9</v>
      </c>
      <c r="N2371" s="116">
        <v>3192.45</v>
      </c>
      <c r="O2371" s="116">
        <v>3002.55</v>
      </c>
      <c r="P2371" s="116">
        <v>3160</v>
      </c>
      <c r="Q2371" s="116">
        <v>3145.9</v>
      </c>
      <c r="R2371">
        <v>1046153</v>
      </c>
    </row>
    <row r="2372" spans="1:18" x14ac:dyDescent="0.25">
      <c r="A2372" s="170">
        <v>45498</v>
      </c>
      <c r="B2372" s="116">
        <v>3157.6</v>
      </c>
      <c r="C2372" s="116">
        <v>3087.85</v>
      </c>
      <c r="D2372" s="116">
        <v>3073.6</v>
      </c>
      <c r="E2372" s="116">
        <v>3100</v>
      </c>
      <c r="F2372" s="116">
        <v>3087.85</v>
      </c>
      <c r="G2372">
        <v>5544</v>
      </c>
      <c r="H2372" s="116"/>
      <c r="I2372" s="116"/>
      <c r="L2372" s="170">
        <v>45498</v>
      </c>
      <c r="M2372" s="116">
        <v>3085.25</v>
      </c>
      <c r="N2372" s="116">
        <v>3158.95</v>
      </c>
      <c r="O2372" s="116">
        <v>3075</v>
      </c>
      <c r="P2372" s="116">
        <v>3092</v>
      </c>
      <c r="Q2372" s="116">
        <v>3085.25</v>
      </c>
      <c r="R2372">
        <v>507075</v>
      </c>
    </row>
    <row r="2373" spans="1:18" x14ac:dyDescent="0.25">
      <c r="A2373" s="170">
        <v>45499</v>
      </c>
      <c r="B2373" s="116">
        <v>3256.2</v>
      </c>
      <c r="C2373" s="116">
        <v>3191.25</v>
      </c>
      <c r="D2373" s="116">
        <v>3088.45</v>
      </c>
      <c r="E2373" s="116">
        <v>3091</v>
      </c>
      <c r="F2373" s="116">
        <v>3191.25</v>
      </c>
      <c r="G2373">
        <v>8523</v>
      </c>
      <c r="H2373" s="116"/>
      <c r="I2373" s="116"/>
      <c r="L2373" s="170">
        <v>45499</v>
      </c>
      <c r="M2373" s="116">
        <v>3194.9</v>
      </c>
      <c r="N2373" s="116">
        <v>3257.15</v>
      </c>
      <c r="O2373" s="116">
        <v>3087.95</v>
      </c>
      <c r="P2373" s="116">
        <v>3090.55</v>
      </c>
      <c r="Q2373" s="116">
        <v>3194.9</v>
      </c>
      <c r="R2373">
        <v>309512</v>
      </c>
    </row>
    <row r="2374" spans="1:18" x14ac:dyDescent="0.25">
      <c r="A2374" s="170">
        <v>45502</v>
      </c>
      <c r="B2374" s="116">
        <v>3221.25</v>
      </c>
      <c r="C2374" s="116">
        <v>3196.75</v>
      </c>
      <c r="D2374" s="116">
        <v>3137.95</v>
      </c>
      <c r="E2374" s="116">
        <v>3207.95</v>
      </c>
      <c r="F2374" s="116">
        <v>3196.75</v>
      </c>
      <c r="G2374">
        <v>5958</v>
      </c>
      <c r="H2374" s="116"/>
      <c r="I2374" s="116"/>
      <c r="L2374" s="170">
        <v>45502</v>
      </c>
      <c r="M2374" s="116">
        <v>3198.4</v>
      </c>
      <c r="N2374" s="116">
        <v>3227</v>
      </c>
      <c r="O2374" s="116">
        <v>3136.7</v>
      </c>
      <c r="P2374" s="116">
        <v>3195</v>
      </c>
      <c r="Q2374" s="116">
        <v>3198.4</v>
      </c>
      <c r="R2374">
        <v>533386</v>
      </c>
    </row>
    <row r="2375" spans="1:18" x14ac:dyDescent="0.25">
      <c r="A2375" s="170">
        <v>45503</v>
      </c>
      <c r="B2375" s="116">
        <v>3241.55</v>
      </c>
      <c r="C2375" s="116">
        <v>3111.1</v>
      </c>
      <c r="D2375" s="116">
        <v>3105.25</v>
      </c>
      <c r="E2375" s="116">
        <v>3220</v>
      </c>
      <c r="F2375" s="116">
        <v>3111.1</v>
      </c>
      <c r="G2375">
        <v>2320</v>
      </c>
      <c r="H2375" s="116"/>
      <c r="I2375" s="116"/>
      <c r="L2375" s="170">
        <v>45503</v>
      </c>
      <c r="M2375" s="116">
        <v>3111.15</v>
      </c>
      <c r="N2375" s="116">
        <v>3239.95</v>
      </c>
      <c r="O2375" s="116">
        <v>3103</v>
      </c>
      <c r="P2375" s="116">
        <v>3198.65</v>
      </c>
      <c r="Q2375" s="116">
        <v>3111.15</v>
      </c>
      <c r="R2375">
        <v>306432</v>
      </c>
    </row>
    <row r="2376" spans="1:18" x14ac:dyDescent="0.25">
      <c r="A2376" s="170">
        <v>45504</v>
      </c>
      <c r="B2376" s="116">
        <v>3210.25</v>
      </c>
      <c r="C2376" s="116">
        <v>3172.8</v>
      </c>
      <c r="D2376" s="116">
        <v>3120.55</v>
      </c>
      <c r="E2376" s="116">
        <v>3145.25</v>
      </c>
      <c r="F2376" s="116">
        <v>3172.8</v>
      </c>
      <c r="G2376">
        <v>11203</v>
      </c>
      <c r="H2376" s="116"/>
      <c r="I2376" s="116"/>
      <c r="L2376" s="170">
        <v>45504</v>
      </c>
      <c r="M2376" s="116">
        <v>3171.75</v>
      </c>
      <c r="N2376" s="116">
        <v>3210.85</v>
      </c>
      <c r="O2376" s="116">
        <v>3122.2</v>
      </c>
      <c r="P2376" s="116">
        <v>3127.4</v>
      </c>
      <c r="Q2376" s="116">
        <v>3171.75</v>
      </c>
      <c r="R2376">
        <v>641461</v>
      </c>
    </row>
    <row r="2377" spans="1:18" x14ac:dyDescent="0.25">
      <c r="A2377" s="170">
        <v>45505</v>
      </c>
      <c r="B2377" s="116">
        <v>3249.4</v>
      </c>
      <c r="C2377" s="116">
        <v>3215.4</v>
      </c>
      <c r="D2377" s="116">
        <v>3165</v>
      </c>
      <c r="E2377" s="116">
        <v>3169.7</v>
      </c>
      <c r="F2377" s="116">
        <v>3215.4</v>
      </c>
      <c r="G2377">
        <v>5238</v>
      </c>
      <c r="H2377" s="116"/>
      <c r="I2377" s="116"/>
      <c r="L2377" s="170">
        <v>45505</v>
      </c>
      <c r="M2377" s="116">
        <v>3205</v>
      </c>
      <c r="N2377" s="116">
        <v>3256.35</v>
      </c>
      <c r="O2377" s="116">
        <v>3160.05</v>
      </c>
      <c r="P2377" s="116">
        <v>3172.05</v>
      </c>
      <c r="Q2377" s="116">
        <v>3205</v>
      </c>
      <c r="R2377">
        <v>400745</v>
      </c>
    </row>
    <row r="2378" spans="1:18" x14ac:dyDescent="0.25">
      <c r="A2378" s="170">
        <v>45506</v>
      </c>
      <c r="B2378" s="116">
        <v>3270.9</v>
      </c>
      <c r="C2378" s="116">
        <v>3227.35</v>
      </c>
      <c r="D2378" s="116">
        <v>3160.1</v>
      </c>
      <c r="E2378" s="116">
        <v>3160.1</v>
      </c>
      <c r="F2378" s="116">
        <v>3227.35</v>
      </c>
      <c r="G2378">
        <v>7931</v>
      </c>
      <c r="H2378" s="116"/>
      <c r="I2378" s="116"/>
      <c r="L2378" s="170">
        <v>45506</v>
      </c>
      <c r="M2378" s="116">
        <v>3228.1</v>
      </c>
      <c r="N2378" s="116">
        <v>3275.5</v>
      </c>
      <c r="O2378" s="116">
        <v>3179.4</v>
      </c>
      <c r="P2378" s="116">
        <v>3190</v>
      </c>
      <c r="Q2378" s="116">
        <v>3228.1</v>
      </c>
      <c r="R2378">
        <v>647028</v>
      </c>
    </row>
    <row r="2379" spans="1:18" x14ac:dyDescent="0.25">
      <c r="A2379" s="170">
        <v>45509</v>
      </c>
      <c r="B2379" s="116">
        <v>3227.35</v>
      </c>
      <c r="C2379" s="116">
        <v>3167</v>
      </c>
      <c r="D2379" s="116">
        <v>3158.6</v>
      </c>
      <c r="E2379" s="116">
        <v>3199.95</v>
      </c>
      <c r="F2379" s="116">
        <v>3167</v>
      </c>
      <c r="G2379">
        <v>6347</v>
      </c>
      <c r="H2379" s="116"/>
      <c r="I2379" s="116"/>
      <c r="L2379" s="170">
        <v>45509</v>
      </c>
      <c r="M2379" s="116">
        <v>3167.5</v>
      </c>
      <c r="N2379" s="116">
        <v>3250</v>
      </c>
      <c r="O2379" s="116">
        <v>3156.45</v>
      </c>
      <c r="P2379" s="116">
        <v>3173.2</v>
      </c>
      <c r="Q2379" s="116">
        <v>3167.5</v>
      </c>
      <c r="R2379">
        <v>248760</v>
      </c>
    </row>
    <row r="2380" spans="1:18" x14ac:dyDescent="0.25">
      <c r="A2380" s="170">
        <v>45510</v>
      </c>
      <c r="B2380" s="116">
        <v>3295</v>
      </c>
      <c r="C2380" s="116">
        <v>3226.1</v>
      </c>
      <c r="D2380" s="116">
        <v>3175</v>
      </c>
      <c r="E2380" s="116">
        <v>3175</v>
      </c>
      <c r="F2380" s="116">
        <v>3226.1</v>
      </c>
      <c r="G2380">
        <v>4989</v>
      </c>
      <c r="H2380" s="116"/>
      <c r="I2380" s="116"/>
      <c r="L2380" s="170">
        <v>45510</v>
      </c>
      <c r="M2380" s="116">
        <v>3220.55</v>
      </c>
      <c r="N2380" s="116">
        <v>3298</v>
      </c>
      <c r="O2380" s="116">
        <v>3173.05</v>
      </c>
      <c r="P2380" s="116">
        <v>3173.5</v>
      </c>
      <c r="Q2380" s="116">
        <v>3220.55</v>
      </c>
      <c r="R2380">
        <v>636197</v>
      </c>
    </row>
    <row r="2381" spans="1:18" x14ac:dyDescent="0.25">
      <c r="A2381" s="170">
        <v>45511</v>
      </c>
      <c r="B2381" s="116">
        <v>3329.55</v>
      </c>
      <c r="C2381" s="116">
        <v>3325.35</v>
      </c>
      <c r="D2381" s="116">
        <v>3234.8</v>
      </c>
      <c r="E2381" s="116">
        <v>3240</v>
      </c>
      <c r="F2381" s="116">
        <v>3325.35</v>
      </c>
      <c r="G2381">
        <v>7200</v>
      </c>
      <c r="H2381" s="116"/>
      <c r="I2381" s="116"/>
      <c r="L2381" s="170">
        <v>45511</v>
      </c>
      <c r="M2381" s="116">
        <v>3323.65</v>
      </c>
      <c r="N2381" s="116">
        <v>3329</v>
      </c>
      <c r="O2381" s="116">
        <v>3230.05</v>
      </c>
      <c r="P2381" s="116">
        <v>3230.05</v>
      </c>
      <c r="Q2381" s="116">
        <v>3323.65</v>
      </c>
      <c r="R2381">
        <v>273861</v>
      </c>
    </row>
    <row r="2382" spans="1:18" x14ac:dyDescent="0.25">
      <c r="A2382" s="170">
        <v>45512</v>
      </c>
      <c r="B2382" s="116">
        <v>3370</v>
      </c>
      <c r="C2382" s="116">
        <v>3332.9</v>
      </c>
      <c r="D2382" s="116">
        <v>3302.85</v>
      </c>
      <c r="E2382" s="116">
        <v>3330</v>
      </c>
      <c r="F2382" s="116">
        <v>3332.9</v>
      </c>
      <c r="G2382">
        <v>4648</v>
      </c>
      <c r="H2382" s="116"/>
      <c r="I2382" s="116"/>
      <c r="L2382" s="170">
        <v>45512</v>
      </c>
      <c r="M2382" s="116">
        <v>3333.4</v>
      </c>
      <c r="N2382" s="116">
        <v>3372.85</v>
      </c>
      <c r="O2382" s="116">
        <v>3300.55</v>
      </c>
      <c r="P2382" s="116">
        <v>3331.55</v>
      </c>
      <c r="Q2382" s="116">
        <v>3333.4</v>
      </c>
      <c r="R2382">
        <v>289623</v>
      </c>
    </row>
    <row r="2383" spans="1:18" x14ac:dyDescent="0.25">
      <c r="A2383" s="170">
        <v>45513</v>
      </c>
      <c r="B2383" s="116">
        <v>3364.75</v>
      </c>
      <c r="C2383" s="116">
        <v>3335.55</v>
      </c>
      <c r="D2383" s="116">
        <v>3300</v>
      </c>
      <c r="E2383" s="116">
        <v>3349.35</v>
      </c>
      <c r="F2383" s="116">
        <v>3335.55</v>
      </c>
      <c r="G2383">
        <v>1720</v>
      </c>
      <c r="H2383" s="116"/>
      <c r="I2383" s="116"/>
      <c r="L2383" s="170">
        <v>45513</v>
      </c>
      <c r="M2383" s="116">
        <v>3338.4</v>
      </c>
      <c r="N2383" s="116">
        <v>3363.75</v>
      </c>
      <c r="O2383" s="116">
        <v>3300.1</v>
      </c>
      <c r="P2383" s="116">
        <v>3339.35</v>
      </c>
      <c r="Q2383" s="116">
        <v>3338.4</v>
      </c>
      <c r="R2383">
        <v>140553</v>
      </c>
    </row>
    <row r="2384" spans="1:18" x14ac:dyDescent="0.25">
      <c r="A2384" s="170">
        <v>45516</v>
      </c>
      <c r="B2384" s="116">
        <v>3361.5</v>
      </c>
      <c r="C2384" s="116">
        <v>3339.55</v>
      </c>
      <c r="D2384" s="116">
        <v>3309.65</v>
      </c>
      <c r="E2384" s="116">
        <v>3347.95</v>
      </c>
      <c r="F2384" s="116">
        <v>3339.55</v>
      </c>
      <c r="G2384">
        <v>2905</v>
      </c>
      <c r="H2384" s="116"/>
      <c r="I2384" s="116"/>
      <c r="L2384" s="170">
        <v>45516</v>
      </c>
      <c r="M2384" s="116">
        <v>3337.25</v>
      </c>
      <c r="N2384" s="116">
        <v>3363.95</v>
      </c>
      <c r="O2384" s="116">
        <v>3311.2</v>
      </c>
      <c r="P2384" s="116">
        <v>3338.4</v>
      </c>
      <c r="Q2384" s="116">
        <v>3337.25</v>
      </c>
      <c r="R2384">
        <v>90273</v>
      </c>
    </row>
    <row r="2385" spans="1:18" x14ac:dyDescent="0.25">
      <c r="A2385" s="170">
        <v>45517</v>
      </c>
      <c r="B2385" s="116">
        <v>3384</v>
      </c>
      <c r="C2385" s="116">
        <v>3362.4</v>
      </c>
      <c r="D2385" s="116">
        <v>3314.8</v>
      </c>
      <c r="E2385" s="116">
        <v>3330.65</v>
      </c>
      <c r="F2385" s="116">
        <v>3362.4</v>
      </c>
      <c r="G2385">
        <v>5724</v>
      </c>
      <c r="H2385" s="116"/>
      <c r="I2385" s="116"/>
      <c r="L2385" s="170">
        <v>45517</v>
      </c>
      <c r="M2385" s="116">
        <v>3363.4</v>
      </c>
      <c r="N2385" s="116">
        <v>3383.9</v>
      </c>
      <c r="O2385" s="116">
        <v>3310</v>
      </c>
      <c r="P2385" s="116">
        <v>3339.95</v>
      </c>
      <c r="Q2385" s="116">
        <v>3363.4</v>
      </c>
      <c r="R2385">
        <v>413070</v>
      </c>
    </row>
    <row r="2386" spans="1:18" x14ac:dyDescent="0.25">
      <c r="A2386" s="170">
        <v>45518</v>
      </c>
      <c r="B2386" s="116">
        <v>3394.75</v>
      </c>
      <c r="C2386" s="116">
        <v>3349.15</v>
      </c>
      <c r="D2386" s="116">
        <v>3264.85</v>
      </c>
      <c r="E2386" s="116">
        <v>3394.75</v>
      </c>
      <c r="F2386" s="116">
        <v>3349.15</v>
      </c>
      <c r="G2386">
        <v>2527</v>
      </c>
      <c r="H2386" s="116"/>
      <c r="I2386" s="116"/>
      <c r="L2386" s="170">
        <v>45518</v>
      </c>
      <c r="M2386" s="116">
        <v>3348.75</v>
      </c>
      <c r="N2386" s="116">
        <v>3383</v>
      </c>
      <c r="O2386" s="116">
        <v>3260.9</v>
      </c>
      <c r="P2386" s="116">
        <v>3383</v>
      </c>
      <c r="Q2386" s="116">
        <v>3348.75</v>
      </c>
      <c r="R2386">
        <v>447194</v>
      </c>
    </row>
    <row r="2387" spans="1:18" x14ac:dyDescent="0.25">
      <c r="A2387" s="170">
        <v>45520</v>
      </c>
      <c r="B2387" s="116">
        <v>3382.65</v>
      </c>
      <c r="C2387" s="116">
        <v>3346.35</v>
      </c>
      <c r="D2387" s="116">
        <v>3294.85</v>
      </c>
      <c r="E2387" s="116">
        <v>3382.65</v>
      </c>
      <c r="F2387" s="116">
        <v>3346.35</v>
      </c>
      <c r="G2387">
        <v>3249</v>
      </c>
      <c r="H2387" s="116"/>
      <c r="I2387" s="116"/>
      <c r="L2387" s="170">
        <v>45520</v>
      </c>
      <c r="M2387" s="116">
        <v>3348.2</v>
      </c>
      <c r="N2387" s="116">
        <v>3379.95</v>
      </c>
      <c r="O2387" s="116">
        <v>3293.05</v>
      </c>
      <c r="P2387" s="116">
        <v>3365</v>
      </c>
      <c r="Q2387" s="116">
        <v>3348.2</v>
      </c>
      <c r="R2387">
        <v>225209</v>
      </c>
    </row>
    <row r="2388" spans="1:18" x14ac:dyDescent="0.25">
      <c r="A2388" s="170">
        <v>45523</v>
      </c>
      <c r="B2388" s="116">
        <v>3370</v>
      </c>
      <c r="C2388" s="116">
        <v>3348.7</v>
      </c>
      <c r="D2388" s="116">
        <v>3331.9</v>
      </c>
      <c r="E2388" s="116">
        <v>3370</v>
      </c>
      <c r="F2388" s="116">
        <v>3348.7</v>
      </c>
      <c r="G2388">
        <v>1361</v>
      </c>
      <c r="H2388" s="116"/>
      <c r="I2388" s="116"/>
      <c r="L2388" s="170">
        <v>45523</v>
      </c>
      <c r="M2388" s="116">
        <v>3349.35</v>
      </c>
      <c r="N2388" s="116">
        <v>3369.95</v>
      </c>
      <c r="O2388" s="116">
        <v>3328.05</v>
      </c>
      <c r="P2388" s="116">
        <v>3348.95</v>
      </c>
      <c r="Q2388" s="116">
        <v>3349.35</v>
      </c>
      <c r="R2388">
        <v>82204</v>
      </c>
    </row>
    <row r="2389" spans="1:18" x14ac:dyDescent="0.25">
      <c r="A2389" s="170">
        <v>45524</v>
      </c>
      <c r="B2389" s="116">
        <v>3372.25</v>
      </c>
      <c r="C2389" s="116">
        <v>3362.35</v>
      </c>
      <c r="D2389" s="116">
        <v>3346</v>
      </c>
      <c r="E2389" s="116">
        <v>3348</v>
      </c>
      <c r="F2389" s="116">
        <v>3362.35</v>
      </c>
      <c r="G2389">
        <v>598</v>
      </c>
      <c r="H2389" s="116"/>
      <c r="I2389" s="116"/>
      <c r="L2389" s="170">
        <v>45524</v>
      </c>
      <c r="M2389" s="116">
        <v>3362.5</v>
      </c>
      <c r="N2389" s="116">
        <v>3379.5</v>
      </c>
      <c r="O2389" s="116">
        <v>3345.05</v>
      </c>
      <c r="P2389" s="116">
        <v>3365</v>
      </c>
      <c r="Q2389" s="116">
        <v>3362.5</v>
      </c>
      <c r="R2389">
        <v>206288</v>
      </c>
    </row>
    <row r="2390" spans="1:18" x14ac:dyDescent="0.25">
      <c r="A2390" s="170">
        <v>45525</v>
      </c>
      <c r="B2390" s="116">
        <v>3372.55</v>
      </c>
      <c r="C2390" s="116">
        <v>3350.55</v>
      </c>
      <c r="D2390" s="116">
        <v>3338.4</v>
      </c>
      <c r="E2390" s="116">
        <v>3355</v>
      </c>
      <c r="F2390" s="116">
        <v>3350.55</v>
      </c>
      <c r="G2390">
        <v>773</v>
      </c>
      <c r="H2390" s="116"/>
      <c r="I2390" s="116"/>
      <c r="L2390" s="170">
        <v>45525</v>
      </c>
      <c r="M2390" s="116">
        <v>3350.75</v>
      </c>
      <c r="N2390" s="116">
        <v>3371.5</v>
      </c>
      <c r="O2390" s="116">
        <v>3338</v>
      </c>
      <c r="P2390" s="116">
        <v>3362.5</v>
      </c>
      <c r="Q2390" s="116">
        <v>3350.75</v>
      </c>
      <c r="R2390">
        <v>257431</v>
      </c>
    </row>
    <row r="2391" spans="1:18" x14ac:dyDescent="0.25">
      <c r="A2391" s="170">
        <v>45526</v>
      </c>
      <c r="B2391" s="116">
        <v>3384</v>
      </c>
      <c r="C2391" s="116">
        <v>3362.25</v>
      </c>
      <c r="D2391" s="116">
        <v>3283.55</v>
      </c>
      <c r="E2391" s="116">
        <v>3339</v>
      </c>
      <c r="F2391" s="116">
        <v>3362.25</v>
      </c>
      <c r="G2391">
        <v>9292</v>
      </c>
      <c r="H2391" s="116"/>
      <c r="I2391" s="116"/>
      <c r="L2391" s="170">
        <v>45526</v>
      </c>
      <c r="M2391" s="116">
        <v>3362.6</v>
      </c>
      <c r="N2391" s="116">
        <v>3369.95</v>
      </c>
      <c r="O2391" s="116">
        <v>3324.05</v>
      </c>
      <c r="P2391" s="116">
        <v>3353.85</v>
      </c>
      <c r="Q2391" s="116">
        <v>3362.6</v>
      </c>
      <c r="R2391">
        <v>124001</v>
      </c>
    </row>
    <row r="2392" spans="1:18" x14ac:dyDescent="0.25">
      <c r="A2392" s="170">
        <v>45527</v>
      </c>
      <c r="B2392" s="116">
        <v>3389.4</v>
      </c>
      <c r="C2392" s="116">
        <v>3350.15</v>
      </c>
      <c r="D2392" s="116">
        <v>3339.9</v>
      </c>
      <c r="E2392" s="116">
        <v>3370.05</v>
      </c>
      <c r="F2392" s="116">
        <v>3350.15</v>
      </c>
      <c r="G2392">
        <v>1126</v>
      </c>
      <c r="H2392" s="116"/>
      <c r="I2392" s="116"/>
      <c r="L2392" s="170">
        <v>45527</v>
      </c>
      <c r="M2392" s="116">
        <v>3349.35</v>
      </c>
      <c r="N2392" s="116">
        <v>3391.95</v>
      </c>
      <c r="O2392" s="116">
        <v>3341.05</v>
      </c>
      <c r="P2392" s="116">
        <v>3365</v>
      </c>
      <c r="Q2392" s="116">
        <v>3349.35</v>
      </c>
      <c r="R2392">
        <v>131033</v>
      </c>
    </row>
    <row r="2393" spans="1:18" x14ac:dyDescent="0.25">
      <c r="A2393" s="170">
        <v>45530</v>
      </c>
      <c r="B2393" s="116">
        <v>3375</v>
      </c>
      <c r="C2393" s="116">
        <v>3340.25</v>
      </c>
      <c r="D2393" s="116">
        <v>3269.65</v>
      </c>
      <c r="E2393" s="116">
        <v>3269.65</v>
      </c>
      <c r="F2393" s="116">
        <v>3340.25</v>
      </c>
      <c r="G2393">
        <v>6692</v>
      </c>
      <c r="H2393" s="116"/>
      <c r="I2393" s="116"/>
      <c r="L2393" s="170">
        <v>45530</v>
      </c>
      <c r="M2393" s="116">
        <v>3342.8</v>
      </c>
      <c r="N2393" s="116">
        <v>3377</v>
      </c>
      <c r="O2393" s="116">
        <v>3311.45</v>
      </c>
      <c r="P2393" s="116">
        <v>3353.8</v>
      </c>
      <c r="Q2393" s="116">
        <v>3342.8</v>
      </c>
      <c r="R2393">
        <v>136267</v>
      </c>
    </row>
    <row r="2394" spans="1:18" x14ac:dyDescent="0.25">
      <c r="A2394" s="170">
        <v>45531</v>
      </c>
      <c r="B2394" s="116">
        <v>3374.2</v>
      </c>
      <c r="C2394" s="116">
        <v>3365.35</v>
      </c>
      <c r="D2394" s="116">
        <v>3327.15</v>
      </c>
      <c r="E2394" s="116">
        <v>3345</v>
      </c>
      <c r="F2394" s="116">
        <v>3365.35</v>
      </c>
      <c r="G2394">
        <v>1608</v>
      </c>
      <c r="H2394" s="116"/>
      <c r="I2394" s="116"/>
      <c r="L2394" s="170">
        <v>45531</v>
      </c>
      <c r="M2394" s="116">
        <v>3362</v>
      </c>
      <c r="N2394" s="116">
        <v>3374</v>
      </c>
      <c r="O2394" s="116">
        <v>3311</v>
      </c>
      <c r="P2394" s="116">
        <v>3342.8</v>
      </c>
      <c r="Q2394" s="116">
        <v>3362</v>
      </c>
      <c r="R2394">
        <v>219015</v>
      </c>
    </row>
    <row r="2395" spans="1:18" x14ac:dyDescent="0.25">
      <c r="A2395" s="170">
        <v>45532</v>
      </c>
      <c r="B2395" s="116">
        <v>3450</v>
      </c>
      <c r="C2395" s="116">
        <v>3419.9</v>
      </c>
      <c r="D2395" s="116">
        <v>3356.05</v>
      </c>
      <c r="E2395" s="116">
        <v>3365.35</v>
      </c>
      <c r="F2395" s="116">
        <v>3419.9</v>
      </c>
      <c r="G2395">
        <v>14215</v>
      </c>
      <c r="H2395" s="116"/>
      <c r="I2395" s="116"/>
      <c r="L2395" s="170">
        <v>45532</v>
      </c>
      <c r="M2395" s="116">
        <v>3419.45</v>
      </c>
      <c r="N2395" s="116">
        <v>3451</v>
      </c>
      <c r="O2395" s="116">
        <v>3360.05</v>
      </c>
      <c r="P2395" s="116">
        <v>3360.05</v>
      </c>
      <c r="Q2395" s="116">
        <v>3419.45</v>
      </c>
      <c r="R2395">
        <v>597337</v>
      </c>
    </row>
    <row r="2396" spans="1:18" x14ac:dyDescent="0.25">
      <c r="A2396" s="170">
        <v>45533</v>
      </c>
      <c r="B2396" s="116">
        <v>3440.2</v>
      </c>
      <c r="C2396" s="116">
        <v>3434.7</v>
      </c>
      <c r="D2396" s="116">
        <v>3411</v>
      </c>
      <c r="E2396" s="116">
        <v>3437</v>
      </c>
      <c r="F2396" s="116">
        <v>3434.7</v>
      </c>
      <c r="G2396">
        <v>5793</v>
      </c>
      <c r="H2396" s="116"/>
      <c r="I2396" s="116"/>
      <c r="L2396" s="170">
        <v>45533</v>
      </c>
      <c r="M2396" s="116">
        <v>3434.55</v>
      </c>
      <c r="N2396" s="116">
        <v>3445.9</v>
      </c>
      <c r="O2396" s="116">
        <v>3410.5</v>
      </c>
      <c r="P2396" s="116">
        <v>3428</v>
      </c>
      <c r="Q2396" s="116">
        <v>3434.55</v>
      </c>
      <c r="R2396">
        <v>170950</v>
      </c>
    </row>
    <row r="2397" spans="1:18" x14ac:dyDescent="0.25">
      <c r="A2397" s="170">
        <v>45534</v>
      </c>
      <c r="B2397" s="116">
        <v>3574</v>
      </c>
      <c r="C2397" s="116">
        <v>3488.7</v>
      </c>
      <c r="D2397" s="116">
        <v>3445.05</v>
      </c>
      <c r="E2397" s="116">
        <v>3445.05</v>
      </c>
      <c r="F2397" s="116">
        <v>3488.7</v>
      </c>
      <c r="G2397">
        <v>12881</v>
      </c>
      <c r="H2397" s="116"/>
      <c r="I2397" s="116"/>
      <c r="L2397" s="170">
        <v>45534</v>
      </c>
      <c r="M2397" s="116">
        <v>3485.15</v>
      </c>
      <c r="N2397" s="116">
        <v>3574</v>
      </c>
      <c r="O2397" s="116">
        <v>3447.05</v>
      </c>
      <c r="P2397" s="116">
        <v>3461.95</v>
      </c>
      <c r="Q2397" s="116">
        <v>3485.15</v>
      </c>
      <c r="R2397">
        <v>993340</v>
      </c>
    </row>
    <row r="2398" spans="1:18" x14ac:dyDescent="0.25">
      <c r="A2398" s="170">
        <v>45537</v>
      </c>
      <c r="B2398" s="116">
        <v>3538.95</v>
      </c>
      <c r="C2398" s="116">
        <v>3429.7</v>
      </c>
      <c r="D2398" s="116">
        <v>3410.3</v>
      </c>
      <c r="E2398" s="116">
        <v>3538.95</v>
      </c>
      <c r="F2398" s="116">
        <v>3429.7</v>
      </c>
      <c r="G2398">
        <v>6404</v>
      </c>
      <c r="H2398" s="116"/>
      <c r="I2398" s="116"/>
      <c r="L2398" s="170">
        <v>45537</v>
      </c>
      <c r="M2398" s="116">
        <v>3429.75</v>
      </c>
      <c r="N2398" s="116">
        <v>3523</v>
      </c>
      <c r="O2398" s="116">
        <v>3416.2</v>
      </c>
      <c r="P2398" s="116">
        <v>3503.45</v>
      </c>
      <c r="Q2398" s="116">
        <v>3429.75</v>
      </c>
      <c r="R2398">
        <v>233417</v>
      </c>
    </row>
    <row r="2399" spans="1:18" x14ac:dyDescent="0.25">
      <c r="A2399" s="170">
        <v>45538</v>
      </c>
      <c r="B2399" s="116">
        <v>3491.4</v>
      </c>
      <c r="C2399" s="116">
        <v>3425.25</v>
      </c>
      <c r="D2399" s="116">
        <v>3420</v>
      </c>
      <c r="E2399" s="116">
        <v>3420</v>
      </c>
      <c r="F2399" s="116">
        <v>3425.25</v>
      </c>
      <c r="G2399">
        <v>2485</v>
      </c>
      <c r="H2399" s="116"/>
      <c r="I2399" s="116"/>
      <c r="L2399" s="170">
        <v>45538</v>
      </c>
      <c r="M2399" s="116">
        <v>3426.1</v>
      </c>
      <c r="N2399" s="116">
        <v>3490</v>
      </c>
      <c r="O2399" s="116">
        <v>3420</v>
      </c>
      <c r="P2399" s="116">
        <v>3435.55</v>
      </c>
      <c r="Q2399" s="116">
        <v>3426.1</v>
      </c>
      <c r="R2399">
        <v>314363</v>
      </c>
    </row>
    <row r="2400" spans="1:18" x14ac:dyDescent="0.25">
      <c r="A2400" s="170">
        <v>45539</v>
      </c>
      <c r="B2400" s="116">
        <v>3467.5</v>
      </c>
      <c r="C2400" s="116">
        <v>3461.7</v>
      </c>
      <c r="D2400" s="116">
        <v>3359.35</v>
      </c>
      <c r="E2400" s="116">
        <v>3359.35</v>
      </c>
      <c r="F2400" s="116">
        <v>3461.7</v>
      </c>
      <c r="G2400">
        <v>1383</v>
      </c>
      <c r="H2400" s="116"/>
      <c r="I2400" s="116"/>
      <c r="L2400" s="170">
        <v>45539</v>
      </c>
      <c r="M2400" s="116">
        <v>3462.85</v>
      </c>
      <c r="N2400" s="116">
        <v>3469.45</v>
      </c>
      <c r="O2400" s="116">
        <v>3395</v>
      </c>
      <c r="P2400" s="116">
        <v>3401</v>
      </c>
      <c r="Q2400" s="116">
        <v>3462.85</v>
      </c>
      <c r="R2400">
        <v>176935</v>
      </c>
    </row>
    <row r="2401" spans="1:18" x14ac:dyDescent="0.25">
      <c r="A2401" s="170">
        <v>45540</v>
      </c>
      <c r="B2401" s="116">
        <v>3497.2</v>
      </c>
      <c r="C2401" s="116">
        <v>3442.75</v>
      </c>
      <c r="D2401" s="116">
        <v>3435.4</v>
      </c>
      <c r="E2401" s="116">
        <v>3459.95</v>
      </c>
      <c r="F2401" s="116">
        <v>3442.75</v>
      </c>
      <c r="G2401">
        <v>1173</v>
      </c>
      <c r="H2401" s="116"/>
      <c r="I2401" s="116"/>
      <c r="L2401" s="170">
        <v>45540</v>
      </c>
      <c r="M2401" s="116">
        <v>3442.5</v>
      </c>
      <c r="N2401" s="116">
        <v>3496.75</v>
      </c>
      <c r="O2401" s="116">
        <v>3430.05</v>
      </c>
      <c r="P2401" s="116">
        <v>3450.05</v>
      </c>
      <c r="Q2401" s="116">
        <v>3442.5</v>
      </c>
      <c r="R2401">
        <v>182585</v>
      </c>
    </row>
    <row r="2402" spans="1:18" x14ac:dyDescent="0.25">
      <c r="A2402" s="170">
        <v>45541</v>
      </c>
      <c r="B2402" s="116">
        <v>3461.1</v>
      </c>
      <c r="C2402" s="116">
        <v>3417</v>
      </c>
      <c r="D2402" s="116">
        <v>3407.45</v>
      </c>
      <c r="E2402" s="116">
        <v>3435</v>
      </c>
      <c r="F2402" s="116">
        <v>3417</v>
      </c>
      <c r="G2402">
        <v>2995</v>
      </c>
      <c r="H2402" s="116"/>
      <c r="I2402" s="116"/>
      <c r="L2402" s="170">
        <v>45541</v>
      </c>
      <c r="M2402" s="116">
        <v>3416.7</v>
      </c>
      <c r="N2402" s="116">
        <v>3465</v>
      </c>
      <c r="O2402" s="116">
        <v>3407.85</v>
      </c>
      <c r="P2402" s="116">
        <v>3454.5</v>
      </c>
      <c r="Q2402" s="116">
        <v>3416.7</v>
      </c>
      <c r="R2402">
        <v>104521</v>
      </c>
    </row>
    <row r="2403" spans="1:18" x14ac:dyDescent="0.25">
      <c r="A2403" s="170">
        <v>45544</v>
      </c>
      <c r="B2403" s="116">
        <v>3440</v>
      </c>
      <c r="C2403" s="116">
        <v>3426.8</v>
      </c>
      <c r="D2403" s="116">
        <v>3363</v>
      </c>
      <c r="E2403" s="116">
        <v>3417</v>
      </c>
      <c r="F2403" s="116">
        <v>3426.8</v>
      </c>
      <c r="G2403">
        <v>3678</v>
      </c>
      <c r="H2403" s="116"/>
      <c r="I2403" s="116"/>
      <c r="L2403" s="170">
        <v>45544</v>
      </c>
      <c r="M2403" s="116">
        <v>3431.1</v>
      </c>
      <c r="N2403" s="116">
        <v>3443.45</v>
      </c>
      <c r="O2403" s="116">
        <v>3364.15</v>
      </c>
      <c r="P2403" s="116">
        <v>3416</v>
      </c>
      <c r="Q2403" s="116">
        <v>3431.1</v>
      </c>
      <c r="R2403">
        <v>170242</v>
      </c>
    </row>
    <row r="2404" spans="1:18" x14ac:dyDescent="0.25">
      <c r="A2404" s="170">
        <v>45545</v>
      </c>
      <c r="B2404" s="116">
        <v>3490.75</v>
      </c>
      <c r="C2404" s="116">
        <v>3426.05</v>
      </c>
      <c r="D2404" s="116">
        <v>3345</v>
      </c>
      <c r="E2404" s="116">
        <v>3345</v>
      </c>
      <c r="F2404" s="116">
        <v>3426.05</v>
      </c>
      <c r="G2404">
        <v>5202</v>
      </c>
      <c r="H2404" s="116"/>
      <c r="I2404" s="116"/>
      <c r="L2404" s="170">
        <v>45545</v>
      </c>
      <c r="M2404" s="116">
        <v>3426.15</v>
      </c>
      <c r="N2404" s="116">
        <v>3492.8</v>
      </c>
      <c r="O2404" s="116">
        <v>3385</v>
      </c>
      <c r="P2404" s="116">
        <v>3385</v>
      </c>
      <c r="Q2404" s="116">
        <v>3426.15</v>
      </c>
      <c r="R2404">
        <v>368058</v>
      </c>
    </row>
    <row r="2405" spans="1:18" x14ac:dyDescent="0.25">
      <c r="A2405" s="170">
        <v>45546</v>
      </c>
      <c r="B2405" s="116">
        <v>3469.2</v>
      </c>
      <c r="C2405" s="116">
        <v>3436.8</v>
      </c>
      <c r="D2405" s="116">
        <v>3425</v>
      </c>
      <c r="E2405" s="116">
        <v>3440.05</v>
      </c>
      <c r="F2405" s="116">
        <v>3436.8</v>
      </c>
      <c r="G2405">
        <v>974</v>
      </c>
      <c r="H2405" s="116"/>
      <c r="I2405" s="116"/>
      <c r="L2405" s="170">
        <v>45546</v>
      </c>
      <c r="M2405" s="116">
        <v>3435.55</v>
      </c>
      <c r="N2405" s="116">
        <v>3470</v>
      </c>
      <c r="O2405" s="116">
        <v>3420.1</v>
      </c>
      <c r="P2405" s="116">
        <v>3455</v>
      </c>
      <c r="Q2405" s="116">
        <v>3435.55</v>
      </c>
      <c r="R2405">
        <v>201770</v>
      </c>
    </row>
    <row r="2406" spans="1:18" x14ac:dyDescent="0.25">
      <c r="A2406" s="170">
        <v>45547</v>
      </c>
      <c r="B2406" s="116">
        <v>3524.9</v>
      </c>
      <c r="C2406" s="116">
        <v>3459.8</v>
      </c>
      <c r="D2406" s="116">
        <v>3450</v>
      </c>
      <c r="E2406" s="116">
        <v>3450.1</v>
      </c>
      <c r="F2406" s="116">
        <v>3459.8</v>
      </c>
      <c r="G2406">
        <v>4945</v>
      </c>
      <c r="H2406" s="116"/>
      <c r="I2406" s="116"/>
      <c r="L2406" s="170">
        <v>45547</v>
      </c>
      <c r="M2406" s="116">
        <v>3461.45</v>
      </c>
      <c r="N2406" s="116">
        <v>3525</v>
      </c>
      <c r="O2406" s="116">
        <v>3450.3</v>
      </c>
      <c r="P2406" s="116">
        <v>3460</v>
      </c>
      <c r="Q2406" s="116">
        <v>3461.45</v>
      </c>
      <c r="R2406">
        <v>388926</v>
      </c>
    </row>
    <row r="2407" spans="1:18" x14ac:dyDescent="0.25">
      <c r="A2407" s="170">
        <v>45548</v>
      </c>
      <c r="B2407" s="116">
        <v>3494.6</v>
      </c>
      <c r="C2407" s="116">
        <v>3455.65</v>
      </c>
      <c r="D2407" s="116">
        <v>3428.65</v>
      </c>
      <c r="E2407" s="116">
        <v>3480.4</v>
      </c>
      <c r="F2407" s="116">
        <v>3455.65</v>
      </c>
      <c r="G2407">
        <v>1268</v>
      </c>
      <c r="H2407" s="116"/>
      <c r="I2407" s="116"/>
      <c r="L2407" s="170">
        <v>45548</v>
      </c>
      <c r="M2407" s="116">
        <v>3451.7</v>
      </c>
      <c r="N2407" s="116">
        <v>3498.8</v>
      </c>
      <c r="O2407" s="116">
        <v>3424.45</v>
      </c>
      <c r="P2407" s="116">
        <v>3480.8</v>
      </c>
      <c r="Q2407" s="116">
        <v>3451.7</v>
      </c>
      <c r="R2407">
        <v>199928</v>
      </c>
    </row>
    <row r="2408" spans="1:18" x14ac:dyDescent="0.25">
      <c r="A2408" s="170">
        <v>45551</v>
      </c>
      <c r="B2408" s="116">
        <v>3483.1</v>
      </c>
      <c r="C2408" s="116">
        <v>3452.55</v>
      </c>
      <c r="D2408" s="116">
        <v>3435.65</v>
      </c>
      <c r="E2408" s="116">
        <v>3445.8</v>
      </c>
      <c r="F2408" s="116">
        <v>3452.55</v>
      </c>
      <c r="G2408">
        <v>2827</v>
      </c>
      <c r="H2408" s="116"/>
      <c r="I2408" s="116"/>
      <c r="L2408" s="170">
        <v>45551</v>
      </c>
      <c r="M2408" s="116">
        <v>3453.9</v>
      </c>
      <c r="N2408" s="116">
        <v>3483.05</v>
      </c>
      <c r="O2408" s="116">
        <v>3440.65</v>
      </c>
      <c r="P2408" s="116">
        <v>3460.4</v>
      </c>
      <c r="Q2408" s="116">
        <v>3453.9</v>
      </c>
      <c r="R2408">
        <v>83215</v>
      </c>
    </row>
    <row r="2409" spans="1:18" x14ac:dyDescent="0.25">
      <c r="A2409" s="170">
        <v>45552</v>
      </c>
      <c r="B2409" s="116">
        <v>3470.7</v>
      </c>
      <c r="C2409" s="116">
        <v>3451.7</v>
      </c>
      <c r="D2409" s="116">
        <v>3444.35</v>
      </c>
      <c r="E2409" s="116">
        <v>3447.05</v>
      </c>
      <c r="F2409" s="116">
        <v>3451.7</v>
      </c>
      <c r="G2409">
        <v>1735</v>
      </c>
      <c r="H2409" s="116"/>
      <c r="I2409" s="116"/>
      <c r="L2409" s="170">
        <v>45552</v>
      </c>
      <c r="M2409" s="116">
        <v>3453.25</v>
      </c>
      <c r="N2409" s="116">
        <v>3476.7</v>
      </c>
      <c r="O2409" s="116">
        <v>3444.45</v>
      </c>
      <c r="P2409" s="116">
        <v>3468.9</v>
      </c>
      <c r="Q2409" s="116">
        <v>3453.25</v>
      </c>
      <c r="R2409">
        <v>146515</v>
      </c>
    </row>
    <row r="2410" spans="1:18" x14ac:dyDescent="0.25">
      <c r="A2410" s="170">
        <v>45553</v>
      </c>
      <c r="B2410" s="116">
        <v>3477.85</v>
      </c>
      <c r="C2410" s="116">
        <v>3360.35</v>
      </c>
      <c r="D2410" s="116">
        <v>3347.5</v>
      </c>
      <c r="E2410" s="116">
        <v>3477.85</v>
      </c>
      <c r="F2410" s="116">
        <v>3360.35</v>
      </c>
      <c r="G2410">
        <v>1577</v>
      </c>
      <c r="H2410" s="116"/>
      <c r="I2410" s="116"/>
      <c r="L2410" s="170">
        <v>45553</v>
      </c>
      <c r="M2410" s="116">
        <v>3359.6</v>
      </c>
      <c r="N2410" s="116">
        <v>3476.5</v>
      </c>
      <c r="O2410" s="116">
        <v>3348.25</v>
      </c>
      <c r="P2410" s="116">
        <v>3467</v>
      </c>
      <c r="Q2410" s="116">
        <v>3359.6</v>
      </c>
      <c r="R2410">
        <v>200401</v>
      </c>
    </row>
    <row r="2411" spans="1:18" x14ac:dyDescent="0.25">
      <c r="A2411" s="170">
        <v>45554</v>
      </c>
      <c r="B2411" s="116">
        <v>3395.85</v>
      </c>
      <c r="C2411" s="116">
        <v>3350.65</v>
      </c>
      <c r="D2411" s="116">
        <v>3321.35</v>
      </c>
      <c r="E2411" s="116">
        <v>3358.95</v>
      </c>
      <c r="F2411" s="116">
        <v>3350.65</v>
      </c>
      <c r="G2411">
        <v>3162</v>
      </c>
      <c r="H2411" s="116"/>
      <c r="I2411" s="116"/>
      <c r="L2411" s="170">
        <v>45554</v>
      </c>
      <c r="M2411" s="116">
        <v>3351.9</v>
      </c>
      <c r="N2411" s="116">
        <v>3394.85</v>
      </c>
      <c r="O2411" s="116">
        <v>3320.95</v>
      </c>
      <c r="P2411" s="116">
        <v>3348.1</v>
      </c>
      <c r="Q2411" s="116">
        <v>3351.9</v>
      </c>
      <c r="R2411">
        <v>260230</v>
      </c>
    </row>
    <row r="2412" spans="1:18" x14ac:dyDescent="0.25">
      <c r="A2412" s="170">
        <v>45555</v>
      </c>
      <c r="B2412" s="116">
        <v>3477.4</v>
      </c>
      <c r="C2412" s="116">
        <v>3462.05</v>
      </c>
      <c r="D2412" s="116">
        <v>3357.95</v>
      </c>
      <c r="E2412" s="116">
        <v>3399.75</v>
      </c>
      <c r="F2412" s="116">
        <v>3462.05</v>
      </c>
      <c r="G2412">
        <v>2814</v>
      </c>
      <c r="H2412" s="116"/>
      <c r="I2412" s="116"/>
      <c r="L2412" s="170">
        <v>45555</v>
      </c>
      <c r="M2412" s="116">
        <v>3457.8</v>
      </c>
      <c r="N2412" s="116">
        <v>3481.9</v>
      </c>
      <c r="O2412" s="116">
        <v>3355.05</v>
      </c>
      <c r="P2412" s="116">
        <v>3365.3</v>
      </c>
      <c r="Q2412" s="116">
        <v>3457.8</v>
      </c>
      <c r="R2412">
        <v>522159</v>
      </c>
    </row>
    <row r="2413" spans="1:18" x14ac:dyDescent="0.25">
      <c r="A2413" s="170">
        <v>45558</v>
      </c>
      <c r="B2413" s="116">
        <v>3520</v>
      </c>
      <c r="C2413" s="116">
        <v>3456.35</v>
      </c>
      <c r="D2413" s="116">
        <v>3425.35</v>
      </c>
      <c r="E2413" s="116">
        <v>3464.95</v>
      </c>
      <c r="F2413" s="116">
        <v>3456.35</v>
      </c>
      <c r="G2413">
        <v>2294</v>
      </c>
      <c r="H2413" s="116"/>
      <c r="I2413" s="116"/>
      <c r="L2413" s="170">
        <v>45558</v>
      </c>
      <c r="M2413" s="116">
        <v>3457.65</v>
      </c>
      <c r="N2413" s="116">
        <v>3520.35</v>
      </c>
      <c r="O2413" s="116">
        <v>3424.75</v>
      </c>
      <c r="P2413" s="116">
        <v>3477.95</v>
      </c>
      <c r="Q2413" s="116">
        <v>3457.65</v>
      </c>
      <c r="R2413">
        <v>174672</v>
      </c>
    </row>
    <row r="2414" spans="1:18" x14ac:dyDescent="0.25">
      <c r="A2414" s="170">
        <v>45559</v>
      </c>
      <c r="B2414" s="116">
        <v>3491.4</v>
      </c>
      <c r="C2414" s="116">
        <v>3474.8</v>
      </c>
      <c r="D2414" s="116">
        <v>3460</v>
      </c>
      <c r="E2414" s="116">
        <v>3481.45</v>
      </c>
      <c r="F2414" s="116">
        <v>3474.8</v>
      </c>
      <c r="G2414">
        <v>824</v>
      </c>
      <c r="H2414" s="116"/>
      <c r="I2414" s="116"/>
      <c r="L2414" s="170">
        <v>45559</v>
      </c>
      <c r="M2414" s="116">
        <v>3470.9</v>
      </c>
      <c r="N2414" s="116">
        <v>3494.9</v>
      </c>
      <c r="O2414" s="116">
        <v>3456.4</v>
      </c>
      <c r="P2414" s="116">
        <v>3468.6</v>
      </c>
      <c r="Q2414" s="116">
        <v>3470.9</v>
      </c>
      <c r="R2414">
        <v>171380</v>
      </c>
    </row>
    <row r="2415" spans="1:18" x14ac:dyDescent="0.25">
      <c r="A2415" s="170">
        <v>45560</v>
      </c>
      <c r="B2415" s="116">
        <v>3484.05</v>
      </c>
      <c r="C2415" s="116">
        <v>3430.7</v>
      </c>
      <c r="D2415" s="116">
        <v>3409.6</v>
      </c>
      <c r="E2415" s="116">
        <v>3474.8</v>
      </c>
      <c r="F2415" s="116">
        <v>3430.7</v>
      </c>
      <c r="G2415">
        <v>1998</v>
      </c>
      <c r="H2415" s="116"/>
      <c r="I2415" s="116"/>
      <c r="L2415" s="170">
        <v>45560</v>
      </c>
      <c r="M2415" s="116">
        <v>3428.05</v>
      </c>
      <c r="N2415" s="116">
        <v>3492</v>
      </c>
      <c r="O2415" s="116">
        <v>3414.05</v>
      </c>
      <c r="P2415" s="116">
        <v>3490.1</v>
      </c>
      <c r="Q2415" s="116">
        <v>3428.05</v>
      </c>
      <c r="R2415">
        <v>204828</v>
      </c>
    </row>
    <row r="2416" spans="1:18" x14ac:dyDescent="0.25">
      <c r="A2416" s="170">
        <v>45561</v>
      </c>
      <c r="B2416" s="116">
        <v>3451.45</v>
      </c>
      <c r="C2416" s="116">
        <v>3409.75</v>
      </c>
      <c r="D2416" s="116">
        <v>3365</v>
      </c>
      <c r="E2416" s="116">
        <v>3409.75</v>
      </c>
      <c r="F2416" s="116">
        <v>3409.75</v>
      </c>
      <c r="G2416">
        <v>2759</v>
      </c>
      <c r="H2416" s="116"/>
      <c r="I2416" s="116"/>
      <c r="L2416" s="170">
        <v>45561</v>
      </c>
      <c r="M2416" s="116">
        <v>3412.3</v>
      </c>
      <c r="N2416" s="116">
        <v>3449.7</v>
      </c>
      <c r="O2416" s="116">
        <v>3364.05</v>
      </c>
      <c r="P2416" s="116">
        <v>3425</v>
      </c>
      <c r="Q2416" s="116">
        <v>3412.3</v>
      </c>
      <c r="R2416">
        <v>261256</v>
      </c>
    </row>
    <row r="2417" spans="1:18" x14ac:dyDescent="0.25">
      <c r="A2417" s="170">
        <v>45562</v>
      </c>
      <c r="B2417" s="116">
        <v>3498.6</v>
      </c>
      <c r="C2417" s="116">
        <v>3480.5</v>
      </c>
      <c r="D2417" s="116">
        <v>3394.9</v>
      </c>
      <c r="E2417" s="116">
        <v>3405.4</v>
      </c>
      <c r="F2417" s="116">
        <v>3480.5</v>
      </c>
      <c r="G2417">
        <v>2911</v>
      </c>
      <c r="H2417" s="116"/>
      <c r="I2417" s="116"/>
      <c r="L2417" s="170">
        <v>45562</v>
      </c>
      <c r="M2417" s="116">
        <v>3482.6</v>
      </c>
      <c r="N2417" s="116">
        <v>3498.6</v>
      </c>
      <c r="O2417" s="116">
        <v>3395.3</v>
      </c>
      <c r="P2417" s="116">
        <v>3412.2</v>
      </c>
      <c r="Q2417" s="116">
        <v>3482.6</v>
      </c>
      <c r="R2417">
        <v>596251</v>
      </c>
    </row>
    <row r="2418" spans="1:18" x14ac:dyDescent="0.25">
      <c r="A2418" s="170">
        <v>45565</v>
      </c>
      <c r="B2418" s="116">
        <v>3500.3</v>
      </c>
      <c r="C2418" s="116">
        <v>3399.75</v>
      </c>
      <c r="D2418" s="116">
        <v>3379.85</v>
      </c>
      <c r="E2418" s="116">
        <v>3469.7</v>
      </c>
      <c r="F2418" s="116">
        <v>3399.75</v>
      </c>
      <c r="G2418">
        <v>1396</v>
      </c>
      <c r="H2418" s="116"/>
      <c r="I2418" s="116"/>
      <c r="L2418" s="170">
        <v>45565</v>
      </c>
      <c r="M2418" s="116">
        <v>3396.55</v>
      </c>
      <c r="N2418" s="116">
        <v>3502.25</v>
      </c>
      <c r="O2418" s="116">
        <v>3376.6</v>
      </c>
      <c r="P2418" s="116">
        <v>3456</v>
      </c>
      <c r="Q2418" s="116">
        <v>3396.55</v>
      </c>
      <c r="R2418">
        <v>335126</v>
      </c>
    </row>
    <row r="2419" spans="1:18" x14ac:dyDescent="0.25">
      <c r="A2419" s="170">
        <v>45566</v>
      </c>
      <c r="B2419" s="116">
        <v>3401.85</v>
      </c>
      <c r="C2419" s="116">
        <v>3370</v>
      </c>
      <c r="D2419" s="116">
        <v>3330.05</v>
      </c>
      <c r="E2419" s="116">
        <v>3390</v>
      </c>
      <c r="F2419" s="116">
        <v>3370</v>
      </c>
      <c r="G2419">
        <v>2725</v>
      </c>
      <c r="H2419" s="116"/>
      <c r="I2419" s="116"/>
      <c r="L2419" s="170">
        <v>45566</v>
      </c>
      <c r="M2419" s="116">
        <v>3369.9</v>
      </c>
      <c r="N2419" s="116">
        <v>3433.45</v>
      </c>
      <c r="O2419" s="116">
        <v>3331.45</v>
      </c>
      <c r="P2419" s="116">
        <v>3408.5</v>
      </c>
      <c r="Q2419" s="116">
        <v>3369.9</v>
      </c>
      <c r="R2419">
        <v>425354</v>
      </c>
    </row>
    <row r="2420" spans="1:18" x14ac:dyDescent="0.25">
      <c r="A2420" s="170">
        <v>45568</v>
      </c>
      <c r="B2420" s="116">
        <v>3405.6</v>
      </c>
      <c r="C2420" s="116">
        <v>3390.2</v>
      </c>
      <c r="D2420" s="116">
        <v>3334.65</v>
      </c>
      <c r="E2420" s="116">
        <v>3364.95</v>
      </c>
      <c r="F2420" s="116">
        <v>3390.2</v>
      </c>
      <c r="G2420">
        <v>7659</v>
      </c>
      <c r="H2420" s="116"/>
      <c r="I2420" s="116"/>
      <c r="L2420" s="170">
        <v>45568</v>
      </c>
      <c r="M2420" s="116">
        <v>3392.15</v>
      </c>
      <c r="N2420" s="116">
        <v>3407.25</v>
      </c>
      <c r="O2420" s="116">
        <v>3333.4</v>
      </c>
      <c r="P2420" s="116">
        <v>3333.4</v>
      </c>
      <c r="Q2420" s="116">
        <v>3392.15</v>
      </c>
      <c r="R2420">
        <v>414498</v>
      </c>
    </row>
    <row r="2421" spans="1:18" x14ac:dyDescent="0.25">
      <c r="A2421" s="170">
        <v>45569</v>
      </c>
      <c r="B2421" s="116">
        <v>3491.95</v>
      </c>
      <c r="C2421" s="116">
        <v>3475.6</v>
      </c>
      <c r="D2421" s="116">
        <v>3360</v>
      </c>
      <c r="E2421" s="116">
        <v>3406.5</v>
      </c>
      <c r="F2421" s="116">
        <v>3475.6</v>
      </c>
      <c r="G2421">
        <v>6277</v>
      </c>
      <c r="H2421" s="116"/>
      <c r="I2421" s="116"/>
      <c r="L2421" s="170">
        <v>45569</v>
      </c>
      <c r="M2421" s="116">
        <v>3473.55</v>
      </c>
      <c r="N2421" s="116">
        <v>3494.85</v>
      </c>
      <c r="O2421" s="116">
        <v>3355.05</v>
      </c>
      <c r="P2421" s="116">
        <v>3404.95</v>
      </c>
      <c r="Q2421" s="116">
        <v>3473.55</v>
      </c>
      <c r="R2421">
        <v>475367</v>
      </c>
    </row>
    <row r="2422" spans="1:18" x14ac:dyDescent="0.25">
      <c r="A2422" s="170">
        <v>45572</v>
      </c>
      <c r="B2422" s="116">
        <v>3519.6</v>
      </c>
      <c r="C2422" s="116">
        <v>3404.3</v>
      </c>
      <c r="D2422" s="116">
        <v>3391.2</v>
      </c>
      <c r="E2422" s="116">
        <v>3496.75</v>
      </c>
      <c r="F2422" s="116">
        <v>3404.3</v>
      </c>
      <c r="G2422">
        <v>7025</v>
      </c>
      <c r="H2422" s="116"/>
      <c r="I2422" s="116"/>
      <c r="L2422" s="170">
        <v>45572</v>
      </c>
      <c r="M2422" s="116">
        <v>3405.1</v>
      </c>
      <c r="N2422" s="116">
        <v>3520</v>
      </c>
      <c r="O2422" s="116">
        <v>3389.3</v>
      </c>
      <c r="P2422" s="116">
        <v>3490</v>
      </c>
      <c r="Q2422" s="116">
        <v>3405.1</v>
      </c>
      <c r="R2422">
        <v>305094</v>
      </c>
    </row>
    <row r="2423" spans="1:18" x14ac:dyDescent="0.25">
      <c r="A2423" s="170">
        <v>45573</v>
      </c>
      <c r="B2423" s="116">
        <v>3535.05</v>
      </c>
      <c r="C2423" s="116">
        <v>3519.45</v>
      </c>
      <c r="D2423" s="116">
        <v>3382.75</v>
      </c>
      <c r="E2423" s="116">
        <v>3490</v>
      </c>
      <c r="F2423" s="116">
        <v>3519.45</v>
      </c>
      <c r="G2423">
        <v>2956</v>
      </c>
      <c r="H2423" s="116"/>
      <c r="I2423" s="116"/>
      <c r="L2423" s="170">
        <v>45573</v>
      </c>
      <c r="M2423" s="116">
        <v>3517.45</v>
      </c>
      <c r="N2423" s="116">
        <v>3538</v>
      </c>
      <c r="O2423" s="116">
        <v>3380.9</v>
      </c>
      <c r="P2423" s="116">
        <v>3415</v>
      </c>
      <c r="Q2423" s="116">
        <v>3517.45</v>
      </c>
      <c r="R2423">
        <v>256690</v>
      </c>
    </row>
    <row r="2424" spans="1:18" x14ac:dyDescent="0.25">
      <c r="A2424" s="170">
        <v>45574</v>
      </c>
      <c r="B2424" s="116">
        <v>3589.3</v>
      </c>
      <c r="C2424" s="116">
        <v>3558.75</v>
      </c>
      <c r="D2424" s="116">
        <v>3503.5</v>
      </c>
      <c r="E2424" s="116">
        <v>3530.05</v>
      </c>
      <c r="F2424" s="116">
        <v>3558.75</v>
      </c>
      <c r="G2424">
        <v>8333</v>
      </c>
      <c r="H2424" s="116"/>
      <c r="I2424" s="116"/>
      <c r="L2424" s="170">
        <v>45574</v>
      </c>
      <c r="M2424" s="116">
        <v>3557.25</v>
      </c>
      <c r="N2424" s="116">
        <v>3590.7</v>
      </c>
      <c r="O2424" s="116">
        <v>3504.05</v>
      </c>
      <c r="P2424" s="116">
        <v>3534</v>
      </c>
      <c r="Q2424" s="116">
        <v>3557.25</v>
      </c>
      <c r="R2424">
        <v>463341</v>
      </c>
    </row>
    <row r="2425" spans="1:18" x14ac:dyDescent="0.25">
      <c r="A2425" s="170">
        <v>45575</v>
      </c>
      <c r="B2425" s="116">
        <v>3589.95</v>
      </c>
      <c r="C2425" s="116">
        <v>3444.15</v>
      </c>
      <c r="D2425" s="116">
        <v>3410</v>
      </c>
      <c r="E2425" s="116">
        <v>3589.95</v>
      </c>
      <c r="F2425" s="116">
        <v>3444.15</v>
      </c>
      <c r="G2425">
        <v>7499</v>
      </c>
      <c r="H2425" s="116"/>
      <c r="I2425" s="116"/>
      <c r="L2425" s="170">
        <v>45575</v>
      </c>
      <c r="M2425" s="116">
        <v>3443.25</v>
      </c>
      <c r="N2425" s="116">
        <v>3580</v>
      </c>
      <c r="O2425" s="116">
        <v>3405.95</v>
      </c>
      <c r="P2425" s="116">
        <v>3567</v>
      </c>
      <c r="Q2425" s="116">
        <v>3443.25</v>
      </c>
      <c r="R2425">
        <v>294303</v>
      </c>
    </row>
    <row r="2426" spans="1:18" x14ac:dyDescent="0.25">
      <c r="A2426" s="170">
        <v>45576</v>
      </c>
      <c r="B2426" s="116">
        <v>3521.5</v>
      </c>
      <c r="C2426" s="116">
        <v>3497.7</v>
      </c>
      <c r="D2426" s="116">
        <v>3444.15</v>
      </c>
      <c r="E2426" s="116">
        <v>3479.7</v>
      </c>
      <c r="F2426" s="116">
        <v>3497.7</v>
      </c>
      <c r="G2426">
        <v>8071</v>
      </c>
      <c r="H2426" s="116"/>
      <c r="I2426" s="116"/>
      <c r="L2426" s="170">
        <v>45576</v>
      </c>
      <c r="M2426" s="116">
        <v>3497.05</v>
      </c>
      <c r="N2426" s="116">
        <v>3520</v>
      </c>
      <c r="O2426" s="116">
        <v>3443</v>
      </c>
      <c r="P2426" s="116">
        <v>3480</v>
      </c>
      <c r="Q2426" s="116">
        <v>3497.05</v>
      </c>
      <c r="R2426">
        <v>240330</v>
      </c>
    </row>
    <row r="2427" spans="1:18" x14ac:dyDescent="0.25">
      <c r="A2427" s="170">
        <v>45579</v>
      </c>
      <c r="B2427" s="116">
        <v>3529.65</v>
      </c>
      <c r="C2427" s="116">
        <v>3490.95</v>
      </c>
      <c r="D2427" s="116">
        <v>3446.55</v>
      </c>
      <c r="E2427" s="116">
        <v>3529.65</v>
      </c>
      <c r="F2427" s="116">
        <v>3490.95</v>
      </c>
      <c r="G2427">
        <v>3917</v>
      </c>
      <c r="H2427" s="116"/>
      <c r="I2427" s="116"/>
      <c r="L2427" s="170">
        <v>45579</v>
      </c>
      <c r="M2427" s="116">
        <v>3489.95</v>
      </c>
      <c r="N2427" s="116">
        <v>3510.3</v>
      </c>
      <c r="O2427" s="116">
        <v>3448.25</v>
      </c>
      <c r="P2427" s="116">
        <v>3510.05</v>
      </c>
      <c r="Q2427" s="116">
        <v>3489.95</v>
      </c>
      <c r="R2427">
        <v>168714</v>
      </c>
    </row>
    <row r="2428" spans="1:18" x14ac:dyDescent="0.25">
      <c r="A2428" s="170">
        <v>45580</v>
      </c>
      <c r="B2428" s="116">
        <v>3529</v>
      </c>
      <c r="C2428" s="116">
        <v>3497.4</v>
      </c>
      <c r="D2428" s="116">
        <v>3479.05</v>
      </c>
      <c r="E2428" s="116">
        <v>3495</v>
      </c>
      <c r="F2428" s="116">
        <v>3497.4</v>
      </c>
      <c r="G2428">
        <v>10774</v>
      </c>
      <c r="H2428" s="116"/>
      <c r="I2428" s="116"/>
      <c r="L2428" s="170">
        <v>45580</v>
      </c>
      <c r="M2428" s="116">
        <v>3497.6</v>
      </c>
      <c r="N2428" s="116">
        <v>3531.75</v>
      </c>
      <c r="O2428" s="116">
        <v>3477.55</v>
      </c>
      <c r="P2428" s="116">
        <v>3498</v>
      </c>
      <c r="Q2428" s="116">
        <v>3497.6</v>
      </c>
      <c r="R2428">
        <v>289020</v>
      </c>
    </row>
    <row r="2429" spans="1:18" x14ac:dyDescent="0.25">
      <c r="A2429" s="170">
        <v>45581</v>
      </c>
      <c r="B2429" s="116">
        <v>3525.65</v>
      </c>
      <c r="C2429" s="116">
        <v>3513.4</v>
      </c>
      <c r="D2429" s="116">
        <v>3491.7</v>
      </c>
      <c r="E2429" s="116">
        <v>3500.55</v>
      </c>
      <c r="F2429" s="116">
        <v>3513.4</v>
      </c>
      <c r="G2429">
        <v>2378</v>
      </c>
      <c r="H2429" s="116"/>
      <c r="I2429" s="116"/>
      <c r="L2429" s="170">
        <v>45581</v>
      </c>
      <c r="M2429" s="116">
        <v>3515.35</v>
      </c>
      <c r="N2429" s="116">
        <v>3528.2</v>
      </c>
      <c r="O2429" s="116">
        <v>3490</v>
      </c>
      <c r="P2429" s="116">
        <v>3497.6</v>
      </c>
      <c r="Q2429" s="116">
        <v>3515.35</v>
      </c>
      <c r="R2429">
        <v>201555</v>
      </c>
    </row>
    <row r="2430" spans="1:18" x14ac:dyDescent="0.25">
      <c r="A2430" s="170">
        <v>45582</v>
      </c>
      <c r="B2430" s="116">
        <v>3532.5</v>
      </c>
      <c r="C2430" s="116">
        <v>3396.2</v>
      </c>
      <c r="D2430" s="116">
        <v>3385</v>
      </c>
      <c r="E2430" s="116">
        <v>3532.5</v>
      </c>
      <c r="F2430" s="116">
        <v>3396.2</v>
      </c>
      <c r="G2430">
        <v>2277</v>
      </c>
      <c r="H2430" s="116"/>
      <c r="I2430" s="116"/>
      <c r="L2430" s="170">
        <v>45582</v>
      </c>
      <c r="M2430" s="116">
        <v>3396.65</v>
      </c>
      <c r="N2430" s="116">
        <v>3522</v>
      </c>
      <c r="O2430" s="116">
        <v>3385</v>
      </c>
      <c r="P2430" s="116">
        <v>3522</v>
      </c>
      <c r="Q2430" s="116">
        <v>3396.65</v>
      </c>
      <c r="R2430">
        <v>170971</v>
      </c>
    </row>
    <row r="2431" spans="1:18" x14ac:dyDescent="0.25">
      <c r="A2431" s="170">
        <v>45583</v>
      </c>
      <c r="B2431" s="116">
        <v>3479.65</v>
      </c>
      <c r="C2431" s="116">
        <v>3447.8</v>
      </c>
      <c r="D2431" s="116">
        <v>3390</v>
      </c>
      <c r="E2431" s="116">
        <v>3414.95</v>
      </c>
      <c r="F2431" s="116">
        <v>3447.8</v>
      </c>
      <c r="G2431">
        <v>1824</v>
      </c>
      <c r="H2431" s="116"/>
      <c r="I2431" s="116"/>
      <c r="L2431" s="170">
        <v>45583</v>
      </c>
      <c r="M2431" s="116">
        <v>3449.5</v>
      </c>
      <c r="N2431" s="116">
        <v>3482.65</v>
      </c>
      <c r="O2431" s="116">
        <v>3386.5</v>
      </c>
      <c r="P2431" s="116">
        <v>3396.65</v>
      </c>
      <c r="Q2431" s="116">
        <v>3449.5</v>
      </c>
      <c r="R2431">
        <v>187099</v>
      </c>
    </row>
    <row r="2432" spans="1:18" x14ac:dyDescent="0.25">
      <c r="A2432" s="170">
        <v>45586</v>
      </c>
      <c r="B2432" s="116">
        <v>3452.25</v>
      </c>
      <c r="C2432" s="116">
        <v>3392.8</v>
      </c>
      <c r="D2432" s="116">
        <v>3381.65</v>
      </c>
      <c r="E2432" s="116">
        <v>3448</v>
      </c>
      <c r="F2432" s="116">
        <v>3392.8</v>
      </c>
      <c r="G2432">
        <v>1332</v>
      </c>
      <c r="H2432" s="116"/>
      <c r="I2432" s="116"/>
      <c r="L2432" s="170">
        <v>45586</v>
      </c>
      <c r="M2432" s="116">
        <v>3392.5</v>
      </c>
      <c r="N2432" s="116">
        <v>3458.1</v>
      </c>
      <c r="O2432" s="116">
        <v>3380</v>
      </c>
      <c r="P2432" s="116">
        <v>3454.95</v>
      </c>
      <c r="Q2432" s="116">
        <v>3392.5</v>
      </c>
      <c r="R2432">
        <v>80576</v>
      </c>
    </row>
    <row r="2433" spans="1:18" x14ac:dyDescent="0.25">
      <c r="A2433" s="170">
        <v>45587</v>
      </c>
      <c r="B2433" s="116">
        <v>3398.6</v>
      </c>
      <c r="C2433" s="116">
        <v>3336.75</v>
      </c>
      <c r="D2433" s="116">
        <v>3329</v>
      </c>
      <c r="E2433" s="116">
        <v>3397.95</v>
      </c>
      <c r="F2433" s="116">
        <v>3336.75</v>
      </c>
      <c r="G2433">
        <v>3478</v>
      </c>
      <c r="H2433" s="116"/>
      <c r="I2433" s="116"/>
      <c r="L2433" s="170">
        <v>45587</v>
      </c>
      <c r="M2433" s="116">
        <v>3339.65</v>
      </c>
      <c r="N2433" s="116">
        <v>3402.75</v>
      </c>
      <c r="O2433" s="116">
        <v>3328.65</v>
      </c>
      <c r="P2433" s="116">
        <v>3390.05</v>
      </c>
      <c r="Q2433" s="116">
        <v>3339.65</v>
      </c>
      <c r="R2433">
        <v>146815</v>
      </c>
    </row>
    <row r="2434" spans="1:18" x14ac:dyDescent="0.25">
      <c r="A2434" s="170">
        <v>45588</v>
      </c>
      <c r="B2434" s="116">
        <v>3372.6</v>
      </c>
      <c r="C2434" s="116">
        <v>3321.1</v>
      </c>
      <c r="D2434" s="116">
        <v>3306.35</v>
      </c>
      <c r="E2434" s="116">
        <v>3336.05</v>
      </c>
      <c r="F2434" s="116">
        <v>3321.1</v>
      </c>
      <c r="G2434">
        <v>2172</v>
      </c>
      <c r="H2434" s="116"/>
      <c r="I2434" s="116"/>
      <c r="L2434" s="170">
        <v>45588</v>
      </c>
      <c r="M2434" s="116">
        <v>3318.95</v>
      </c>
      <c r="N2434" s="116">
        <v>3377.9</v>
      </c>
      <c r="O2434" s="116">
        <v>3307.2</v>
      </c>
      <c r="P2434" s="116">
        <v>3339.65</v>
      </c>
      <c r="Q2434" s="116">
        <v>3318.95</v>
      </c>
      <c r="R2434">
        <v>403652</v>
      </c>
    </row>
    <row r="2435" spans="1:18" x14ac:dyDescent="0.25">
      <c r="A2435" s="170">
        <v>45589</v>
      </c>
      <c r="B2435" s="116">
        <v>3363.45</v>
      </c>
      <c r="C2435" s="116">
        <v>3317.25</v>
      </c>
      <c r="D2435" s="116">
        <v>3294</v>
      </c>
      <c r="E2435" s="116">
        <v>3315.05</v>
      </c>
      <c r="F2435" s="116">
        <v>3317.25</v>
      </c>
      <c r="G2435">
        <v>1683</v>
      </c>
      <c r="H2435" s="116"/>
      <c r="I2435" s="116"/>
      <c r="L2435" s="170">
        <v>45589</v>
      </c>
      <c r="M2435" s="116">
        <v>3321.3</v>
      </c>
      <c r="N2435" s="116">
        <v>3368.25</v>
      </c>
      <c r="O2435" s="116">
        <v>3296</v>
      </c>
      <c r="P2435" s="116">
        <v>3325</v>
      </c>
      <c r="Q2435" s="116">
        <v>3321.3</v>
      </c>
      <c r="R2435">
        <v>615291</v>
      </c>
    </row>
    <row r="2436" spans="1:18" x14ac:dyDescent="0.25">
      <c r="A2436" s="170">
        <v>45590</v>
      </c>
      <c r="B2436" s="116">
        <v>3451.95</v>
      </c>
      <c r="C2436" s="116">
        <v>3437.65</v>
      </c>
      <c r="D2436" s="116">
        <v>3320.65</v>
      </c>
      <c r="E2436" s="116">
        <v>3320.65</v>
      </c>
      <c r="F2436" s="116">
        <v>3437.65</v>
      </c>
      <c r="G2436">
        <v>14453</v>
      </c>
      <c r="H2436" s="116"/>
      <c r="I2436" s="116"/>
      <c r="L2436" s="170">
        <v>45590</v>
      </c>
      <c r="M2436" s="116">
        <v>3432.85</v>
      </c>
      <c r="N2436" s="116">
        <v>3448.15</v>
      </c>
      <c r="O2436" s="116">
        <v>3329.95</v>
      </c>
      <c r="P2436" s="116">
        <v>3329.95</v>
      </c>
      <c r="Q2436" s="116">
        <v>3432.85</v>
      </c>
      <c r="R2436">
        <v>551899</v>
      </c>
    </row>
    <row r="2437" spans="1:18" x14ac:dyDescent="0.25">
      <c r="A2437" s="170">
        <v>45593</v>
      </c>
      <c r="B2437" s="116">
        <v>3496.95</v>
      </c>
      <c r="C2437" s="116">
        <v>3314.3</v>
      </c>
      <c r="D2437" s="116">
        <v>3300</v>
      </c>
      <c r="E2437" s="116">
        <v>3437.65</v>
      </c>
      <c r="F2437" s="116">
        <v>3314.3</v>
      </c>
      <c r="G2437">
        <v>9262</v>
      </c>
      <c r="H2437" s="116"/>
      <c r="I2437" s="116"/>
      <c r="L2437" s="170">
        <v>45593</v>
      </c>
      <c r="M2437" s="116">
        <v>3316.7</v>
      </c>
      <c r="N2437" s="116">
        <v>3511.8</v>
      </c>
      <c r="O2437" s="116">
        <v>3300</v>
      </c>
      <c r="P2437" s="116">
        <v>3435</v>
      </c>
      <c r="Q2437" s="116">
        <v>3316.7</v>
      </c>
      <c r="R2437">
        <v>862562</v>
      </c>
    </row>
    <row r="2438" spans="1:18" x14ac:dyDescent="0.25">
      <c r="A2438" s="170">
        <v>45594</v>
      </c>
      <c r="B2438" s="116">
        <v>3309.85</v>
      </c>
      <c r="C2438" s="116">
        <v>3210.95</v>
      </c>
      <c r="D2438" s="116">
        <v>3174</v>
      </c>
      <c r="E2438" s="116">
        <v>3309.85</v>
      </c>
      <c r="F2438" s="116">
        <v>3210.95</v>
      </c>
      <c r="G2438">
        <v>7419</v>
      </c>
      <c r="H2438" s="116"/>
      <c r="I2438" s="116"/>
      <c r="L2438" s="170">
        <v>45594</v>
      </c>
      <c r="M2438" s="116">
        <v>3215.65</v>
      </c>
      <c r="N2438" s="116">
        <v>3300</v>
      </c>
      <c r="O2438" s="116">
        <v>3160.9</v>
      </c>
      <c r="P2438" s="116">
        <v>3300</v>
      </c>
      <c r="Q2438" s="116">
        <v>3215.65</v>
      </c>
      <c r="R2438">
        <v>604063</v>
      </c>
    </row>
    <row r="2439" spans="1:18" x14ac:dyDescent="0.25">
      <c r="A2439" s="170">
        <v>45595</v>
      </c>
      <c r="B2439" s="116">
        <v>3148.6</v>
      </c>
      <c r="C2439" s="116">
        <v>3137.15</v>
      </c>
      <c r="D2439" s="116">
        <v>3084.8</v>
      </c>
      <c r="E2439" s="116">
        <v>3130.1</v>
      </c>
      <c r="F2439" s="116">
        <v>3137.15</v>
      </c>
      <c r="G2439">
        <v>10800507</v>
      </c>
      <c r="H2439" s="116"/>
      <c r="I2439" s="116"/>
      <c r="L2439" s="170">
        <v>45595</v>
      </c>
      <c r="M2439" s="116">
        <v>3137.8</v>
      </c>
      <c r="N2439" s="116">
        <v>3149.75</v>
      </c>
      <c r="O2439" s="116">
        <v>3084.8</v>
      </c>
      <c r="P2439" s="116">
        <v>3125.2</v>
      </c>
      <c r="Q2439" s="116">
        <v>3137.8</v>
      </c>
      <c r="R2439">
        <v>3410175</v>
      </c>
    </row>
    <row r="2440" spans="1:18" x14ac:dyDescent="0.25">
      <c r="A2440" s="170">
        <v>45596</v>
      </c>
      <c r="B2440" s="116">
        <v>3228.75</v>
      </c>
      <c r="C2440" s="116">
        <v>3202.15</v>
      </c>
      <c r="D2440" s="116">
        <v>3150.3</v>
      </c>
      <c r="E2440" s="116">
        <v>3159.55</v>
      </c>
      <c r="F2440" s="116">
        <v>3202.15</v>
      </c>
      <c r="G2440">
        <v>12966</v>
      </c>
      <c r="H2440" s="116"/>
      <c r="I2440" s="116"/>
      <c r="L2440" s="170">
        <v>45596</v>
      </c>
      <c r="M2440" s="116">
        <v>3202.65</v>
      </c>
      <c r="N2440" s="116">
        <v>3229</v>
      </c>
      <c r="O2440" s="116">
        <v>3148</v>
      </c>
      <c r="P2440" s="116">
        <v>3148</v>
      </c>
      <c r="Q2440" s="116">
        <v>3202.65</v>
      </c>
      <c r="R2440">
        <v>861329</v>
      </c>
    </row>
    <row r="2441" spans="1:18" x14ac:dyDescent="0.25">
      <c r="A2441" s="170">
        <v>45597</v>
      </c>
      <c r="B2441" s="116">
        <v>3223</v>
      </c>
      <c r="C2441" s="116">
        <v>3207.7</v>
      </c>
      <c r="D2441" s="116">
        <v>3192.2</v>
      </c>
      <c r="E2441" s="116">
        <v>3192.2</v>
      </c>
      <c r="F2441" s="116">
        <v>3207.7</v>
      </c>
      <c r="G2441">
        <v>535</v>
      </c>
      <c r="H2441" s="116"/>
      <c r="I2441" s="116"/>
      <c r="L2441" s="170">
        <v>45597</v>
      </c>
      <c r="M2441" s="116">
        <v>3205.3</v>
      </c>
      <c r="N2441" s="116">
        <v>3224</v>
      </c>
      <c r="O2441" s="116">
        <v>3191.05</v>
      </c>
      <c r="P2441" s="116">
        <v>3224</v>
      </c>
      <c r="Q2441" s="116">
        <v>3205.3</v>
      </c>
      <c r="R2441">
        <v>16976</v>
      </c>
    </row>
    <row r="2442" spans="1:18" x14ac:dyDescent="0.25">
      <c r="A2442" s="170">
        <v>45600</v>
      </c>
      <c r="B2442" s="116">
        <v>3223.55</v>
      </c>
      <c r="C2442" s="116">
        <v>3198.45</v>
      </c>
      <c r="D2442" s="116">
        <v>3155</v>
      </c>
      <c r="E2442" s="116">
        <v>3203.3</v>
      </c>
      <c r="F2442" s="116">
        <v>3198.45</v>
      </c>
      <c r="G2442">
        <v>6441</v>
      </c>
      <c r="H2442" s="116"/>
      <c r="I2442" s="116"/>
      <c r="L2442" s="170">
        <v>45600</v>
      </c>
      <c r="M2442" s="116">
        <v>3200.55</v>
      </c>
      <c r="N2442" s="116">
        <v>3226.45</v>
      </c>
      <c r="O2442" s="116">
        <v>3155.3</v>
      </c>
      <c r="P2442" s="116">
        <v>3212.45</v>
      </c>
      <c r="Q2442" s="116">
        <v>3200.55</v>
      </c>
      <c r="R2442">
        <v>1149132</v>
      </c>
    </row>
    <row r="2443" spans="1:18" x14ac:dyDescent="0.25">
      <c r="A2443" s="170">
        <v>45601</v>
      </c>
      <c r="B2443" s="116">
        <v>3218.3</v>
      </c>
      <c r="C2443" s="116">
        <v>3186.35</v>
      </c>
      <c r="D2443" s="116">
        <v>3138.75</v>
      </c>
      <c r="E2443" s="116">
        <v>3182.05</v>
      </c>
      <c r="F2443" s="116">
        <v>3186.35</v>
      </c>
      <c r="G2443">
        <v>3632</v>
      </c>
      <c r="H2443" s="116"/>
      <c r="I2443" s="116"/>
      <c r="L2443" s="170">
        <v>45601</v>
      </c>
      <c r="M2443" s="116">
        <v>3184.15</v>
      </c>
      <c r="N2443" s="116">
        <v>3219</v>
      </c>
      <c r="O2443" s="116">
        <v>3137.9</v>
      </c>
      <c r="P2443" s="116">
        <v>3200.55</v>
      </c>
      <c r="Q2443" s="116">
        <v>3184.15</v>
      </c>
      <c r="R2443">
        <v>274823</v>
      </c>
    </row>
    <row r="2444" spans="1:18" x14ac:dyDescent="0.25">
      <c r="A2444" s="170">
        <v>45602</v>
      </c>
      <c r="B2444" s="116">
        <v>3239.35</v>
      </c>
      <c r="C2444" s="116">
        <v>3209.5</v>
      </c>
      <c r="D2444" s="116">
        <v>3186.65</v>
      </c>
      <c r="E2444" s="116">
        <v>3200.75</v>
      </c>
      <c r="F2444" s="116">
        <v>3209.5</v>
      </c>
      <c r="G2444">
        <v>6642</v>
      </c>
      <c r="H2444" s="116"/>
      <c r="I2444" s="116"/>
      <c r="L2444" s="170">
        <v>45602</v>
      </c>
      <c r="M2444" s="116">
        <v>3209.9</v>
      </c>
      <c r="N2444" s="116">
        <v>3242</v>
      </c>
      <c r="O2444" s="116">
        <v>3188.25</v>
      </c>
      <c r="P2444" s="116">
        <v>3212.8</v>
      </c>
      <c r="Q2444" s="116">
        <v>3209.9</v>
      </c>
      <c r="R2444">
        <v>312261</v>
      </c>
    </row>
    <row r="2445" spans="1:18" x14ac:dyDescent="0.25">
      <c r="A2445" s="170">
        <v>45603</v>
      </c>
      <c r="B2445" s="116">
        <v>3240</v>
      </c>
      <c r="C2445" s="116">
        <v>3159.4</v>
      </c>
      <c r="D2445" s="116">
        <v>3148</v>
      </c>
      <c r="E2445" s="116">
        <v>3240</v>
      </c>
      <c r="F2445" s="116">
        <v>3159.4</v>
      </c>
      <c r="G2445">
        <v>2151</v>
      </c>
      <c r="H2445" s="116"/>
      <c r="I2445" s="116"/>
      <c r="L2445" s="170">
        <v>45603</v>
      </c>
      <c r="M2445" s="116">
        <v>3162.95</v>
      </c>
      <c r="N2445" s="116">
        <v>3239.1</v>
      </c>
      <c r="O2445" s="116">
        <v>3148.05</v>
      </c>
      <c r="P2445" s="116">
        <v>3216.1</v>
      </c>
      <c r="Q2445" s="116">
        <v>3162.95</v>
      </c>
      <c r="R2445">
        <v>246838</v>
      </c>
    </row>
    <row r="2446" spans="1:18" x14ac:dyDescent="0.25">
      <c r="A2446" s="170">
        <v>45604</v>
      </c>
      <c r="B2446" s="116">
        <v>3213</v>
      </c>
      <c r="C2446" s="116">
        <v>3194.9</v>
      </c>
      <c r="D2446" s="116">
        <v>3146.65</v>
      </c>
      <c r="E2446" s="116">
        <v>3155.65</v>
      </c>
      <c r="F2446" s="116">
        <v>3194.9</v>
      </c>
      <c r="G2446">
        <v>1325</v>
      </c>
      <c r="H2446" s="116"/>
      <c r="I2446" s="116"/>
      <c r="L2446" s="170">
        <v>45604</v>
      </c>
      <c r="M2446" s="116">
        <v>3199.85</v>
      </c>
      <c r="N2446" s="116">
        <v>3216.3</v>
      </c>
      <c r="O2446" s="116">
        <v>3146.1</v>
      </c>
      <c r="P2446" s="116">
        <v>3151</v>
      </c>
      <c r="Q2446" s="116">
        <v>3199.85</v>
      </c>
      <c r="R2446">
        <v>239755</v>
      </c>
    </row>
    <row r="2447" spans="1:18" x14ac:dyDescent="0.25">
      <c r="A2447" s="170">
        <v>45607</v>
      </c>
      <c r="B2447" s="116">
        <v>3197.75</v>
      </c>
      <c r="C2447" s="116">
        <v>3151.9</v>
      </c>
      <c r="D2447" s="116">
        <v>3145.75</v>
      </c>
      <c r="E2447" s="116">
        <v>3162.05</v>
      </c>
      <c r="F2447" s="116">
        <v>3151.9</v>
      </c>
      <c r="G2447">
        <v>1104</v>
      </c>
      <c r="H2447" s="116"/>
      <c r="I2447" s="116"/>
      <c r="L2447" s="170">
        <v>45607</v>
      </c>
      <c r="M2447" s="116">
        <v>3151.65</v>
      </c>
      <c r="N2447" s="116">
        <v>3203.15</v>
      </c>
      <c r="O2447" s="116">
        <v>3145.5</v>
      </c>
      <c r="P2447" s="116">
        <v>3200.05</v>
      </c>
      <c r="Q2447" s="116">
        <v>3151.65</v>
      </c>
      <c r="R2447">
        <v>172047</v>
      </c>
    </row>
    <row r="2448" spans="1:18" x14ac:dyDescent="0.25">
      <c r="A2448" s="170">
        <v>45608</v>
      </c>
      <c r="B2448" s="116">
        <v>3197</v>
      </c>
      <c r="C2448" s="116">
        <v>3150.55</v>
      </c>
      <c r="D2448" s="116">
        <v>3062.5</v>
      </c>
      <c r="E2448" s="116">
        <v>3131</v>
      </c>
      <c r="F2448" s="116">
        <v>3150.55</v>
      </c>
      <c r="G2448">
        <v>7111</v>
      </c>
      <c r="H2448" s="116"/>
      <c r="I2448" s="116"/>
      <c r="L2448" s="170">
        <v>45608</v>
      </c>
      <c r="M2448" s="116">
        <v>3151.05</v>
      </c>
      <c r="N2448" s="116">
        <v>3200.35</v>
      </c>
      <c r="O2448" s="116">
        <v>3052</v>
      </c>
      <c r="P2448" s="116">
        <v>3170</v>
      </c>
      <c r="Q2448" s="116">
        <v>3151.05</v>
      </c>
      <c r="R2448">
        <v>382160</v>
      </c>
    </row>
    <row r="2449" spans="1:18" x14ac:dyDescent="0.25">
      <c r="A2449" s="170">
        <v>45609</v>
      </c>
      <c r="B2449" s="116">
        <v>3156.35</v>
      </c>
      <c r="C2449" s="116">
        <v>3122.45</v>
      </c>
      <c r="D2449" s="116">
        <v>3098.25</v>
      </c>
      <c r="E2449" s="116">
        <v>3150.05</v>
      </c>
      <c r="F2449" s="116">
        <v>3122.45</v>
      </c>
      <c r="G2449">
        <v>3365</v>
      </c>
      <c r="H2449" s="116"/>
      <c r="I2449" s="116"/>
      <c r="L2449" s="170">
        <v>45609</v>
      </c>
      <c r="M2449" s="116">
        <v>3116.6</v>
      </c>
      <c r="N2449" s="116">
        <v>3159.3</v>
      </c>
      <c r="O2449" s="116">
        <v>3097.9</v>
      </c>
      <c r="P2449" s="116">
        <v>3151.05</v>
      </c>
      <c r="Q2449" s="116">
        <v>3116.6</v>
      </c>
      <c r="R2449">
        <v>184256</v>
      </c>
    </row>
    <row r="2450" spans="1:18" x14ac:dyDescent="0.25">
      <c r="A2450" s="170">
        <v>45610</v>
      </c>
      <c r="B2450" s="116">
        <v>3138.35</v>
      </c>
      <c r="C2450" s="116">
        <v>3102.35</v>
      </c>
      <c r="D2450" s="116">
        <v>3097.9</v>
      </c>
      <c r="E2450" s="116">
        <v>3130</v>
      </c>
      <c r="F2450" s="116">
        <v>3102.35</v>
      </c>
      <c r="G2450">
        <v>17905</v>
      </c>
      <c r="H2450" s="116"/>
      <c r="I2450" s="116"/>
      <c r="L2450" s="170">
        <v>45610</v>
      </c>
      <c r="M2450" s="116">
        <v>3102.4</v>
      </c>
      <c r="N2450" s="116">
        <v>3141.45</v>
      </c>
      <c r="O2450" s="116">
        <v>3094.6</v>
      </c>
      <c r="P2450" s="116">
        <v>3116.05</v>
      </c>
      <c r="Q2450" s="116">
        <v>3102.4</v>
      </c>
      <c r="R2450">
        <v>223405</v>
      </c>
    </row>
    <row r="2451" spans="1:18" x14ac:dyDescent="0.25">
      <c r="A2451" s="170">
        <v>45614</v>
      </c>
      <c r="B2451" s="116">
        <v>3135</v>
      </c>
      <c r="C2451" s="116">
        <v>3105.65</v>
      </c>
      <c r="D2451" s="116">
        <v>3060.8</v>
      </c>
      <c r="E2451" s="116">
        <v>3060.8</v>
      </c>
      <c r="F2451" s="116">
        <v>3105.65</v>
      </c>
      <c r="G2451">
        <v>1844</v>
      </c>
      <c r="H2451" s="116"/>
      <c r="I2451" s="116"/>
      <c r="L2451" s="170">
        <v>45614</v>
      </c>
      <c r="M2451" s="116">
        <v>3105.6</v>
      </c>
      <c r="N2451" s="116">
        <v>3141</v>
      </c>
      <c r="O2451" s="116">
        <v>3075.25</v>
      </c>
      <c r="P2451" s="116">
        <v>3103.05</v>
      </c>
      <c r="Q2451" s="116">
        <v>3105.6</v>
      </c>
      <c r="R2451">
        <v>195002</v>
      </c>
    </row>
    <row r="2452" spans="1:18" x14ac:dyDescent="0.25">
      <c r="A2452" s="170">
        <v>45615</v>
      </c>
      <c r="B2452" s="116">
        <v>3131.95</v>
      </c>
      <c r="C2452" s="116">
        <v>3094.8</v>
      </c>
      <c r="D2452" s="116">
        <v>3088.85</v>
      </c>
      <c r="E2452" s="116">
        <v>3100.05</v>
      </c>
      <c r="F2452" s="116">
        <v>3094.8</v>
      </c>
      <c r="G2452">
        <v>4602</v>
      </c>
      <c r="H2452" s="116"/>
      <c r="I2452" s="116"/>
      <c r="L2452" s="170">
        <v>45615</v>
      </c>
      <c r="M2452" s="116">
        <v>3094.85</v>
      </c>
      <c r="N2452" s="116">
        <v>3133.55</v>
      </c>
      <c r="O2452" s="116">
        <v>3085.9</v>
      </c>
      <c r="P2452" s="116">
        <v>3105.6</v>
      </c>
      <c r="Q2452" s="116">
        <v>3094.85</v>
      </c>
      <c r="R2452">
        <v>171432</v>
      </c>
    </row>
    <row r="2453" spans="1:18" x14ac:dyDescent="0.25">
      <c r="A2453" s="170">
        <v>45617</v>
      </c>
      <c r="B2453" s="116">
        <v>3125.25</v>
      </c>
      <c r="C2453" s="116">
        <v>3104.55</v>
      </c>
      <c r="D2453" s="116">
        <v>3075.05</v>
      </c>
      <c r="E2453" s="116">
        <v>3075.05</v>
      </c>
      <c r="F2453" s="116">
        <v>3104.55</v>
      </c>
      <c r="G2453">
        <v>1049</v>
      </c>
      <c r="H2453" s="116"/>
      <c r="I2453" s="116"/>
      <c r="L2453" s="170">
        <v>45617</v>
      </c>
      <c r="M2453" s="116">
        <v>3101.95</v>
      </c>
      <c r="N2453" s="116">
        <v>3128</v>
      </c>
      <c r="O2453" s="116">
        <v>3076</v>
      </c>
      <c r="P2453" s="116">
        <v>3095.05</v>
      </c>
      <c r="Q2453" s="116">
        <v>3101.95</v>
      </c>
      <c r="R2453">
        <v>170973</v>
      </c>
    </row>
    <row r="2454" spans="1:18" x14ac:dyDescent="0.25">
      <c r="A2454" s="170">
        <v>45618</v>
      </c>
      <c r="B2454" s="116">
        <v>3186</v>
      </c>
      <c r="C2454" s="116">
        <v>3170.55</v>
      </c>
      <c r="D2454" s="116">
        <v>3102</v>
      </c>
      <c r="E2454" s="116">
        <v>3102</v>
      </c>
      <c r="F2454" s="116">
        <v>3170.55</v>
      </c>
      <c r="G2454">
        <v>3974</v>
      </c>
      <c r="H2454" s="116"/>
      <c r="I2454" s="116"/>
      <c r="L2454" s="170">
        <v>45618</v>
      </c>
      <c r="M2454" s="116">
        <v>3167.1</v>
      </c>
      <c r="N2454" s="116">
        <v>3189.7</v>
      </c>
      <c r="O2454" s="116">
        <v>3102.05</v>
      </c>
      <c r="P2454" s="116">
        <v>3102.05</v>
      </c>
      <c r="Q2454" s="116">
        <v>3167.1</v>
      </c>
      <c r="R2454">
        <v>290862</v>
      </c>
    </row>
    <row r="2455" spans="1:18" x14ac:dyDescent="0.25">
      <c r="A2455" s="170">
        <v>45621</v>
      </c>
      <c r="B2455" s="116">
        <v>3273.8</v>
      </c>
      <c r="C2455" s="116">
        <v>3268</v>
      </c>
      <c r="D2455" s="116">
        <v>3160.6</v>
      </c>
      <c r="E2455" s="116">
        <v>3229.95</v>
      </c>
      <c r="F2455" s="116">
        <v>3268</v>
      </c>
      <c r="G2455">
        <v>5899</v>
      </c>
      <c r="H2455" s="116"/>
      <c r="I2455" s="116"/>
      <c r="L2455" s="170">
        <v>45621</v>
      </c>
      <c r="M2455" s="116">
        <v>3266.6</v>
      </c>
      <c r="N2455" s="116">
        <v>3276</v>
      </c>
      <c r="O2455" s="116">
        <v>3163.6</v>
      </c>
      <c r="P2455" s="116">
        <v>3206</v>
      </c>
      <c r="Q2455" s="116">
        <v>3266.6</v>
      </c>
      <c r="R2455">
        <v>637198</v>
      </c>
    </row>
    <row r="2456" spans="1:18" x14ac:dyDescent="0.25">
      <c r="A2456" s="170">
        <v>45622</v>
      </c>
      <c r="B2456" s="116">
        <v>3274.7</v>
      </c>
      <c r="C2456" s="116">
        <v>3226.75</v>
      </c>
      <c r="D2456" s="116">
        <v>3218</v>
      </c>
      <c r="E2456" s="116">
        <v>3245.25</v>
      </c>
      <c r="F2456" s="116">
        <v>3226.75</v>
      </c>
      <c r="G2456">
        <v>4689</v>
      </c>
      <c r="H2456" s="116"/>
      <c r="I2456" s="116"/>
      <c r="L2456" s="170">
        <v>45622</v>
      </c>
      <c r="M2456" s="116">
        <v>3225.55</v>
      </c>
      <c r="N2456" s="116">
        <v>3275</v>
      </c>
      <c r="O2456" s="116">
        <v>3215.9</v>
      </c>
      <c r="P2456" s="116">
        <v>3260</v>
      </c>
      <c r="Q2456" s="116">
        <v>3225.55</v>
      </c>
      <c r="R2456">
        <v>206124</v>
      </c>
    </row>
    <row r="2457" spans="1:18" x14ac:dyDescent="0.25">
      <c r="A2457" s="170">
        <v>45623</v>
      </c>
      <c r="B2457" s="116">
        <v>3258.95</v>
      </c>
      <c r="C2457" s="116">
        <v>3223.15</v>
      </c>
      <c r="D2457" s="116">
        <v>3169.75</v>
      </c>
      <c r="E2457" s="116">
        <v>3258.95</v>
      </c>
      <c r="F2457" s="116">
        <v>3223.15</v>
      </c>
      <c r="G2457">
        <v>2266</v>
      </c>
      <c r="H2457" s="116"/>
      <c r="I2457" s="116"/>
      <c r="L2457" s="170">
        <v>45623</v>
      </c>
      <c r="M2457" s="116">
        <v>3224.45</v>
      </c>
      <c r="N2457" s="116">
        <v>3252.95</v>
      </c>
      <c r="O2457" s="116">
        <v>3168.35</v>
      </c>
      <c r="P2457" s="116">
        <v>3230</v>
      </c>
      <c r="Q2457" s="116">
        <v>3224.45</v>
      </c>
      <c r="R2457">
        <v>283758</v>
      </c>
    </row>
    <row r="2458" spans="1:18" x14ac:dyDescent="0.25">
      <c r="A2458" s="170">
        <v>45624</v>
      </c>
      <c r="B2458" s="116">
        <v>3236.85</v>
      </c>
      <c r="C2458" s="116">
        <v>3203.85</v>
      </c>
      <c r="D2458" s="116">
        <v>3180</v>
      </c>
      <c r="E2458" s="116">
        <v>3215.2</v>
      </c>
      <c r="F2458" s="116">
        <v>3203.85</v>
      </c>
      <c r="G2458">
        <v>1106</v>
      </c>
      <c r="H2458" s="116"/>
      <c r="I2458" s="116"/>
      <c r="L2458" s="170">
        <v>45624</v>
      </c>
      <c r="M2458" s="116">
        <v>3202.95</v>
      </c>
      <c r="N2458" s="116">
        <v>3237.95</v>
      </c>
      <c r="O2458" s="116">
        <v>3172.45</v>
      </c>
      <c r="P2458" s="116">
        <v>3224.5</v>
      </c>
      <c r="Q2458" s="116">
        <v>3202.95</v>
      </c>
      <c r="R2458">
        <v>309175</v>
      </c>
    </row>
    <row r="2459" spans="1:18" x14ac:dyDescent="0.25">
      <c r="A2459" s="170">
        <v>45625</v>
      </c>
      <c r="B2459" s="116">
        <v>3331</v>
      </c>
      <c r="C2459" s="116">
        <v>3326.9</v>
      </c>
      <c r="D2459" s="116">
        <v>3207.45</v>
      </c>
      <c r="E2459" s="116">
        <v>3222</v>
      </c>
      <c r="F2459" s="116">
        <v>3326.9</v>
      </c>
      <c r="G2459">
        <v>8452</v>
      </c>
      <c r="H2459" s="116"/>
      <c r="I2459" s="116"/>
      <c r="L2459" s="170">
        <v>45625</v>
      </c>
      <c r="M2459" s="116">
        <v>3324.2</v>
      </c>
      <c r="N2459" s="116">
        <v>3333.1</v>
      </c>
      <c r="O2459" s="116">
        <v>3200</v>
      </c>
      <c r="P2459" s="116">
        <v>3208.1</v>
      </c>
      <c r="Q2459" s="116">
        <v>3324.2</v>
      </c>
      <c r="R2459">
        <v>748210</v>
      </c>
    </row>
    <row r="2460" spans="1:18" x14ac:dyDescent="0.25">
      <c r="A2460" s="170">
        <v>45628</v>
      </c>
      <c r="B2460" s="116">
        <v>3393.65</v>
      </c>
      <c r="C2460" s="116">
        <v>3338.4</v>
      </c>
      <c r="D2460" s="116">
        <v>3306.8</v>
      </c>
      <c r="E2460" s="116">
        <v>3316.9</v>
      </c>
      <c r="F2460" s="116">
        <v>3338.4</v>
      </c>
      <c r="G2460">
        <v>5396</v>
      </c>
      <c r="H2460" s="116"/>
      <c r="I2460" s="116"/>
      <c r="L2460" s="170">
        <v>45628</v>
      </c>
      <c r="M2460" s="116">
        <v>3339.15</v>
      </c>
      <c r="N2460" s="116">
        <v>3393.6</v>
      </c>
      <c r="O2460" s="116">
        <v>3301</v>
      </c>
      <c r="P2460" s="116">
        <v>3301</v>
      </c>
      <c r="Q2460" s="116">
        <v>3339.15</v>
      </c>
      <c r="R2460">
        <v>522794</v>
      </c>
    </row>
    <row r="2461" spans="1:18" x14ac:dyDescent="0.25">
      <c r="A2461" s="170">
        <v>45629</v>
      </c>
      <c r="B2461" s="116">
        <v>3392.05</v>
      </c>
      <c r="C2461" s="116">
        <v>3361.6</v>
      </c>
      <c r="D2461" s="116">
        <v>3345.2</v>
      </c>
      <c r="E2461" s="116">
        <v>3351.2</v>
      </c>
      <c r="F2461" s="116">
        <v>3361.6</v>
      </c>
      <c r="G2461">
        <v>3198</v>
      </c>
      <c r="H2461" s="116"/>
      <c r="I2461" s="116"/>
      <c r="L2461" s="170">
        <v>45629</v>
      </c>
      <c r="M2461" s="116">
        <v>3363.1</v>
      </c>
      <c r="N2461" s="116">
        <v>3395</v>
      </c>
      <c r="O2461" s="116">
        <v>3341.6</v>
      </c>
      <c r="P2461" s="116">
        <v>3350.2</v>
      </c>
      <c r="Q2461" s="116">
        <v>3363.1</v>
      </c>
      <c r="R2461">
        <v>397698</v>
      </c>
    </row>
    <row r="2462" spans="1:18" x14ac:dyDescent="0.25">
      <c r="A2462" s="170">
        <v>45630</v>
      </c>
      <c r="B2462" s="116">
        <v>3386.35</v>
      </c>
      <c r="C2462" s="116">
        <v>3349.6</v>
      </c>
      <c r="D2462" s="116">
        <v>3296</v>
      </c>
      <c r="E2462" s="116">
        <v>3386.35</v>
      </c>
      <c r="F2462" s="116">
        <v>3349.6</v>
      </c>
      <c r="G2462">
        <v>2272</v>
      </c>
      <c r="H2462" s="116"/>
      <c r="I2462" s="116"/>
      <c r="L2462" s="170">
        <v>45630</v>
      </c>
      <c r="M2462" s="116">
        <v>3352.65</v>
      </c>
      <c r="N2462" s="116">
        <v>3366</v>
      </c>
      <c r="O2462" s="116">
        <v>3295</v>
      </c>
      <c r="P2462" s="116">
        <v>3366</v>
      </c>
      <c r="Q2462" s="116">
        <v>3352.65</v>
      </c>
      <c r="R2462">
        <v>419534</v>
      </c>
    </row>
    <row r="2463" spans="1:18" x14ac:dyDescent="0.25">
      <c r="A2463" s="170">
        <v>45631</v>
      </c>
      <c r="B2463" s="116">
        <v>3450</v>
      </c>
      <c r="C2463" s="116">
        <v>3362.95</v>
      </c>
      <c r="D2463" s="116">
        <v>3318.95</v>
      </c>
      <c r="E2463" s="116">
        <v>3450</v>
      </c>
      <c r="F2463" s="116">
        <v>3362.95</v>
      </c>
      <c r="G2463">
        <v>4597</v>
      </c>
      <c r="H2463" s="116"/>
      <c r="I2463" s="116"/>
      <c r="L2463" s="170">
        <v>45631</v>
      </c>
      <c r="M2463" s="116">
        <v>3361.5</v>
      </c>
      <c r="N2463" s="116">
        <v>3455</v>
      </c>
      <c r="O2463" s="116">
        <v>3318.65</v>
      </c>
      <c r="P2463" s="116">
        <v>3450</v>
      </c>
      <c r="Q2463" s="116">
        <v>3361.5</v>
      </c>
      <c r="R2463">
        <v>378207</v>
      </c>
    </row>
    <row r="2464" spans="1:18" x14ac:dyDescent="0.25">
      <c r="A2464" s="170">
        <v>45632</v>
      </c>
      <c r="B2464" s="116">
        <v>3371</v>
      </c>
      <c r="C2464" s="116">
        <v>3332.25</v>
      </c>
      <c r="D2464" s="116">
        <v>3325.05</v>
      </c>
      <c r="E2464" s="116">
        <v>3361.2</v>
      </c>
      <c r="F2464" s="116">
        <v>3332.25</v>
      </c>
      <c r="G2464">
        <v>4559</v>
      </c>
      <c r="H2464" s="116"/>
      <c r="I2464" s="116"/>
      <c r="L2464" s="170">
        <v>45632</v>
      </c>
      <c r="M2464" s="116">
        <v>3332.5</v>
      </c>
      <c r="N2464" s="116">
        <v>3375.9</v>
      </c>
      <c r="O2464" s="116">
        <v>3302</v>
      </c>
      <c r="P2464" s="116">
        <v>3368.85</v>
      </c>
      <c r="Q2464" s="116">
        <v>3332.5</v>
      </c>
      <c r="R2464">
        <v>304889</v>
      </c>
    </row>
    <row r="2465" spans="1:18" x14ac:dyDescent="0.25">
      <c r="A2465" s="170">
        <v>45635</v>
      </c>
      <c r="B2465" s="116">
        <v>3367.65</v>
      </c>
      <c r="C2465" s="116">
        <v>3335.85</v>
      </c>
      <c r="D2465" s="116">
        <v>3321.55</v>
      </c>
      <c r="E2465" s="116">
        <v>3328.3</v>
      </c>
      <c r="F2465" s="116">
        <v>3335.85</v>
      </c>
      <c r="G2465">
        <v>3094</v>
      </c>
      <c r="H2465" s="116"/>
      <c r="I2465" s="116"/>
      <c r="L2465" s="170">
        <v>45635</v>
      </c>
      <c r="M2465" s="116">
        <v>3335.7</v>
      </c>
      <c r="N2465" s="116">
        <v>3369.5</v>
      </c>
      <c r="O2465" s="116">
        <v>3319.45</v>
      </c>
      <c r="P2465" s="116">
        <v>3342.15</v>
      </c>
      <c r="Q2465" s="116">
        <v>3335.7</v>
      </c>
      <c r="R2465">
        <v>251984</v>
      </c>
    </row>
    <row r="2466" spans="1:18" x14ac:dyDescent="0.25">
      <c r="A2466" s="170">
        <v>45636</v>
      </c>
      <c r="B2466" s="116">
        <v>3365.95</v>
      </c>
      <c r="C2466" s="116">
        <v>3348.35</v>
      </c>
      <c r="D2466" s="116">
        <v>3327.55</v>
      </c>
      <c r="E2466" s="116">
        <v>3350</v>
      </c>
      <c r="F2466" s="116">
        <v>3348.35</v>
      </c>
      <c r="G2466">
        <v>3329</v>
      </c>
      <c r="H2466" s="116"/>
      <c r="I2466" s="116"/>
      <c r="L2466" s="170">
        <v>45636</v>
      </c>
      <c r="M2466" s="116">
        <v>3350</v>
      </c>
      <c r="N2466" s="116">
        <v>3363.6</v>
      </c>
      <c r="O2466" s="116">
        <v>3329.35</v>
      </c>
      <c r="P2466" s="116">
        <v>3344</v>
      </c>
      <c r="Q2466" s="116">
        <v>3350</v>
      </c>
      <c r="R2466">
        <v>326031</v>
      </c>
    </row>
    <row r="2467" spans="1:18" x14ac:dyDescent="0.25">
      <c r="A2467" s="170">
        <v>45637</v>
      </c>
      <c r="B2467" s="116">
        <v>3398.95</v>
      </c>
      <c r="C2467" s="116">
        <v>3374.3</v>
      </c>
      <c r="D2467" s="116">
        <v>3330.95</v>
      </c>
      <c r="E2467" s="116">
        <v>3398.95</v>
      </c>
      <c r="F2467" s="116">
        <v>3374.3</v>
      </c>
      <c r="G2467">
        <v>1858</v>
      </c>
      <c r="H2467" s="116"/>
      <c r="I2467" s="116"/>
      <c r="L2467" s="170">
        <v>45637</v>
      </c>
      <c r="M2467" s="116">
        <v>3374.85</v>
      </c>
      <c r="N2467" s="116">
        <v>3388</v>
      </c>
      <c r="O2467" s="116">
        <v>3332.9</v>
      </c>
      <c r="P2467" s="116">
        <v>3360.15</v>
      </c>
      <c r="Q2467" s="116">
        <v>3374.85</v>
      </c>
      <c r="R2467">
        <v>285675</v>
      </c>
    </row>
    <row r="2468" spans="1:18" x14ac:dyDescent="0.25">
      <c r="A2468" s="170">
        <v>45638</v>
      </c>
      <c r="B2468" s="116">
        <v>3392.15</v>
      </c>
      <c r="C2468" s="116">
        <v>3328.25</v>
      </c>
      <c r="D2468" s="116">
        <v>3310.2</v>
      </c>
      <c r="E2468" s="116">
        <v>3350.05</v>
      </c>
      <c r="F2468" s="116">
        <v>3328.25</v>
      </c>
      <c r="G2468">
        <v>5058</v>
      </c>
      <c r="H2468" s="116"/>
      <c r="I2468" s="116"/>
      <c r="L2468" s="170">
        <v>45638</v>
      </c>
      <c r="M2468" s="116">
        <v>3327.85</v>
      </c>
      <c r="N2468" s="116">
        <v>3394.65</v>
      </c>
      <c r="O2468" s="116">
        <v>3304.9</v>
      </c>
      <c r="P2468" s="116">
        <v>3374.85</v>
      </c>
      <c r="Q2468" s="116">
        <v>3327.85</v>
      </c>
      <c r="R2468">
        <v>195517</v>
      </c>
    </row>
    <row r="2469" spans="1:18" x14ac:dyDescent="0.25">
      <c r="A2469" s="170">
        <v>45639</v>
      </c>
      <c r="B2469" s="116">
        <v>3353.95</v>
      </c>
      <c r="C2469" s="116">
        <v>3347.65</v>
      </c>
      <c r="D2469" s="116">
        <v>3275.05</v>
      </c>
      <c r="E2469" s="116">
        <v>3275.05</v>
      </c>
      <c r="F2469" s="116">
        <v>3347.65</v>
      </c>
      <c r="G2469">
        <v>1905</v>
      </c>
      <c r="H2469" s="116"/>
      <c r="I2469" s="116"/>
      <c r="L2469" s="170">
        <v>45639</v>
      </c>
      <c r="M2469" s="116">
        <v>3345.85</v>
      </c>
      <c r="N2469" s="116">
        <v>3354.9</v>
      </c>
      <c r="O2469" s="116">
        <v>3294.05</v>
      </c>
      <c r="P2469" s="116">
        <v>3321</v>
      </c>
      <c r="Q2469" s="116">
        <v>3345.85</v>
      </c>
      <c r="R2469">
        <v>244920</v>
      </c>
    </row>
    <row r="2470" spans="1:18" x14ac:dyDescent="0.25">
      <c r="A2470" s="170">
        <v>45642</v>
      </c>
      <c r="B2470" s="116">
        <v>3375.7</v>
      </c>
      <c r="C2470" s="116">
        <v>3360.4</v>
      </c>
      <c r="D2470" s="116">
        <v>3323</v>
      </c>
      <c r="E2470" s="116">
        <v>3364.95</v>
      </c>
      <c r="F2470" s="116">
        <v>3360.4</v>
      </c>
      <c r="G2470">
        <v>3069</v>
      </c>
      <c r="H2470" s="116"/>
      <c r="I2470" s="116"/>
      <c r="L2470" s="170">
        <v>45642</v>
      </c>
      <c r="M2470" s="116">
        <v>3362.05</v>
      </c>
      <c r="N2470" s="116">
        <v>3374.55</v>
      </c>
      <c r="O2470" s="116">
        <v>3319.05</v>
      </c>
      <c r="P2470" s="116">
        <v>3355.85</v>
      </c>
      <c r="Q2470" s="116">
        <v>3362.05</v>
      </c>
      <c r="R2470">
        <v>255322</v>
      </c>
    </row>
    <row r="2471" spans="1:18" x14ac:dyDescent="0.25">
      <c r="A2471" s="170">
        <v>45643</v>
      </c>
      <c r="B2471" s="116">
        <v>3399</v>
      </c>
      <c r="C2471" s="116">
        <v>3380</v>
      </c>
      <c r="D2471" s="116">
        <v>3340</v>
      </c>
      <c r="E2471" s="116">
        <v>3389.95</v>
      </c>
      <c r="F2471" s="116">
        <v>3380</v>
      </c>
      <c r="G2471">
        <v>2098</v>
      </c>
      <c r="H2471" s="116"/>
      <c r="I2471" s="116"/>
      <c r="L2471" s="170">
        <v>45643</v>
      </c>
      <c r="M2471" s="116">
        <v>3376.7</v>
      </c>
      <c r="N2471" s="116">
        <v>3399</v>
      </c>
      <c r="O2471" s="116">
        <v>3339.05</v>
      </c>
      <c r="P2471" s="116">
        <v>3362.05</v>
      </c>
      <c r="Q2471" s="116">
        <v>3376.7</v>
      </c>
      <c r="R2471">
        <v>546502</v>
      </c>
    </row>
    <row r="2472" spans="1:18" x14ac:dyDescent="0.25">
      <c r="A2472" s="170">
        <v>45644</v>
      </c>
      <c r="B2472" s="116">
        <v>3416</v>
      </c>
      <c r="C2472" s="116">
        <v>3380.25</v>
      </c>
      <c r="D2472" s="116">
        <v>3370</v>
      </c>
      <c r="E2472" s="116">
        <v>3399.95</v>
      </c>
      <c r="F2472" s="116">
        <v>3380.25</v>
      </c>
      <c r="G2472">
        <v>3648</v>
      </c>
      <c r="H2472" s="116"/>
      <c r="I2472" s="116"/>
      <c r="L2472" s="170">
        <v>45644</v>
      </c>
      <c r="M2472" s="116">
        <v>3381.9</v>
      </c>
      <c r="N2472" s="116">
        <v>3417</v>
      </c>
      <c r="O2472" s="116">
        <v>3366.9</v>
      </c>
      <c r="P2472" s="116">
        <v>3376.7</v>
      </c>
      <c r="Q2472" s="116">
        <v>3381.9</v>
      </c>
      <c r="R2472">
        <v>348736</v>
      </c>
    </row>
    <row r="2473" spans="1:18" x14ac:dyDescent="0.25">
      <c r="A2473" s="170">
        <v>45645</v>
      </c>
      <c r="B2473" s="116">
        <v>3489.9</v>
      </c>
      <c r="C2473" s="116">
        <v>3467.25</v>
      </c>
      <c r="D2473" s="116">
        <v>3313.25</v>
      </c>
      <c r="E2473" s="116">
        <v>3313.25</v>
      </c>
      <c r="F2473" s="116">
        <v>3467.25</v>
      </c>
      <c r="G2473">
        <v>7894</v>
      </c>
      <c r="H2473" s="116"/>
      <c r="I2473" s="116"/>
      <c r="L2473" s="170">
        <v>45645</v>
      </c>
      <c r="M2473" s="116">
        <v>3469.15</v>
      </c>
      <c r="N2473" s="116">
        <v>3489.5</v>
      </c>
      <c r="O2473" s="116">
        <v>3358.1</v>
      </c>
      <c r="P2473" s="116">
        <v>3381.9</v>
      </c>
      <c r="Q2473" s="116">
        <v>3469.15</v>
      </c>
      <c r="R2473">
        <v>539423</v>
      </c>
    </row>
    <row r="2474" spans="1:18" x14ac:dyDescent="0.25">
      <c r="A2474" s="170">
        <v>45646</v>
      </c>
      <c r="B2474" s="116">
        <v>3515.5</v>
      </c>
      <c r="C2474" s="116">
        <v>3434.25</v>
      </c>
      <c r="D2474" s="116">
        <v>3419.25</v>
      </c>
      <c r="E2474" s="116">
        <v>3509.6</v>
      </c>
      <c r="F2474" s="116">
        <v>3434.25</v>
      </c>
      <c r="G2474">
        <v>3376</v>
      </c>
      <c r="H2474" s="116"/>
      <c r="I2474" s="116"/>
      <c r="L2474" s="170">
        <v>45646</v>
      </c>
      <c r="M2474" s="116">
        <v>3437</v>
      </c>
      <c r="N2474" s="116">
        <v>3515.35</v>
      </c>
      <c r="O2474" s="116">
        <v>3421.4</v>
      </c>
      <c r="P2474" s="116">
        <v>3476.25</v>
      </c>
      <c r="Q2474" s="116">
        <v>3437</v>
      </c>
      <c r="R2474">
        <v>358325</v>
      </c>
    </row>
    <row r="2475" spans="1:18" x14ac:dyDescent="0.25">
      <c r="A2475" s="170">
        <v>45649</v>
      </c>
      <c r="B2475" s="116">
        <v>3470.5</v>
      </c>
      <c r="C2475" s="116">
        <v>3420.6</v>
      </c>
      <c r="D2475" s="116">
        <v>3380</v>
      </c>
      <c r="E2475" s="116">
        <v>3430.05</v>
      </c>
      <c r="F2475" s="116">
        <v>3420.6</v>
      </c>
      <c r="G2475">
        <v>1822</v>
      </c>
      <c r="H2475" s="116"/>
      <c r="I2475" s="116"/>
      <c r="L2475" s="170">
        <v>45649</v>
      </c>
      <c r="M2475" s="116">
        <v>3420.35</v>
      </c>
      <c r="N2475" s="116">
        <v>3476.45</v>
      </c>
      <c r="O2475" s="116">
        <v>3378.8</v>
      </c>
      <c r="P2475" s="116">
        <v>3450</v>
      </c>
      <c r="Q2475" s="116">
        <v>3420.35</v>
      </c>
      <c r="R2475">
        <v>146144</v>
      </c>
    </row>
    <row r="2476" spans="1:18" x14ac:dyDescent="0.25">
      <c r="A2476" s="170">
        <v>45650</v>
      </c>
      <c r="B2476" s="116">
        <v>3451.75</v>
      </c>
      <c r="C2476" s="116">
        <v>3401.2</v>
      </c>
      <c r="D2476" s="116">
        <v>3363.75</v>
      </c>
      <c r="E2476" s="116">
        <v>3422</v>
      </c>
      <c r="F2476" s="116">
        <v>3401.2</v>
      </c>
      <c r="G2476">
        <v>2459</v>
      </c>
      <c r="H2476" s="116"/>
      <c r="I2476" s="116"/>
      <c r="L2476" s="170">
        <v>45650</v>
      </c>
      <c r="M2476" s="116">
        <v>3399.45</v>
      </c>
      <c r="N2476" s="116">
        <v>3455.25</v>
      </c>
      <c r="O2476" s="116">
        <v>3362</v>
      </c>
      <c r="P2476" s="116">
        <v>3421</v>
      </c>
      <c r="Q2476" s="116">
        <v>3399.45</v>
      </c>
      <c r="R2476">
        <v>73392</v>
      </c>
    </row>
    <row r="2477" spans="1:18" x14ac:dyDescent="0.25">
      <c r="A2477" s="170">
        <v>45652</v>
      </c>
      <c r="B2477" s="116">
        <v>3429</v>
      </c>
      <c r="C2477" s="116">
        <v>3416.9</v>
      </c>
      <c r="D2477" s="116">
        <v>3375.5</v>
      </c>
      <c r="E2477" s="116">
        <v>3399.45</v>
      </c>
      <c r="F2477" s="116">
        <v>3416.9</v>
      </c>
      <c r="G2477">
        <v>1709</v>
      </c>
      <c r="H2477" s="116"/>
      <c r="I2477" s="116"/>
      <c r="L2477" s="170">
        <v>45652</v>
      </c>
      <c r="M2477" s="116">
        <v>3421.35</v>
      </c>
      <c r="N2477" s="116">
        <v>3433.2</v>
      </c>
      <c r="O2477" s="116">
        <v>3377</v>
      </c>
      <c r="P2477" s="116">
        <v>3399.45</v>
      </c>
      <c r="Q2477" s="116">
        <v>3421.35</v>
      </c>
      <c r="R2477">
        <v>122364</v>
      </c>
    </row>
    <row r="2478" spans="1:18" x14ac:dyDescent="0.25">
      <c r="A2478" s="170">
        <v>45653</v>
      </c>
      <c r="B2478" s="116">
        <v>3441.5</v>
      </c>
      <c r="C2478" s="116">
        <v>3405.85</v>
      </c>
      <c r="D2478" s="116">
        <v>3398.45</v>
      </c>
      <c r="E2478" s="116">
        <v>3410.05</v>
      </c>
      <c r="F2478" s="116">
        <v>3405.85</v>
      </c>
      <c r="G2478">
        <v>774</v>
      </c>
      <c r="H2478" s="116"/>
      <c r="I2478" s="116"/>
      <c r="L2478" s="170">
        <v>45653</v>
      </c>
      <c r="M2478" s="116">
        <v>3405.1</v>
      </c>
      <c r="N2478" s="116">
        <v>3446.05</v>
      </c>
      <c r="O2478" s="116">
        <v>3396.5</v>
      </c>
      <c r="P2478" s="116">
        <v>3421.35</v>
      </c>
      <c r="Q2478" s="116">
        <v>3405.1</v>
      </c>
      <c r="R2478">
        <v>220832</v>
      </c>
    </row>
    <row r="2479" spans="1:18" x14ac:dyDescent="0.25">
      <c r="A2479" s="170">
        <v>45656</v>
      </c>
      <c r="B2479" s="116">
        <v>3413.8</v>
      </c>
      <c r="C2479" s="116">
        <v>3371.9</v>
      </c>
      <c r="D2479" s="116">
        <v>3352.35</v>
      </c>
      <c r="E2479" s="116">
        <v>3394.85</v>
      </c>
      <c r="F2479" s="116">
        <v>3371.9</v>
      </c>
      <c r="G2479">
        <v>6698</v>
      </c>
      <c r="H2479" s="116"/>
      <c r="I2479" s="116"/>
      <c r="L2479" s="170">
        <v>45656</v>
      </c>
      <c r="M2479" s="116">
        <v>3369.5</v>
      </c>
      <c r="N2479" s="116">
        <v>3422.3</v>
      </c>
      <c r="O2479" s="116">
        <v>3348.05</v>
      </c>
      <c r="P2479" s="116">
        <v>3405</v>
      </c>
      <c r="Q2479" s="116">
        <v>3369.5</v>
      </c>
      <c r="R2479">
        <v>1040305</v>
      </c>
    </row>
    <row r="2480" spans="1:18" x14ac:dyDescent="0.25">
      <c r="A2480" s="170">
        <v>45657</v>
      </c>
      <c r="B2480" s="116">
        <v>3390.1</v>
      </c>
      <c r="C2480" s="116">
        <v>3359.95</v>
      </c>
      <c r="D2480" s="116">
        <v>3343.75</v>
      </c>
      <c r="E2480" s="116">
        <v>3355</v>
      </c>
      <c r="F2480" s="116">
        <v>3359.95</v>
      </c>
      <c r="G2480">
        <v>987</v>
      </c>
      <c r="H2480" s="116"/>
      <c r="I2480" s="116"/>
      <c r="L2480" s="170">
        <v>45657</v>
      </c>
      <c r="M2480" s="116">
        <v>3360.05</v>
      </c>
      <c r="N2480" s="116">
        <v>3396.7</v>
      </c>
      <c r="O2480" s="116">
        <v>3343.95</v>
      </c>
      <c r="P2480" s="116">
        <v>3362.2</v>
      </c>
      <c r="Q2480" s="116">
        <v>3360.05</v>
      </c>
      <c r="R2480">
        <v>153583</v>
      </c>
    </row>
    <row r="2481" spans="1:18" x14ac:dyDescent="0.25">
      <c r="A2481" s="170">
        <v>45658</v>
      </c>
      <c r="B2481" s="116">
        <v>3432.9</v>
      </c>
      <c r="C2481" s="116">
        <v>3415.8</v>
      </c>
      <c r="D2481" s="116">
        <v>3345.2</v>
      </c>
      <c r="E2481" s="116">
        <v>3362</v>
      </c>
      <c r="F2481" s="116">
        <v>3415.8</v>
      </c>
      <c r="G2481">
        <v>2567</v>
      </c>
      <c r="H2481" s="116"/>
      <c r="I2481" s="116"/>
      <c r="L2481" s="170">
        <v>45658</v>
      </c>
      <c r="M2481" s="116">
        <v>3418.55</v>
      </c>
      <c r="N2481" s="116">
        <v>3434.2</v>
      </c>
      <c r="O2481" s="116">
        <v>3340.15</v>
      </c>
      <c r="P2481" s="116">
        <v>3368.15</v>
      </c>
      <c r="Q2481" s="116">
        <v>3418.55</v>
      </c>
      <c r="R2481">
        <v>174032</v>
      </c>
    </row>
    <row r="2482" spans="1:18" x14ac:dyDescent="0.25">
      <c r="A2482" s="170">
        <v>45659</v>
      </c>
      <c r="B2482" s="116">
        <v>3450</v>
      </c>
      <c r="C2482" s="116">
        <v>3446.25</v>
      </c>
      <c r="D2482" s="116">
        <v>3366.45</v>
      </c>
      <c r="E2482" s="116">
        <v>3435.6</v>
      </c>
      <c r="F2482" s="116">
        <v>3446.25</v>
      </c>
      <c r="G2482">
        <v>1431</v>
      </c>
      <c r="H2482" s="116"/>
      <c r="I2482" s="116"/>
      <c r="L2482" s="170">
        <v>45659</v>
      </c>
      <c r="M2482" s="116">
        <v>3441.55</v>
      </c>
      <c r="N2482" s="116">
        <v>3452</v>
      </c>
      <c r="O2482" s="116">
        <v>3361.5</v>
      </c>
      <c r="P2482" s="116">
        <v>3425.35</v>
      </c>
      <c r="Q2482" s="116">
        <v>3441.55</v>
      </c>
      <c r="R2482">
        <v>171888</v>
      </c>
    </row>
    <row r="2483" spans="1:18" x14ac:dyDescent="0.25">
      <c r="A2483" s="170">
        <v>45660</v>
      </c>
      <c r="B2483" s="116">
        <v>3460</v>
      </c>
      <c r="C2483" s="116">
        <v>3400</v>
      </c>
      <c r="D2483" s="116">
        <v>3377.7</v>
      </c>
      <c r="E2483" s="116">
        <v>3460</v>
      </c>
      <c r="F2483" s="116">
        <v>3400</v>
      </c>
      <c r="G2483">
        <v>3378</v>
      </c>
      <c r="H2483" s="116"/>
      <c r="I2483" s="116"/>
      <c r="L2483" s="170">
        <v>45660</v>
      </c>
      <c r="M2483" s="116">
        <v>3402.85</v>
      </c>
      <c r="N2483" s="116">
        <v>3465</v>
      </c>
      <c r="O2483" s="116">
        <v>3378.5</v>
      </c>
      <c r="P2483" s="116">
        <v>3450</v>
      </c>
      <c r="Q2483" s="116">
        <v>3402.85</v>
      </c>
      <c r="R2483">
        <v>185168</v>
      </c>
    </row>
    <row r="2484" spans="1:18" x14ac:dyDescent="0.25">
      <c r="A2484" s="170">
        <v>45663</v>
      </c>
      <c r="B2484" s="116">
        <v>3431.75</v>
      </c>
      <c r="C2484" s="116">
        <v>3354.35</v>
      </c>
      <c r="D2484" s="116">
        <v>3347.75</v>
      </c>
      <c r="E2484" s="116">
        <v>3431.75</v>
      </c>
      <c r="F2484" s="116">
        <v>3354.35</v>
      </c>
      <c r="G2484">
        <v>1128</v>
      </c>
      <c r="H2484" s="116"/>
      <c r="I2484" s="116"/>
      <c r="L2484" s="170">
        <v>45663</v>
      </c>
      <c r="M2484" s="116">
        <v>3362.95</v>
      </c>
      <c r="N2484" s="116">
        <v>3418.55</v>
      </c>
      <c r="O2484" s="116">
        <v>3342.9</v>
      </c>
      <c r="P2484" s="116">
        <v>3402.85</v>
      </c>
      <c r="Q2484" s="116">
        <v>3362.95</v>
      </c>
      <c r="R2484">
        <v>132458</v>
      </c>
    </row>
    <row r="2485" spans="1:18" x14ac:dyDescent="0.25">
      <c r="A2485" s="170">
        <v>45664</v>
      </c>
      <c r="B2485" s="116">
        <v>3442.3</v>
      </c>
      <c r="C2485" s="116">
        <v>3403.6</v>
      </c>
      <c r="D2485" s="116">
        <v>3365</v>
      </c>
      <c r="E2485" s="116">
        <v>3370.15</v>
      </c>
      <c r="F2485" s="116">
        <v>3403.6</v>
      </c>
      <c r="G2485">
        <v>1905</v>
      </c>
      <c r="H2485" s="116"/>
      <c r="I2485" s="116"/>
      <c r="L2485" s="170">
        <v>45664</v>
      </c>
      <c r="M2485" s="116">
        <v>3404.1</v>
      </c>
      <c r="N2485" s="116">
        <v>3443.5</v>
      </c>
      <c r="O2485" s="116">
        <v>3351.55</v>
      </c>
      <c r="P2485" s="116">
        <v>3380</v>
      </c>
      <c r="Q2485" s="116">
        <v>3404.1</v>
      </c>
      <c r="R2485">
        <v>134592</v>
      </c>
    </row>
    <row r="2486" spans="1:18" x14ac:dyDescent="0.25">
      <c r="A2486" s="170">
        <v>45665</v>
      </c>
      <c r="B2486" s="116">
        <v>3421.6</v>
      </c>
      <c r="C2486" s="116">
        <v>3325.25</v>
      </c>
      <c r="D2486" s="116">
        <v>3321</v>
      </c>
      <c r="E2486" s="116">
        <v>3421.6</v>
      </c>
      <c r="F2486" s="116">
        <v>3325.25</v>
      </c>
      <c r="G2486">
        <v>947</v>
      </c>
      <c r="H2486" s="116"/>
      <c r="I2486" s="116"/>
      <c r="L2486" s="170">
        <v>45665</v>
      </c>
      <c r="M2486" s="116">
        <v>3324.75</v>
      </c>
      <c r="N2486" s="116">
        <v>3417.05</v>
      </c>
      <c r="O2486" s="116">
        <v>3318</v>
      </c>
      <c r="P2486" s="116">
        <v>3409.9</v>
      </c>
      <c r="Q2486" s="116">
        <v>3324.75</v>
      </c>
      <c r="R2486">
        <v>167593</v>
      </c>
    </row>
    <row r="2487" spans="1:18" x14ac:dyDescent="0.25">
      <c r="A2487" s="170">
        <v>45666</v>
      </c>
      <c r="B2487" s="116">
        <v>3336.5</v>
      </c>
      <c r="C2487" s="116">
        <v>3322.9</v>
      </c>
      <c r="D2487" s="116">
        <v>3290</v>
      </c>
      <c r="E2487" s="116">
        <v>3290.1</v>
      </c>
      <c r="F2487" s="116">
        <v>3322.9</v>
      </c>
      <c r="G2487">
        <v>2353</v>
      </c>
      <c r="H2487" s="116"/>
      <c r="I2487" s="116"/>
      <c r="L2487" s="170">
        <v>45666</v>
      </c>
      <c r="M2487" s="116">
        <v>3321.55</v>
      </c>
      <c r="N2487" s="116">
        <v>3334.35</v>
      </c>
      <c r="O2487" s="116">
        <v>3285.15</v>
      </c>
      <c r="P2487" s="116">
        <v>3299.95</v>
      </c>
      <c r="Q2487" s="116">
        <v>3321.55</v>
      </c>
      <c r="R2487">
        <v>183881</v>
      </c>
    </row>
    <row r="2488" spans="1:18" x14ac:dyDescent="0.25">
      <c r="A2488" s="170">
        <v>45667</v>
      </c>
      <c r="B2488" s="116">
        <v>3346.9</v>
      </c>
      <c r="C2488" s="116">
        <v>3275.85</v>
      </c>
      <c r="D2488" s="116">
        <v>3265.35</v>
      </c>
      <c r="E2488" s="116">
        <v>3315.1</v>
      </c>
      <c r="F2488" s="116">
        <v>3275.85</v>
      </c>
      <c r="G2488">
        <v>7169</v>
      </c>
      <c r="H2488" s="116"/>
      <c r="I2488" s="116"/>
      <c r="L2488" s="170">
        <v>45667</v>
      </c>
      <c r="M2488" s="116">
        <v>3274.45</v>
      </c>
      <c r="N2488" s="116">
        <v>3350.15</v>
      </c>
      <c r="O2488" s="116">
        <v>3264.1</v>
      </c>
      <c r="P2488" s="116">
        <v>3325</v>
      </c>
      <c r="Q2488" s="116">
        <v>3274.45</v>
      </c>
      <c r="R2488">
        <v>142606</v>
      </c>
    </row>
    <row r="2489" spans="1:18" x14ac:dyDescent="0.25">
      <c r="A2489" s="170">
        <v>45670</v>
      </c>
      <c r="B2489" s="116">
        <v>3292.95</v>
      </c>
      <c r="C2489" s="116">
        <v>3238.85</v>
      </c>
      <c r="D2489" s="116">
        <v>3227.25</v>
      </c>
      <c r="E2489" s="116">
        <v>3232</v>
      </c>
      <c r="F2489" s="116">
        <v>3238.85</v>
      </c>
      <c r="G2489">
        <v>2725</v>
      </c>
      <c r="H2489" s="116"/>
      <c r="I2489" s="116"/>
      <c r="L2489" s="170">
        <v>45670</v>
      </c>
      <c r="M2489" s="116">
        <v>3235.35</v>
      </c>
      <c r="N2489" s="116">
        <v>3294.15</v>
      </c>
      <c r="O2489" s="116">
        <v>3229.4</v>
      </c>
      <c r="P2489" s="116">
        <v>3241.65</v>
      </c>
      <c r="Q2489" s="116">
        <v>3235.35</v>
      </c>
      <c r="R2489">
        <v>146840</v>
      </c>
    </row>
    <row r="2490" spans="1:18" x14ac:dyDescent="0.25">
      <c r="A2490" s="170">
        <v>45671</v>
      </c>
      <c r="B2490" s="116">
        <v>3263.8</v>
      </c>
      <c r="C2490" s="116">
        <v>3254.35</v>
      </c>
      <c r="D2490" s="116">
        <v>3170.65</v>
      </c>
      <c r="E2490" s="116">
        <v>3170.65</v>
      </c>
      <c r="F2490" s="116">
        <v>3254.35</v>
      </c>
      <c r="G2490">
        <v>1448</v>
      </c>
      <c r="H2490" s="116"/>
      <c r="I2490" s="116"/>
      <c r="L2490" s="170">
        <v>45671</v>
      </c>
      <c r="M2490" s="116">
        <v>3252.4</v>
      </c>
      <c r="N2490" s="116">
        <v>3265</v>
      </c>
      <c r="O2490" s="116">
        <v>3214.7</v>
      </c>
      <c r="P2490" s="116">
        <v>3239.7</v>
      </c>
      <c r="Q2490" s="116">
        <v>3252.4</v>
      </c>
      <c r="R2490">
        <v>147736</v>
      </c>
    </row>
    <row r="2491" spans="1:18" x14ac:dyDescent="0.25">
      <c r="A2491" s="170">
        <v>45672</v>
      </c>
      <c r="B2491" s="116">
        <v>3265</v>
      </c>
      <c r="C2491" s="116">
        <v>3214.15</v>
      </c>
      <c r="D2491" s="116">
        <v>3184.45</v>
      </c>
      <c r="E2491" s="116">
        <v>3261.05</v>
      </c>
      <c r="F2491" s="116">
        <v>3214.15</v>
      </c>
      <c r="G2491">
        <v>1575</v>
      </c>
      <c r="H2491" s="116"/>
      <c r="I2491" s="116"/>
      <c r="L2491" s="170">
        <v>45672</v>
      </c>
      <c r="M2491" s="116">
        <v>3215.05</v>
      </c>
      <c r="N2491" s="116">
        <v>3269.8</v>
      </c>
      <c r="O2491" s="116">
        <v>3180.3</v>
      </c>
      <c r="P2491" s="116">
        <v>3269.8</v>
      </c>
      <c r="Q2491" s="116">
        <v>3215.05</v>
      </c>
      <c r="R2491">
        <v>205544</v>
      </c>
    </row>
    <row r="2492" spans="1:18" x14ac:dyDescent="0.25">
      <c r="A2492" s="170">
        <v>45673</v>
      </c>
      <c r="B2492" s="116">
        <v>3231.45</v>
      </c>
      <c r="C2492" s="116">
        <v>3179.7</v>
      </c>
      <c r="D2492" s="116">
        <v>3157.4</v>
      </c>
      <c r="E2492" s="116">
        <v>3230.35</v>
      </c>
      <c r="F2492" s="116">
        <v>3179.7</v>
      </c>
      <c r="G2492">
        <v>1349</v>
      </c>
      <c r="H2492" s="116"/>
      <c r="I2492" s="116"/>
      <c r="L2492" s="170">
        <v>45673</v>
      </c>
      <c r="M2492" s="116">
        <v>3178.6</v>
      </c>
      <c r="N2492" s="116">
        <v>3244</v>
      </c>
      <c r="O2492" s="116">
        <v>3151.85</v>
      </c>
      <c r="P2492" s="116">
        <v>3224</v>
      </c>
      <c r="Q2492" s="116">
        <v>3178.6</v>
      </c>
      <c r="R2492">
        <v>248752</v>
      </c>
    </row>
    <row r="2493" spans="1:18" x14ac:dyDescent="0.25">
      <c r="A2493" s="170">
        <v>45674</v>
      </c>
      <c r="B2493" s="116">
        <v>3193.7</v>
      </c>
      <c r="C2493" s="116">
        <v>3177.95</v>
      </c>
      <c r="D2493" s="116">
        <v>3152.6</v>
      </c>
      <c r="E2493" s="116">
        <v>3172.15</v>
      </c>
      <c r="F2493" s="116">
        <v>3177.95</v>
      </c>
      <c r="G2493">
        <v>53547</v>
      </c>
      <c r="H2493" s="116"/>
      <c r="I2493" s="116"/>
      <c r="L2493" s="170">
        <v>45674</v>
      </c>
      <c r="M2493" s="116">
        <v>3174.85</v>
      </c>
      <c r="N2493" s="116">
        <v>3201.25</v>
      </c>
      <c r="O2493" s="116">
        <v>3152.2</v>
      </c>
      <c r="P2493" s="116">
        <v>3163.2</v>
      </c>
      <c r="Q2493" s="116">
        <v>3174.85</v>
      </c>
      <c r="R2493">
        <v>222575</v>
      </c>
    </row>
    <row r="2494" spans="1:18" x14ac:dyDescent="0.25">
      <c r="A2494" s="170">
        <v>45677</v>
      </c>
      <c r="B2494" s="116">
        <v>3186.9</v>
      </c>
      <c r="C2494" s="116">
        <v>3165.35</v>
      </c>
      <c r="D2494" s="116">
        <v>3132.85</v>
      </c>
      <c r="E2494" s="116">
        <v>3174.2</v>
      </c>
      <c r="F2494" s="116">
        <v>3165.35</v>
      </c>
      <c r="G2494">
        <v>1423</v>
      </c>
      <c r="H2494" s="116"/>
      <c r="I2494" s="116"/>
      <c r="L2494" s="170">
        <v>45677</v>
      </c>
      <c r="M2494" s="116">
        <v>3164.25</v>
      </c>
      <c r="N2494" s="116">
        <v>3194.15</v>
      </c>
      <c r="O2494" s="116">
        <v>3129.6</v>
      </c>
      <c r="P2494" s="116">
        <v>3194.15</v>
      </c>
      <c r="Q2494" s="116">
        <v>3164.25</v>
      </c>
      <c r="R2494">
        <v>187128</v>
      </c>
    </row>
    <row r="2495" spans="1:18" x14ac:dyDescent="0.25">
      <c r="A2495" s="170">
        <v>45678</v>
      </c>
      <c r="B2495" s="116">
        <v>3199.3</v>
      </c>
      <c r="C2495" s="116">
        <v>3157.6</v>
      </c>
      <c r="D2495" s="116">
        <v>3144.7</v>
      </c>
      <c r="E2495" s="116">
        <v>3170.35</v>
      </c>
      <c r="F2495" s="116">
        <v>3157.6</v>
      </c>
      <c r="G2495">
        <v>2345</v>
      </c>
      <c r="H2495" s="116"/>
      <c r="I2495" s="116"/>
      <c r="L2495" s="170">
        <v>45678</v>
      </c>
      <c r="M2495" s="116">
        <v>3156.3</v>
      </c>
      <c r="N2495" s="116">
        <v>3203.25</v>
      </c>
      <c r="O2495" s="116">
        <v>3142.9</v>
      </c>
      <c r="P2495" s="116">
        <v>3180</v>
      </c>
      <c r="Q2495" s="116">
        <v>3156.3</v>
      </c>
      <c r="R2495">
        <v>306619</v>
      </c>
    </row>
    <row r="2496" spans="1:18" x14ac:dyDescent="0.25">
      <c r="A2496" s="170">
        <v>45679</v>
      </c>
      <c r="B2496" s="116">
        <v>3176</v>
      </c>
      <c r="C2496" s="116">
        <v>3166.8</v>
      </c>
      <c r="D2496" s="116">
        <v>3124.05</v>
      </c>
      <c r="E2496" s="116">
        <v>3172.05</v>
      </c>
      <c r="F2496" s="116">
        <v>3166.8</v>
      </c>
      <c r="G2496">
        <v>1329</v>
      </c>
      <c r="H2496" s="116"/>
      <c r="I2496" s="116"/>
      <c r="L2496" s="170">
        <v>45679</v>
      </c>
      <c r="M2496" s="116">
        <v>3166.9</v>
      </c>
      <c r="N2496" s="116">
        <v>3184.75</v>
      </c>
      <c r="O2496" s="116">
        <v>3122</v>
      </c>
      <c r="P2496" s="116">
        <v>3175.6</v>
      </c>
      <c r="Q2496" s="116">
        <v>3166.9</v>
      </c>
      <c r="R2496">
        <v>153463</v>
      </c>
    </row>
    <row r="2497" spans="1:18" x14ac:dyDescent="0.25">
      <c r="A2497" s="170">
        <v>45680</v>
      </c>
      <c r="B2497" s="116">
        <v>3271.2</v>
      </c>
      <c r="C2497" s="116">
        <v>3266.2</v>
      </c>
      <c r="D2497" s="116">
        <v>3160.75</v>
      </c>
      <c r="E2497" s="116">
        <v>3180.3</v>
      </c>
      <c r="F2497" s="116">
        <v>3266.2</v>
      </c>
      <c r="G2497">
        <v>1414</v>
      </c>
      <c r="H2497" s="116"/>
      <c r="I2497" s="116"/>
      <c r="L2497" s="170">
        <v>45680</v>
      </c>
      <c r="M2497" s="116">
        <v>3263.75</v>
      </c>
      <c r="N2497" s="116">
        <v>3275.45</v>
      </c>
      <c r="O2497" s="116">
        <v>3157.2</v>
      </c>
      <c r="P2497" s="116">
        <v>3166.9</v>
      </c>
      <c r="Q2497" s="116">
        <v>3263.75</v>
      </c>
      <c r="R2497">
        <v>297254</v>
      </c>
    </row>
    <row r="2498" spans="1:18" x14ac:dyDescent="0.25">
      <c r="A2498" s="170">
        <v>45681</v>
      </c>
      <c r="B2498" s="116">
        <v>3266</v>
      </c>
      <c r="C2498" s="116">
        <v>3247.75</v>
      </c>
      <c r="D2498" s="116">
        <v>3213.05</v>
      </c>
      <c r="E2498" s="116">
        <v>3255.4</v>
      </c>
      <c r="F2498" s="116">
        <v>3247.75</v>
      </c>
      <c r="G2498">
        <v>2356</v>
      </c>
      <c r="H2498" s="116"/>
      <c r="I2498" s="116"/>
      <c r="L2498" s="170">
        <v>45681</v>
      </c>
      <c r="M2498" s="116">
        <v>3248.4</v>
      </c>
      <c r="N2498" s="116">
        <v>3283.85</v>
      </c>
      <c r="O2498" s="116">
        <v>3210</v>
      </c>
      <c r="P2498" s="116">
        <v>3270.75</v>
      </c>
      <c r="Q2498" s="116">
        <v>3248.4</v>
      </c>
      <c r="R2498">
        <v>391085</v>
      </c>
    </row>
    <row r="2499" spans="1:18" x14ac:dyDescent="0.25">
      <c r="A2499" s="170">
        <v>45684</v>
      </c>
      <c r="B2499" s="116">
        <v>3369.55</v>
      </c>
      <c r="C2499" s="116">
        <v>3335.7</v>
      </c>
      <c r="D2499" s="116">
        <v>3240.05</v>
      </c>
      <c r="E2499" s="116">
        <v>3240.05</v>
      </c>
      <c r="F2499" s="116">
        <v>3335.7</v>
      </c>
      <c r="G2499">
        <v>11277</v>
      </c>
      <c r="H2499" s="116"/>
      <c r="I2499" s="116"/>
      <c r="L2499" s="170">
        <v>45684</v>
      </c>
      <c r="M2499" s="116">
        <v>3337.75</v>
      </c>
      <c r="N2499" s="116">
        <v>3369.05</v>
      </c>
      <c r="O2499" s="116">
        <v>3250</v>
      </c>
      <c r="P2499" s="116">
        <v>3250</v>
      </c>
      <c r="Q2499" s="116">
        <v>3337.75</v>
      </c>
      <c r="R2499">
        <v>1428077</v>
      </c>
    </row>
    <row r="2500" spans="1:18" x14ac:dyDescent="0.25">
      <c r="A2500" s="170">
        <v>45685</v>
      </c>
      <c r="B2500" s="116">
        <v>3346.6</v>
      </c>
      <c r="C2500" s="116">
        <v>3314.25</v>
      </c>
      <c r="D2500" s="116">
        <v>3255.65</v>
      </c>
      <c r="E2500" s="116">
        <v>3328</v>
      </c>
      <c r="F2500" s="116">
        <v>3314.25</v>
      </c>
      <c r="G2500">
        <v>3926</v>
      </c>
      <c r="H2500" s="116"/>
      <c r="I2500" s="116"/>
      <c r="L2500" s="170">
        <v>45685</v>
      </c>
      <c r="M2500" s="116">
        <v>3314.8</v>
      </c>
      <c r="N2500" s="116">
        <v>3344</v>
      </c>
      <c r="O2500" s="116">
        <v>3258.2</v>
      </c>
      <c r="P2500" s="116">
        <v>3321.1</v>
      </c>
      <c r="Q2500" s="116">
        <v>3314.8</v>
      </c>
      <c r="R2500">
        <v>337104</v>
      </c>
    </row>
    <row r="2501" spans="1:18" x14ac:dyDescent="0.25">
      <c r="A2501" s="170">
        <v>45686</v>
      </c>
      <c r="B2501" s="116">
        <v>3386.95</v>
      </c>
      <c r="C2501" s="116">
        <v>3359.5</v>
      </c>
      <c r="D2501" s="116">
        <v>3304.9</v>
      </c>
      <c r="E2501" s="116">
        <v>3304.9</v>
      </c>
      <c r="F2501" s="116">
        <v>3359.5</v>
      </c>
      <c r="G2501">
        <v>1468</v>
      </c>
      <c r="H2501" s="116"/>
      <c r="I2501" s="116"/>
      <c r="L2501" s="170">
        <v>45686</v>
      </c>
      <c r="M2501" s="116">
        <v>3360.5</v>
      </c>
      <c r="N2501" s="116">
        <v>3390</v>
      </c>
      <c r="O2501" s="116">
        <v>3300</v>
      </c>
      <c r="P2501" s="116">
        <v>3314.8</v>
      </c>
      <c r="Q2501" s="116">
        <v>3360.5</v>
      </c>
      <c r="R2501">
        <v>255311</v>
      </c>
    </row>
    <row r="2502" spans="1:18" x14ac:dyDescent="0.25">
      <c r="A2502" s="170">
        <v>45687</v>
      </c>
      <c r="B2502" s="116">
        <v>3381.95</v>
      </c>
      <c r="C2502" s="116">
        <v>3357.15</v>
      </c>
      <c r="D2502" s="116">
        <v>3336</v>
      </c>
      <c r="E2502" s="116">
        <v>3360</v>
      </c>
      <c r="F2502" s="116">
        <v>3357.15</v>
      </c>
      <c r="G2502">
        <v>2292</v>
      </c>
      <c r="H2502" s="116"/>
      <c r="I2502" s="116"/>
      <c r="L2502" s="170">
        <v>45687</v>
      </c>
      <c r="M2502" s="116">
        <v>3358.25</v>
      </c>
      <c r="N2502" s="116">
        <v>3393.6</v>
      </c>
      <c r="O2502" s="116">
        <v>3333.05</v>
      </c>
      <c r="P2502" s="116">
        <v>3360</v>
      </c>
      <c r="Q2502" s="116">
        <v>3358.25</v>
      </c>
      <c r="R2502">
        <v>512150</v>
      </c>
    </row>
    <row r="2503" spans="1:18" x14ac:dyDescent="0.25">
      <c r="A2503" s="170">
        <v>45688</v>
      </c>
      <c r="B2503" s="116">
        <v>3370.05</v>
      </c>
      <c r="C2503" s="116">
        <v>3259.2</v>
      </c>
      <c r="D2503" s="116">
        <v>3252.85</v>
      </c>
      <c r="E2503" s="116">
        <v>3323.2</v>
      </c>
      <c r="F2503" s="116">
        <v>3259.2</v>
      </c>
      <c r="G2503">
        <v>18558</v>
      </c>
      <c r="H2503" s="116"/>
      <c r="I2503" s="116"/>
      <c r="L2503" s="170">
        <v>45688</v>
      </c>
      <c r="M2503" s="116">
        <v>3269.1</v>
      </c>
      <c r="N2503" s="116">
        <v>3372.25</v>
      </c>
      <c r="O2503" s="116">
        <v>3251.55</v>
      </c>
      <c r="P2503" s="116">
        <v>3339.75</v>
      </c>
      <c r="Q2503" s="116">
        <v>3269.1</v>
      </c>
      <c r="R2503">
        <v>450908</v>
      </c>
    </row>
    <row r="2504" spans="1:18" x14ac:dyDescent="0.25">
      <c r="A2504" s="170">
        <v>45689</v>
      </c>
      <c r="B2504" s="116">
        <v>3303.15</v>
      </c>
      <c r="C2504" s="116">
        <v>3205.15</v>
      </c>
      <c r="D2504" s="116">
        <v>3190</v>
      </c>
      <c r="E2504" s="116">
        <v>3297.95</v>
      </c>
      <c r="F2504" s="116">
        <v>3205.15</v>
      </c>
      <c r="G2504">
        <v>784</v>
      </c>
      <c r="H2504" s="116"/>
      <c r="I2504" s="116"/>
      <c r="L2504" s="170">
        <v>45689</v>
      </c>
      <c r="M2504" s="116">
        <v>3207.7</v>
      </c>
      <c r="N2504" s="116">
        <v>3302.4</v>
      </c>
      <c r="O2504" s="116">
        <v>3186.1</v>
      </c>
      <c r="P2504" s="116">
        <v>3275</v>
      </c>
      <c r="Q2504" s="116">
        <v>3207.7</v>
      </c>
      <c r="R2504">
        <v>105407</v>
      </c>
    </row>
    <row r="2505" spans="1:18" x14ac:dyDescent="0.25">
      <c r="A2505" s="170">
        <v>45691</v>
      </c>
      <c r="B2505" s="116">
        <v>3241</v>
      </c>
      <c r="C2505" s="116">
        <v>3168.2</v>
      </c>
      <c r="D2505" s="116">
        <v>3126.65</v>
      </c>
      <c r="E2505" s="116">
        <v>3146.25</v>
      </c>
      <c r="F2505" s="116">
        <v>3168.2</v>
      </c>
      <c r="G2505">
        <v>2079</v>
      </c>
      <c r="H2505" s="116"/>
      <c r="I2505" s="116"/>
      <c r="L2505" s="170">
        <v>45691</v>
      </c>
      <c r="M2505" s="116">
        <v>3168.85</v>
      </c>
      <c r="N2505" s="116">
        <v>3248.75</v>
      </c>
      <c r="O2505" s="116">
        <v>3121</v>
      </c>
      <c r="P2505" s="116">
        <v>3121</v>
      </c>
      <c r="Q2505" s="116">
        <v>3168.85</v>
      </c>
      <c r="R2505">
        <v>214736</v>
      </c>
    </row>
    <row r="2506" spans="1:18" x14ac:dyDescent="0.25">
      <c r="A2506" s="170">
        <v>45692</v>
      </c>
      <c r="B2506" s="116">
        <v>3216.95</v>
      </c>
      <c r="C2506" s="116">
        <v>3105.05</v>
      </c>
      <c r="D2506" s="116">
        <v>3092</v>
      </c>
      <c r="E2506" s="116">
        <v>3150</v>
      </c>
      <c r="F2506" s="116">
        <v>3105.05</v>
      </c>
      <c r="G2506">
        <v>3454</v>
      </c>
      <c r="H2506" s="116"/>
      <c r="I2506" s="116"/>
      <c r="L2506" s="170">
        <v>45692</v>
      </c>
      <c r="M2506" s="116">
        <v>3103.05</v>
      </c>
      <c r="N2506" s="116">
        <v>3253.2</v>
      </c>
      <c r="O2506" s="116">
        <v>3090.55</v>
      </c>
      <c r="P2506" s="116">
        <v>3170</v>
      </c>
      <c r="Q2506" s="116">
        <v>3103.05</v>
      </c>
      <c r="R2506">
        <v>880065</v>
      </c>
    </row>
    <row r="2507" spans="1:18" x14ac:dyDescent="0.25">
      <c r="A2507" s="170">
        <v>45693</v>
      </c>
      <c r="B2507" s="116">
        <v>3135</v>
      </c>
      <c r="C2507" s="116">
        <v>3115.7</v>
      </c>
      <c r="D2507" s="116">
        <v>3069</v>
      </c>
      <c r="E2507" s="116">
        <v>3104.15</v>
      </c>
      <c r="F2507" s="116">
        <v>3115.7</v>
      </c>
      <c r="G2507">
        <v>3045</v>
      </c>
      <c r="H2507" s="116"/>
      <c r="I2507" s="116"/>
      <c r="L2507" s="170">
        <v>45693</v>
      </c>
      <c r="M2507" s="116">
        <v>3114.7</v>
      </c>
      <c r="N2507" s="116">
        <v>3140.9</v>
      </c>
      <c r="O2507" s="116">
        <v>3066.55</v>
      </c>
      <c r="P2507" s="116">
        <v>3125</v>
      </c>
      <c r="Q2507" s="116">
        <v>3114.7</v>
      </c>
      <c r="R2507">
        <v>736148</v>
      </c>
    </row>
    <row r="2508" spans="1:18" x14ac:dyDescent="0.25">
      <c r="A2508" s="170">
        <v>45694</v>
      </c>
      <c r="B2508" s="116">
        <v>3200.5</v>
      </c>
      <c r="C2508" s="116">
        <v>3161.35</v>
      </c>
      <c r="D2508" s="116">
        <v>3129.8</v>
      </c>
      <c r="E2508" s="116">
        <v>3149.95</v>
      </c>
      <c r="F2508" s="116">
        <v>3161.35</v>
      </c>
      <c r="G2508">
        <v>25139</v>
      </c>
      <c r="H2508" s="116"/>
      <c r="I2508" s="116"/>
      <c r="L2508" s="170">
        <v>45694</v>
      </c>
      <c r="M2508" s="116">
        <v>3161.25</v>
      </c>
      <c r="N2508" s="116">
        <v>3202</v>
      </c>
      <c r="O2508" s="116">
        <v>3125.5</v>
      </c>
      <c r="P2508" s="116">
        <v>3143.8</v>
      </c>
      <c r="Q2508" s="116">
        <v>3161.25</v>
      </c>
      <c r="R2508">
        <v>712569</v>
      </c>
    </row>
    <row r="2509" spans="1:18" x14ac:dyDescent="0.25">
      <c r="A2509" s="170">
        <v>45695</v>
      </c>
      <c r="B2509" s="116">
        <v>3272</v>
      </c>
      <c r="C2509" s="116">
        <v>3259.4</v>
      </c>
      <c r="D2509" s="116">
        <v>3150</v>
      </c>
      <c r="E2509" s="116">
        <v>3160.2</v>
      </c>
      <c r="F2509" s="116">
        <v>3259.4</v>
      </c>
      <c r="G2509">
        <v>5275</v>
      </c>
      <c r="H2509" s="116"/>
      <c r="I2509" s="116"/>
      <c r="L2509" s="170">
        <v>45695</v>
      </c>
      <c r="M2509" s="116">
        <v>3258.6</v>
      </c>
      <c r="N2509" s="116">
        <v>3273</v>
      </c>
      <c r="O2509" s="116">
        <v>3147</v>
      </c>
      <c r="P2509" s="116">
        <v>3166.7</v>
      </c>
      <c r="Q2509" s="116">
        <v>3258.6</v>
      </c>
      <c r="R2509">
        <v>694270</v>
      </c>
    </row>
    <row r="2510" spans="1:18" x14ac:dyDescent="0.25">
      <c r="A2510" s="170">
        <v>45698</v>
      </c>
      <c r="B2510" s="116">
        <v>3306.3</v>
      </c>
      <c r="C2510" s="116">
        <v>3190.6</v>
      </c>
      <c r="D2510" s="116">
        <v>3179.4</v>
      </c>
      <c r="E2510" s="116">
        <v>3296.4</v>
      </c>
      <c r="F2510" s="116">
        <v>3190.6</v>
      </c>
      <c r="G2510">
        <v>3046</v>
      </c>
      <c r="H2510" s="116"/>
      <c r="I2510" s="116"/>
      <c r="L2510" s="170">
        <v>45698</v>
      </c>
      <c r="M2510" s="116">
        <v>3192.9</v>
      </c>
      <c r="N2510" s="116">
        <v>3332.3</v>
      </c>
      <c r="O2510" s="116">
        <v>3176.05</v>
      </c>
      <c r="P2510" s="116">
        <v>3267</v>
      </c>
      <c r="Q2510" s="116">
        <v>3192.9</v>
      </c>
      <c r="R2510">
        <v>283715</v>
      </c>
    </row>
    <row r="2511" spans="1:18" x14ac:dyDescent="0.25">
      <c r="A2511" s="170">
        <v>45699</v>
      </c>
      <c r="B2511" s="116">
        <v>3188.25</v>
      </c>
      <c r="C2511" s="116">
        <v>3104.95</v>
      </c>
      <c r="D2511" s="116">
        <v>3085.2</v>
      </c>
      <c r="E2511" s="116">
        <v>3188.2</v>
      </c>
      <c r="F2511" s="116">
        <v>3104.95</v>
      </c>
      <c r="G2511">
        <v>1681</v>
      </c>
      <c r="H2511" s="116"/>
      <c r="I2511" s="116"/>
      <c r="L2511" s="170">
        <v>45699</v>
      </c>
      <c r="M2511" s="116">
        <v>3106.5</v>
      </c>
      <c r="N2511" s="116">
        <v>3235.85</v>
      </c>
      <c r="O2511" s="116">
        <v>3082</v>
      </c>
      <c r="P2511" s="116">
        <v>3200</v>
      </c>
      <c r="Q2511" s="116">
        <v>3106.5</v>
      </c>
      <c r="R2511">
        <v>212638</v>
      </c>
    </row>
    <row r="2512" spans="1:18" x14ac:dyDescent="0.25">
      <c r="A2512" s="170">
        <v>45700</v>
      </c>
      <c r="B2512" s="116">
        <v>3098.6</v>
      </c>
      <c r="C2512" s="116">
        <v>3063.05</v>
      </c>
      <c r="D2512" s="116">
        <v>3028.55</v>
      </c>
      <c r="E2512" s="116">
        <v>3090.05</v>
      </c>
      <c r="F2512" s="116">
        <v>3063.05</v>
      </c>
      <c r="G2512">
        <v>2874</v>
      </c>
      <c r="H2512" s="116"/>
      <c r="I2512" s="116"/>
      <c r="L2512" s="170">
        <v>45700</v>
      </c>
      <c r="M2512" s="116">
        <v>3059.9</v>
      </c>
      <c r="N2512" s="116">
        <v>3115</v>
      </c>
      <c r="O2512" s="116">
        <v>3027.8</v>
      </c>
      <c r="P2512" s="116">
        <v>3102</v>
      </c>
      <c r="Q2512" s="116">
        <v>3059.9</v>
      </c>
      <c r="R2512">
        <v>477990</v>
      </c>
    </row>
    <row r="2513" spans="1:18" x14ac:dyDescent="0.25">
      <c r="A2513" s="170">
        <v>45701</v>
      </c>
      <c r="B2513" s="116">
        <v>3243</v>
      </c>
      <c r="C2513" s="116">
        <v>3074.75</v>
      </c>
      <c r="D2513" s="116">
        <v>3060.15</v>
      </c>
      <c r="E2513" s="116">
        <v>3243</v>
      </c>
      <c r="F2513" s="116">
        <v>3074.75</v>
      </c>
      <c r="G2513">
        <v>2087</v>
      </c>
      <c r="H2513" s="116"/>
      <c r="I2513" s="116"/>
      <c r="L2513" s="170">
        <v>45701</v>
      </c>
      <c r="M2513" s="116">
        <v>3074.25</v>
      </c>
      <c r="N2513" s="116">
        <v>3112.1</v>
      </c>
      <c r="O2513" s="116">
        <v>3051.45</v>
      </c>
      <c r="P2513" s="116">
        <v>3059.9</v>
      </c>
      <c r="Q2513" s="116">
        <v>3074.25</v>
      </c>
      <c r="R2513">
        <v>275849</v>
      </c>
    </row>
    <row r="2514" spans="1:18" x14ac:dyDescent="0.25">
      <c r="A2514" s="170">
        <v>45702</v>
      </c>
      <c r="B2514" s="116">
        <v>3075.1</v>
      </c>
      <c r="C2514" s="116">
        <v>3011.5</v>
      </c>
      <c r="D2514" s="116">
        <v>2966.3</v>
      </c>
      <c r="E2514" s="116">
        <v>3075.05</v>
      </c>
      <c r="F2514" s="116">
        <v>3011.5</v>
      </c>
      <c r="G2514">
        <v>4305</v>
      </c>
      <c r="H2514" s="116"/>
      <c r="I2514" s="116"/>
      <c r="L2514" s="170">
        <v>45702</v>
      </c>
      <c r="M2514" s="116">
        <v>3013.85</v>
      </c>
      <c r="N2514" s="116">
        <v>3101.9</v>
      </c>
      <c r="O2514" s="116">
        <v>2966.05</v>
      </c>
      <c r="P2514" s="116">
        <v>3101.9</v>
      </c>
      <c r="Q2514" s="116">
        <v>3013.85</v>
      </c>
      <c r="R2514">
        <v>311381</v>
      </c>
    </row>
    <row r="2515" spans="1:18" x14ac:dyDescent="0.25">
      <c r="A2515" s="170">
        <v>45705</v>
      </c>
      <c r="B2515" s="116">
        <v>3081.85</v>
      </c>
      <c r="C2515" s="116">
        <v>3077.05</v>
      </c>
      <c r="D2515" s="116">
        <v>2953.6</v>
      </c>
      <c r="E2515" s="116">
        <v>2953.6</v>
      </c>
      <c r="F2515" s="116">
        <v>3077.05</v>
      </c>
      <c r="G2515">
        <v>1819</v>
      </c>
      <c r="H2515" s="116"/>
      <c r="I2515" s="116"/>
      <c r="L2515" s="170">
        <v>45705</v>
      </c>
      <c r="M2515" s="116">
        <v>3078</v>
      </c>
      <c r="N2515" s="116">
        <v>3084.75</v>
      </c>
      <c r="O2515" s="116">
        <v>2960.5</v>
      </c>
      <c r="P2515" s="116">
        <v>2960.5</v>
      </c>
      <c r="Q2515" s="116">
        <v>3078</v>
      </c>
      <c r="R2515">
        <v>260333</v>
      </c>
    </row>
    <row r="2516" spans="1:18" x14ac:dyDescent="0.25">
      <c r="A2516" s="170">
        <v>45706</v>
      </c>
      <c r="B2516" s="116">
        <v>3089.95</v>
      </c>
      <c r="C2516" s="116">
        <v>3046.3</v>
      </c>
      <c r="D2516" s="116">
        <v>3027.05</v>
      </c>
      <c r="E2516" s="116">
        <v>3089.95</v>
      </c>
      <c r="F2516" s="116">
        <v>3046.3</v>
      </c>
      <c r="G2516">
        <v>597</v>
      </c>
      <c r="H2516" s="116"/>
      <c r="I2516" s="116"/>
      <c r="L2516" s="170">
        <v>45706</v>
      </c>
      <c r="M2516" s="116">
        <v>3041.8</v>
      </c>
      <c r="N2516" s="116">
        <v>3100</v>
      </c>
      <c r="O2516" s="116">
        <v>3025.95</v>
      </c>
      <c r="P2516" s="116">
        <v>3078.05</v>
      </c>
      <c r="Q2516" s="116">
        <v>3041.8</v>
      </c>
      <c r="R2516">
        <v>233306</v>
      </c>
    </row>
    <row r="2517" spans="1:18" x14ac:dyDescent="0.25">
      <c r="A2517" s="170">
        <v>45707</v>
      </c>
      <c r="B2517" s="116">
        <v>3129.75</v>
      </c>
      <c r="C2517" s="116">
        <v>3116.6</v>
      </c>
      <c r="D2517" s="116">
        <v>2989.05</v>
      </c>
      <c r="E2517" s="116">
        <v>3010.95</v>
      </c>
      <c r="F2517" s="116">
        <v>3116.6</v>
      </c>
      <c r="G2517">
        <v>2756</v>
      </c>
      <c r="H2517" s="116"/>
      <c r="I2517" s="116"/>
      <c r="L2517" s="170">
        <v>45707</v>
      </c>
      <c r="M2517" s="116">
        <v>3120.55</v>
      </c>
      <c r="N2517" s="116">
        <v>3130</v>
      </c>
      <c r="O2517" s="116">
        <v>2985.5</v>
      </c>
      <c r="P2517" s="116">
        <v>3002</v>
      </c>
      <c r="Q2517" s="116">
        <v>3120.55</v>
      </c>
      <c r="R2517">
        <v>294730</v>
      </c>
    </row>
    <row r="2518" spans="1:18" x14ac:dyDescent="0.25">
      <c r="A2518" s="170">
        <v>45708</v>
      </c>
      <c r="B2518" s="116">
        <v>3115.7</v>
      </c>
      <c r="C2518" s="116">
        <v>3094.55</v>
      </c>
      <c r="D2518" s="116">
        <v>3065.7</v>
      </c>
      <c r="E2518" s="116">
        <v>3106.45</v>
      </c>
      <c r="F2518" s="116">
        <v>3094.55</v>
      </c>
      <c r="G2518">
        <v>1331</v>
      </c>
      <c r="H2518" s="116"/>
      <c r="I2518" s="116"/>
      <c r="L2518" s="170">
        <v>45708</v>
      </c>
      <c r="M2518" s="116">
        <v>3095.95</v>
      </c>
      <c r="N2518" s="116">
        <v>3128.95</v>
      </c>
      <c r="O2518" s="116">
        <v>3065</v>
      </c>
      <c r="P2518" s="116">
        <v>3120.65</v>
      </c>
      <c r="Q2518" s="116">
        <v>3095.95</v>
      </c>
      <c r="R2518">
        <v>222923</v>
      </c>
    </row>
    <row r="2519" spans="1:18" x14ac:dyDescent="0.25">
      <c r="A2519" s="170">
        <v>45709</v>
      </c>
      <c r="B2519" s="116">
        <v>3104.05</v>
      </c>
      <c r="C2519" s="116">
        <v>3035.75</v>
      </c>
      <c r="D2519" s="116">
        <v>3028</v>
      </c>
      <c r="E2519" s="116">
        <v>3100.7</v>
      </c>
      <c r="F2519" s="116">
        <v>3035.75</v>
      </c>
      <c r="G2519">
        <v>1036</v>
      </c>
      <c r="H2519" s="116"/>
      <c r="I2519" s="116"/>
      <c r="L2519" s="170">
        <v>45709</v>
      </c>
      <c r="M2519" s="116">
        <v>3039.35</v>
      </c>
      <c r="N2519" s="116">
        <v>3107.15</v>
      </c>
      <c r="O2519" s="116">
        <v>3025.05</v>
      </c>
      <c r="P2519" s="116">
        <v>3091.5</v>
      </c>
      <c r="Q2519" s="116">
        <v>3039.35</v>
      </c>
      <c r="R2519">
        <v>190251</v>
      </c>
    </row>
    <row r="2520" spans="1:18" x14ac:dyDescent="0.25">
      <c r="A2520" s="170">
        <v>45712</v>
      </c>
      <c r="B2520" s="116">
        <v>3065</v>
      </c>
      <c r="C2520" s="116">
        <v>3010.5</v>
      </c>
      <c r="D2520" s="116">
        <v>3005.15</v>
      </c>
      <c r="E2520" s="116">
        <v>3028</v>
      </c>
      <c r="F2520" s="116">
        <v>3010.5</v>
      </c>
      <c r="G2520">
        <v>4928</v>
      </c>
      <c r="H2520" s="116"/>
      <c r="I2520" s="116"/>
      <c r="L2520" s="170">
        <v>45712</v>
      </c>
      <c r="M2520" s="116">
        <v>3023.3</v>
      </c>
      <c r="N2520" s="116">
        <v>3070</v>
      </c>
      <c r="O2520" s="116">
        <v>3006.6</v>
      </c>
      <c r="P2520" s="116">
        <v>3020.1</v>
      </c>
      <c r="Q2520" s="116">
        <v>3023.3</v>
      </c>
      <c r="R2520">
        <v>353049</v>
      </c>
    </row>
    <row r="2521" spans="1:18" x14ac:dyDescent="0.25">
      <c r="A2521" s="170">
        <v>45713</v>
      </c>
      <c r="B2521" s="116">
        <v>3060.4</v>
      </c>
      <c r="C2521" s="116">
        <v>3028.4</v>
      </c>
      <c r="D2521" s="116">
        <v>3007.5</v>
      </c>
      <c r="E2521" s="116">
        <v>3007.5</v>
      </c>
      <c r="F2521" s="116">
        <v>3028.4</v>
      </c>
      <c r="G2521">
        <v>33197</v>
      </c>
      <c r="H2521" s="116"/>
      <c r="I2521" s="116"/>
      <c r="L2521" s="170">
        <v>45713</v>
      </c>
      <c r="M2521" s="116">
        <v>3031.05</v>
      </c>
      <c r="N2521" s="116">
        <v>3063.65</v>
      </c>
      <c r="O2521" s="116">
        <v>2995</v>
      </c>
      <c r="P2521" s="116">
        <v>3011.2</v>
      </c>
      <c r="Q2521" s="116">
        <v>3031.05</v>
      </c>
      <c r="R2521">
        <v>287650</v>
      </c>
    </row>
    <row r="2522" spans="1:18" x14ac:dyDescent="0.25">
      <c r="A2522" s="170">
        <v>45715</v>
      </c>
      <c r="B2522" s="116">
        <v>3040</v>
      </c>
      <c r="C2522" s="116">
        <v>2986.7</v>
      </c>
      <c r="D2522" s="116">
        <v>2975.4</v>
      </c>
      <c r="E2522" s="116">
        <v>3031</v>
      </c>
      <c r="F2522" s="116">
        <v>2986.7</v>
      </c>
      <c r="G2522">
        <v>3704</v>
      </c>
      <c r="H2522" s="116"/>
      <c r="I2522" s="116"/>
      <c r="L2522" s="170">
        <v>45715</v>
      </c>
      <c r="M2522" s="116">
        <v>2987</v>
      </c>
      <c r="N2522" s="116">
        <v>3050</v>
      </c>
      <c r="O2522" s="116">
        <v>2961.5</v>
      </c>
      <c r="P2522" s="116">
        <v>3030</v>
      </c>
      <c r="Q2522" s="116">
        <v>2987</v>
      </c>
      <c r="R2522">
        <v>278659</v>
      </c>
    </row>
    <row r="2523" spans="1:18" x14ac:dyDescent="0.25">
      <c r="A2523" s="170">
        <v>45716</v>
      </c>
      <c r="B2523" s="116">
        <v>2972.2</v>
      </c>
      <c r="C2523" s="116">
        <v>2945.3</v>
      </c>
      <c r="D2523" s="116">
        <v>2918</v>
      </c>
      <c r="E2523" s="116">
        <v>2958.8</v>
      </c>
      <c r="F2523" s="116">
        <v>2945.3</v>
      </c>
      <c r="G2523">
        <v>45129</v>
      </c>
      <c r="H2523" s="116"/>
      <c r="I2523" s="116"/>
      <c r="L2523" s="170">
        <v>45716</v>
      </c>
      <c r="M2523" s="116">
        <v>2948.1</v>
      </c>
      <c r="N2523" s="116">
        <v>2976.6</v>
      </c>
      <c r="O2523" s="116">
        <v>2911.5</v>
      </c>
      <c r="P2523" s="116">
        <v>2950</v>
      </c>
      <c r="Q2523" s="116">
        <v>2948.1</v>
      </c>
      <c r="R2523">
        <v>2377398</v>
      </c>
    </row>
    <row r="2524" spans="1:18" x14ac:dyDescent="0.25">
      <c r="A2524" s="170">
        <v>45719</v>
      </c>
      <c r="B2524" s="116">
        <v>2981.75</v>
      </c>
      <c r="C2524" s="116">
        <v>2959.6</v>
      </c>
      <c r="D2524" s="116">
        <v>2891.45</v>
      </c>
      <c r="E2524" s="116">
        <v>2939.3</v>
      </c>
      <c r="F2524" s="116">
        <v>2959.6</v>
      </c>
      <c r="G2524">
        <v>1034</v>
      </c>
      <c r="H2524" s="116"/>
      <c r="I2524" s="116"/>
      <c r="L2524" s="170">
        <v>45719</v>
      </c>
      <c r="M2524" s="116">
        <v>2959.25</v>
      </c>
      <c r="N2524" s="116">
        <v>2987.95</v>
      </c>
      <c r="O2524" s="116">
        <v>2886.45</v>
      </c>
      <c r="P2524" s="116">
        <v>2920</v>
      </c>
      <c r="Q2524" s="116">
        <v>2959.25</v>
      </c>
      <c r="R2524">
        <v>287062</v>
      </c>
    </row>
    <row r="2525" spans="1:18" x14ac:dyDescent="0.25">
      <c r="A2525" s="170">
        <v>45720</v>
      </c>
      <c r="B2525" s="116">
        <v>2970.9</v>
      </c>
      <c r="C2525" s="116">
        <v>2930.1</v>
      </c>
      <c r="D2525" s="116">
        <v>2922</v>
      </c>
      <c r="E2525" s="116">
        <v>2938.25</v>
      </c>
      <c r="F2525" s="116">
        <v>2930.1</v>
      </c>
      <c r="G2525">
        <v>15952</v>
      </c>
      <c r="H2525" s="116"/>
      <c r="I2525" s="116"/>
      <c r="L2525" s="170">
        <v>45720</v>
      </c>
      <c r="M2525" s="116">
        <v>2930.3</v>
      </c>
      <c r="N2525" s="116">
        <v>2987.2</v>
      </c>
      <c r="O2525" s="116">
        <v>2919.05</v>
      </c>
      <c r="P2525" s="116">
        <v>2945.5</v>
      </c>
      <c r="Q2525" s="116">
        <v>2930.3</v>
      </c>
      <c r="R2525">
        <v>401576</v>
      </c>
    </row>
    <row r="2526" spans="1:18" x14ac:dyDescent="0.25">
      <c r="A2526" s="170">
        <v>45721</v>
      </c>
      <c r="B2526" s="116">
        <v>2988.9</v>
      </c>
      <c r="C2526" s="116">
        <v>2981.7</v>
      </c>
      <c r="D2526" s="116">
        <v>2920</v>
      </c>
      <c r="E2526" s="116">
        <v>2930.1</v>
      </c>
      <c r="F2526" s="116">
        <v>2981.7</v>
      </c>
      <c r="G2526">
        <v>1115</v>
      </c>
      <c r="H2526" s="116"/>
      <c r="I2526" s="116"/>
      <c r="L2526" s="170">
        <v>45721</v>
      </c>
      <c r="M2526" s="116">
        <v>2978.75</v>
      </c>
      <c r="N2526" s="116">
        <v>2985.8</v>
      </c>
      <c r="O2526" s="116">
        <v>2902.25</v>
      </c>
      <c r="P2526" s="116">
        <v>2930.3</v>
      </c>
      <c r="Q2526" s="116">
        <v>2978.75</v>
      </c>
      <c r="R2526">
        <v>195287</v>
      </c>
    </row>
    <row r="2527" spans="1:18" x14ac:dyDescent="0.25">
      <c r="A2527" s="170">
        <v>45722</v>
      </c>
      <c r="B2527" s="116">
        <v>3070.55</v>
      </c>
      <c r="C2527" s="116">
        <v>3058.65</v>
      </c>
      <c r="D2527" s="116">
        <v>2978.75</v>
      </c>
      <c r="E2527" s="116">
        <v>3010</v>
      </c>
      <c r="F2527" s="116">
        <v>3058.65</v>
      </c>
      <c r="G2527">
        <v>38100</v>
      </c>
      <c r="H2527" s="116"/>
      <c r="I2527" s="116"/>
      <c r="L2527" s="170">
        <v>45722</v>
      </c>
      <c r="M2527" s="116">
        <v>3059</v>
      </c>
      <c r="N2527" s="116">
        <v>3069.55</v>
      </c>
      <c r="O2527" s="116">
        <v>2974.05</v>
      </c>
      <c r="P2527" s="116">
        <v>2994.85</v>
      </c>
      <c r="Q2527" s="116">
        <v>3059</v>
      </c>
      <c r="R2527">
        <v>261988</v>
      </c>
    </row>
    <row r="2528" spans="1:18" x14ac:dyDescent="0.25">
      <c r="A2528" s="170">
        <v>45723</v>
      </c>
      <c r="B2528" s="116">
        <v>3086.95</v>
      </c>
      <c r="C2528" s="116">
        <v>3072.1</v>
      </c>
      <c r="D2528" s="116">
        <v>3050.35</v>
      </c>
      <c r="E2528" s="116">
        <v>3069.15</v>
      </c>
      <c r="F2528" s="116">
        <v>3072.1</v>
      </c>
      <c r="G2528">
        <v>1530</v>
      </c>
      <c r="H2528" s="116"/>
      <c r="I2528" s="116"/>
      <c r="L2528" s="170">
        <v>45723</v>
      </c>
      <c r="M2528" s="116">
        <v>3073.8</v>
      </c>
      <c r="N2528" s="116">
        <v>3085</v>
      </c>
      <c r="O2528" s="116">
        <v>3046.45</v>
      </c>
      <c r="P2528" s="116">
        <v>3065</v>
      </c>
      <c r="Q2528" s="116">
        <v>3073.8</v>
      </c>
      <c r="R2528">
        <v>284470</v>
      </c>
    </row>
    <row r="2529" spans="1:18" x14ac:dyDescent="0.25">
      <c r="A2529" s="170">
        <v>45726</v>
      </c>
      <c r="B2529" s="116">
        <v>3137.5</v>
      </c>
      <c r="C2529" s="116">
        <v>3070.7</v>
      </c>
      <c r="D2529" s="116">
        <v>3041.9</v>
      </c>
      <c r="E2529" s="116">
        <v>3041.9</v>
      </c>
      <c r="F2529" s="116">
        <v>3070.7</v>
      </c>
      <c r="G2529">
        <v>3084</v>
      </c>
      <c r="H2529" s="116"/>
      <c r="I2529" s="116"/>
      <c r="L2529" s="170">
        <v>45726</v>
      </c>
      <c r="M2529" s="116">
        <v>3071.1</v>
      </c>
      <c r="N2529" s="116">
        <v>3144.9</v>
      </c>
      <c r="O2529" s="116">
        <v>3048.5</v>
      </c>
      <c r="P2529" s="116">
        <v>3056.85</v>
      </c>
      <c r="Q2529" s="116">
        <v>3071.1</v>
      </c>
      <c r="R2529">
        <v>328858</v>
      </c>
    </row>
    <row r="2530" spans="1:18" x14ac:dyDescent="0.25">
      <c r="A2530" s="170">
        <v>45727</v>
      </c>
      <c r="B2530" s="116">
        <v>3095.85</v>
      </c>
      <c r="C2530" s="116">
        <v>3059.7</v>
      </c>
      <c r="D2530" s="116">
        <v>3031.2</v>
      </c>
      <c r="E2530" s="116">
        <v>3040.6</v>
      </c>
      <c r="F2530" s="116">
        <v>3059.7</v>
      </c>
      <c r="G2530">
        <v>1211</v>
      </c>
      <c r="H2530" s="116"/>
      <c r="I2530" s="116"/>
      <c r="L2530" s="170">
        <v>45727</v>
      </c>
      <c r="M2530" s="116">
        <v>3057.95</v>
      </c>
      <c r="N2530" s="116">
        <v>3097.3</v>
      </c>
      <c r="O2530" s="116">
        <v>3027.65</v>
      </c>
      <c r="P2530" s="116">
        <v>3045</v>
      </c>
      <c r="Q2530" s="116">
        <v>3057.95</v>
      </c>
      <c r="R2530">
        <v>275298</v>
      </c>
    </row>
    <row r="2531" spans="1:18" x14ac:dyDescent="0.25">
      <c r="A2531" s="170">
        <v>45728</v>
      </c>
      <c r="B2531" s="116">
        <v>3101.45</v>
      </c>
      <c r="C2531" s="116">
        <v>3096.25</v>
      </c>
      <c r="D2531" s="116">
        <v>3038.55</v>
      </c>
      <c r="E2531" s="116">
        <v>3050</v>
      </c>
      <c r="F2531" s="116">
        <v>3096.25</v>
      </c>
      <c r="G2531">
        <v>884</v>
      </c>
      <c r="H2531" s="116"/>
      <c r="I2531" s="116"/>
      <c r="L2531" s="170">
        <v>45728</v>
      </c>
      <c r="M2531" s="116">
        <v>3096.5</v>
      </c>
      <c r="N2531" s="116">
        <v>3107.8</v>
      </c>
      <c r="O2531" s="116">
        <v>3031.8</v>
      </c>
      <c r="P2531" s="116">
        <v>3085.5</v>
      </c>
      <c r="Q2531" s="116">
        <v>3096.5</v>
      </c>
      <c r="R2531">
        <v>188711</v>
      </c>
    </row>
    <row r="2532" spans="1:18" x14ac:dyDescent="0.25">
      <c r="A2532" s="170">
        <v>45729</v>
      </c>
      <c r="B2532" s="116">
        <v>3099.1</v>
      </c>
      <c r="C2532" s="116">
        <v>3058.45</v>
      </c>
      <c r="D2532" s="116">
        <v>3040.3</v>
      </c>
      <c r="E2532" s="116">
        <v>3040.3</v>
      </c>
      <c r="F2532" s="116">
        <v>3058.45</v>
      </c>
      <c r="G2532">
        <v>464</v>
      </c>
      <c r="H2532" s="116"/>
      <c r="I2532" s="116"/>
      <c r="L2532" s="170">
        <v>45729</v>
      </c>
      <c r="M2532" s="116">
        <v>3056.05</v>
      </c>
      <c r="N2532" s="116">
        <v>3109.85</v>
      </c>
      <c r="O2532" s="116">
        <v>3047.8</v>
      </c>
      <c r="P2532" s="116">
        <v>3099</v>
      </c>
      <c r="Q2532" s="116">
        <v>3056.05</v>
      </c>
      <c r="R2532">
        <v>170542</v>
      </c>
    </row>
    <row r="2533" spans="1:18" x14ac:dyDescent="0.25">
      <c r="A2533" s="170">
        <v>45733</v>
      </c>
      <c r="B2533" s="116">
        <v>3091.95</v>
      </c>
      <c r="C2533" s="116">
        <v>3060.15</v>
      </c>
      <c r="D2533" s="116">
        <v>3043.25</v>
      </c>
      <c r="E2533" s="116">
        <v>3051.7</v>
      </c>
      <c r="F2533" s="116">
        <v>3060.15</v>
      </c>
      <c r="G2533">
        <v>1231</v>
      </c>
      <c r="H2533" s="116"/>
      <c r="I2533" s="116"/>
      <c r="L2533" s="170">
        <v>45733</v>
      </c>
      <c r="M2533" s="116">
        <v>3066.35</v>
      </c>
      <c r="N2533" s="116">
        <v>3094.95</v>
      </c>
      <c r="O2533" s="116">
        <v>3038.4</v>
      </c>
      <c r="P2533" s="116">
        <v>3060</v>
      </c>
      <c r="Q2533" s="116">
        <v>3066.35</v>
      </c>
      <c r="R2533">
        <v>216124</v>
      </c>
    </row>
    <row r="2534" spans="1:18" x14ac:dyDescent="0.25">
      <c r="A2534" s="170">
        <v>45734</v>
      </c>
      <c r="B2534" s="116">
        <v>3144.2</v>
      </c>
      <c r="C2534" s="116">
        <v>3135.6</v>
      </c>
      <c r="D2534" s="116">
        <v>3047.9</v>
      </c>
      <c r="E2534" s="116">
        <v>3072.8</v>
      </c>
      <c r="F2534" s="116">
        <v>3135.6</v>
      </c>
      <c r="G2534">
        <v>761</v>
      </c>
      <c r="H2534" s="116"/>
      <c r="I2534" s="116"/>
      <c r="L2534" s="170">
        <v>45734</v>
      </c>
      <c r="M2534" s="116">
        <v>3135.7</v>
      </c>
      <c r="N2534" s="116">
        <v>3144.4</v>
      </c>
      <c r="O2534" s="116">
        <v>3049.2</v>
      </c>
      <c r="P2534" s="116">
        <v>3091.75</v>
      </c>
      <c r="Q2534" s="116">
        <v>3135.7</v>
      </c>
      <c r="R2534">
        <v>245862</v>
      </c>
    </row>
    <row r="2535" spans="1:18" x14ac:dyDescent="0.25">
      <c r="A2535" s="170">
        <v>45735</v>
      </c>
      <c r="B2535" s="116">
        <v>3197.3</v>
      </c>
      <c r="C2535" s="116">
        <v>3192.55</v>
      </c>
      <c r="D2535" s="116">
        <v>3085</v>
      </c>
      <c r="E2535" s="116">
        <v>3135.6</v>
      </c>
      <c r="F2535" s="116">
        <v>3192.55</v>
      </c>
      <c r="G2535">
        <v>892</v>
      </c>
      <c r="H2535" s="116"/>
      <c r="I2535" s="116"/>
      <c r="L2535" s="170">
        <v>45735</v>
      </c>
      <c r="M2535" s="116">
        <v>3191.3</v>
      </c>
      <c r="N2535" s="116">
        <v>3200</v>
      </c>
      <c r="O2535" s="116">
        <v>3075</v>
      </c>
      <c r="P2535" s="116">
        <v>3135.7</v>
      </c>
      <c r="Q2535" s="116">
        <v>3191.3</v>
      </c>
      <c r="R2535">
        <v>358238</v>
      </c>
    </row>
    <row r="2536" spans="1:18" x14ac:dyDescent="0.25">
      <c r="A2536" s="170">
        <v>45736</v>
      </c>
      <c r="B2536" s="116">
        <v>3248.9</v>
      </c>
      <c r="C2536" s="116">
        <v>3229.9</v>
      </c>
      <c r="D2536" s="116">
        <v>3184.15</v>
      </c>
      <c r="E2536" s="116">
        <v>3248.9</v>
      </c>
      <c r="F2536" s="116">
        <v>3229.9</v>
      </c>
      <c r="G2536">
        <v>1716</v>
      </c>
      <c r="H2536" s="116"/>
      <c r="I2536" s="116"/>
      <c r="L2536" s="170">
        <v>45736</v>
      </c>
      <c r="M2536" s="116">
        <v>3230.75</v>
      </c>
      <c r="N2536" s="116">
        <v>3242.85</v>
      </c>
      <c r="O2536" s="116">
        <v>3184.3</v>
      </c>
      <c r="P2536" s="116">
        <v>3225</v>
      </c>
      <c r="Q2536" s="116">
        <v>3230.75</v>
      </c>
      <c r="R2536">
        <v>186344</v>
      </c>
    </row>
    <row r="2537" spans="1:18" x14ac:dyDescent="0.25">
      <c r="A2537" s="170">
        <v>45737</v>
      </c>
      <c r="B2537" s="116">
        <v>3272.5</v>
      </c>
      <c r="C2537" s="116">
        <v>3223.95</v>
      </c>
      <c r="D2537" s="116">
        <v>3198.1</v>
      </c>
      <c r="E2537" s="116">
        <v>3260</v>
      </c>
      <c r="F2537" s="116">
        <v>3223.95</v>
      </c>
      <c r="G2537">
        <v>1938</v>
      </c>
      <c r="H2537" s="116"/>
      <c r="I2537" s="116"/>
      <c r="L2537" s="170">
        <v>45737</v>
      </c>
      <c r="M2537" s="116">
        <v>3223.1</v>
      </c>
      <c r="N2537" s="116">
        <v>3275</v>
      </c>
      <c r="O2537" s="116">
        <v>3199.25</v>
      </c>
      <c r="P2537" s="116">
        <v>3240</v>
      </c>
      <c r="Q2537" s="116">
        <v>3223.1</v>
      </c>
      <c r="R2537">
        <v>477309</v>
      </c>
    </row>
    <row r="2538" spans="1:18" x14ac:dyDescent="0.25">
      <c r="A2538" s="170">
        <v>45740</v>
      </c>
      <c r="B2538" s="116">
        <v>3298.9</v>
      </c>
      <c r="C2538" s="116">
        <v>3259.7</v>
      </c>
      <c r="D2538" s="116">
        <v>3197.45</v>
      </c>
      <c r="E2538" s="116">
        <v>3223.1</v>
      </c>
      <c r="F2538" s="116">
        <v>3259.7</v>
      </c>
      <c r="G2538">
        <v>3153</v>
      </c>
      <c r="H2538" s="116"/>
      <c r="I2538" s="116"/>
      <c r="L2538" s="170">
        <v>45740</v>
      </c>
      <c r="M2538" s="116">
        <v>3271.45</v>
      </c>
      <c r="N2538" s="116">
        <v>3300</v>
      </c>
      <c r="O2538" s="116">
        <v>3195.8</v>
      </c>
      <c r="P2538" s="116">
        <v>3236.95</v>
      </c>
      <c r="Q2538" s="116">
        <v>3271.45</v>
      </c>
      <c r="R2538">
        <v>290413</v>
      </c>
    </row>
    <row r="2539" spans="1:18" x14ac:dyDescent="0.25">
      <c r="A2539" s="170">
        <v>45741</v>
      </c>
      <c r="B2539" s="116">
        <v>3288.65</v>
      </c>
      <c r="C2539" s="116">
        <v>3232.35</v>
      </c>
      <c r="D2539" s="116">
        <v>3191.45</v>
      </c>
      <c r="E2539" s="116">
        <v>3275</v>
      </c>
      <c r="F2539" s="116">
        <v>3232.35</v>
      </c>
      <c r="G2539">
        <v>1879</v>
      </c>
      <c r="H2539" s="116"/>
      <c r="I2539" s="116"/>
      <c r="L2539" s="170">
        <v>45741</v>
      </c>
      <c r="M2539" s="116">
        <v>3245.05</v>
      </c>
      <c r="N2539" s="116">
        <v>3300.9</v>
      </c>
      <c r="O2539" s="116">
        <v>3191.4</v>
      </c>
      <c r="P2539" s="116">
        <v>3299.95</v>
      </c>
      <c r="Q2539" s="116">
        <v>3245.05</v>
      </c>
      <c r="R2539">
        <v>279418</v>
      </c>
    </row>
    <row r="2540" spans="1:18" x14ac:dyDescent="0.25">
      <c r="A2540" s="170">
        <v>45742</v>
      </c>
      <c r="B2540" s="116">
        <v>3250.35</v>
      </c>
      <c r="C2540" s="116">
        <v>3219.45</v>
      </c>
      <c r="D2540" s="116">
        <v>3190.45</v>
      </c>
      <c r="E2540" s="116">
        <v>3203.05</v>
      </c>
      <c r="F2540" s="116">
        <v>3219.45</v>
      </c>
      <c r="G2540">
        <v>586</v>
      </c>
      <c r="H2540" s="116"/>
      <c r="I2540" s="116"/>
      <c r="L2540" s="170">
        <v>45742</v>
      </c>
      <c r="M2540" s="116">
        <v>3219.1</v>
      </c>
      <c r="N2540" s="116">
        <v>3253.55</v>
      </c>
      <c r="O2540" s="116">
        <v>3190</v>
      </c>
      <c r="P2540" s="116">
        <v>3245.1</v>
      </c>
      <c r="Q2540" s="116">
        <v>3219.1</v>
      </c>
      <c r="R2540">
        <v>186816</v>
      </c>
    </row>
    <row r="2541" spans="1:18" x14ac:dyDescent="0.25">
      <c r="A2541" s="170">
        <v>45743</v>
      </c>
      <c r="B2541" s="116">
        <v>3253</v>
      </c>
      <c r="C2541" s="116">
        <v>3226.15</v>
      </c>
      <c r="D2541" s="116">
        <v>3154.45</v>
      </c>
      <c r="E2541" s="116">
        <v>3166.75</v>
      </c>
      <c r="F2541" s="116">
        <v>3226.15</v>
      </c>
      <c r="G2541">
        <v>2556</v>
      </c>
      <c r="H2541" s="116"/>
      <c r="I2541" s="116"/>
      <c r="L2541" s="170">
        <v>45743</v>
      </c>
      <c r="M2541" s="116">
        <v>3233.15</v>
      </c>
      <c r="N2541" s="116">
        <v>3250</v>
      </c>
      <c r="O2541" s="116">
        <v>3152.05</v>
      </c>
      <c r="P2541" s="116">
        <v>3202</v>
      </c>
      <c r="Q2541" s="116">
        <v>3233.15</v>
      </c>
      <c r="R2541">
        <v>551167</v>
      </c>
    </row>
    <row r="2542" spans="1:18" x14ac:dyDescent="0.25">
      <c r="A2542" s="170">
        <v>45744</v>
      </c>
      <c r="B2542" s="116">
        <v>3250</v>
      </c>
      <c r="C2542" s="116">
        <v>3234.6</v>
      </c>
      <c r="D2542" s="116">
        <v>3204.25</v>
      </c>
      <c r="E2542" s="116">
        <v>3228.2</v>
      </c>
      <c r="F2542" s="116">
        <v>3234.6</v>
      </c>
      <c r="G2542">
        <v>819</v>
      </c>
      <c r="H2542" s="116"/>
      <c r="I2542" s="116"/>
      <c r="L2542" s="170">
        <v>45744</v>
      </c>
      <c r="M2542" s="116">
        <v>3227.95</v>
      </c>
      <c r="N2542" s="116">
        <v>3249.95</v>
      </c>
      <c r="O2542" s="116">
        <v>3202.7</v>
      </c>
      <c r="P2542" s="116">
        <v>3233.2</v>
      </c>
      <c r="Q2542" s="116">
        <v>3227.95</v>
      </c>
      <c r="R2542">
        <v>271746</v>
      </c>
    </row>
    <row r="2543" spans="1:18" x14ac:dyDescent="0.25">
      <c r="A2543" s="170">
        <v>45748</v>
      </c>
      <c r="B2543" s="116">
        <v>3230</v>
      </c>
      <c r="C2543" s="116">
        <v>3181.55</v>
      </c>
      <c r="D2543" s="116">
        <v>3149.05</v>
      </c>
      <c r="E2543" s="116">
        <v>3152.1</v>
      </c>
      <c r="F2543" s="116">
        <v>3181.55</v>
      </c>
      <c r="G2543">
        <v>1708</v>
      </c>
      <c r="H2543" s="116"/>
      <c r="I2543" s="116"/>
      <c r="L2543" s="170">
        <v>45748</v>
      </c>
      <c r="M2543" s="116">
        <v>3183.9</v>
      </c>
      <c r="N2543" s="116">
        <v>3231.75</v>
      </c>
      <c r="O2543" s="116">
        <v>3170</v>
      </c>
      <c r="P2543" s="116">
        <v>3198.9</v>
      </c>
      <c r="Q2543" s="116">
        <v>3183.9</v>
      </c>
      <c r="R2543">
        <v>215496</v>
      </c>
    </row>
    <row r="2544" spans="1:18" x14ac:dyDescent="0.25">
      <c r="A2544" s="170">
        <v>45749</v>
      </c>
      <c r="B2544" s="116">
        <v>3213.7</v>
      </c>
      <c r="C2544" s="116">
        <v>3209.35</v>
      </c>
      <c r="D2544" s="116">
        <v>3162.5</v>
      </c>
      <c r="E2544" s="116">
        <v>3194.05</v>
      </c>
      <c r="F2544" s="116">
        <v>3209.35</v>
      </c>
      <c r="G2544">
        <v>643</v>
      </c>
      <c r="H2544" s="116"/>
      <c r="I2544" s="116"/>
      <c r="L2544" s="170">
        <v>45749</v>
      </c>
      <c r="M2544" s="116">
        <v>3207.1</v>
      </c>
      <c r="N2544" s="116">
        <v>3217.25</v>
      </c>
      <c r="O2544" s="116">
        <v>3164.05</v>
      </c>
      <c r="P2544" s="116">
        <v>3187.7</v>
      </c>
      <c r="Q2544" s="116">
        <v>3207.1</v>
      </c>
      <c r="R2544">
        <v>202794</v>
      </c>
    </row>
    <row r="2545" spans="1:18" x14ac:dyDescent="0.25">
      <c r="A2545" s="170">
        <v>45750</v>
      </c>
      <c r="B2545" s="116">
        <v>3320</v>
      </c>
      <c r="C2545" s="116">
        <v>3249.8</v>
      </c>
      <c r="D2545" s="116">
        <v>3230.05</v>
      </c>
      <c r="E2545" s="116">
        <v>3240.4</v>
      </c>
      <c r="F2545" s="116">
        <v>3249.8</v>
      </c>
      <c r="G2545">
        <v>8779</v>
      </c>
      <c r="H2545" s="116"/>
      <c r="I2545" s="116"/>
      <c r="L2545" s="170">
        <v>45750</v>
      </c>
      <c r="M2545" s="116">
        <v>3247.7</v>
      </c>
      <c r="N2545" s="116">
        <v>3321.6</v>
      </c>
      <c r="O2545" s="116">
        <v>3225</v>
      </c>
      <c r="P2545" s="116">
        <v>3236.4</v>
      </c>
      <c r="Q2545" s="116">
        <v>3247.7</v>
      </c>
      <c r="R2545">
        <v>228524</v>
      </c>
    </row>
    <row r="2546" spans="1:18" x14ac:dyDescent="0.25">
      <c r="A2546" s="170">
        <v>45751</v>
      </c>
      <c r="B2546" s="116">
        <v>3299.9</v>
      </c>
      <c r="C2546" s="116">
        <v>3284.75</v>
      </c>
      <c r="D2546" s="116">
        <v>3178.55</v>
      </c>
      <c r="E2546" s="116">
        <v>3249.8</v>
      </c>
      <c r="F2546" s="116">
        <v>3284.75</v>
      </c>
      <c r="G2546">
        <v>2824</v>
      </c>
      <c r="H2546" s="116"/>
      <c r="I2546" s="116"/>
      <c r="L2546" s="170">
        <v>45751</v>
      </c>
      <c r="M2546" s="116">
        <v>3286.5</v>
      </c>
      <c r="N2546" s="116">
        <v>3309.65</v>
      </c>
      <c r="O2546" s="116">
        <v>3180</v>
      </c>
      <c r="P2546" s="116">
        <v>3248.5</v>
      </c>
      <c r="Q2546" s="116">
        <v>3286.5</v>
      </c>
      <c r="R2546">
        <v>513622</v>
      </c>
    </row>
    <row r="2547" spans="1:18" x14ac:dyDescent="0.25">
      <c r="A2547" s="170">
        <v>45754</v>
      </c>
      <c r="B2547" s="116">
        <v>3307.95</v>
      </c>
      <c r="C2547" s="116">
        <v>3232.55</v>
      </c>
      <c r="D2547" s="116">
        <v>3200</v>
      </c>
      <c r="E2547" s="116">
        <v>3228.5</v>
      </c>
      <c r="F2547" s="116">
        <v>3232.55</v>
      </c>
      <c r="G2547">
        <v>5025</v>
      </c>
      <c r="H2547" s="116"/>
      <c r="I2547" s="116"/>
      <c r="L2547" s="170">
        <v>45754</v>
      </c>
      <c r="M2547" s="116">
        <v>3233.55</v>
      </c>
      <c r="N2547" s="116">
        <v>3304.9</v>
      </c>
      <c r="O2547" s="116">
        <v>3167.05</v>
      </c>
      <c r="P2547" s="116">
        <v>3226</v>
      </c>
      <c r="Q2547" s="116">
        <v>3233.55</v>
      </c>
      <c r="R2547">
        <v>1329653</v>
      </c>
    </row>
    <row r="2548" spans="1:18" x14ac:dyDescent="0.25">
      <c r="A2548" s="170">
        <v>45755</v>
      </c>
      <c r="B2548" s="116">
        <v>3289.95</v>
      </c>
      <c r="C2548" s="116">
        <v>3244.5</v>
      </c>
      <c r="D2548" s="116">
        <v>3191.7</v>
      </c>
      <c r="E2548" s="116">
        <v>3289.95</v>
      </c>
      <c r="F2548" s="116">
        <v>3244.5</v>
      </c>
      <c r="G2548">
        <v>27590</v>
      </c>
      <c r="H2548" s="116"/>
      <c r="I2548" s="116"/>
      <c r="L2548" s="170">
        <v>45755</v>
      </c>
      <c r="M2548" s="116">
        <v>3246.6</v>
      </c>
      <c r="N2548" s="116">
        <v>3270.65</v>
      </c>
      <c r="O2548" s="116">
        <v>3190.15</v>
      </c>
      <c r="P2548" s="116">
        <v>3241.2</v>
      </c>
      <c r="Q2548" s="116">
        <v>3246.6</v>
      </c>
      <c r="R2548">
        <v>602145</v>
      </c>
    </row>
    <row r="2549" spans="1:18" x14ac:dyDescent="0.25">
      <c r="A2549" s="170">
        <v>45756</v>
      </c>
      <c r="B2549" s="116">
        <v>3231.5</v>
      </c>
      <c r="C2549" s="116">
        <v>3126.55</v>
      </c>
      <c r="D2549" s="116">
        <v>3111.5</v>
      </c>
      <c r="E2549" s="116">
        <v>3210</v>
      </c>
      <c r="F2549" s="116">
        <v>3126.55</v>
      </c>
      <c r="G2549">
        <v>1002</v>
      </c>
      <c r="H2549" s="116"/>
      <c r="I2549" s="116"/>
      <c r="L2549" s="170">
        <v>45756</v>
      </c>
      <c r="M2549" s="116">
        <v>3126.8</v>
      </c>
      <c r="N2549" s="116">
        <v>3238.95</v>
      </c>
      <c r="O2549" s="116">
        <v>3107.4</v>
      </c>
      <c r="P2549" s="116">
        <v>3214.3</v>
      </c>
      <c r="Q2549" s="116">
        <v>3126.8</v>
      </c>
      <c r="R2549">
        <v>282721</v>
      </c>
    </row>
    <row r="2550" spans="1:18" x14ac:dyDescent="0.25">
      <c r="A2550" s="170">
        <v>45758</v>
      </c>
      <c r="B2550" s="116">
        <v>3187.6</v>
      </c>
      <c r="C2550" s="116">
        <v>3127.5</v>
      </c>
      <c r="D2550" s="116">
        <v>3120.1</v>
      </c>
      <c r="E2550" s="116">
        <v>3127.05</v>
      </c>
      <c r="F2550" s="116">
        <v>3127.5</v>
      </c>
      <c r="G2550">
        <v>1629</v>
      </c>
      <c r="H2550" s="116"/>
      <c r="I2550" s="116"/>
      <c r="L2550" s="170">
        <v>45758</v>
      </c>
      <c r="M2550" s="116">
        <v>3129</v>
      </c>
      <c r="N2550" s="116">
        <v>3192.05</v>
      </c>
      <c r="O2550" s="116">
        <v>3123.65</v>
      </c>
      <c r="P2550" s="116">
        <v>3145</v>
      </c>
      <c r="Q2550" s="116">
        <v>3129</v>
      </c>
      <c r="R2550">
        <v>420358</v>
      </c>
    </row>
    <row r="2551" spans="1:18" x14ac:dyDescent="0.25">
      <c r="A2551" s="170">
        <v>45762</v>
      </c>
      <c r="B2551" s="116">
        <v>3234.1</v>
      </c>
      <c r="C2551" s="116">
        <v>3225.15</v>
      </c>
      <c r="D2551" s="116">
        <v>3126.55</v>
      </c>
      <c r="E2551" s="116">
        <v>3146.2</v>
      </c>
      <c r="F2551" s="116">
        <v>3225.15</v>
      </c>
      <c r="G2551">
        <v>1879</v>
      </c>
      <c r="H2551" s="116"/>
      <c r="I2551" s="116"/>
      <c r="L2551" s="170">
        <v>45762</v>
      </c>
      <c r="M2551" s="116">
        <v>3221.8</v>
      </c>
      <c r="N2551" s="116">
        <v>3235</v>
      </c>
      <c r="O2551" s="116">
        <v>3129</v>
      </c>
      <c r="P2551" s="116">
        <v>3206.4</v>
      </c>
      <c r="Q2551" s="116">
        <v>3221.8</v>
      </c>
      <c r="R2551">
        <v>330278</v>
      </c>
    </row>
    <row r="2552" spans="1:18" x14ac:dyDescent="0.25">
      <c r="A2552" s="170">
        <v>45763</v>
      </c>
      <c r="B2552" s="116">
        <v>3261.5</v>
      </c>
      <c r="C2552" s="116">
        <v>3221.2</v>
      </c>
      <c r="D2552" s="116">
        <v>3204.9</v>
      </c>
      <c r="E2552" s="116">
        <v>3209.55</v>
      </c>
      <c r="F2552" s="116">
        <v>3221.2</v>
      </c>
      <c r="G2552">
        <v>13862</v>
      </c>
      <c r="H2552" s="116"/>
      <c r="I2552" s="116"/>
      <c r="L2552" s="170">
        <v>45763</v>
      </c>
      <c r="M2552" s="116">
        <v>3222.7</v>
      </c>
      <c r="N2552" s="116">
        <v>3260.2</v>
      </c>
      <c r="O2552" s="116">
        <v>3200.5</v>
      </c>
      <c r="P2552" s="116">
        <v>3225</v>
      </c>
      <c r="Q2552" s="116">
        <v>3222.7</v>
      </c>
      <c r="R2552">
        <v>210528</v>
      </c>
    </row>
    <row r="2553" spans="1:18" x14ac:dyDescent="0.25">
      <c r="A2553" s="170">
        <v>45764</v>
      </c>
      <c r="B2553" s="116">
        <v>3260.55</v>
      </c>
      <c r="C2553" s="116">
        <v>3254.85</v>
      </c>
      <c r="D2553" s="116">
        <v>3200.85</v>
      </c>
      <c r="E2553" s="116">
        <v>3215.05</v>
      </c>
      <c r="F2553" s="116">
        <v>3254.85</v>
      </c>
      <c r="G2553">
        <v>1246</v>
      </c>
      <c r="H2553" s="116"/>
      <c r="I2553" s="116"/>
      <c r="L2553" s="170">
        <v>45764</v>
      </c>
      <c r="M2553" s="116">
        <v>3254.8</v>
      </c>
      <c r="N2553" s="116">
        <v>3266.8</v>
      </c>
      <c r="O2553" s="116">
        <v>3201.4</v>
      </c>
      <c r="P2553" s="116">
        <v>3226.8</v>
      </c>
      <c r="Q2553" s="116">
        <v>3254.8</v>
      </c>
      <c r="R2553">
        <v>202256</v>
      </c>
    </row>
    <row r="2554" spans="1:18" x14ac:dyDescent="0.25">
      <c r="A2554" s="170">
        <v>45768</v>
      </c>
      <c r="B2554" s="116">
        <v>3277.7</v>
      </c>
      <c r="C2554" s="116">
        <v>3253.85</v>
      </c>
      <c r="D2554" s="116">
        <v>3235</v>
      </c>
      <c r="E2554" s="116">
        <v>3255</v>
      </c>
      <c r="F2554" s="116">
        <v>3253.85</v>
      </c>
      <c r="G2554">
        <v>4180</v>
      </c>
      <c r="H2554" s="116"/>
      <c r="I2554" s="116"/>
      <c r="L2554" s="170">
        <v>45768</v>
      </c>
      <c r="M2554" s="116">
        <v>3254.6</v>
      </c>
      <c r="N2554" s="116">
        <v>3284.3</v>
      </c>
      <c r="O2554" s="116">
        <v>3231</v>
      </c>
      <c r="P2554" s="116">
        <v>3280</v>
      </c>
      <c r="Q2554" s="116">
        <v>3254.6</v>
      </c>
      <c r="R2554">
        <v>168941</v>
      </c>
    </row>
    <row r="2555" spans="1:18" x14ac:dyDescent="0.25">
      <c r="A2555" s="170">
        <v>45769</v>
      </c>
      <c r="B2555" s="116">
        <v>3272</v>
      </c>
      <c r="C2555" s="116">
        <v>3245.25</v>
      </c>
      <c r="D2555" s="116">
        <v>3211.3</v>
      </c>
      <c r="E2555" s="116">
        <v>3259.85</v>
      </c>
      <c r="F2555" s="116">
        <v>3245.25</v>
      </c>
      <c r="G2555">
        <v>1925</v>
      </c>
      <c r="H2555" s="116"/>
      <c r="I2555" s="116"/>
      <c r="L2555" s="170">
        <v>45769</v>
      </c>
      <c r="M2555" s="116">
        <v>3246.4</v>
      </c>
      <c r="N2555" s="116">
        <v>3272.9</v>
      </c>
      <c r="O2555" s="116">
        <v>3209.2</v>
      </c>
      <c r="P2555" s="116">
        <v>3269.6</v>
      </c>
      <c r="Q2555" s="116">
        <v>3246.4</v>
      </c>
      <c r="R2555">
        <v>473579</v>
      </c>
    </row>
    <row r="2556" spans="1:18" x14ac:dyDescent="0.25">
      <c r="A2556" s="170">
        <v>45770</v>
      </c>
      <c r="B2556" s="116">
        <v>3354.45</v>
      </c>
      <c r="C2556" s="116">
        <v>3334.35</v>
      </c>
      <c r="D2556" s="116">
        <v>3245.25</v>
      </c>
      <c r="E2556" s="116">
        <v>3268.85</v>
      </c>
      <c r="F2556" s="116">
        <v>3334.35</v>
      </c>
      <c r="G2556">
        <v>30819</v>
      </c>
      <c r="H2556" s="116"/>
      <c r="I2556" s="116"/>
      <c r="L2556" s="170">
        <v>45770</v>
      </c>
      <c r="M2556" s="116">
        <v>3332.4</v>
      </c>
      <c r="N2556" s="116">
        <v>3354.9</v>
      </c>
      <c r="O2556" s="116">
        <v>3230.1</v>
      </c>
      <c r="P2556" s="116">
        <v>3260</v>
      </c>
      <c r="Q2556" s="116">
        <v>3332.4</v>
      </c>
      <c r="R2556">
        <v>390583</v>
      </c>
    </row>
    <row r="2557" spans="1:18" x14ac:dyDescent="0.25">
      <c r="A2557" s="170">
        <v>45771</v>
      </c>
      <c r="B2557" s="116">
        <v>3349</v>
      </c>
      <c r="C2557" s="116">
        <v>3324.25</v>
      </c>
      <c r="D2557" s="116">
        <v>3305</v>
      </c>
      <c r="E2557" s="116">
        <v>3327.8</v>
      </c>
      <c r="F2557" s="116">
        <v>3324.25</v>
      </c>
      <c r="G2557">
        <v>3436</v>
      </c>
      <c r="H2557" s="116"/>
      <c r="I2557" s="116"/>
      <c r="L2557" s="170">
        <v>45771</v>
      </c>
      <c r="M2557" s="116">
        <v>3325.1</v>
      </c>
      <c r="N2557" s="116">
        <v>3352.2</v>
      </c>
      <c r="O2557" s="116">
        <v>3303</v>
      </c>
      <c r="P2557" s="116">
        <v>3344.9</v>
      </c>
      <c r="Q2557" s="116">
        <v>3325.1</v>
      </c>
      <c r="R2557">
        <v>233361</v>
      </c>
    </row>
    <row r="2558" spans="1:18" x14ac:dyDescent="0.25">
      <c r="A2558" s="170">
        <v>45772</v>
      </c>
      <c r="B2558" s="116">
        <v>3356.95</v>
      </c>
      <c r="C2558" s="116">
        <v>3235.95</v>
      </c>
      <c r="D2558" s="116">
        <v>3173.8</v>
      </c>
      <c r="E2558" s="116">
        <v>3356.95</v>
      </c>
      <c r="F2558" s="116">
        <v>3235.95</v>
      </c>
      <c r="G2558">
        <v>2296</v>
      </c>
      <c r="H2558" s="116"/>
      <c r="I2558" s="116"/>
      <c r="L2558" s="170">
        <v>45772</v>
      </c>
      <c r="M2558" s="116">
        <v>3238.9</v>
      </c>
      <c r="N2558" s="116">
        <v>3349.1</v>
      </c>
      <c r="O2558" s="116">
        <v>3168.8</v>
      </c>
      <c r="P2558" s="116">
        <v>3349.1</v>
      </c>
      <c r="Q2558" s="116">
        <v>3238.9</v>
      </c>
      <c r="R2558">
        <v>330175</v>
      </c>
    </row>
    <row r="2559" spans="1:18" x14ac:dyDescent="0.25">
      <c r="A2559" s="170">
        <v>45775</v>
      </c>
      <c r="B2559" s="116">
        <v>3345.5</v>
      </c>
      <c r="C2559" s="116">
        <v>3335.65</v>
      </c>
      <c r="D2559" s="116">
        <v>3268.95</v>
      </c>
      <c r="E2559" s="116">
        <v>3268.95</v>
      </c>
      <c r="F2559" s="116">
        <v>3335.65</v>
      </c>
      <c r="G2559">
        <v>3285</v>
      </c>
      <c r="H2559" s="116"/>
      <c r="I2559" s="116"/>
      <c r="L2559" s="170">
        <v>45775</v>
      </c>
      <c r="M2559" s="116">
        <v>3335</v>
      </c>
      <c r="N2559" s="116">
        <v>3345.8</v>
      </c>
      <c r="O2559" s="116">
        <v>3240</v>
      </c>
      <c r="P2559" s="116">
        <v>3240</v>
      </c>
      <c r="Q2559" s="116">
        <v>3335</v>
      </c>
      <c r="R2559">
        <v>479709</v>
      </c>
    </row>
    <row r="2560" spans="1:18" x14ac:dyDescent="0.25">
      <c r="A2560" s="170">
        <v>45776</v>
      </c>
      <c r="B2560" s="116">
        <v>3349.95</v>
      </c>
      <c r="C2560" s="116">
        <v>3321.8</v>
      </c>
      <c r="D2560" s="116">
        <v>3306.2</v>
      </c>
      <c r="E2560" s="116">
        <v>3342</v>
      </c>
      <c r="F2560" s="116">
        <v>3321.8</v>
      </c>
      <c r="G2560">
        <v>2460</v>
      </c>
      <c r="H2560" s="116"/>
      <c r="I2560" s="116"/>
      <c r="L2560" s="170">
        <v>45776</v>
      </c>
      <c r="M2560" s="116">
        <v>3322.7</v>
      </c>
      <c r="N2560" s="116">
        <v>3351.4</v>
      </c>
      <c r="O2560" s="116">
        <v>3307</v>
      </c>
      <c r="P2560" s="116">
        <v>3348</v>
      </c>
      <c r="Q2560" s="116">
        <v>3322.7</v>
      </c>
      <c r="R2560">
        <v>180900</v>
      </c>
    </row>
    <row r="2561" spans="1:18" x14ac:dyDescent="0.25">
      <c r="A2561" s="170">
        <v>45777</v>
      </c>
      <c r="B2561" s="116">
        <v>3360</v>
      </c>
      <c r="C2561" s="116">
        <v>3314.45</v>
      </c>
      <c r="D2561" s="116">
        <v>3300</v>
      </c>
      <c r="E2561" s="116">
        <v>3330.85</v>
      </c>
      <c r="F2561" s="116">
        <v>3314.45</v>
      </c>
      <c r="G2561">
        <v>252358</v>
      </c>
      <c r="H2561" s="116"/>
      <c r="I2561" s="116"/>
      <c r="L2561" s="170">
        <v>45777</v>
      </c>
      <c r="M2561" s="116">
        <v>3322</v>
      </c>
      <c r="N2561" s="116">
        <v>3360</v>
      </c>
      <c r="O2561" s="116">
        <v>3287.1</v>
      </c>
      <c r="P2561" s="116">
        <v>3322.7</v>
      </c>
      <c r="Q2561" s="116">
        <v>3322</v>
      </c>
      <c r="R2561">
        <v>1148944</v>
      </c>
    </row>
    <row r="2562" spans="1:18" x14ac:dyDescent="0.25">
      <c r="A2562" s="170">
        <v>45779</v>
      </c>
      <c r="B2562" s="116">
        <v>3321.35</v>
      </c>
      <c r="C2562" s="116">
        <v>3256.2</v>
      </c>
      <c r="D2562" s="116">
        <v>3200</v>
      </c>
      <c r="E2562" s="116">
        <v>3284.55</v>
      </c>
      <c r="F2562" s="116">
        <v>3256.2</v>
      </c>
      <c r="G2562">
        <v>1255</v>
      </c>
      <c r="H2562" s="116"/>
      <c r="I2562" s="116"/>
      <c r="L2562" s="170">
        <v>45779</v>
      </c>
      <c r="M2562" s="116">
        <v>3255.2</v>
      </c>
      <c r="N2562" s="116">
        <v>3325</v>
      </c>
      <c r="O2562" s="116">
        <v>3226.6</v>
      </c>
      <c r="P2562" s="116">
        <v>3312.5</v>
      </c>
      <c r="Q2562" s="116">
        <v>3255.2</v>
      </c>
      <c r="R2562">
        <v>140423</v>
      </c>
    </row>
    <row r="2563" spans="1:18" x14ac:dyDescent="0.25">
      <c r="A2563" s="170">
        <v>45782</v>
      </c>
      <c r="B2563" s="116">
        <v>3297.3</v>
      </c>
      <c r="C2563" s="116">
        <v>3283.45</v>
      </c>
      <c r="D2563" s="116">
        <v>3230.5</v>
      </c>
      <c r="E2563" s="116">
        <v>3230.5</v>
      </c>
      <c r="F2563" s="116">
        <v>3283.45</v>
      </c>
      <c r="G2563">
        <v>1791</v>
      </c>
      <c r="H2563" s="116"/>
      <c r="I2563" s="116"/>
      <c r="L2563" s="170">
        <v>45782</v>
      </c>
      <c r="M2563" s="116">
        <v>3285.2</v>
      </c>
      <c r="N2563" s="116">
        <v>3300</v>
      </c>
      <c r="O2563" s="116">
        <v>3256.1</v>
      </c>
      <c r="P2563" s="116">
        <v>3258.9</v>
      </c>
      <c r="Q2563" s="116">
        <v>3285.2</v>
      </c>
      <c r="R2563">
        <v>88781</v>
      </c>
    </row>
    <row r="2564" spans="1:18" x14ac:dyDescent="0.25">
      <c r="A2564" s="170">
        <v>45783</v>
      </c>
      <c r="B2564" s="116">
        <v>3291.5</v>
      </c>
      <c r="C2564" s="116">
        <v>3268.9</v>
      </c>
      <c r="D2564" s="116">
        <v>3238</v>
      </c>
      <c r="E2564" s="116">
        <v>3250.15</v>
      </c>
      <c r="F2564" s="116">
        <v>3268.9</v>
      </c>
      <c r="G2564">
        <v>1512</v>
      </c>
      <c r="H2564" s="116"/>
      <c r="I2564" s="116"/>
      <c r="L2564" s="170">
        <v>45783</v>
      </c>
      <c r="M2564" s="116">
        <v>3270.1</v>
      </c>
      <c r="N2564" s="116">
        <v>3299.8</v>
      </c>
      <c r="O2564" s="116">
        <v>3237.9</v>
      </c>
      <c r="P2564" s="116">
        <v>3287</v>
      </c>
      <c r="Q2564" s="116">
        <v>3270.1</v>
      </c>
      <c r="R2564">
        <v>121815</v>
      </c>
    </row>
    <row r="2565" spans="1:18" x14ac:dyDescent="0.25">
      <c r="A2565" s="170">
        <v>45784</v>
      </c>
      <c r="B2565" s="116">
        <v>3300</v>
      </c>
      <c r="C2565" s="116">
        <v>3289.9</v>
      </c>
      <c r="D2565" s="116">
        <v>3187.2</v>
      </c>
      <c r="E2565" s="116">
        <v>3187.2</v>
      </c>
      <c r="F2565" s="116">
        <v>3289.9</v>
      </c>
      <c r="G2565">
        <v>687</v>
      </c>
      <c r="H2565" s="116"/>
      <c r="I2565" s="116"/>
      <c r="L2565" s="170">
        <v>45784</v>
      </c>
      <c r="M2565" s="116">
        <v>3291.1</v>
      </c>
      <c r="N2565" s="116">
        <v>3300</v>
      </c>
      <c r="O2565" s="116">
        <v>3164.7</v>
      </c>
      <c r="P2565" s="116">
        <v>3164.7</v>
      </c>
      <c r="Q2565" s="116">
        <v>3291.1</v>
      </c>
      <c r="R2565">
        <v>257116</v>
      </c>
    </row>
    <row r="2566" spans="1:18" x14ac:dyDescent="0.25">
      <c r="A2566" s="170">
        <v>45785</v>
      </c>
      <c r="B2566" s="116">
        <v>3322.75</v>
      </c>
      <c r="C2566" s="116">
        <v>3183</v>
      </c>
      <c r="D2566" s="116">
        <v>3175</v>
      </c>
      <c r="E2566" s="116">
        <v>3322.75</v>
      </c>
      <c r="F2566" s="116">
        <v>3183</v>
      </c>
      <c r="G2566">
        <v>1398</v>
      </c>
      <c r="H2566" s="116"/>
      <c r="I2566" s="116"/>
      <c r="L2566" s="170">
        <v>45785</v>
      </c>
      <c r="M2566" s="116">
        <v>3185.8</v>
      </c>
      <c r="N2566" s="116">
        <v>3327</v>
      </c>
      <c r="O2566" s="116">
        <v>3170.7</v>
      </c>
      <c r="P2566" s="116">
        <v>3315</v>
      </c>
      <c r="Q2566" s="116">
        <v>3185.8</v>
      </c>
      <c r="R2566">
        <v>214566</v>
      </c>
    </row>
    <row r="2567" spans="1:18" x14ac:dyDescent="0.25">
      <c r="A2567" s="170">
        <v>45786</v>
      </c>
      <c r="B2567" s="116">
        <v>3187.65</v>
      </c>
      <c r="C2567" s="116">
        <v>3137.55</v>
      </c>
      <c r="D2567" s="116">
        <v>3101</v>
      </c>
      <c r="E2567" s="116">
        <v>3147.15</v>
      </c>
      <c r="F2567" s="116">
        <v>3137.55</v>
      </c>
      <c r="G2567">
        <v>1614</v>
      </c>
      <c r="H2567" s="116"/>
      <c r="I2567" s="116"/>
      <c r="L2567" s="170">
        <v>45786</v>
      </c>
      <c r="M2567" s="116">
        <v>3141.2</v>
      </c>
      <c r="N2567" s="116">
        <v>3197.4</v>
      </c>
      <c r="O2567" s="116">
        <v>3101.6</v>
      </c>
      <c r="P2567" s="116">
        <v>3140</v>
      </c>
      <c r="Q2567" s="116">
        <v>3141.2</v>
      </c>
      <c r="R2567">
        <v>535042</v>
      </c>
    </row>
    <row r="2568" spans="1:18" x14ac:dyDescent="0.25">
      <c r="A2568" s="170">
        <v>45789</v>
      </c>
      <c r="B2568" s="116">
        <v>3246.05</v>
      </c>
      <c r="C2568" s="116">
        <v>3238</v>
      </c>
      <c r="D2568" s="116">
        <v>3114.85</v>
      </c>
      <c r="E2568" s="116">
        <v>3171.45</v>
      </c>
      <c r="F2568" s="116">
        <v>3238</v>
      </c>
      <c r="G2568">
        <v>4291</v>
      </c>
      <c r="H2568" s="116"/>
      <c r="I2568" s="116"/>
      <c r="L2568" s="170">
        <v>45789</v>
      </c>
      <c r="M2568" s="116">
        <v>3237.7</v>
      </c>
      <c r="N2568" s="116">
        <v>3246.9</v>
      </c>
      <c r="O2568" s="116">
        <v>3115.7</v>
      </c>
      <c r="P2568" s="116">
        <v>3152</v>
      </c>
      <c r="Q2568" s="116">
        <v>3237.7</v>
      </c>
      <c r="R2568">
        <v>230359</v>
      </c>
    </row>
    <row r="2569" spans="1:18" x14ac:dyDescent="0.25">
      <c r="A2569" s="170">
        <v>45790</v>
      </c>
      <c r="B2569" s="116">
        <v>3287.15</v>
      </c>
      <c r="C2569" s="116">
        <v>3232.2</v>
      </c>
      <c r="D2569" s="116">
        <v>3213.2</v>
      </c>
      <c r="E2569" s="116">
        <v>3250</v>
      </c>
      <c r="F2569" s="116">
        <v>3232.2</v>
      </c>
      <c r="G2569">
        <v>3573</v>
      </c>
      <c r="H2569" s="116"/>
      <c r="I2569" s="116"/>
      <c r="L2569" s="170">
        <v>45790</v>
      </c>
      <c r="M2569" s="116">
        <v>3236</v>
      </c>
      <c r="N2569" s="116">
        <v>3289</v>
      </c>
      <c r="O2569" s="116">
        <v>3213.4</v>
      </c>
      <c r="P2569" s="116">
        <v>3237.7</v>
      </c>
      <c r="Q2569" s="116">
        <v>3236</v>
      </c>
      <c r="R2569">
        <v>171501</v>
      </c>
    </row>
    <row r="2570" spans="1:18" x14ac:dyDescent="0.25">
      <c r="A2570" s="170">
        <v>45791</v>
      </c>
      <c r="B2570" s="116">
        <v>3256.75</v>
      </c>
      <c r="C2570" s="116">
        <v>3243</v>
      </c>
      <c r="D2570" s="116">
        <v>3208.5</v>
      </c>
      <c r="E2570" s="116">
        <v>3208.5</v>
      </c>
      <c r="F2570" s="116">
        <v>3243</v>
      </c>
      <c r="G2570">
        <v>1216</v>
      </c>
      <c r="H2570" s="116"/>
      <c r="I2570" s="116"/>
      <c r="L2570" s="170">
        <v>45791</v>
      </c>
      <c r="M2570" s="116">
        <v>3244.9</v>
      </c>
      <c r="N2570" s="116">
        <v>3261.4</v>
      </c>
      <c r="O2570" s="116">
        <v>3212.1</v>
      </c>
      <c r="P2570" s="116">
        <v>3218.1</v>
      </c>
      <c r="Q2570" s="116">
        <v>3244.9</v>
      </c>
      <c r="R2570">
        <v>197710</v>
      </c>
    </row>
    <row r="2571" spans="1:18" x14ac:dyDescent="0.25">
      <c r="A2571" s="170">
        <v>45792</v>
      </c>
      <c r="B2571" s="116">
        <v>3276.3</v>
      </c>
      <c r="C2571" s="116">
        <v>3265.55</v>
      </c>
      <c r="D2571" s="116">
        <v>3201.7</v>
      </c>
      <c r="E2571" s="116">
        <v>3250</v>
      </c>
      <c r="F2571" s="116">
        <v>3265.55</v>
      </c>
      <c r="G2571">
        <v>851</v>
      </c>
      <c r="H2571" s="116"/>
      <c r="I2571" s="116"/>
      <c r="L2571" s="170">
        <v>45792</v>
      </c>
      <c r="M2571" s="116">
        <v>3265</v>
      </c>
      <c r="N2571" s="116">
        <v>3279.6</v>
      </c>
      <c r="O2571" s="116">
        <v>3203.1</v>
      </c>
      <c r="P2571" s="116">
        <v>3245</v>
      </c>
      <c r="Q2571" s="116">
        <v>3265</v>
      </c>
      <c r="R2571">
        <v>182769</v>
      </c>
    </row>
    <row r="2572" spans="1:18" x14ac:dyDescent="0.25">
      <c r="A2572" s="170">
        <v>45793</v>
      </c>
      <c r="B2572" s="116">
        <v>3277</v>
      </c>
      <c r="C2572" s="116">
        <v>3264.55</v>
      </c>
      <c r="D2572" s="116">
        <v>3235.25</v>
      </c>
      <c r="E2572" s="116">
        <v>3277</v>
      </c>
      <c r="F2572" s="116">
        <v>3264.55</v>
      </c>
      <c r="G2572">
        <v>1780</v>
      </c>
      <c r="H2572" s="116"/>
      <c r="I2572" s="116"/>
      <c r="L2572" s="170">
        <v>45793</v>
      </c>
      <c r="M2572" s="116">
        <v>3266.8</v>
      </c>
      <c r="N2572" s="116">
        <v>3274.8</v>
      </c>
      <c r="O2572" s="116">
        <v>3230</v>
      </c>
      <c r="P2572" s="116">
        <v>3274.8</v>
      </c>
      <c r="Q2572" s="116">
        <v>3266.8</v>
      </c>
      <c r="R2572">
        <v>358759</v>
      </c>
    </row>
    <row r="2573" spans="1:18" x14ac:dyDescent="0.25">
      <c r="A2573" s="170">
        <v>45796</v>
      </c>
      <c r="B2573" s="116">
        <v>3316.35</v>
      </c>
      <c r="C2573" s="116">
        <v>3302.8</v>
      </c>
      <c r="D2573" s="116">
        <v>3252</v>
      </c>
      <c r="E2573" s="116">
        <v>3289.9</v>
      </c>
      <c r="F2573" s="116">
        <v>3302.8</v>
      </c>
      <c r="G2573">
        <v>1168</v>
      </c>
      <c r="H2573" s="116"/>
      <c r="I2573" s="116"/>
      <c r="L2573" s="170">
        <v>45796</v>
      </c>
      <c r="M2573" s="116">
        <v>3302.8</v>
      </c>
      <c r="N2573" s="116">
        <v>3314</v>
      </c>
      <c r="O2573" s="116">
        <v>3250</v>
      </c>
      <c r="P2573" s="116">
        <v>3267.2</v>
      </c>
      <c r="Q2573" s="116">
        <v>3302.8</v>
      </c>
      <c r="R2573">
        <v>245907</v>
      </c>
    </row>
    <row r="2574" spans="1:18" x14ac:dyDescent="0.25">
      <c r="A2574" s="170">
        <v>45797</v>
      </c>
      <c r="B2574" s="116">
        <v>3312.65</v>
      </c>
      <c r="C2574" s="116">
        <v>3243.35</v>
      </c>
      <c r="D2574" s="116">
        <v>3221.2</v>
      </c>
      <c r="E2574" s="116">
        <v>3312.65</v>
      </c>
      <c r="F2574" s="116">
        <v>3243.35</v>
      </c>
      <c r="G2574">
        <v>1268</v>
      </c>
      <c r="H2574" s="116"/>
      <c r="I2574" s="116"/>
      <c r="L2574" s="170">
        <v>45797</v>
      </c>
      <c r="M2574" s="116">
        <v>3241.5</v>
      </c>
      <c r="N2574" s="116">
        <v>3310.8</v>
      </c>
      <c r="O2574" s="116">
        <v>3219</v>
      </c>
      <c r="P2574" s="116">
        <v>3302.8</v>
      </c>
      <c r="Q2574" s="116">
        <v>3241.5</v>
      </c>
      <c r="R2574">
        <v>490947</v>
      </c>
    </row>
    <row r="2575" spans="1:18" x14ac:dyDescent="0.25">
      <c r="A2575" s="170">
        <v>45798</v>
      </c>
      <c r="B2575" s="116">
        <v>3370</v>
      </c>
      <c r="C2575" s="116">
        <v>3288.3</v>
      </c>
      <c r="D2575" s="116">
        <v>3241.55</v>
      </c>
      <c r="E2575" s="116">
        <v>3241.55</v>
      </c>
      <c r="F2575" s="116">
        <v>3288.3</v>
      </c>
      <c r="G2575">
        <v>61778</v>
      </c>
      <c r="H2575" s="116"/>
      <c r="I2575" s="116"/>
      <c r="L2575" s="170">
        <v>45798</v>
      </c>
      <c r="M2575" s="116">
        <v>3289</v>
      </c>
      <c r="N2575" s="116">
        <v>3371.9</v>
      </c>
      <c r="O2575" s="116">
        <v>3245</v>
      </c>
      <c r="P2575" s="116">
        <v>3245</v>
      </c>
      <c r="Q2575" s="116">
        <v>3289</v>
      </c>
      <c r="R2575">
        <v>1098579</v>
      </c>
    </row>
    <row r="2576" spans="1:18" x14ac:dyDescent="0.25">
      <c r="A2576" s="170">
        <v>45799</v>
      </c>
      <c r="B2576" s="116">
        <v>3288</v>
      </c>
      <c r="C2576" s="116">
        <v>3213</v>
      </c>
      <c r="D2576" s="116">
        <v>3208.9</v>
      </c>
      <c r="E2576" s="116">
        <v>3266.7</v>
      </c>
      <c r="F2576" s="116">
        <v>3213</v>
      </c>
      <c r="G2576">
        <v>3689</v>
      </c>
      <c r="H2576" s="116"/>
      <c r="I2576" s="116"/>
      <c r="L2576" s="170">
        <v>45799</v>
      </c>
      <c r="M2576" s="116">
        <v>3212</v>
      </c>
      <c r="N2576" s="116">
        <v>3288</v>
      </c>
      <c r="O2576" s="116">
        <v>3205.2</v>
      </c>
      <c r="P2576" s="116">
        <v>3288</v>
      </c>
      <c r="Q2576" s="116">
        <v>3212</v>
      </c>
      <c r="R2576">
        <v>376149</v>
      </c>
    </row>
    <row r="2577" spans="1:18" x14ac:dyDescent="0.25">
      <c r="A2577" s="170">
        <v>45800</v>
      </c>
      <c r="B2577" s="116">
        <v>3214.6</v>
      </c>
      <c r="C2577" s="116">
        <v>3173.1</v>
      </c>
      <c r="D2577" s="116">
        <v>3160</v>
      </c>
      <c r="E2577" s="116">
        <v>3213.05</v>
      </c>
      <c r="F2577" s="116">
        <v>3173.1</v>
      </c>
      <c r="G2577">
        <v>6292</v>
      </c>
      <c r="H2577" s="116"/>
      <c r="I2577" s="116"/>
      <c r="L2577" s="170">
        <v>45800</v>
      </c>
      <c r="M2577" s="116">
        <v>3174.7</v>
      </c>
      <c r="N2577" s="116">
        <v>3222</v>
      </c>
      <c r="O2577" s="116">
        <v>3160</v>
      </c>
      <c r="P2577" s="116">
        <v>3222</v>
      </c>
      <c r="Q2577" s="116">
        <v>3174.7</v>
      </c>
      <c r="R2577">
        <v>342311</v>
      </c>
    </row>
    <row r="2578" spans="1:18" x14ac:dyDescent="0.25">
      <c r="A2578" s="170">
        <v>45803</v>
      </c>
      <c r="B2578" s="116">
        <v>3191</v>
      </c>
      <c r="C2578" s="116">
        <v>3188.45</v>
      </c>
      <c r="D2578" s="116">
        <v>3145</v>
      </c>
      <c r="E2578" s="116">
        <v>3181.8</v>
      </c>
      <c r="F2578" s="116">
        <v>3188.45</v>
      </c>
      <c r="G2578">
        <v>1762</v>
      </c>
      <c r="H2578" s="116"/>
      <c r="I2578" s="116"/>
      <c r="L2578" s="170">
        <v>45803</v>
      </c>
      <c r="M2578" s="116">
        <v>3187.4</v>
      </c>
      <c r="N2578" s="116">
        <v>3202</v>
      </c>
      <c r="O2578" s="116">
        <v>3142.8</v>
      </c>
      <c r="P2578" s="116">
        <v>3202</v>
      </c>
      <c r="Q2578" s="116">
        <v>3187.4</v>
      </c>
      <c r="R2578">
        <v>203985</v>
      </c>
    </row>
    <row r="2579" spans="1:18" x14ac:dyDescent="0.25">
      <c r="A2579" s="170">
        <v>45804</v>
      </c>
      <c r="B2579" s="116">
        <v>3219.45</v>
      </c>
      <c r="C2579" s="116">
        <v>3176.25</v>
      </c>
      <c r="D2579" s="116">
        <v>3145</v>
      </c>
      <c r="E2579" s="116">
        <v>3219.45</v>
      </c>
      <c r="F2579" s="116">
        <v>3176.25</v>
      </c>
      <c r="G2579">
        <v>6874</v>
      </c>
      <c r="H2579" s="116"/>
      <c r="I2579" s="116"/>
      <c r="L2579" s="170">
        <v>45804</v>
      </c>
      <c r="M2579" s="116">
        <v>3175.7</v>
      </c>
      <c r="N2579" s="116">
        <v>3187.4</v>
      </c>
      <c r="O2579" s="116">
        <v>3145</v>
      </c>
      <c r="P2579" s="116">
        <v>3187.4</v>
      </c>
      <c r="Q2579" s="116">
        <v>3175.7</v>
      </c>
      <c r="R2579">
        <v>342162</v>
      </c>
    </row>
    <row r="2580" spans="1:18" x14ac:dyDescent="0.25">
      <c r="A2580" s="170">
        <v>45805</v>
      </c>
      <c r="B2580" s="116">
        <v>3177.15</v>
      </c>
      <c r="C2580" s="116">
        <v>3162.2</v>
      </c>
      <c r="D2580" s="116">
        <v>3140.05</v>
      </c>
      <c r="E2580" s="116">
        <v>3176</v>
      </c>
      <c r="F2580" s="116">
        <v>3162.2</v>
      </c>
      <c r="G2580">
        <v>3556</v>
      </c>
      <c r="H2580" s="116"/>
      <c r="I2580" s="116"/>
      <c r="L2580" s="170">
        <v>45805</v>
      </c>
      <c r="M2580" s="116">
        <v>3165.9</v>
      </c>
      <c r="N2580" s="116">
        <v>3177.3</v>
      </c>
      <c r="O2580" s="116">
        <v>3139.1</v>
      </c>
      <c r="P2580" s="116">
        <v>3172.1</v>
      </c>
      <c r="Q2580" s="116">
        <v>3165.9</v>
      </c>
      <c r="R2580">
        <v>446655</v>
      </c>
    </row>
    <row r="2581" spans="1:18" x14ac:dyDescent="0.25">
      <c r="A2581" s="170">
        <v>45806</v>
      </c>
      <c r="B2581" s="116">
        <v>3195</v>
      </c>
      <c r="C2581" s="116">
        <v>3165.2</v>
      </c>
      <c r="D2581" s="116">
        <v>3130.15</v>
      </c>
      <c r="E2581" s="116">
        <v>3162</v>
      </c>
      <c r="F2581" s="116">
        <v>3165.2</v>
      </c>
      <c r="G2581">
        <v>4801</v>
      </c>
      <c r="H2581" s="116"/>
      <c r="I2581" s="116"/>
      <c r="L2581" s="170">
        <v>45806</v>
      </c>
      <c r="M2581" s="116">
        <v>3161.1</v>
      </c>
      <c r="N2581" s="116">
        <v>3215</v>
      </c>
      <c r="O2581" s="116">
        <v>3131.1</v>
      </c>
      <c r="P2581" s="116">
        <v>3165</v>
      </c>
      <c r="Q2581" s="116">
        <v>3161.1</v>
      </c>
      <c r="R2581">
        <v>352271</v>
      </c>
    </row>
    <row r="2582" spans="1:18" x14ac:dyDescent="0.25">
      <c r="A2582" s="170">
        <v>45807</v>
      </c>
      <c r="B2582" s="116">
        <v>3190.3</v>
      </c>
      <c r="C2582" s="116">
        <v>3173.95</v>
      </c>
      <c r="D2582" s="116">
        <v>3152.05</v>
      </c>
      <c r="E2582" s="116">
        <v>3152.05</v>
      </c>
      <c r="F2582" s="116">
        <v>3173.95</v>
      </c>
      <c r="G2582">
        <v>4510</v>
      </c>
      <c r="H2582" s="116"/>
      <c r="I2582" s="116"/>
      <c r="L2582" s="170">
        <v>45807</v>
      </c>
      <c r="M2582" s="116">
        <v>3174.7</v>
      </c>
      <c r="N2582" s="116">
        <v>3191.9</v>
      </c>
      <c r="O2582" s="116">
        <v>3150</v>
      </c>
      <c r="P2582" s="116">
        <v>3161.1</v>
      </c>
      <c r="Q2582" s="116">
        <v>3174.7</v>
      </c>
      <c r="R2582">
        <v>484246</v>
      </c>
    </row>
    <row r="2583" spans="1:18" x14ac:dyDescent="0.25">
      <c r="A2583" s="170">
        <v>45810</v>
      </c>
      <c r="B2583" s="116">
        <v>3164.5</v>
      </c>
      <c r="C2583" s="116">
        <v>3130.9</v>
      </c>
      <c r="D2583" s="116">
        <v>3103</v>
      </c>
      <c r="E2583" s="116">
        <v>3164.5</v>
      </c>
      <c r="F2583" s="116">
        <v>3130.9</v>
      </c>
      <c r="G2583">
        <v>5813</v>
      </c>
      <c r="H2583" s="116"/>
      <c r="I2583" s="116"/>
      <c r="L2583" s="170">
        <v>45810</v>
      </c>
      <c r="M2583" s="116">
        <v>3127.8</v>
      </c>
      <c r="N2583" s="116">
        <v>3160</v>
      </c>
      <c r="O2583" s="116">
        <v>3102</v>
      </c>
      <c r="P2583" s="116">
        <v>3153</v>
      </c>
      <c r="Q2583" s="116">
        <v>3127.8</v>
      </c>
      <c r="R2583">
        <v>352903</v>
      </c>
    </row>
    <row r="2584" spans="1:18" x14ac:dyDescent="0.25">
      <c r="A2584" s="170">
        <v>45811</v>
      </c>
      <c r="B2584" s="116">
        <v>3153.45</v>
      </c>
      <c r="C2584" s="116">
        <v>3134.55</v>
      </c>
      <c r="D2584" s="116">
        <v>3115.95</v>
      </c>
      <c r="E2584" s="116">
        <v>3150.95</v>
      </c>
      <c r="F2584" s="116">
        <v>3134.55</v>
      </c>
      <c r="G2584">
        <v>2530</v>
      </c>
      <c r="H2584" s="116"/>
      <c r="I2584" s="116"/>
      <c r="L2584" s="170">
        <v>45811</v>
      </c>
      <c r="M2584" s="116">
        <v>3135</v>
      </c>
      <c r="N2584" s="116">
        <v>3156</v>
      </c>
      <c r="O2584" s="116">
        <v>3113.6</v>
      </c>
      <c r="P2584" s="116">
        <v>3132</v>
      </c>
      <c r="Q2584" s="116">
        <v>3135</v>
      </c>
      <c r="R2584">
        <v>427912</v>
      </c>
    </row>
    <row r="2585" spans="1:18" x14ac:dyDescent="0.25">
      <c r="A2585" s="170">
        <v>45812</v>
      </c>
      <c r="B2585" s="116">
        <v>3156.2</v>
      </c>
      <c r="C2585" s="116">
        <v>3135.1</v>
      </c>
      <c r="D2585" s="116">
        <v>3109.1</v>
      </c>
      <c r="E2585" s="116">
        <v>3128.3</v>
      </c>
      <c r="F2585" s="116">
        <v>3135.1</v>
      </c>
      <c r="G2585">
        <v>1760</v>
      </c>
      <c r="H2585" s="116"/>
      <c r="I2585" s="116"/>
      <c r="L2585" s="170">
        <v>45812</v>
      </c>
      <c r="M2585" s="116">
        <v>3137.1</v>
      </c>
      <c r="N2585" s="116">
        <v>3156.6</v>
      </c>
      <c r="O2585" s="116">
        <v>3108.8</v>
      </c>
      <c r="P2585" s="116">
        <v>3120</v>
      </c>
      <c r="Q2585" s="116">
        <v>3137.1</v>
      </c>
      <c r="R2585">
        <v>364196</v>
      </c>
    </row>
    <row r="2586" spans="1:18" x14ac:dyDescent="0.25">
      <c r="A2586" s="170">
        <v>45813</v>
      </c>
      <c r="B2586" s="116">
        <v>3197.8</v>
      </c>
      <c r="C2586" s="116">
        <v>3143.95</v>
      </c>
      <c r="D2586" s="116">
        <v>3136.35</v>
      </c>
      <c r="E2586" s="116">
        <v>3197.8</v>
      </c>
      <c r="F2586" s="116">
        <v>3143.95</v>
      </c>
      <c r="G2586">
        <v>848</v>
      </c>
      <c r="H2586" s="116"/>
      <c r="I2586" s="116"/>
      <c r="L2586" s="170">
        <v>45813</v>
      </c>
      <c r="M2586" s="116">
        <v>3141.7</v>
      </c>
      <c r="N2586" s="116">
        <v>3169.8</v>
      </c>
      <c r="O2586" s="116">
        <v>3133.4</v>
      </c>
      <c r="P2586" s="116">
        <v>3139</v>
      </c>
      <c r="Q2586" s="116">
        <v>3141.7</v>
      </c>
      <c r="R2586">
        <v>252641</v>
      </c>
    </row>
    <row r="2587" spans="1:18" x14ac:dyDescent="0.25">
      <c r="A2587" s="170">
        <v>45814</v>
      </c>
      <c r="B2587" s="116">
        <v>3167</v>
      </c>
      <c r="C2587" s="116">
        <v>3154.45</v>
      </c>
      <c r="D2587" s="116">
        <v>3134</v>
      </c>
      <c r="E2587" s="116">
        <v>3140</v>
      </c>
      <c r="F2587" s="116">
        <v>3154.45</v>
      </c>
      <c r="G2587">
        <v>2798</v>
      </c>
      <c r="H2587" s="116"/>
      <c r="I2587" s="116"/>
      <c r="L2587" s="170">
        <v>45814</v>
      </c>
      <c r="M2587" s="116">
        <v>3154.3</v>
      </c>
      <c r="N2587" s="116">
        <v>3163.2</v>
      </c>
      <c r="O2587" s="116">
        <v>3132.7</v>
      </c>
      <c r="P2587" s="116">
        <v>3141</v>
      </c>
      <c r="Q2587" s="116">
        <v>3154.3</v>
      </c>
      <c r="R2587">
        <v>86576</v>
      </c>
    </row>
    <row r="2588" spans="1:18" x14ac:dyDescent="0.25">
      <c r="A2588" s="170">
        <v>45817</v>
      </c>
      <c r="B2588" s="116">
        <v>3185</v>
      </c>
      <c r="C2588" s="116">
        <v>3179.4</v>
      </c>
      <c r="D2588" s="116">
        <v>3148.7</v>
      </c>
      <c r="E2588" s="116">
        <v>3155.5</v>
      </c>
      <c r="F2588" s="116">
        <v>3179.4</v>
      </c>
      <c r="G2588">
        <v>2599</v>
      </c>
      <c r="H2588" s="116"/>
      <c r="I2588" s="116"/>
      <c r="L2588" s="170">
        <v>45817</v>
      </c>
      <c r="M2588" s="116">
        <v>3180.7</v>
      </c>
      <c r="N2588" s="116">
        <v>3185.7</v>
      </c>
      <c r="O2588" s="116">
        <v>3146.2</v>
      </c>
      <c r="P2588" s="116">
        <v>3160</v>
      </c>
      <c r="Q2588" s="116">
        <v>3180.7</v>
      </c>
      <c r="R2588">
        <v>111428</v>
      </c>
    </row>
    <row r="2589" spans="1:18" x14ac:dyDescent="0.25">
      <c r="A2589" s="170">
        <v>45818</v>
      </c>
      <c r="B2589" s="116">
        <v>3239.2</v>
      </c>
      <c r="C2589" s="116">
        <v>3218.9</v>
      </c>
      <c r="D2589" s="116">
        <v>3177.7</v>
      </c>
      <c r="E2589" s="116">
        <v>3180.3</v>
      </c>
      <c r="F2589" s="116">
        <v>3218.9</v>
      </c>
      <c r="G2589">
        <v>2477</v>
      </c>
      <c r="H2589" s="116"/>
      <c r="I2589" s="116"/>
      <c r="L2589" s="170">
        <v>45818</v>
      </c>
      <c r="M2589" s="116">
        <v>3221</v>
      </c>
      <c r="N2589" s="116">
        <v>3237.6</v>
      </c>
      <c r="O2589" s="116">
        <v>3177.9</v>
      </c>
      <c r="P2589" s="116">
        <v>3187</v>
      </c>
      <c r="Q2589" s="116">
        <v>3221</v>
      </c>
      <c r="R2589">
        <v>254258</v>
      </c>
    </row>
    <row r="2590" spans="1:18" x14ac:dyDescent="0.25">
      <c r="A2590" s="170">
        <v>45819</v>
      </c>
      <c r="B2590" s="116">
        <v>3225</v>
      </c>
      <c r="C2590" s="116">
        <v>3205.9</v>
      </c>
      <c r="D2590" s="116">
        <v>3186.9</v>
      </c>
      <c r="E2590" s="116">
        <v>3218</v>
      </c>
      <c r="F2590" s="116">
        <v>3205.9</v>
      </c>
      <c r="G2590">
        <v>1314</v>
      </c>
      <c r="H2590" s="116"/>
      <c r="I2590" s="116"/>
      <c r="L2590" s="170">
        <v>45819</v>
      </c>
      <c r="M2590" s="116">
        <v>3205.8</v>
      </c>
      <c r="N2590" s="116">
        <v>3224.9</v>
      </c>
      <c r="O2590" s="116">
        <v>3185.3</v>
      </c>
      <c r="P2590" s="116">
        <v>3220</v>
      </c>
      <c r="Q2590" s="116">
        <v>3205.8</v>
      </c>
      <c r="R2590">
        <v>178850</v>
      </c>
    </row>
    <row r="2591" spans="1:18" x14ac:dyDescent="0.25">
      <c r="A2591" s="170">
        <v>45820</v>
      </c>
      <c r="B2591" s="116">
        <v>3269.25</v>
      </c>
      <c r="C2591" s="116">
        <v>3260.35</v>
      </c>
      <c r="D2591" s="116">
        <v>3202.2</v>
      </c>
      <c r="E2591" s="116">
        <v>3205</v>
      </c>
      <c r="F2591" s="116">
        <v>3260.35</v>
      </c>
      <c r="G2591">
        <v>9632</v>
      </c>
      <c r="H2591" s="116"/>
      <c r="I2591" s="116"/>
      <c r="L2591" s="170">
        <v>45820</v>
      </c>
      <c r="M2591" s="116">
        <v>3258.8</v>
      </c>
      <c r="N2591" s="116">
        <v>3269.9</v>
      </c>
      <c r="O2591" s="116">
        <v>3200.1</v>
      </c>
      <c r="P2591" s="116">
        <v>3205.8</v>
      </c>
      <c r="Q2591" s="116">
        <v>3258.8</v>
      </c>
      <c r="R2591">
        <v>893350</v>
      </c>
    </row>
    <row r="2592" spans="1:18" x14ac:dyDescent="0.25">
      <c r="A2592" s="170">
        <v>45821</v>
      </c>
      <c r="B2592" s="116">
        <v>3259.9</v>
      </c>
      <c r="C2592" s="116">
        <v>3250.85</v>
      </c>
      <c r="D2592" s="116">
        <v>3184.1</v>
      </c>
      <c r="E2592" s="116">
        <v>3204.8</v>
      </c>
      <c r="F2592" s="116">
        <v>3250.85</v>
      </c>
      <c r="G2592">
        <v>6014</v>
      </c>
      <c r="H2592" s="116"/>
      <c r="I2592" s="116"/>
      <c r="L2592" s="170">
        <v>45821</v>
      </c>
      <c r="M2592" s="116">
        <v>3252.5</v>
      </c>
      <c r="N2592" s="116">
        <v>3259</v>
      </c>
      <c r="O2592" s="116">
        <v>3175</v>
      </c>
      <c r="P2592" s="116">
        <v>3175</v>
      </c>
      <c r="Q2592" s="116">
        <v>3252.5</v>
      </c>
      <c r="R2592">
        <v>412987</v>
      </c>
    </row>
    <row r="2593" spans="1:18" x14ac:dyDescent="0.25">
      <c r="A2593" s="170">
        <v>45824</v>
      </c>
      <c r="B2593" s="116">
        <v>3284.75</v>
      </c>
      <c r="C2593" s="116">
        <v>3278.4</v>
      </c>
      <c r="D2593" s="116">
        <v>3218.65</v>
      </c>
      <c r="E2593" s="116">
        <v>3233.05</v>
      </c>
      <c r="F2593" s="116">
        <v>3278.4</v>
      </c>
      <c r="G2593">
        <v>2752</v>
      </c>
      <c r="H2593" s="116"/>
      <c r="I2593" s="116"/>
      <c r="L2593" s="170">
        <v>45824</v>
      </c>
      <c r="M2593" s="116">
        <v>3275.8</v>
      </c>
      <c r="N2593" s="116">
        <v>3288.8</v>
      </c>
      <c r="O2593" s="116">
        <v>3215.9</v>
      </c>
      <c r="P2593" s="116">
        <v>3250</v>
      </c>
      <c r="Q2593" s="116">
        <v>3275.8</v>
      </c>
      <c r="R2593">
        <v>418900</v>
      </c>
    </row>
    <row r="2594" spans="1:18" x14ac:dyDescent="0.25">
      <c r="A2594" s="170">
        <v>45825</v>
      </c>
      <c r="B2594" s="116">
        <v>3295.4</v>
      </c>
      <c r="C2594" s="116">
        <v>3252.1</v>
      </c>
      <c r="D2594" s="116">
        <v>3247.6</v>
      </c>
      <c r="E2594" s="116">
        <v>3248.45</v>
      </c>
      <c r="F2594" s="116">
        <v>3252.1</v>
      </c>
      <c r="G2594">
        <v>2140</v>
      </c>
      <c r="H2594" s="116"/>
      <c r="I2594" s="116"/>
      <c r="L2594" s="170">
        <v>45825</v>
      </c>
      <c r="M2594" s="116">
        <v>3255.4</v>
      </c>
      <c r="N2594" s="116">
        <v>3295</v>
      </c>
      <c r="O2594" s="116">
        <v>3247.2</v>
      </c>
      <c r="P2594" s="116">
        <v>3275.8</v>
      </c>
      <c r="Q2594" s="116">
        <v>3255.4</v>
      </c>
      <c r="R2594">
        <v>305553</v>
      </c>
    </row>
    <row r="2595" spans="1:18" x14ac:dyDescent="0.25">
      <c r="A2595" s="170">
        <v>45826</v>
      </c>
      <c r="B2595" s="116">
        <v>3252</v>
      </c>
      <c r="C2595" s="116">
        <v>3226.65</v>
      </c>
      <c r="D2595" s="116">
        <v>3215.25</v>
      </c>
      <c r="E2595" s="116">
        <v>3250.95</v>
      </c>
      <c r="F2595" s="116">
        <v>3226.65</v>
      </c>
      <c r="G2595">
        <v>1679</v>
      </c>
      <c r="H2595" s="116"/>
      <c r="I2595" s="116"/>
      <c r="L2595" s="170">
        <v>45826</v>
      </c>
      <c r="M2595" s="116">
        <v>3227</v>
      </c>
      <c r="N2595" s="116">
        <v>3254.9</v>
      </c>
      <c r="O2595" s="116">
        <v>3214</v>
      </c>
      <c r="P2595" s="116">
        <v>3254</v>
      </c>
      <c r="Q2595" s="116">
        <v>3227</v>
      </c>
      <c r="R2595">
        <v>238143</v>
      </c>
    </row>
    <row r="2596" spans="1:18" x14ac:dyDescent="0.25">
      <c r="A2596" s="170">
        <v>45827</v>
      </c>
      <c r="B2596" s="116">
        <v>3237.25</v>
      </c>
      <c r="C2596" s="116">
        <v>3167.95</v>
      </c>
      <c r="D2596" s="116">
        <v>3154.45</v>
      </c>
      <c r="E2596" s="116">
        <v>3228.75</v>
      </c>
      <c r="F2596" s="116">
        <v>3167.95</v>
      </c>
      <c r="G2596">
        <v>1506</v>
      </c>
      <c r="H2596" s="116"/>
      <c r="I2596" s="116"/>
      <c r="L2596" s="170">
        <v>45827</v>
      </c>
      <c r="M2596" s="116">
        <v>3164</v>
      </c>
      <c r="N2596" s="116">
        <v>3245</v>
      </c>
      <c r="O2596" s="116">
        <v>3150</v>
      </c>
      <c r="P2596" s="116">
        <v>3245</v>
      </c>
      <c r="Q2596" s="116">
        <v>3164</v>
      </c>
      <c r="R2596">
        <v>230664</v>
      </c>
    </row>
    <row r="2597" spans="1:18" x14ac:dyDescent="0.25">
      <c r="A2597" s="170">
        <v>45828</v>
      </c>
      <c r="B2597" s="116">
        <v>3192.7</v>
      </c>
      <c r="C2597" s="116">
        <v>3168.9</v>
      </c>
      <c r="D2597" s="116">
        <v>3155</v>
      </c>
      <c r="E2597" s="116">
        <v>3165</v>
      </c>
      <c r="F2597" s="116">
        <v>3168.9</v>
      </c>
      <c r="G2597">
        <v>2013</v>
      </c>
      <c r="H2597" s="116"/>
      <c r="I2597" s="116"/>
      <c r="L2597" s="170">
        <v>45828</v>
      </c>
      <c r="M2597" s="116">
        <v>3167.2</v>
      </c>
      <c r="N2597" s="116">
        <v>3195</v>
      </c>
      <c r="O2597" s="116">
        <v>3150.6</v>
      </c>
      <c r="P2597" s="116">
        <v>3174.9</v>
      </c>
      <c r="Q2597" s="116">
        <v>3167.2</v>
      </c>
      <c r="R2597">
        <v>307885</v>
      </c>
    </row>
    <row r="2598" spans="1:18" x14ac:dyDescent="0.25">
      <c r="A2598" s="170">
        <v>45831</v>
      </c>
      <c r="B2598" s="116">
        <v>3176.95</v>
      </c>
      <c r="C2598" s="116">
        <v>3165.1</v>
      </c>
      <c r="D2598" s="116">
        <v>3139.5</v>
      </c>
      <c r="E2598" s="116">
        <v>3140</v>
      </c>
      <c r="F2598" s="116">
        <v>3165.1</v>
      </c>
      <c r="G2598">
        <v>2613</v>
      </c>
      <c r="H2598" s="116"/>
      <c r="I2598" s="116"/>
      <c r="L2598" s="170">
        <v>45831</v>
      </c>
      <c r="M2598" s="116">
        <v>3165.5</v>
      </c>
      <c r="N2598" s="116">
        <v>3178.9</v>
      </c>
      <c r="O2598" s="116">
        <v>3140.1</v>
      </c>
      <c r="P2598" s="116">
        <v>3146.2</v>
      </c>
      <c r="Q2598" s="116">
        <v>3165.5</v>
      </c>
      <c r="R2598">
        <v>352562</v>
      </c>
    </row>
    <row r="2599" spans="1:18" x14ac:dyDescent="0.25">
      <c r="A2599" s="170">
        <v>45832</v>
      </c>
      <c r="B2599" s="116">
        <v>3191.15</v>
      </c>
      <c r="C2599" s="116">
        <v>3177.35</v>
      </c>
      <c r="D2599" s="116">
        <v>3159.25</v>
      </c>
      <c r="E2599" s="116">
        <v>3169.65</v>
      </c>
      <c r="F2599" s="116">
        <v>3177.35</v>
      </c>
      <c r="G2599">
        <v>1756</v>
      </c>
      <c r="H2599" s="116"/>
      <c r="I2599" s="116"/>
      <c r="L2599" s="170">
        <v>45832</v>
      </c>
      <c r="M2599" s="116">
        <v>3180.9</v>
      </c>
      <c r="N2599" s="116">
        <v>3192.2</v>
      </c>
      <c r="O2599" s="116">
        <v>3154.1</v>
      </c>
      <c r="P2599" s="116">
        <v>3183.6</v>
      </c>
      <c r="Q2599" s="116">
        <v>3180.9</v>
      </c>
      <c r="R2599">
        <v>176732</v>
      </c>
    </row>
    <row r="2600" spans="1:18" x14ac:dyDescent="0.25">
      <c r="A2600" s="170">
        <v>45833</v>
      </c>
      <c r="B2600" s="116">
        <v>3233.95</v>
      </c>
      <c r="C2600" s="116">
        <v>3225.75</v>
      </c>
      <c r="D2600" s="116">
        <v>3170.25</v>
      </c>
      <c r="E2600" s="116">
        <v>3208.95</v>
      </c>
      <c r="F2600" s="116">
        <v>3225.75</v>
      </c>
      <c r="G2600">
        <v>1895</v>
      </c>
      <c r="H2600" s="116"/>
      <c r="I2600" s="116"/>
      <c r="L2600" s="170">
        <v>45833</v>
      </c>
      <c r="M2600" s="116">
        <v>3226.7</v>
      </c>
      <c r="N2600" s="116">
        <v>3233</v>
      </c>
      <c r="O2600" s="116">
        <v>3165</v>
      </c>
      <c r="P2600" s="116">
        <v>3180.9</v>
      </c>
      <c r="Q2600" s="116">
        <v>3226.7</v>
      </c>
      <c r="R2600">
        <v>269778</v>
      </c>
    </row>
    <row r="2601" spans="1:18" x14ac:dyDescent="0.25">
      <c r="A2601" s="170">
        <v>45834</v>
      </c>
      <c r="B2601" s="116">
        <v>3232.9</v>
      </c>
      <c r="C2601" s="116">
        <v>3225.7</v>
      </c>
      <c r="D2601" s="116">
        <v>3173</v>
      </c>
      <c r="E2601" s="116">
        <v>3218.6</v>
      </c>
      <c r="F2601" s="116">
        <v>3225.7</v>
      </c>
      <c r="G2601">
        <v>4033</v>
      </c>
      <c r="H2601" s="116"/>
      <c r="I2601" s="116"/>
      <c r="L2601" s="170">
        <v>45834</v>
      </c>
      <c r="M2601" s="116">
        <v>3222.5</v>
      </c>
      <c r="N2601" s="116">
        <v>3241.6</v>
      </c>
      <c r="O2601" s="116">
        <v>3171.9</v>
      </c>
      <c r="P2601" s="116">
        <v>3241.6</v>
      </c>
      <c r="Q2601" s="116">
        <v>3222.5</v>
      </c>
      <c r="R2601">
        <v>367033</v>
      </c>
    </row>
    <row r="2602" spans="1:18" x14ac:dyDescent="0.25">
      <c r="A2602" s="170">
        <v>45835</v>
      </c>
      <c r="B2602" s="116">
        <v>3375</v>
      </c>
      <c r="C2602" s="116">
        <v>3344.4</v>
      </c>
      <c r="D2602" s="116">
        <v>3265</v>
      </c>
      <c r="E2602" s="116">
        <v>3265</v>
      </c>
      <c r="F2602" s="116">
        <v>3344.4</v>
      </c>
      <c r="G2602">
        <v>37204</v>
      </c>
      <c r="H2602" s="116"/>
      <c r="I2602" s="116"/>
      <c r="L2602" s="170">
        <v>45835</v>
      </c>
      <c r="M2602" s="116">
        <v>3341.4</v>
      </c>
      <c r="N2602" s="116">
        <v>3377</v>
      </c>
      <c r="O2602" s="116">
        <v>3287</v>
      </c>
      <c r="P2602" s="116">
        <v>3350</v>
      </c>
      <c r="Q2602" s="116">
        <v>3341.4</v>
      </c>
      <c r="R2602">
        <v>1739609</v>
      </c>
    </row>
    <row r="2603" spans="1:18" x14ac:dyDescent="0.25">
      <c r="A2603" s="170">
        <v>45838</v>
      </c>
      <c r="B2603" s="116">
        <v>3474.6</v>
      </c>
      <c r="C2603" s="116">
        <v>3409.7</v>
      </c>
      <c r="D2603" s="116">
        <v>3323.7</v>
      </c>
      <c r="E2603" s="116">
        <v>3419.95</v>
      </c>
      <c r="F2603" s="116">
        <v>3409.7</v>
      </c>
      <c r="G2603">
        <v>54636</v>
      </c>
      <c r="H2603" s="116"/>
      <c r="I2603" s="116"/>
      <c r="L2603" s="170">
        <v>45838</v>
      </c>
      <c r="M2603" s="116">
        <v>3408.2</v>
      </c>
      <c r="N2603" s="116">
        <v>3478.9</v>
      </c>
      <c r="O2603" s="116">
        <v>3322</v>
      </c>
      <c r="P2603" s="116">
        <v>3416</v>
      </c>
      <c r="Q2603" s="116">
        <v>3408.2</v>
      </c>
      <c r="R2603">
        <v>2210845</v>
      </c>
    </row>
    <row r="2604" spans="1:18" x14ac:dyDescent="0.25">
      <c r="A2604" s="170">
        <v>45839</v>
      </c>
      <c r="B2604" s="116">
        <v>3482.95</v>
      </c>
      <c r="C2604" s="116">
        <v>3416.2</v>
      </c>
      <c r="D2604" s="116">
        <v>3338.45</v>
      </c>
      <c r="E2604" s="116">
        <v>3479.8</v>
      </c>
      <c r="F2604" s="116">
        <v>3416.2</v>
      </c>
      <c r="G2604">
        <v>30076</v>
      </c>
      <c r="H2604" s="116"/>
      <c r="I2604" s="116"/>
      <c r="L2604" s="170">
        <v>45839</v>
      </c>
      <c r="M2604" s="116">
        <v>3416.7</v>
      </c>
      <c r="N2604" s="116">
        <v>3488.9</v>
      </c>
      <c r="O2604" s="116">
        <v>3338.5</v>
      </c>
      <c r="P2604" s="116">
        <v>3476.3</v>
      </c>
      <c r="Q2604" s="116">
        <v>3416.7</v>
      </c>
      <c r="R2604">
        <v>1549804</v>
      </c>
    </row>
    <row r="2605" spans="1:18" x14ac:dyDescent="0.25">
      <c r="A2605" s="170">
        <v>45840</v>
      </c>
      <c r="B2605" s="116">
        <v>3427.2</v>
      </c>
      <c r="C2605" s="116">
        <v>3348.4</v>
      </c>
      <c r="D2605" s="116">
        <v>3335</v>
      </c>
      <c r="E2605" s="116">
        <v>3400</v>
      </c>
      <c r="F2605" s="116">
        <v>3348.4</v>
      </c>
      <c r="G2605">
        <v>6579</v>
      </c>
      <c r="H2605" s="116"/>
      <c r="I2605" s="116"/>
      <c r="L2605" s="170">
        <v>45840</v>
      </c>
      <c r="M2605" s="116">
        <v>3349.4</v>
      </c>
      <c r="N2605" s="116">
        <v>3428.1</v>
      </c>
      <c r="O2605" s="116">
        <v>3334.1</v>
      </c>
      <c r="P2605" s="116">
        <v>3399.6</v>
      </c>
      <c r="Q2605" s="116">
        <v>3349.4</v>
      </c>
      <c r="R2605">
        <v>401800</v>
      </c>
    </row>
    <row r="2606" spans="1:18" x14ac:dyDescent="0.25">
      <c r="A2606" s="170">
        <v>45841</v>
      </c>
      <c r="B2606" s="116">
        <v>3362.15</v>
      </c>
      <c r="C2606" s="116">
        <v>3336.25</v>
      </c>
      <c r="D2606" s="116">
        <v>3289.55</v>
      </c>
      <c r="E2606" s="116">
        <v>3355.45</v>
      </c>
      <c r="F2606" s="116">
        <v>3336.25</v>
      </c>
      <c r="G2606">
        <v>357011</v>
      </c>
      <c r="H2606" s="116"/>
      <c r="I2606" s="116"/>
      <c r="L2606" s="170">
        <v>45841</v>
      </c>
      <c r="M2606" s="116">
        <v>3334.1</v>
      </c>
      <c r="N2606" s="116">
        <v>3365</v>
      </c>
      <c r="O2606" s="116">
        <v>3287.3</v>
      </c>
      <c r="P2606" s="116">
        <v>3353.8</v>
      </c>
      <c r="Q2606" s="116">
        <v>3334.1</v>
      </c>
      <c r="R2606">
        <v>521114</v>
      </c>
    </row>
    <row r="2607" spans="1:18" x14ac:dyDescent="0.25">
      <c r="A2607" s="170">
        <v>45842</v>
      </c>
      <c r="B2607" s="116">
        <v>3388</v>
      </c>
      <c r="C2607" s="116">
        <v>3368</v>
      </c>
      <c r="D2607" s="116">
        <v>3330.45</v>
      </c>
      <c r="E2607" s="116">
        <v>3336.4</v>
      </c>
      <c r="F2607" s="116">
        <v>3368</v>
      </c>
      <c r="G2607">
        <v>14786</v>
      </c>
      <c r="H2607" s="116"/>
      <c r="I2607" s="116"/>
      <c r="L2607" s="170">
        <v>45842</v>
      </c>
      <c r="M2607" s="116">
        <v>3368</v>
      </c>
      <c r="N2607" s="116">
        <v>3388.9</v>
      </c>
      <c r="O2607" s="116">
        <v>3330</v>
      </c>
      <c r="P2607" s="116">
        <v>3335.9</v>
      </c>
      <c r="Q2607" s="116">
        <v>3368</v>
      </c>
      <c r="R2607">
        <v>423431</v>
      </c>
    </row>
    <row r="2608" spans="1:18" x14ac:dyDescent="0.25">
      <c r="A2608" s="170">
        <v>45845</v>
      </c>
      <c r="B2608" s="116">
        <v>3370.95</v>
      </c>
      <c r="C2608" s="116">
        <v>3350.6</v>
      </c>
      <c r="D2608" s="116">
        <v>3340</v>
      </c>
      <c r="E2608" s="116">
        <v>3360.85</v>
      </c>
      <c r="F2608" s="116">
        <v>3350.6</v>
      </c>
      <c r="G2608">
        <v>3574</v>
      </c>
      <c r="H2608" s="116"/>
      <c r="I2608" s="116"/>
      <c r="L2608" s="170">
        <v>45845</v>
      </c>
      <c r="M2608" s="116">
        <v>3352.3</v>
      </c>
      <c r="N2608" s="116">
        <v>3372.4</v>
      </c>
      <c r="O2608" s="116">
        <v>3340.8</v>
      </c>
      <c r="P2608" s="116">
        <v>3368</v>
      </c>
      <c r="Q2608" s="116">
        <v>3352.3</v>
      </c>
      <c r="R2608">
        <v>181997</v>
      </c>
    </row>
    <row r="2609" spans="1:18" x14ac:dyDescent="0.25">
      <c r="A2609" s="170">
        <v>45846</v>
      </c>
      <c r="B2609" s="116">
        <v>3345.15</v>
      </c>
      <c r="C2609" s="116">
        <v>3323.45</v>
      </c>
      <c r="D2609" s="116">
        <v>3300</v>
      </c>
      <c r="E2609" s="116">
        <v>3330.75</v>
      </c>
      <c r="F2609" s="116">
        <v>3323.45</v>
      </c>
      <c r="G2609">
        <v>2034</v>
      </c>
      <c r="H2609" s="116"/>
      <c r="I2609" s="116"/>
      <c r="L2609" s="170">
        <v>45846</v>
      </c>
      <c r="M2609" s="116">
        <v>3322.4</v>
      </c>
      <c r="N2609" s="116">
        <v>3351.8</v>
      </c>
      <c r="O2609" s="116">
        <v>3295.3</v>
      </c>
      <c r="P2609" s="116">
        <v>3340</v>
      </c>
      <c r="Q2609" s="116">
        <v>3322.4</v>
      </c>
      <c r="R2609">
        <v>718004</v>
      </c>
    </row>
    <row r="2610" spans="1:18" x14ac:dyDescent="0.25">
      <c r="A2610" s="170">
        <v>45847</v>
      </c>
      <c r="B2610" s="116">
        <v>3360.75</v>
      </c>
      <c r="C2610" s="116">
        <v>3354.45</v>
      </c>
      <c r="D2610" s="116">
        <v>3312</v>
      </c>
      <c r="E2610" s="116">
        <v>3312.65</v>
      </c>
      <c r="F2610" s="116">
        <v>3354.45</v>
      </c>
      <c r="G2610">
        <v>5890</v>
      </c>
      <c r="H2610" s="116"/>
      <c r="I2610" s="116"/>
      <c r="L2610" s="170">
        <v>45847</v>
      </c>
      <c r="M2610" s="116">
        <v>3353.7</v>
      </c>
      <c r="N2610" s="116">
        <v>3360</v>
      </c>
      <c r="O2610" s="116">
        <v>3307.6</v>
      </c>
      <c r="P2610" s="116">
        <v>3318.3</v>
      </c>
      <c r="Q2610" s="116">
        <v>3353.7</v>
      </c>
      <c r="R2610">
        <v>522231</v>
      </c>
    </row>
    <row r="2611" spans="1:18" x14ac:dyDescent="0.25">
      <c r="A2611" s="170">
        <v>45848</v>
      </c>
      <c r="B2611" s="116">
        <v>3345.4</v>
      </c>
      <c r="C2611" s="116">
        <v>3339.05</v>
      </c>
      <c r="D2611" s="116">
        <v>3315.05</v>
      </c>
      <c r="E2611" s="116">
        <v>3345.05</v>
      </c>
      <c r="F2611" s="116">
        <v>3339.05</v>
      </c>
      <c r="G2611">
        <v>9329</v>
      </c>
      <c r="H2611" s="116"/>
      <c r="I2611" s="116"/>
      <c r="L2611" s="170">
        <v>45848</v>
      </c>
      <c r="M2611" s="116">
        <v>3339.4</v>
      </c>
      <c r="N2611" s="116">
        <v>3350</v>
      </c>
      <c r="O2611" s="116">
        <v>3311.3</v>
      </c>
      <c r="P2611" s="116">
        <v>3350</v>
      </c>
      <c r="Q2611" s="116">
        <v>3339.4</v>
      </c>
      <c r="R2611">
        <v>435962</v>
      </c>
    </row>
    <row r="2612" spans="1:18" x14ac:dyDescent="0.25">
      <c r="A2612" s="170">
        <v>45849</v>
      </c>
      <c r="B2612" s="116">
        <v>3367.3</v>
      </c>
      <c r="C2612" s="116">
        <v>3313.15</v>
      </c>
      <c r="D2612" s="116">
        <v>3307.1</v>
      </c>
      <c r="E2612" s="116">
        <v>3359</v>
      </c>
      <c r="F2612" s="116">
        <v>3313.15</v>
      </c>
      <c r="G2612">
        <v>1471</v>
      </c>
      <c r="H2612" s="116"/>
      <c r="I2612" s="116"/>
      <c r="L2612" s="170">
        <v>45849</v>
      </c>
      <c r="M2612" s="116">
        <v>3314.2</v>
      </c>
      <c r="N2612" s="116">
        <v>3367.9</v>
      </c>
      <c r="O2612" s="116">
        <v>3309.4</v>
      </c>
      <c r="P2612" s="116">
        <v>3339.1</v>
      </c>
      <c r="Q2612" s="116">
        <v>3314.2</v>
      </c>
      <c r="R2612">
        <v>344198</v>
      </c>
    </row>
    <row r="2613" spans="1:18" x14ac:dyDescent="0.25">
      <c r="A2613" s="170">
        <v>45852</v>
      </c>
      <c r="B2613" s="116">
        <v>3413.95</v>
      </c>
      <c r="C2613" s="116">
        <v>3407.05</v>
      </c>
      <c r="D2613" s="116">
        <v>3314.2</v>
      </c>
      <c r="E2613" s="116">
        <v>3314.2</v>
      </c>
      <c r="F2613" s="116">
        <v>3407.05</v>
      </c>
      <c r="G2613">
        <v>21128</v>
      </c>
      <c r="H2613" s="116"/>
      <c r="I2613" s="116"/>
      <c r="L2613" s="170">
        <v>45852</v>
      </c>
      <c r="M2613" s="116">
        <v>3404.9</v>
      </c>
      <c r="N2613" s="116">
        <v>3413.8</v>
      </c>
      <c r="O2613" s="116">
        <v>3314.2</v>
      </c>
      <c r="P2613" s="116">
        <v>3315</v>
      </c>
      <c r="Q2613" s="116">
        <v>3404.9</v>
      </c>
      <c r="R2613">
        <v>539810</v>
      </c>
    </row>
    <row r="2614" spans="1:18" x14ac:dyDescent="0.25">
      <c r="A2614" s="170">
        <v>45853</v>
      </c>
      <c r="B2614" s="116">
        <v>3453.25</v>
      </c>
      <c r="C2614" s="116">
        <v>3439.55</v>
      </c>
      <c r="D2614" s="116">
        <v>3375.75</v>
      </c>
      <c r="E2614" s="116">
        <v>3411.75</v>
      </c>
      <c r="F2614" s="116">
        <v>3439.55</v>
      </c>
      <c r="G2614">
        <v>10145</v>
      </c>
      <c r="H2614" s="116"/>
      <c r="I2614" s="116"/>
      <c r="L2614" s="170">
        <v>45853</v>
      </c>
      <c r="M2614" s="116">
        <v>3439.6</v>
      </c>
      <c r="N2614" s="116">
        <v>3451.7</v>
      </c>
      <c r="O2614" s="116">
        <v>3376.4</v>
      </c>
      <c r="P2614" s="116">
        <v>3404</v>
      </c>
      <c r="Q2614" s="116">
        <v>3439.6</v>
      </c>
      <c r="R2614">
        <v>494066</v>
      </c>
    </row>
    <row r="2615" spans="1:18" x14ac:dyDescent="0.25">
      <c r="A2615" s="170">
        <v>45854</v>
      </c>
      <c r="B2615" s="116">
        <v>3467.5</v>
      </c>
      <c r="C2615" s="116">
        <v>3462</v>
      </c>
      <c r="D2615" s="116">
        <v>3421.6</v>
      </c>
      <c r="E2615" s="116">
        <v>3429.3</v>
      </c>
      <c r="F2615" s="116">
        <v>3462</v>
      </c>
      <c r="G2615">
        <v>3474</v>
      </c>
      <c r="H2615" s="116"/>
      <c r="I2615" s="116"/>
      <c r="L2615" s="170">
        <v>45854</v>
      </c>
      <c r="M2615" s="116">
        <v>3459.5</v>
      </c>
      <c r="N2615" s="116">
        <v>3465.6</v>
      </c>
      <c r="O2615" s="116">
        <v>3421.3</v>
      </c>
      <c r="P2615" s="116">
        <v>3439</v>
      </c>
      <c r="Q2615" s="116">
        <v>3459.5</v>
      </c>
      <c r="R2615">
        <v>612808</v>
      </c>
    </row>
    <row r="2616" spans="1:18" x14ac:dyDescent="0.25">
      <c r="A2616" s="170">
        <v>45855</v>
      </c>
      <c r="B2616" s="116">
        <v>3545</v>
      </c>
      <c r="C2616" s="116">
        <v>3504.35</v>
      </c>
      <c r="D2616" s="116">
        <v>3459.6</v>
      </c>
      <c r="E2616" s="116">
        <v>3459.6</v>
      </c>
      <c r="F2616" s="116">
        <v>3504.35</v>
      </c>
      <c r="G2616">
        <v>15913</v>
      </c>
      <c r="H2616" s="116"/>
      <c r="I2616" s="116"/>
      <c r="L2616" s="170">
        <v>45855</v>
      </c>
      <c r="M2616" s="116">
        <v>3504.6</v>
      </c>
      <c r="N2616" s="116">
        <v>3545</v>
      </c>
      <c r="O2616" s="116">
        <v>3466</v>
      </c>
      <c r="P2616" s="116">
        <v>3466</v>
      </c>
      <c r="Q2616" s="116">
        <v>3504.6</v>
      </c>
      <c r="R2616">
        <v>742875</v>
      </c>
    </row>
    <row r="2617" spans="1:18" x14ac:dyDescent="0.25">
      <c r="A2617" s="170">
        <v>45856</v>
      </c>
      <c r="B2617" s="116">
        <v>3538.85</v>
      </c>
      <c r="C2617" s="116">
        <v>3521.85</v>
      </c>
      <c r="D2617" s="116">
        <v>3500.05</v>
      </c>
      <c r="E2617" s="116">
        <v>3500.05</v>
      </c>
      <c r="F2617" s="116">
        <v>3521.85</v>
      </c>
      <c r="G2617">
        <v>4293</v>
      </c>
      <c r="H2617" s="116"/>
      <c r="I2617" s="116"/>
      <c r="L2617" s="170">
        <v>45856</v>
      </c>
      <c r="M2617" s="116">
        <v>3521.4</v>
      </c>
      <c r="N2617" s="116">
        <v>3539.1</v>
      </c>
      <c r="O2617" s="116">
        <v>3512.3</v>
      </c>
      <c r="P2617" s="116">
        <v>3512.3</v>
      </c>
      <c r="Q2617" s="116">
        <v>3521.4</v>
      </c>
      <c r="R2617">
        <v>331864</v>
      </c>
    </row>
    <row r="2618" spans="1:18" x14ac:dyDescent="0.25">
      <c r="A2618" s="170">
        <v>45859</v>
      </c>
      <c r="B2618" s="116">
        <v>3540.05</v>
      </c>
      <c r="C2618" s="116">
        <v>3524.25</v>
      </c>
      <c r="D2618" s="116">
        <v>3504.75</v>
      </c>
      <c r="E2618" s="116">
        <v>3540.05</v>
      </c>
      <c r="F2618" s="116">
        <v>3524.25</v>
      </c>
      <c r="G2618">
        <v>6032</v>
      </c>
      <c r="H2618" s="116"/>
      <c r="I2618" s="116"/>
      <c r="L2618" s="170">
        <v>45859</v>
      </c>
      <c r="M2618" s="116">
        <v>3524</v>
      </c>
      <c r="N2618" s="116">
        <v>3535.9</v>
      </c>
      <c r="O2618" s="116">
        <v>3504.3</v>
      </c>
      <c r="P2618" s="116">
        <v>3521.4</v>
      </c>
      <c r="Q2618" s="116">
        <v>3524</v>
      </c>
      <c r="R2618">
        <v>494692</v>
      </c>
    </row>
    <row r="2619" spans="1:18" x14ac:dyDescent="0.25">
      <c r="A2619" s="170">
        <v>45860</v>
      </c>
      <c r="B2619" s="116">
        <v>3516.35</v>
      </c>
      <c r="C2619" s="116">
        <v>3503.4</v>
      </c>
      <c r="D2619" s="116">
        <v>3468.75</v>
      </c>
      <c r="E2619" s="116">
        <v>3501.05</v>
      </c>
      <c r="F2619" s="116">
        <v>3503.4</v>
      </c>
      <c r="G2619">
        <v>6460</v>
      </c>
      <c r="H2619" s="116"/>
      <c r="I2619" s="116"/>
      <c r="L2619" s="170">
        <v>45860</v>
      </c>
      <c r="M2619" s="116">
        <v>3503.5</v>
      </c>
      <c r="N2619" s="116">
        <v>3527.5</v>
      </c>
      <c r="O2619" s="116">
        <v>3468</v>
      </c>
      <c r="P2619" s="116">
        <v>3510</v>
      </c>
      <c r="Q2619" s="116">
        <v>3503.5</v>
      </c>
      <c r="R2619">
        <v>555636</v>
      </c>
    </row>
    <row r="2620" spans="1:18" x14ac:dyDescent="0.25">
      <c r="A2620" s="170">
        <v>45861</v>
      </c>
      <c r="B2620" s="116">
        <v>3570</v>
      </c>
      <c r="C2620" s="116">
        <v>3554.05</v>
      </c>
      <c r="D2620" s="116">
        <v>3503.55</v>
      </c>
      <c r="E2620" s="116">
        <v>3504.5</v>
      </c>
      <c r="F2620" s="116">
        <v>3554.05</v>
      </c>
      <c r="G2620">
        <v>3365</v>
      </c>
      <c r="H2620" s="116"/>
      <c r="I2620" s="116"/>
      <c r="L2620" s="170">
        <v>45861</v>
      </c>
      <c r="M2620" s="116">
        <v>3553.7</v>
      </c>
      <c r="N2620" s="116">
        <v>3572.7</v>
      </c>
      <c r="O2620" s="116">
        <v>3495.2</v>
      </c>
      <c r="P2620" s="116">
        <v>3504</v>
      </c>
      <c r="Q2620" s="116">
        <v>3553.7</v>
      </c>
      <c r="R2620">
        <v>463944</v>
      </c>
    </row>
    <row r="2621" spans="1:18" x14ac:dyDescent="0.25">
      <c r="A2621" s="170">
        <v>45862</v>
      </c>
      <c r="B2621" s="116">
        <v>3564.45</v>
      </c>
      <c r="C2621" s="116">
        <v>3515.9</v>
      </c>
      <c r="D2621" s="116">
        <v>3501.55</v>
      </c>
      <c r="E2621" s="116">
        <v>3555.05</v>
      </c>
      <c r="F2621" s="116">
        <v>3515.9</v>
      </c>
      <c r="G2621">
        <v>5591</v>
      </c>
      <c r="H2621" s="116"/>
      <c r="I2621" s="116"/>
      <c r="L2621" s="170">
        <v>45862</v>
      </c>
      <c r="M2621" s="116">
        <v>3519.9</v>
      </c>
      <c r="N2621" s="116">
        <v>3564.9</v>
      </c>
      <c r="O2621" s="116">
        <v>3501.4</v>
      </c>
      <c r="P2621" s="116">
        <v>3560</v>
      </c>
      <c r="Q2621" s="116">
        <v>3519.9</v>
      </c>
      <c r="R2621">
        <v>306778</v>
      </c>
    </row>
    <row r="2622" spans="1:18" x14ac:dyDescent="0.25">
      <c r="A2622" s="170">
        <v>45863</v>
      </c>
      <c r="B2622" s="116">
        <v>3615.2</v>
      </c>
      <c r="C2622" s="116">
        <v>3602.5</v>
      </c>
      <c r="D2622" s="116">
        <v>3510.05</v>
      </c>
      <c r="E2622" s="116">
        <v>3510.05</v>
      </c>
      <c r="F2622" s="116">
        <v>3602.5</v>
      </c>
      <c r="G2622">
        <v>20938</v>
      </c>
      <c r="H2622" s="116"/>
      <c r="I2622" s="116"/>
      <c r="L2622" s="170">
        <v>45863</v>
      </c>
      <c r="M2622" s="116">
        <v>3603.8</v>
      </c>
      <c r="N2622" s="116">
        <v>3613.9</v>
      </c>
      <c r="O2622" s="116">
        <v>3509.8</v>
      </c>
      <c r="P2622" s="116">
        <v>3523.4</v>
      </c>
      <c r="Q2622" s="116">
        <v>3603.8</v>
      </c>
      <c r="R2622">
        <v>837877</v>
      </c>
    </row>
    <row r="2623" spans="1:18" x14ac:dyDescent="0.25">
      <c r="A2623" s="170">
        <v>45866</v>
      </c>
      <c r="B2623" s="116">
        <v>3633.2</v>
      </c>
      <c r="C2623" s="116">
        <v>3624.95</v>
      </c>
      <c r="D2623" s="116">
        <v>3579</v>
      </c>
      <c r="E2623" s="116">
        <v>3611</v>
      </c>
      <c r="F2623" s="116">
        <v>3624.95</v>
      </c>
      <c r="G2623">
        <v>10465</v>
      </c>
      <c r="H2623" s="116"/>
      <c r="I2623" s="116"/>
      <c r="L2623" s="170">
        <v>45866</v>
      </c>
      <c r="M2623" s="116">
        <v>3622.9</v>
      </c>
      <c r="N2623" s="116">
        <v>3635</v>
      </c>
      <c r="O2623" s="116">
        <v>3578.6</v>
      </c>
      <c r="P2623" s="116">
        <v>3621.7</v>
      </c>
      <c r="Q2623" s="116">
        <v>3622.9</v>
      </c>
      <c r="R2623">
        <v>453818</v>
      </c>
    </row>
    <row r="2624" spans="1:18" x14ac:dyDescent="0.25">
      <c r="A2624" s="170">
        <v>45867</v>
      </c>
      <c r="B2624" s="116">
        <v>3784</v>
      </c>
      <c r="C2624" s="116">
        <v>3768.35</v>
      </c>
      <c r="D2624" s="116">
        <v>3645.15</v>
      </c>
      <c r="E2624" s="116">
        <v>3645.15</v>
      </c>
      <c r="F2624" s="116">
        <v>3768.35</v>
      </c>
      <c r="G2624">
        <v>73563</v>
      </c>
      <c r="H2624" s="116"/>
      <c r="I2624" s="116"/>
      <c r="L2624" s="170">
        <v>45867</v>
      </c>
      <c r="M2624" s="116">
        <v>3768.1</v>
      </c>
      <c r="N2624" s="116">
        <v>3784.8</v>
      </c>
      <c r="O2624" s="116">
        <v>3660.2</v>
      </c>
      <c r="P2624" s="116">
        <v>3660.2</v>
      </c>
      <c r="Q2624" s="116">
        <v>3768.1</v>
      </c>
      <c r="R2624">
        <v>1677573</v>
      </c>
    </row>
    <row r="2625" spans="1:18" x14ac:dyDescent="0.25">
      <c r="A2625" s="170">
        <v>45868</v>
      </c>
      <c r="B2625" s="116">
        <v>3790</v>
      </c>
      <c r="C2625" s="116">
        <v>3732.25</v>
      </c>
      <c r="D2625" s="116">
        <v>3721.05</v>
      </c>
      <c r="E2625" s="116">
        <v>3768.2</v>
      </c>
      <c r="F2625" s="116">
        <v>3732.25</v>
      </c>
      <c r="G2625">
        <v>13931</v>
      </c>
      <c r="H2625" s="116"/>
      <c r="I2625" s="116"/>
      <c r="L2625" s="170">
        <v>45868</v>
      </c>
      <c r="M2625" s="116">
        <v>3730.6</v>
      </c>
      <c r="N2625" s="116">
        <v>3787.9</v>
      </c>
      <c r="O2625" s="116">
        <v>3721.6</v>
      </c>
      <c r="P2625" s="116">
        <v>3782.9</v>
      </c>
      <c r="Q2625" s="116">
        <v>3730.6</v>
      </c>
      <c r="R2625">
        <v>439527</v>
      </c>
    </row>
    <row r="2626" spans="1:18" x14ac:dyDescent="0.25">
      <c r="A2626" s="170">
        <v>45869</v>
      </c>
      <c r="B2626" s="116">
        <v>3761.2</v>
      </c>
      <c r="C2626" s="116">
        <v>3741.9</v>
      </c>
      <c r="D2626" s="116">
        <v>3687.3</v>
      </c>
      <c r="E2626" s="116">
        <v>3719.45</v>
      </c>
      <c r="F2626" s="116">
        <v>3741.9</v>
      </c>
      <c r="G2626">
        <v>11395</v>
      </c>
      <c r="H2626" s="116"/>
      <c r="I2626" s="116"/>
      <c r="L2626" s="170">
        <v>45869</v>
      </c>
      <c r="M2626" s="116">
        <v>3741.9</v>
      </c>
      <c r="N2626" s="116">
        <v>3755</v>
      </c>
      <c r="O2626" s="116">
        <v>3687.5</v>
      </c>
      <c r="P2626" s="116">
        <v>3722</v>
      </c>
      <c r="Q2626" s="116">
        <v>3741.9</v>
      </c>
      <c r="R2626">
        <v>261716</v>
      </c>
    </row>
    <row r="2627" spans="1:18" x14ac:dyDescent="0.25">
      <c r="A2627" s="170">
        <v>45870</v>
      </c>
      <c r="B2627" s="116">
        <v>3735</v>
      </c>
      <c r="C2627" s="116">
        <v>3674.2</v>
      </c>
      <c r="D2627" s="116">
        <v>3643.8</v>
      </c>
      <c r="E2627" s="116">
        <v>3735</v>
      </c>
      <c r="F2627" s="116">
        <v>3674.2</v>
      </c>
      <c r="G2627">
        <v>5333</v>
      </c>
      <c r="H2627" s="116"/>
      <c r="I2627" s="116"/>
      <c r="L2627" s="170">
        <v>45870</v>
      </c>
      <c r="M2627" s="116">
        <v>3678.2</v>
      </c>
      <c r="N2627" s="116">
        <v>3740.9</v>
      </c>
      <c r="O2627" s="116">
        <v>3642</v>
      </c>
      <c r="P2627" s="116">
        <v>3740.9</v>
      </c>
      <c r="Q2627" s="116">
        <v>3678.2</v>
      </c>
      <c r="R2627">
        <v>605657</v>
      </c>
    </row>
    <row r="2628" spans="1:18" x14ac:dyDescent="0.25">
      <c r="A2628" s="170">
        <v>45873</v>
      </c>
      <c r="B2628" s="116">
        <v>3672.1</v>
      </c>
      <c r="C2628" s="116">
        <v>3613.15</v>
      </c>
      <c r="D2628" s="116">
        <v>3608</v>
      </c>
      <c r="E2628" s="116">
        <v>3666.25</v>
      </c>
      <c r="F2628" s="116">
        <v>3613.15</v>
      </c>
      <c r="G2628">
        <v>3621</v>
      </c>
      <c r="H2628" s="116"/>
      <c r="I2628" s="116"/>
      <c r="L2628" s="170">
        <v>45873</v>
      </c>
      <c r="M2628" s="116">
        <v>3612.8</v>
      </c>
      <c r="N2628" s="116">
        <v>3675.5</v>
      </c>
      <c r="O2628" s="116">
        <v>3604.4</v>
      </c>
      <c r="P2628" s="116">
        <v>3658.3</v>
      </c>
      <c r="Q2628" s="116">
        <v>3612.8</v>
      </c>
      <c r="R2628">
        <v>406695</v>
      </c>
    </row>
    <row r="2629" spans="1:18" x14ac:dyDescent="0.25">
      <c r="A2629" s="170">
        <v>45874</v>
      </c>
      <c r="B2629" s="116">
        <v>3631.25</v>
      </c>
      <c r="C2629" s="116">
        <v>3589.1</v>
      </c>
      <c r="D2629" s="116">
        <v>3584</v>
      </c>
      <c r="E2629" s="116">
        <v>3602.05</v>
      </c>
      <c r="F2629" s="116">
        <v>3589.1</v>
      </c>
      <c r="G2629">
        <v>4452</v>
      </c>
      <c r="H2629" s="116"/>
      <c r="I2629" s="116"/>
      <c r="L2629" s="170">
        <v>45874</v>
      </c>
      <c r="M2629" s="116">
        <v>3589.2</v>
      </c>
      <c r="N2629" s="116">
        <v>3631.8</v>
      </c>
      <c r="O2629" s="116">
        <v>3583.5</v>
      </c>
      <c r="P2629" s="116">
        <v>3612.5</v>
      </c>
      <c r="Q2629" s="116">
        <v>3589.2</v>
      </c>
      <c r="R2629">
        <v>281518</v>
      </c>
    </row>
    <row r="2630" spans="1:18" x14ac:dyDescent="0.25">
      <c r="A2630" s="170">
        <v>45875</v>
      </c>
      <c r="B2630" s="116">
        <v>3591</v>
      </c>
      <c r="C2630" s="116">
        <v>3525.75</v>
      </c>
      <c r="D2630" s="116">
        <v>3516.45</v>
      </c>
      <c r="E2630" s="116">
        <v>3566</v>
      </c>
      <c r="F2630" s="116">
        <v>3525.75</v>
      </c>
      <c r="G2630">
        <v>4404</v>
      </c>
      <c r="H2630" s="116"/>
      <c r="I2630" s="116"/>
      <c r="L2630" s="170">
        <v>45875</v>
      </c>
      <c r="M2630" s="116">
        <v>3524.1</v>
      </c>
      <c r="N2630" s="116">
        <v>3591.1</v>
      </c>
      <c r="O2630" s="116">
        <v>3516.1</v>
      </c>
      <c r="P2630" s="116">
        <v>3580.1</v>
      </c>
      <c r="Q2630" s="116">
        <v>3524.1</v>
      </c>
      <c r="R2630">
        <v>257376</v>
      </c>
    </row>
    <row r="2631" spans="1:18" x14ac:dyDescent="0.25">
      <c r="A2631" s="170">
        <v>45876</v>
      </c>
      <c r="B2631" s="116">
        <v>3601.4</v>
      </c>
      <c r="C2631" s="116">
        <v>3596.85</v>
      </c>
      <c r="D2631" s="116">
        <v>3488.95</v>
      </c>
      <c r="E2631" s="116">
        <v>3488.95</v>
      </c>
      <c r="F2631" s="116">
        <v>3596.85</v>
      </c>
      <c r="G2631">
        <v>13211</v>
      </c>
      <c r="H2631" s="116"/>
      <c r="I2631" s="116"/>
      <c r="L2631" s="170">
        <v>45876</v>
      </c>
      <c r="M2631" s="116">
        <v>3596.7</v>
      </c>
      <c r="N2631" s="116">
        <v>3637</v>
      </c>
      <c r="O2631" s="116">
        <v>3490.2</v>
      </c>
      <c r="P2631" s="116">
        <v>3490.2</v>
      </c>
      <c r="Q2631" s="116">
        <v>3596.7</v>
      </c>
      <c r="R2631">
        <v>402653</v>
      </c>
    </row>
    <row r="2632" spans="1:18" x14ac:dyDescent="0.25">
      <c r="A2632" s="170">
        <v>45877</v>
      </c>
      <c r="B2632" s="116">
        <v>3604.4</v>
      </c>
      <c r="C2632" s="116">
        <v>3572.1</v>
      </c>
      <c r="D2632" s="116">
        <v>3561.8</v>
      </c>
      <c r="E2632" s="116">
        <v>3600</v>
      </c>
      <c r="F2632" s="116">
        <v>3572.1</v>
      </c>
      <c r="G2632">
        <v>3602</v>
      </c>
      <c r="H2632" s="116"/>
      <c r="I2632" s="116"/>
      <c r="L2632" s="170">
        <v>45877</v>
      </c>
      <c r="M2632" s="116">
        <v>3573.2</v>
      </c>
      <c r="N2632" s="116">
        <v>3619.2</v>
      </c>
      <c r="O2632" s="116">
        <v>3562.8</v>
      </c>
      <c r="P2632" s="116">
        <v>3600</v>
      </c>
      <c r="Q2632" s="116">
        <v>3573.2</v>
      </c>
      <c r="R2632">
        <v>178509</v>
      </c>
    </row>
    <row r="2633" spans="1:18" x14ac:dyDescent="0.25">
      <c r="A2633" s="170">
        <v>45880</v>
      </c>
      <c r="B2633" s="116">
        <v>3618.5</v>
      </c>
      <c r="C2633" s="116">
        <v>3613.75</v>
      </c>
      <c r="D2633" s="116">
        <v>3563.85</v>
      </c>
      <c r="E2633" s="116">
        <v>3583.85</v>
      </c>
      <c r="F2633" s="116">
        <v>3613.75</v>
      </c>
      <c r="G2633">
        <v>1230</v>
      </c>
      <c r="H2633" s="116"/>
      <c r="I2633" s="116"/>
      <c r="L2633" s="170">
        <v>45880</v>
      </c>
      <c r="M2633" s="116">
        <v>3614.9</v>
      </c>
      <c r="N2633" s="116">
        <v>3620.1</v>
      </c>
      <c r="O2633" s="116">
        <v>3558</v>
      </c>
      <c r="P2633" s="116">
        <v>3573.2</v>
      </c>
      <c r="Q2633" s="116">
        <v>3614.9</v>
      </c>
      <c r="R2633">
        <v>125488</v>
      </c>
    </row>
    <row r="2634" spans="1:18" x14ac:dyDescent="0.25">
      <c r="A2634" s="170">
        <v>45881</v>
      </c>
      <c r="B2634" s="116">
        <v>3635.2</v>
      </c>
      <c r="C2634" s="116">
        <v>3628.15</v>
      </c>
      <c r="D2634" s="116">
        <v>3590.65</v>
      </c>
      <c r="E2634" s="116">
        <v>3624.8</v>
      </c>
      <c r="F2634" s="116">
        <v>3628.15</v>
      </c>
      <c r="G2634">
        <v>2188</v>
      </c>
      <c r="H2634" s="116"/>
      <c r="I2634" s="116"/>
      <c r="L2634" s="170">
        <v>45881</v>
      </c>
      <c r="M2634" s="116">
        <v>3626.1</v>
      </c>
      <c r="N2634" s="116">
        <v>3641.8</v>
      </c>
      <c r="O2634" s="116">
        <v>3591.7</v>
      </c>
      <c r="P2634" s="116">
        <v>3614.9</v>
      </c>
      <c r="Q2634" s="116">
        <v>3626.1</v>
      </c>
      <c r="R2634">
        <v>230368</v>
      </c>
    </row>
    <row r="2635" spans="1:18" x14ac:dyDescent="0.25">
      <c r="A2635" s="170">
        <v>45882</v>
      </c>
      <c r="B2635" s="116">
        <v>3653.45</v>
      </c>
      <c r="C2635" s="116">
        <v>3618</v>
      </c>
      <c r="D2635" s="116">
        <v>3605.8</v>
      </c>
      <c r="E2635" s="116">
        <v>3625.25</v>
      </c>
      <c r="F2635" s="116">
        <v>3618</v>
      </c>
      <c r="G2635">
        <v>2563</v>
      </c>
      <c r="H2635" s="116"/>
      <c r="I2635" s="116"/>
      <c r="L2635" s="170">
        <v>45882</v>
      </c>
      <c r="M2635" s="116">
        <v>3617.8</v>
      </c>
      <c r="N2635" s="116">
        <v>3652.3</v>
      </c>
      <c r="O2635" s="116">
        <v>3604</v>
      </c>
      <c r="P2635" s="116">
        <v>3629.7</v>
      </c>
      <c r="Q2635" s="116">
        <v>3617.8</v>
      </c>
      <c r="R2635">
        <v>287440</v>
      </c>
    </row>
    <row r="2636" spans="1:18" x14ac:dyDescent="0.25">
      <c r="A2636" s="170">
        <v>45883</v>
      </c>
      <c r="B2636" s="116">
        <v>3647.9</v>
      </c>
      <c r="C2636" s="116">
        <v>3622.2</v>
      </c>
      <c r="D2636" s="116">
        <v>3592.05</v>
      </c>
      <c r="E2636" s="116">
        <v>3605.05</v>
      </c>
      <c r="F2636" s="116">
        <v>3622.2</v>
      </c>
      <c r="G2636">
        <v>8460</v>
      </c>
      <c r="H2636" s="116"/>
      <c r="I2636" s="116"/>
      <c r="L2636" s="170">
        <v>45883</v>
      </c>
      <c r="M2636" s="116">
        <v>3623</v>
      </c>
      <c r="N2636" s="116">
        <v>3647.7</v>
      </c>
      <c r="O2636" s="116">
        <v>3593.9</v>
      </c>
      <c r="P2636" s="116">
        <v>3621.3</v>
      </c>
      <c r="Q2636" s="116">
        <v>3623</v>
      </c>
      <c r="R2636">
        <v>382408</v>
      </c>
    </row>
    <row r="2637" spans="1:18" x14ac:dyDescent="0.25">
      <c r="A2637" s="170">
        <v>45887</v>
      </c>
      <c r="B2637" s="116">
        <v>3664.55</v>
      </c>
      <c r="C2637" s="116">
        <v>3653.15</v>
      </c>
      <c r="D2637" s="116">
        <v>3589.1</v>
      </c>
      <c r="E2637" s="116">
        <v>3664.55</v>
      </c>
      <c r="F2637" s="116">
        <v>3653.15</v>
      </c>
      <c r="G2637">
        <v>2699</v>
      </c>
      <c r="H2637" s="116"/>
      <c r="I2637" s="116"/>
      <c r="L2637" s="170">
        <v>45887</v>
      </c>
      <c r="M2637" s="116">
        <v>3651.6</v>
      </c>
      <c r="N2637" s="116">
        <v>3675</v>
      </c>
      <c r="O2637" s="116">
        <v>3587.2</v>
      </c>
      <c r="P2637" s="116">
        <v>3645.5</v>
      </c>
      <c r="Q2637" s="116">
        <v>3651.6</v>
      </c>
      <c r="R2637">
        <v>515859</v>
      </c>
    </row>
    <row r="2638" spans="1:18" x14ac:dyDescent="0.25">
      <c r="A2638" s="170">
        <v>45888</v>
      </c>
      <c r="B2638" s="116">
        <v>3659.1</v>
      </c>
      <c r="C2638" s="116">
        <v>3650.2</v>
      </c>
      <c r="D2638" s="116">
        <v>3626.05</v>
      </c>
      <c r="E2638" s="116">
        <v>3655</v>
      </c>
      <c r="F2638" s="116">
        <v>3650.2</v>
      </c>
      <c r="G2638">
        <v>2058</v>
      </c>
      <c r="H2638" s="116"/>
      <c r="I2638" s="116"/>
      <c r="L2638" s="170">
        <v>45888</v>
      </c>
      <c r="M2638" s="116">
        <v>3651.6</v>
      </c>
      <c r="N2638" s="116">
        <v>3663.8</v>
      </c>
      <c r="O2638" s="116">
        <v>3625</v>
      </c>
      <c r="P2638" s="116">
        <v>3660.8</v>
      </c>
      <c r="Q2638" s="116">
        <v>3651.6</v>
      </c>
      <c r="R2638">
        <v>197241</v>
      </c>
    </row>
    <row r="2639" spans="1:18" x14ac:dyDescent="0.25">
      <c r="A2639" s="170">
        <v>45889</v>
      </c>
      <c r="B2639" s="116">
        <v>3670</v>
      </c>
      <c r="C2639" s="116">
        <v>3662.95</v>
      </c>
      <c r="D2639" s="116">
        <v>3641.95</v>
      </c>
      <c r="E2639" s="116">
        <v>3641.95</v>
      </c>
      <c r="F2639" s="116">
        <v>3662.95</v>
      </c>
      <c r="G2639">
        <v>995</v>
      </c>
      <c r="H2639" s="116"/>
      <c r="I2639" s="116"/>
      <c r="L2639" s="170">
        <v>45889</v>
      </c>
      <c r="M2639" s="116">
        <v>3663.8</v>
      </c>
      <c r="N2639" s="116">
        <v>3672.7</v>
      </c>
      <c r="O2639" s="116">
        <v>3648.2</v>
      </c>
      <c r="P2639" s="116">
        <v>3666</v>
      </c>
      <c r="Q2639" s="116">
        <v>3663.8</v>
      </c>
      <c r="R2639">
        <v>230775</v>
      </c>
    </row>
    <row r="2640" spans="1:18" x14ac:dyDescent="0.25">
      <c r="A2640" s="170">
        <v>45890</v>
      </c>
      <c r="B2640" s="116">
        <v>3683.95</v>
      </c>
      <c r="C2640" s="116">
        <v>3647.5</v>
      </c>
      <c r="D2640" s="116">
        <v>3630.75</v>
      </c>
      <c r="E2640" s="116">
        <v>3642.05</v>
      </c>
      <c r="F2640" s="116">
        <v>3647.5</v>
      </c>
      <c r="G2640">
        <v>1140</v>
      </c>
      <c r="H2640" s="116"/>
      <c r="I2640" s="116"/>
      <c r="L2640" s="170">
        <v>45890</v>
      </c>
      <c r="M2640" s="116">
        <v>3647.4</v>
      </c>
      <c r="N2640" s="116">
        <v>3683.6</v>
      </c>
      <c r="O2640" s="116">
        <v>3628.6</v>
      </c>
      <c r="P2640" s="116">
        <v>3666</v>
      </c>
      <c r="Q2640" s="116">
        <v>3647.4</v>
      </c>
      <c r="R2640">
        <v>155569</v>
      </c>
    </row>
    <row r="2641" spans="1:18" x14ac:dyDescent="0.25">
      <c r="A2641" s="170">
        <v>45891</v>
      </c>
      <c r="B2641" s="116">
        <v>3694.5</v>
      </c>
      <c r="C2641" s="116">
        <v>3684.85</v>
      </c>
      <c r="D2641" s="116">
        <v>3642.9</v>
      </c>
      <c r="E2641" s="116">
        <v>3653.65</v>
      </c>
      <c r="F2641" s="116">
        <v>3684.85</v>
      </c>
      <c r="G2641">
        <v>2496</v>
      </c>
      <c r="H2641" s="116"/>
      <c r="I2641" s="116"/>
      <c r="L2641" s="170">
        <v>45891</v>
      </c>
      <c r="M2641" s="116">
        <v>3685.3</v>
      </c>
      <c r="N2641" s="116">
        <v>3698</v>
      </c>
      <c r="O2641" s="116">
        <v>3635</v>
      </c>
      <c r="P2641" s="116">
        <v>3643</v>
      </c>
      <c r="Q2641" s="116">
        <v>3685.3</v>
      </c>
      <c r="R2641">
        <v>279865</v>
      </c>
    </row>
    <row r="2642" spans="1:18" x14ac:dyDescent="0.25">
      <c r="A2642" s="170">
        <v>45894</v>
      </c>
      <c r="B2642" s="116">
        <v>3698.4</v>
      </c>
      <c r="C2642" s="116">
        <v>3670.75</v>
      </c>
      <c r="D2642" s="116">
        <v>3653.1</v>
      </c>
      <c r="E2642" s="116">
        <v>3685.35</v>
      </c>
      <c r="F2642" s="116">
        <v>3670.75</v>
      </c>
      <c r="G2642">
        <v>1440</v>
      </c>
      <c r="H2642" s="116"/>
      <c r="I2642" s="116"/>
      <c r="L2642" s="170">
        <v>45894</v>
      </c>
      <c r="M2642" s="116">
        <v>3674.5</v>
      </c>
      <c r="N2642" s="116">
        <v>3700</v>
      </c>
      <c r="O2642" s="116">
        <v>3654.1</v>
      </c>
      <c r="P2642" s="116">
        <v>3689.9</v>
      </c>
      <c r="Q2642" s="116">
        <v>3674.5</v>
      </c>
      <c r="R2642">
        <v>270324</v>
      </c>
    </row>
    <row r="2643" spans="1:18" x14ac:dyDescent="0.25">
      <c r="A2643" s="170">
        <v>45895</v>
      </c>
      <c r="B2643" s="116">
        <v>3666.05</v>
      </c>
      <c r="C2643" s="116">
        <v>3602.45</v>
      </c>
      <c r="D2643" s="116">
        <v>3588</v>
      </c>
      <c r="E2643" s="116">
        <v>3666.05</v>
      </c>
      <c r="F2643" s="116">
        <v>3602.45</v>
      </c>
      <c r="G2643">
        <v>1924</v>
      </c>
      <c r="H2643" s="116"/>
      <c r="I2643" s="116"/>
      <c r="L2643" s="170">
        <v>45895</v>
      </c>
      <c r="M2643" s="116">
        <v>3604.8</v>
      </c>
      <c r="N2643" s="116">
        <v>3673.4</v>
      </c>
      <c r="O2643" s="116">
        <v>3580.2</v>
      </c>
      <c r="P2643" s="116">
        <v>3673.4</v>
      </c>
      <c r="Q2643" s="116">
        <v>3604.8</v>
      </c>
      <c r="R2643">
        <v>504173</v>
      </c>
    </row>
    <row r="2644" spans="1:18" x14ac:dyDescent="0.25">
      <c r="A2644" s="170">
        <v>45897</v>
      </c>
      <c r="B2644" s="116">
        <v>3625.6</v>
      </c>
      <c r="C2644" s="116">
        <v>3578.45</v>
      </c>
      <c r="D2644" s="116">
        <v>3566.8</v>
      </c>
      <c r="E2644" s="116">
        <v>3606</v>
      </c>
      <c r="F2644" s="116">
        <v>3578.45</v>
      </c>
      <c r="G2644">
        <v>1888</v>
      </c>
      <c r="H2644" s="116"/>
      <c r="I2644" s="116"/>
      <c r="L2644" s="170">
        <v>45897</v>
      </c>
      <c r="M2644" s="116">
        <v>3576.9</v>
      </c>
      <c r="N2644" s="116">
        <v>3636</v>
      </c>
      <c r="O2644" s="116">
        <v>3568.2</v>
      </c>
      <c r="P2644" s="116">
        <v>3636</v>
      </c>
      <c r="Q2644" s="116">
        <v>3576.9</v>
      </c>
      <c r="R2644">
        <v>141719</v>
      </c>
    </row>
    <row r="2645" spans="1:18" x14ac:dyDescent="0.25">
      <c r="A2645" s="170">
        <v>45898</v>
      </c>
      <c r="B2645" s="116">
        <v>3609.2</v>
      </c>
      <c r="C2645" s="116">
        <v>3558.85</v>
      </c>
      <c r="D2645" s="116">
        <v>3553.5</v>
      </c>
      <c r="E2645" s="116">
        <v>3578</v>
      </c>
      <c r="F2645" s="116">
        <v>3558.85</v>
      </c>
      <c r="G2645">
        <v>1812</v>
      </c>
      <c r="H2645" s="116"/>
      <c r="I2645" s="116"/>
      <c r="L2645" s="170">
        <v>45898</v>
      </c>
      <c r="M2645" s="116">
        <v>3559.8</v>
      </c>
      <c r="N2645" s="116">
        <v>3607.6</v>
      </c>
      <c r="O2645" s="116">
        <v>3553.3</v>
      </c>
      <c r="P2645" s="116">
        <v>3575</v>
      </c>
      <c r="Q2645" s="116">
        <v>3559.8</v>
      </c>
      <c r="R2645">
        <v>279287</v>
      </c>
    </row>
    <row r="2646" spans="1:18" x14ac:dyDescent="0.25">
      <c r="A2646" s="170">
        <v>45901</v>
      </c>
      <c r="B2646" s="116">
        <v>3601.9</v>
      </c>
      <c r="C2646" s="116">
        <v>3581.55</v>
      </c>
      <c r="D2646" s="116">
        <v>3555.85</v>
      </c>
      <c r="E2646" s="116">
        <v>3555.85</v>
      </c>
      <c r="F2646" s="116">
        <v>3581.55</v>
      </c>
      <c r="G2646">
        <v>1532</v>
      </c>
      <c r="H2646" s="116"/>
      <c r="I2646" s="116"/>
      <c r="L2646" s="170">
        <v>45901</v>
      </c>
      <c r="M2646" s="116">
        <v>3584.3</v>
      </c>
      <c r="N2646" s="116">
        <v>3604</v>
      </c>
      <c r="O2646" s="116">
        <v>3563.1</v>
      </c>
      <c r="P2646" s="116">
        <v>3569.4</v>
      </c>
      <c r="Q2646" s="116">
        <v>3584.3</v>
      </c>
      <c r="R2646">
        <v>104921</v>
      </c>
    </row>
    <row r="2647" spans="1:18" x14ac:dyDescent="0.25">
      <c r="A2647" s="170">
        <v>45902</v>
      </c>
      <c r="B2647" s="116">
        <v>3653.95</v>
      </c>
      <c r="C2647" s="116">
        <v>3583.8</v>
      </c>
      <c r="D2647" s="116">
        <v>3544.35</v>
      </c>
      <c r="E2647" s="116">
        <v>3653.95</v>
      </c>
      <c r="F2647" s="116">
        <v>3583.8</v>
      </c>
      <c r="G2647">
        <v>1506</v>
      </c>
      <c r="H2647" s="116"/>
      <c r="I2647" s="116"/>
      <c r="L2647" s="170">
        <v>45902</v>
      </c>
      <c r="M2647" s="116">
        <v>3582.9</v>
      </c>
      <c r="N2647" s="116">
        <v>3650</v>
      </c>
      <c r="O2647" s="116">
        <v>3541.6</v>
      </c>
      <c r="P2647" s="116">
        <v>3599</v>
      </c>
      <c r="Q2647" s="116">
        <v>3582.9</v>
      </c>
      <c r="R2647">
        <v>126362</v>
      </c>
    </row>
    <row r="2648" spans="1:18" x14ac:dyDescent="0.25">
      <c r="A2648" s="170">
        <v>45903</v>
      </c>
      <c r="B2648" s="116">
        <v>3612.95</v>
      </c>
      <c r="C2648" s="116">
        <v>3606.2</v>
      </c>
      <c r="D2648" s="116">
        <v>3515.05</v>
      </c>
      <c r="E2648" s="116">
        <v>3515.05</v>
      </c>
      <c r="F2648" s="116">
        <v>3606.2</v>
      </c>
      <c r="G2648">
        <v>1388</v>
      </c>
      <c r="H2648" s="116"/>
      <c r="I2648" s="116"/>
      <c r="L2648" s="170">
        <v>45903</v>
      </c>
      <c r="M2648" s="116">
        <v>3606.7</v>
      </c>
      <c r="N2648" s="116">
        <v>3615</v>
      </c>
      <c r="O2648" s="116">
        <v>3570.1</v>
      </c>
      <c r="P2648" s="116">
        <v>3582.9</v>
      </c>
      <c r="Q2648" s="116">
        <v>3606.7</v>
      </c>
      <c r="R2648">
        <v>134650</v>
      </c>
    </row>
    <row r="2649" spans="1:18" x14ac:dyDescent="0.25">
      <c r="A2649" s="170">
        <v>45904</v>
      </c>
      <c r="B2649" s="116">
        <v>3636.05</v>
      </c>
      <c r="C2649" s="116">
        <v>3596.4</v>
      </c>
      <c r="D2649" s="116">
        <v>3590.15</v>
      </c>
      <c r="E2649" s="116">
        <v>3636.05</v>
      </c>
      <c r="F2649" s="116">
        <v>3596.4</v>
      </c>
      <c r="G2649">
        <v>485</v>
      </c>
      <c r="H2649" s="116"/>
      <c r="I2649" s="116"/>
      <c r="L2649" s="170">
        <v>45904</v>
      </c>
      <c r="M2649" s="116">
        <v>3599.3</v>
      </c>
      <c r="N2649" s="116">
        <v>3640</v>
      </c>
      <c r="O2649" s="116">
        <v>3585.7</v>
      </c>
      <c r="P2649" s="116">
        <v>3640</v>
      </c>
      <c r="Q2649" s="116">
        <v>3599.3</v>
      </c>
      <c r="R2649">
        <v>128395</v>
      </c>
    </row>
    <row r="2650" spans="1:18" x14ac:dyDescent="0.25">
      <c r="A2650" s="170">
        <v>45905</v>
      </c>
      <c r="B2650" s="116">
        <v>3750</v>
      </c>
      <c r="C2650" s="116">
        <v>3579.95</v>
      </c>
      <c r="D2650" s="116">
        <v>3568.4</v>
      </c>
      <c r="E2650" s="116">
        <v>3613.4</v>
      </c>
      <c r="F2650" s="116">
        <v>3579.95</v>
      </c>
      <c r="G2650">
        <v>494</v>
      </c>
      <c r="H2650" s="116"/>
      <c r="I2650" s="116"/>
      <c r="L2650" s="170">
        <v>45905</v>
      </c>
      <c r="M2650" s="116">
        <v>3579.1</v>
      </c>
      <c r="N2650" s="116">
        <v>3636.5</v>
      </c>
      <c r="O2650" s="116">
        <v>3559.4</v>
      </c>
      <c r="P2650" s="116">
        <v>3600</v>
      </c>
      <c r="Q2650" s="116">
        <v>3579.1</v>
      </c>
      <c r="R2650">
        <v>94944</v>
      </c>
    </row>
    <row r="2651" spans="1:18" x14ac:dyDescent="0.25">
      <c r="A2651" s="170">
        <v>45908</v>
      </c>
      <c r="B2651" s="116">
        <v>3639.25</v>
      </c>
      <c r="C2651" s="116">
        <v>3609.9</v>
      </c>
      <c r="D2651" s="116">
        <v>3558.15</v>
      </c>
      <c r="E2651" s="116">
        <v>3558.15</v>
      </c>
      <c r="F2651" s="116">
        <v>3609.9</v>
      </c>
      <c r="G2651">
        <v>2205</v>
      </c>
      <c r="H2651" s="116"/>
      <c r="I2651" s="116"/>
      <c r="L2651" s="170">
        <v>45908</v>
      </c>
      <c r="M2651" s="116">
        <v>3612.9</v>
      </c>
      <c r="N2651" s="116">
        <v>3639</v>
      </c>
      <c r="O2651" s="116">
        <v>3558.8</v>
      </c>
      <c r="P2651" s="116">
        <v>3581</v>
      </c>
      <c r="Q2651" s="116">
        <v>3612.9</v>
      </c>
      <c r="R2651">
        <v>166143</v>
      </c>
    </row>
    <row r="2652" spans="1:18" x14ac:dyDescent="0.25">
      <c r="A2652" s="170">
        <v>45909</v>
      </c>
      <c r="B2652" s="116">
        <v>3649.7</v>
      </c>
      <c r="C2652" s="116">
        <v>3642.15</v>
      </c>
      <c r="D2652" s="116">
        <v>3591.2</v>
      </c>
      <c r="E2652" s="116">
        <v>3638.75</v>
      </c>
      <c r="F2652" s="116">
        <v>3642.15</v>
      </c>
      <c r="G2652">
        <v>1858</v>
      </c>
      <c r="H2652" s="116"/>
      <c r="I2652" s="116"/>
      <c r="L2652" s="170">
        <v>45909</v>
      </c>
      <c r="M2652" s="116">
        <v>3643.3</v>
      </c>
      <c r="N2652" s="116">
        <v>3652.9</v>
      </c>
      <c r="O2652" s="116">
        <v>3589.2</v>
      </c>
      <c r="P2652" s="116">
        <v>3634</v>
      </c>
      <c r="Q2652" s="116">
        <v>3643.3</v>
      </c>
      <c r="R2652">
        <v>221678</v>
      </c>
    </row>
    <row r="2653" spans="1:18" x14ac:dyDescent="0.25">
      <c r="A2653" s="170">
        <v>45910</v>
      </c>
      <c r="B2653" s="116">
        <v>3745.6</v>
      </c>
      <c r="C2653" s="116">
        <v>3593.3</v>
      </c>
      <c r="D2653" s="116">
        <v>3567.6</v>
      </c>
      <c r="E2653" s="116">
        <v>3634.6</v>
      </c>
      <c r="F2653" s="116">
        <v>3593.3</v>
      </c>
      <c r="G2653">
        <v>19625</v>
      </c>
      <c r="H2653" s="116"/>
      <c r="I2653" s="116"/>
      <c r="L2653" s="170">
        <v>45910</v>
      </c>
      <c r="M2653" s="116">
        <v>3591.7</v>
      </c>
      <c r="N2653" s="116">
        <v>3676.8</v>
      </c>
      <c r="O2653" s="116">
        <v>3567.2</v>
      </c>
      <c r="P2653" s="116">
        <v>3644.9</v>
      </c>
      <c r="Q2653" s="116">
        <v>3591.7</v>
      </c>
      <c r="R2653">
        <v>136378</v>
      </c>
    </row>
    <row r="2654" spans="1:18" x14ac:dyDescent="0.25">
      <c r="A2654" s="170">
        <v>45911</v>
      </c>
      <c r="B2654" s="116">
        <v>3623.95</v>
      </c>
      <c r="C2654" s="116">
        <v>3580.1</v>
      </c>
      <c r="D2654" s="116">
        <v>3572</v>
      </c>
      <c r="E2654" s="116">
        <v>3593.3</v>
      </c>
      <c r="F2654" s="116">
        <v>3580.1</v>
      </c>
      <c r="G2654">
        <v>104201</v>
      </c>
      <c r="H2654" s="116"/>
      <c r="I2654" s="116"/>
      <c r="L2654" s="170">
        <v>45911</v>
      </c>
      <c r="M2654" s="116">
        <v>3583.6</v>
      </c>
      <c r="N2654" s="116">
        <v>3625</v>
      </c>
      <c r="O2654" s="116">
        <v>3567.9</v>
      </c>
      <c r="P2654" s="116">
        <v>3614.9</v>
      </c>
      <c r="Q2654" s="116">
        <v>3583.6</v>
      </c>
      <c r="R2654">
        <v>113836</v>
      </c>
    </row>
    <row r="2655" spans="1:18" x14ac:dyDescent="0.25">
      <c r="A2655" s="170">
        <v>45912</v>
      </c>
      <c r="B2655" s="116">
        <v>3601.35</v>
      </c>
      <c r="C2655" s="116">
        <v>3566.3</v>
      </c>
      <c r="D2655" s="116">
        <v>3556.6</v>
      </c>
      <c r="E2655" s="116">
        <v>3580.1</v>
      </c>
      <c r="F2655" s="116">
        <v>3566.3</v>
      </c>
      <c r="G2655">
        <v>942</v>
      </c>
      <c r="H2655" s="116"/>
      <c r="I2655" s="116"/>
      <c r="L2655" s="170">
        <v>45912</v>
      </c>
      <c r="M2655" s="116">
        <v>3566.2</v>
      </c>
      <c r="N2655" s="116">
        <v>3599.9</v>
      </c>
      <c r="O2655" s="116">
        <v>3558.2</v>
      </c>
      <c r="P2655" s="116">
        <v>3582.1</v>
      </c>
      <c r="Q2655" s="116">
        <v>3566.2</v>
      </c>
      <c r="R2655">
        <v>139361</v>
      </c>
    </row>
    <row r="2656" spans="1:18" x14ac:dyDescent="0.25">
      <c r="A2656" s="170">
        <v>45915</v>
      </c>
      <c r="B2656" s="116">
        <v>3585</v>
      </c>
      <c r="C2656" s="116">
        <v>3532.1</v>
      </c>
      <c r="D2656" s="116">
        <v>3512.2</v>
      </c>
      <c r="E2656" s="116">
        <v>3585</v>
      </c>
      <c r="F2656" s="116">
        <v>3532.1</v>
      </c>
      <c r="G2656">
        <v>10876</v>
      </c>
      <c r="H2656" s="116"/>
      <c r="I2656" s="116"/>
      <c r="L2656" s="170">
        <v>45915</v>
      </c>
      <c r="M2656" s="116">
        <v>3531.6</v>
      </c>
      <c r="N2656" s="116">
        <v>3594.9</v>
      </c>
      <c r="O2656" s="116">
        <v>3512.2</v>
      </c>
      <c r="P2656" s="116">
        <v>3590</v>
      </c>
      <c r="Q2656" s="116">
        <v>3531.6</v>
      </c>
      <c r="R2656">
        <v>158714</v>
      </c>
    </row>
    <row r="2657" spans="1:18" x14ac:dyDescent="0.25">
      <c r="A2657" s="170">
        <v>45916</v>
      </c>
      <c r="B2657" s="116">
        <v>3557.95</v>
      </c>
      <c r="C2657" s="116">
        <v>3533.55</v>
      </c>
      <c r="D2657" s="116">
        <v>3528</v>
      </c>
      <c r="E2657" s="116">
        <v>3531.2</v>
      </c>
      <c r="F2657" s="116">
        <v>3533.55</v>
      </c>
      <c r="G2657">
        <v>1546</v>
      </c>
      <c r="H2657" s="116"/>
      <c r="I2657" s="116"/>
      <c r="L2657" s="170">
        <v>45916</v>
      </c>
      <c r="M2657" s="116">
        <v>3535.5</v>
      </c>
      <c r="N2657" s="116">
        <v>3557.2</v>
      </c>
      <c r="O2657" s="116">
        <v>3526.1</v>
      </c>
      <c r="P2657" s="116">
        <v>3531.7</v>
      </c>
      <c r="Q2657" s="116">
        <v>3535.5</v>
      </c>
      <c r="R2657">
        <v>109929</v>
      </c>
    </row>
    <row r="2658" spans="1:18" x14ac:dyDescent="0.25">
      <c r="A2658" s="170">
        <v>45917</v>
      </c>
      <c r="B2658" s="116">
        <v>3589.7</v>
      </c>
      <c r="C2658" s="116">
        <v>3543.6</v>
      </c>
      <c r="D2658" s="116">
        <v>3519.85</v>
      </c>
      <c r="E2658" s="116">
        <v>3589.7</v>
      </c>
      <c r="F2658" s="116">
        <v>3543.6</v>
      </c>
      <c r="G2658">
        <v>1527</v>
      </c>
      <c r="H2658" s="116"/>
      <c r="I2658" s="116"/>
      <c r="L2658" s="170">
        <v>45917</v>
      </c>
      <c r="M2658" s="116">
        <v>3548.3</v>
      </c>
      <c r="N2658" s="116">
        <v>3555.8</v>
      </c>
      <c r="O2658" s="116">
        <v>3514.1</v>
      </c>
      <c r="P2658" s="116">
        <v>3543.9</v>
      </c>
      <c r="Q2658" s="116">
        <v>3548.3</v>
      </c>
      <c r="R2658">
        <v>197736</v>
      </c>
    </row>
    <row r="2659" spans="1:18" x14ac:dyDescent="0.25">
      <c r="A2659" s="170">
        <v>45918</v>
      </c>
      <c r="B2659" s="116">
        <v>3572.6</v>
      </c>
      <c r="C2659" s="116">
        <v>3566.85</v>
      </c>
      <c r="D2659" s="116">
        <v>3500.05</v>
      </c>
      <c r="E2659" s="116">
        <v>3500.05</v>
      </c>
      <c r="F2659" s="116">
        <v>3566.85</v>
      </c>
      <c r="G2659">
        <v>50710</v>
      </c>
      <c r="H2659" s="116"/>
      <c r="I2659" s="116"/>
      <c r="L2659" s="170">
        <v>45918</v>
      </c>
      <c r="M2659" s="116">
        <v>3567.4</v>
      </c>
      <c r="N2659" s="116">
        <v>3573.2</v>
      </c>
      <c r="O2659" s="116">
        <v>3537.5</v>
      </c>
      <c r="P2659" s="116">
        <v>3567.8</v>
      </c>
      <c r="Q2659" s="116">
        <v>3567.4</v>
      </c>
      <c r="R2659">
        <v>156756</v>
      </c>
    </row>
    <row r="2660" spans="1:18" x14ac:dyDescent="0.25">
      <c r="A2660" s="170">
        <v>45919</v>
      </c>
      <c r="B2660" s="116">
        <v>3642.5</v>
      </c>
      <c r="C2660" s="116">
        <v>3631.25</v>
      </c>
      <c r="D2660" s="116">
        <v>3573.6</v>
      </c>
      <c r="E2660" s="116">
        <v>3589.9</v>
      </c>
      <c r="F2660" s="116">
        <v>3631.25</v>
      </c>
      <c r="G2660">
        <v>2541</v>
      </c>
      <c r="H2660" s="116"/>
      <c r="I2660" s="116"/>
      <c r="L2660" s="170">
        <v>45919</v>
      </c>
      <c r="M2660" s="116">
        <v>3629.2</v>
      </c>
      <c r="N2660" s="116">
        <v>3639.9</v>
      </c>
      <c r="O2660" s="116">
        <v>3572.5</v>
      </c>
      <c r="P2660" s="116">
        <v>3586.4</v>
      </c>
      <c r="Q2660" s="116">
        <v>3629.2</v>
      </c>
      <c r="R2660">
        <v>314125</v>
      </c>
    </row>
    <row r="2661" spans="1:18" x14ac:dyDescent="0.25">
      <c r="A2661" s="170">
        <v>45922</v>
      </c>
      <c r="B2661" s="116">
        <v>3665</v>
      </c>
      <c r="C2661" s="116">
        <v>3654.15</v>
      </c>
      <c r="D2661" s="116">
        <v>3621.05</v>
      </c>
      <c r="E2661" s="116">
        <v>3621.05</v>
      </c>
      <c r="F2661" s="116">
        <v>3654.15</v>
      </c>
      <c r="G2661">
        <v>4566</v>
      </c>
      <c r="H2661" s="116"/>
      <c r="I2661" s="116"/>
      <c r="L2661" s="170">
        <v>45922</v>
      </c>
      <c r="M2661" s="116">
        <v>3655.9</v>
      </c>
      <c r="N2661" s="116">
        <v>3675</v>
      </c>
      <c r="O2661" s="116">
        <v>3613.8</v>
      </c>
      <c r="P2661" s="116">
        <v>3629.1</v>
      </c>
      <c r="Q2661" s="116">
        <v>3655.9</v>
      </c>
      <c r="R2661">
        <v>440659</v>
      </c>
    </row>
    <row r="2662" spans="1:18" x14ac:dyDescent="0.25">
      <c r="A2662" s="170">
        <v>45923</v>
      </c>
      <c r="B2662" s="116">
        <v>3689.95</v>
      </c>
      <c r="C2662" s="116">
        <v>3653.2</v>
      </c>
      <c r="D2662" s="116">
        <v>3642.95</v>
      </c>
      <c r="E2662" s="116">
        <v>3689.95</v>
      </c>
      <c r="F2662" s="116">
        <v>3653.2</v>
      </c>
      <c r="G2662">
        <v>4977</v>
      </c>
      <c r="H2662" s="116"/>
      <c r="I2662" s="116"/>
      <c r="L2662" s="170">
        <v>45923</v>
      </c>
      <c r="M2662" s="116">
        <v>3651.5</v>
      </c>
      <c r="N2662" s="116">
        <v>3689.2</v>
      </c>
      <c r="O2662" s="116">
        <v>3640.5</v>
      </c>
      <c r="P2662" s="116">
        <v>3678.8</v>
      </c>
      <c r="Q2662" s="116">
        <v>3651.5</v>
      </c>
      <c r="R2662">
        <v>421379</v>
      </c>
    </row>
    <row r="2663" spans="1:18" x14ac:dyDescent="0.25">
      <c r="A2663" s="170">
        <v>45924</v>
      </c>
      <c r="B2663" s="116">
        <v>3678.65</v>
      </c>
      <c r="C2663" s="116">
        <v>3614.95</v>
      </c>
      <c r="D2663" s="116">
        <v>3604.55</v>
      </c>
      <c r="E2663" s="116">
        <v>3646.25</v>
      </c>
      <c r="F2663" s="116">
        <v>3614.95</v>
      </c>
      <c r="G2663">
        <v>2381</v>
      </c>
      <c r="H2663" s="116"/>
      <c r="I2663" s="116"/>
      <c r="L2663" s="170">
        <v>45924</v>
      </c>
      <c r="M2663" s="116">
        <v>3614.6</v>
      </c>
      <c r="N2663" s="116">
        <v>3680</v>
      </c>
      <c r="O2663" s="116">
        <v>3606.2</v>
      </c>
      <c r="P2663" s="116">
        <v>3670</v>
      </c>
      <c r="Q2663" s="116">
        <v>3614.6</v>
      </c>
      <c r="R2663">
        <v>135283</v>
      </c>
    </row>
    <row r="2664" spans="1:18" x14ac:dyDescent="0.25">
      <c r="A2664" s="170">
        <v>45925</v>
      </c>
      <c r="B2664" s="116">
        <v>3645.85</v>
      </c>
      <c r="C2664" s="116">
        <v>3532.65</v>
      </c>
      <c r="D2664" s="116">
        <v>3523.65</v>
      </c>
      <c r="E2664" s="116">
        <v>3614.95</v>
      </c>
      <c r="F2664" s="116">
        <v>3532.65</v>
      </c>
      <c r="G2664">
        <v>4165</v>
      </c>
      <c r="H2664" s="116"/>
      <c r="I2664" s="116"/>
      <c r="L2664" s="170">
        <v>45925</v>
      </c>
      <c r="M2664" s="116">
        <v>3531.6</v>
      </c>
      <c r="N2664" s="116">
        <v>3645.9</v>
      </c>
      <c r="O2664" s="116">
        <v>3523</v>
      </c>
      <c r="P2664" s="116">
        <v>3616.6</v>
      </c>
      <c r="Q2664" s="116">
        <v>3531.6</v>
      </c>
      <c r="R2664">
        <v>208134</v>
      </c>
    </row>
    <row r="2665" spans="1:18" x14ac:dyDescent="0.25">
      <c r="A2665" s="170">
        <v>45926</v>
      </c>
      <c r="B2665" s="116">
        <v>3630.45</v>
      </c>
      <c r="C2665" s="116">
        <v>3563.5</v>
      </c>
      <c r="D2665" s="116">
        <v>3480.65</v>
      </c>
      <c r="E2665" s="116">
        <v>3480.65</v>
      </c>
      <c r="F2665" s="116">
        <v>3563.5</v>
      </c>
      <c r="G2665">
        <v>9453</v>
      </c>
      <c r="H2665" s="116"/>
      <c r="I2665" s="116"/>
      <c r="L2665" s="170">
        <v>45926</v>
      </c>
      <c r="M2665" s="116">
        <v>3561</v>
      </c>
      <c r="N2665" s="116">
        <v>3640</v>
      </c>
      <c r="O2665" s="116">
        <v>3483.1</v>
      </c>
      <c r="P2665" s="116">
        <v>3510</v>
      </c>
      <c r="Q2665" s="116">
        <v>3561</v>
      </c>
      <c r="R2665">
        <v>717472</v>
      </c>
    </row>
    <row r="2666" spans="1:18" x14ac:dyDescent="0.25">
      <c r="A2666" s="170">
        <v>45929</v>
      </c>
      <c r="B2666" s="116">
        <v>3603.6</v>
      </c>
      <c r="C2666" s="116">
        <v>3585.2</v>
      </c>
      <c r="D2666" s="116">
        <v>3550.2</v>
      </c>
      <c r="E2666" s="116">
        <v>3550.2</v>
      </c>
      <c r="F2666" s="116">
        <v>3585.2</v>
      </c>
      <c r="G2666">
        <v>63588</v>
      </c>
      <c r="H2666" s="116"/>
      <c r="I2666" s="116"/>
      <c r="L2666" s="170">
        <v>45929</v>
      </c>
      <c r="M2666" s="116">
        <v>3586.6</v>
      </c>
      <c r="N2666" s="116">
        <v>3607.4</v>
      </c>
      <c r="O2666" s="116">
        <v>3541</v>
      </c>
      <c r="P2666" s="116">
        <v>3562.8</v>
      </c>
      <c r="Q2666" s="116">
        <v>3586.6</v>
      </c>
      <c r="R2666">
        <v>249211</v>
      </c>
    </row>
    <row r="2667" spans="1:18" x14ac:dyDescent="0.25">
      <c r="A2667" s="170">
        <v>45930</v>
      </c>
      <c r="B2667" s="116">
        <v>3628.6</v>
      </c>
      <c r="C2667" s="116">
        <v>3600.65</v>
      </c>
      <c r="D2667" s="116">
        <v>3538.1</v>
      </c>
      <c r="E2667" s="116">
        <v>3590.75</v>
      </c>
      <c r="F2667" s="116">
        <v>3600.65</v>
      </c>
      <c r="G2667">
        <v>1343</v>
      </c>
      <c r="H2667" s="116"/>
      <c r="I2667" s="116"/>
      <c r="L2667" s="170">
        <v>45930</v>
      </c>
      <c r="M2667" s="116">
        <v>3603.2</v>
      </c>
      <c r="N2667" s="116">
        <v>3636</v>
      </c>
      <c r="O2667" s="116">
        <v>3537.8</v>
      </c>
      <c r="P2667" s="116">
        <v>3599</v>
      </c>
      <c r="Q2667" s="116">
        <v>3603.2</v>
      </c>
      <c r="R2667">
        <v>627648</v>
      </c>
    </row>
    <row r="2668" spans="1:18" x14ac:dyDescent="0.25">
      <c r="A2668" s="170">
        <v>45931</v>
      </c>
      <c r="B2668" s="116">
        <v>3626.35</v>
      </c>
      <c r="C2668" s="116">
        <v>3563.15</v>
      </c>
      <c r="D2668" s="116">
        <v>3531.15</v>
      </c>
      <c r="E2668" s="116">
        <v>3531.15</v>
      </c>
      <c r="F2668" s="116">
        <v>3563.15</v>
      </c>
      <c r="G2668">
        <v>1426</v>
      </c>
      <c r="H2668" s="116"/>
      <c r="I2668" s="116"/>
      <c r="L2668" s="170">
        <v>45931</v>
      </c>
      <c r="M2668" s="116">
        <v>3567.1</v>
      </c>
      <c r="N2668" s="116">
        <v>3637.6</v>
      </c>
      <c r="O2668" s="116">
        <v>3556</v>
      </c>
      <c r="P2668" s="116">
        <v>3603.1</v>
      </c>
      <c r="Q2668" s="116">
        <v>3567.1</v>
      </c>
      <c r="R2668">
        <v>300599</v>
      </c>
    </row>
    <row r="2669" spans="1:18" x14ac:dyDescent="0.25">
      <c r="A2669" s="170">
        <v>45933</v>
      </c>
      <c r="B2669" s="116">
        <v>3554.1</v>
      </c>
      <c r="C2669" s="116">
        <v>3513.95</v>
      </c>
      <c r="D2669" s="116">
        <v>3495.95</v>
      </c>
      <c r="E2669" s="116">
        <v>3495.95</v>
      </c>
      <c r="F2669" s="116">
        <v>3513.95</v>
      </c>
      <c r="G2669">
        <v>2113</v>
      </c>
      <c r="H2669" s="116"/>
      <c r="I2669" s="116"/>
      <c r="L2669" s="170">
        <v>45933</v>
      </c>
      <c r="M2669" s="116">
        <v>3514.7</v>
      </c>
      <c r="N2669" s="116">
        <v>3566.9</v>
      </c>
      <c r="O2669" s="116">
        <v>3504</v>
      </c>
      <c r="P2669" s="116">
        <v>3552</v>
      </c>
      <c r="Q2669" s="116">
        <v>3514.7</v>
      </c>
      <c r="R2669">
        <v>382209</v>
      </c>
    </row>
    <row r="2670" spans="1:18" x14ac:dyDescent="0.25">
      <c r="A2670" s="170">
        <v>45936</v>
      </c>
      <c r="B2670" s="116">
        <v>3530.1</v>
      </c>
      <c r="C2670" s="116">
        <v>3525.25</v>
      </c>
      <c r="D2670" s="116">
        <v>3482.45</v>
      </c>
      <c r="E2670" s="116">
        <v>3513.95</v>
      </c>
      <c r="F2670" s="116">
        <v>3525.25</v>
      </c>
      <c r="G2670">
        <v>1830</v>
      </c>
      <c r="H2670" s="116"/>
      <c r="I2670" s="116"/>
      <c r="L2670" s="170">
        <v>45936</v>
      </c>
      <c r="M2670" s="116">
        <v>3526</v>
      </c>
      <c r="N2670" s="116">
        <v>3531.5</v>
      </c>
      <c r="O2670" s="116">
        <v>3481</v>
      </c>
      <c r="P2670" s="116">
        <v>3514.7</v>
      </c>
      <c r="Q2670" s="116">
        <v>3526</v>
      </c>
      <c r="R2670">
        <v>376282</v>
      </c>
    </row>
    <row r="2671" spans="1:18" x14ac:dyDescent="0.25">
      <c r="A2671" s="170">
        <v>45937</v>
      </c>
      <c r="B2671" s="116">
        <v>3552.85</v>
      </c>
      <c r="C2671" s="116">
        <v>3543.1</v>
      </c>
      <c r="D2671" s="116">
        <v>3490</v>
      </c>
      <c r="E2671" s="116">
        <v>3518.4</v>
      </c>
      <c r="F2671" s="116">
        <v>3543.1</v>
      </c>
      <c r="G2671">
        <v>1630</v>
      </c>
      <c r="H2671" s="116"/>
      <c r="I2671" s="116"/>
      <c r="L2671" s="170">
        <v>45937</v>
      </c>
      <c r="M2671" s="116">
        <v>3536.9</v>
      </c>
      <c r="N2671" s="116">
        <v>3555</v>
      </c>
      <c r="O2671" s="116">
        <v>3488</v>
      </c>
      <c r="P2671" s="116">
        <v>3540.8</v>
      </c>
      <c r="Q2671" s="116">
        <v>3536.9</v>
      </c>
      <c r="R2671">
        <v>443942</v>
      </c>
    </row>
    <row r="2672" spans="1:18" x14ac:dyDescent="0.25">
      <c r="A2672" s="170">
        <v>45938</v>
      </c>
      <c r="B2672" s="116">
        <v>3584.65</v>
      </c>
      <c r="C2672" s="116">
        <v>3567</v>
      </c>
      <c r="D2672" s="116">
        <v>3513.65</v>
      </c>
      <c r="E2672" s="116">
        <v>3528.05</v>
      </c>
      <c r="F2672" s="116">
        <v>3567</v>
      </c>
      <c r="G2672">
        <v>2694</v>
      </c>
      <c r="H2672" s="116"/>
      <c r="I2672" s="116"/>
      <c r="L2672" s="170">
        <v>45938</v>
      </c>
      <c r="M2672" s="116">
        <v>3569</v>
      </c>
      <c r="N2672" s="116">
        <v>3582.7</v>
      </c>
      <c r="O2672" s="116">
        <v>3514.1</v>
      </c>
      <c r="P2672" s="116">
        <v>3537</v>
      </c>
      <c r="Q2672" s="116">
        <v>3569</v>
      </c>
      <c r="R2672">
        <v>287936</v>
      </c>
    </row>
    <row r="2673" spans="1:18" x14ac:dyDescent="0.25">
      <c r="A2673" s="170">
        <v>45939</v>
      </c>
      <c r="B2673" s="116">
        <v>3588.95</v>
      </c>
      <c r="C2673" s="116">
        <v>3549.1</v>
      </c>
      <c r="D2673" s="116">
        <v>3535.35</v>
      </c>
      <c r="E2673" s="116">
        <v>3578.05</v>
      </c>
      <c r="F2673" s="116">
        <v>3549.1</v>
      </c>
      <c r="G2673">
        <v>2028</v>
      </c>
      <c r="H2673" s="116"/>
      <c r="I2673" s="116"/>
      <c r="L2673" s="170">
        <v>45939</v>
      </c>
      <c r="M2673" s="116">
        <v>3550.5</v>
      </c>
      <c r="N2673" s="116">
        <v>3594.9</v>
      </c>
      <c r="O2673" s="116">
        <v>3535</v>
      </c>
      <c r="P2673" s="116">
        <v>3580</v>
      </c>
      <c r="Q2673" s="116">
        <v>3550.5</v>
      </c>
      <c r="R2673">
        <v>203645</v>
      </c>
    </row>
    <row r="2674" spans="1:18" x14ac:dyDescent="0.25">
      <c r="A2674" s="170">
        <v>45940</v>
      </c>
      <c r="B2674" s="116">
        <v>3598.95</v>
      </c>
      <c r="C2674" s="116">
        <v>3537.1</v>
      </c>
      <c r="D2674" s="116">
        <v>3521.75</v>
      </c>
      <c r="E2674" s="116">
        <v>3598.95</v>
      </c>
      <c r="F2674" s="116">
        <v>3537.1</v>
      </c>
      <c r="G2674">
        <v>2753</v>
      </c>
      <c r="H2674" s="116"/>
      <c r="I2674" s="116"/>
      <c r="L2674" s="170">
        <v>45940</v>
      </c>
      <c r="M2674" s="116">
        <v>3532.8</v>
      </c>
      <c r="N2674" s="116">
        <v>3583.1</v>
      </c>
      <c r="O2674" s="116">
        <v>3522.1</v>
      </c>
      <c r="P2674" s="116">
        <v>3550.5</v>
      </c>
      <c r="Q2674" s="116">
        <v>3532.8</v>
      </c>
      <c r="R2674">
        <v>179322</v>
      </c>
    </row>
    <row r="2675" spans="1:18" x14ac:dyDescent="0.25">
      <c r="A2675" s="170">
        <v>45943</v>
      </c>
      <c r="B2675" s="116">
        <v>3550.7</v>
      </c>
      <c r="C2675" s="116">
        <v>3519.8</v>
      </c>
      <c r="D2675" s="116">
        <v>3508.7</v>
      </c>
      <c r="E2675" s="116">
        <v>3508.7</v>
      </c>
      <c r="F2675" s="116">
        <v>3519.8</v>
      </c>
      <c r="G2675">
        <v>1658</v>
      </c>
      <c r="H2675" s="116"/>
      <c r="I2675" s="116"/>
      <c r="L2675" s="170">
        <v>45943</v>
      </c>
      <c r="M2675" s="116">
        <v>3518.2</v>
      </c>
      <c r="N2675" s="116">
        <v>3553</v>
      </c>
      <c r="O2675" s="116">
        <v>3510.1</v>
      </c>
      <c r="P2675" s="116">
        <v>3515</v>
      </c>
      <c r="Q2675" s="116">
        <v>3518.2</v>
      </c>
      <c r="R2675">
        <v>90713</v>
      </c>
    </row>
    <row r="2676" spans="1:18" x14ac:dyDescent="0.25">
      <c r="A2676" s="170">
        <v>45944</v>
      </c>
      <c r="B2676" s="116">
        <v>3525.3</v>
      </c>
      <c r="C2676" s="116">
        <v>3519.2</v>
      </c>
      <c r="D2676" s="116">
        <v>3480</v>
      </c>
      <c r="E2676" s="116">
        <v>3502.05</v>
      </c>
      <c r="F2676" s="116">
        <v>3519.2</v>
      </c>
      <c r="G2676">
        <v>2381</v>
      </c>
      <c r="H2676" s="116"/>
      <c r="I2676" s="116"/>
      <c r="L2676" s="170">
        <v>45944</v>
      </c>
      <c r="M2676" s="116">
        <v>3522</v>
      </c>
      <c r="N2676" s="116">
        <v>3536.9</v>
      </c>
      <c r="O2676" s="116">
        <v>3480.6</v>
      </c>
      <c r="P2676" s="116">
        <v>3520</v>
      </c>
      <c r="Q2676" s="116">
        <v>3522</v>
      </c>
      <c r="R2676">
        <v>250391</v>
      </c>
    </row>
    <row r="2677" spans="1:18" x14ac:dyDescent="0.25">
      <c r="A2677" s="170">
        <v>45945</v>
      </c>
      <c r="B2677" s="116">
        <v>3557.05</v>
      </c>
      <c r="C2677" s="116">
        <v>3532.25</v>
      </c>
      <c r="D2677" s="116">
        <v>3483.05</v>
      </c>
      <c r="E2677" s="116">
        <v>3483.05</v>
      </c>
      <c r="F2677" s="116">
        <v>3532.25</v>
      </c>
      <c r="G2677">
        <v>2608</v>
      </c>
      <c r="H2677" s="116"/>
      <c r="I2677" s="116"/>
      <c r="L2677" s="170">
        <v>45945</v>
      </c>
      <c r="M2677" s="116">
        <v>3532.8</v>
      </c>
      <c r="N2677" s="116">
        <v>3559.1</v>
      </c>
      <c r="O2677" s="116">
        <v>3494</v>
      </c>
      <c r="P2677" s="116">
        <v>3520.3</v>
      </c>
      <c r="Q2677" s="116">
        <v>3532.8</v>
      </c>
      <c r="R2677">
        <v>131171</v>
      </c>
    </row>
    <row r="2678" spans="1:18" x14ac:dyDescent="0.25">
      <c r="A2678" s="170">
        <v>45946</v>
      </c>
      <c r="B2678" s="116">
        <v>3546.6</v>
      </c>
      <c r="C2678" s="116">
        <v>3533.4</v>
      </c>
      <c r="D2678" s="116">
        <v>3520.1</v>
      </c>
      <c r="E2678" s="116">
        <v>3532.3</v>
      </c>
      <c r="F2678" s="116">
        <v>3533.4</v>
      </c>
      <c r="G2678">
        <v>1237</v>
      </c>
      <c r="H2678" s="116"/>
      <c r="I2678" s="116"/>
      <c r="L2678" s="170">
        <v>45946</v>
      </c>
      <c r="M2678" s="116">
        <v>3533.8</v>
      </c>
      <c r="N2678" s="116">
        <v>3549.1</v>
      </c>
      <c r="O2678" s="116">
        <v>3520.9</v>
      </c>
      <c r="P2678" s="116">
        <v>3535</v>
      </c>
      <c r="Q2678" s="116">
        <v>3533.8</v>
      </c>
      <c r="R2678">
        <v>207979</v>
      </c>
    </row>
    <row r="2679" spans="1:18" x14ac:dyDescent="0.25">
      <c r="A2679" s="170">
        <v>45947</v>
      </c>
      <c r="B2679" s="116">
        <v>3602</v>
      </c>
      <c r="C2679" s="116">
        <v>3578.85</v>
      </c>
      <c r="D2679" s="116">
        <v>3511</v>
      </c>
      <c r="E2679" s="116">
        <v>3533.4</v>
      </c>
      <c r="F2679" s="116">
        <v>3578.85</v>
      </c>
      <c r="G2679">
        <v>1356</v>
      </c>
      <c r="H2679" s="116"/>
      <c r="I2679" s="116"/>
      <c r="L2679" s="170">
        <v>45947</v>
      </c>
      <c r="M2679" s="116">
        <v>3584.3</v>
      </c>
      <c r="N2679" s="116">
        <v>3603.5</v>
      </c>
      <c r="O2679" s="116">
        <v>3505.5</v>
      </c>
      <c r="P2679" s="116">
        <v>3533.8</v>
      </c>
      <c r="Q2679" s="116">
        <v>3584.3</v>
      </c>
      <c r="R2679">
        <v>171465</v>
      </c>
    </row>
    <row r="2680" spans="1:18" x14ac:dyDescent="0.25">
      <c r="A2680" s="170">
        <v>45950</v>
      </c>
      <c r="B2680" s="116">
        <v>3601.7</v>
      </c>
      <c r="C2680" s="116">
        <v>3570.4</v>
      </c>
      <c r="D2680" s="116">
        <v>3562</v>
      </c>
      <c r="E2680" s="116">
        <v>3578.95</v>
      </c>
      <c r="F2680" s="116">
        <v>3570.4</v>
      </c>
      <c r="G2680">
        <v>866</v>
      </c>
      <c r="H2680" s="116"/>
      <c r="I2680" s="116"/>
      <c r="L2680" s="170">
        <v>45950</v>
      </c>
      <c r="M2680" s="116">
        <v>3570.4</v>
      </c>
      <c r="N2680" s="116">
        <v>3602.2</v>
      </c>
      <c r="O2680" s="116">
        <v>3561</v>
      </c>
      <c r="P2680" s="116">
        <v>3584.9</v>
      </c>
      <c r="Q2680" s="116">
        <v>3570.4</v>
      </c>
      <c r="R2680">
        <v>161648</v>
      </c>
    </row>
    <row r="2681" spans="1:18" x14ac:dyDescent="0.25">
      <c r="A2681" s="170">
        <v>45951</v>
      </c>
      <c r="B2681" s="116">
        <v>3600.85</v>
      </c>
      <c r="C2681" s="116">
        <v>3590.15</v>
      </c>
      <c r="D2681" s="116">
        <v>3558.05</v>
      </c>
      <c r="E2681" s="116">
        <v>3580</v>
      </c>
      <c r="F2681" s="116">
        <v>3590.15</v>
      </c>
      <c r="G2681">
        <v>1601</v>
      </c>
      <c r="H2681" s="116"/>
      <c r="I2681" s="116"/>
      <c r="L2681" s="170">
        <v>45951</v>
      </c>
      <c r="M2681" s="116">
        <v>3590.9</v>
      </c>
      <c r="N2681" s="116">
        <v>3685.6</v>
      </c>
      <c r="O2681" s="116">
        <v>3561</v>
      </c>
      <c r="P2681" s="116">
        <v>3571</v>
      </c>
      <c r="Q2681" s="116">
        <v>3590.9</v>
      </c>
      <c r="R2681">
        <v>20403</v>
      </c>
    </row>
    <row r="2682" spans="1:18" x14ac:dyDescent="0.25">
      <c r="A2682" s="170">
        <v>45953</v>
      </c>
      <c r="B2682" s="116">
        <v>3627.7</v>
      </c>
      <c r="C2682" s="116">
        <v>3617.35</v>
      </c>
      <c r="D2682" s="116">
        <v>3566</v>
      </c>
      <c r="E2682" s="116">
        <v>3590.9</v>
      </c>
      <c r="F2682" s="116">
        <v>3617.35</v>
      </c>
      <c r="G2682">
        <v>1854</v>
      </c>
      <c r="H2682" s="116"/>
      <c r="I2682" s="116"/>
      <c r="L2682" s="170">
        <v>45953</v>
      </c>
      <c r="M2682" s="116">
        <v>3614.1</v>
      </c>
      <c r="N2682" s="116">
        <v>3628.5</v>
      </c>
      <c r="O2682" s="116">
        <v>3565</v>
      </c>
      <c r="P2682" s="116">
        <v>3572</v>
      </c>
      <c r="Q2682" s="116">
        <v>3614.1</v>
      </c>
      <c r="R2682">
        <v>240712</v>
      </c>
    </row>
    <row r="2683" spans="1:18" x14ac:dyDescent="0.25">
      <c r="A2683" s="170">
        <v>45954</v>
      </c>
      <c r="B2683" s="116">
        <v>3644.75</v>
      </c>
      <c r="C2683" s="116">
        <v>3578.35</v>
      </c>
      <c r="D2683" s="116">
        <v>3563.7</v>
      </c>
      <c r="E2683" s="116">
        <v>3644.75</v>
      </c>
      <c r="F2683" s="116">
        <v>3578.35</v>
      </c>
      <c r="G2683">
        <v>2355</v>
      </c>
      <c r="H2683" s="116"/>
      <c r="I2683" s="116"/>
      <c r="L2683" s="170">
        <v>45954</v>
      </c>
      <c r="M2683" s="116">
        <v>3581.4</v>
      </c>
      <c r="N2683" s="116">
        <v>3634.6</v>
      </c>
      <c r="O2683" s="116">
        <v>3560.6</v>
      </c>
      <c r="P2683" s="116">
        <v>3634.6</v>
      </c>
      <c r="Q2683" s="116">
        <v>3581.4</v>
      </c>
      <c r="R2683">
        <v>95321</v>
      </c>
    </row>
    <row r="2684" spans="1:18" x14ac:dyDescent="0.25">
      <c r="A2684" s="170">
        <v>45957</v>
      </c>
      <c r="B2684" s="116">
        <v>3605.05</v>
      </c>
      <c r="C2684" s="116">
        <v>3595.6</v>
      </c>
      <c r="D2684" s="116">
        <v>3574.05</v>
      </c>
      <c r="E2684" s="116">
        <v>3584</v>
      </c>
      <c r="F2684" s="116">
        <v>3595.6</v>
      </c>
      <c r="G2684">
        <v>1429</v>
      </c>
      <c r="H2684" s="116"/>
      <c r="I2684" s="116"/>
      <c r="L2684" s="170">
        <v>45957</v>
      </c>
      <c r="M2684" s="116">
        <v>3596.4</v>
      </c>
      <c r="N2684" s="116">
        <v>3605.2</v>
      </c>
      <c r="O2684" s="116">
        <v>3575</v>
      </c>
      <c r="P2684" s="116">
        <v>3584</v>
      </c>
      <c r="Q2684" s="116">
        <v>3596.4</v>
      </c>
      <c r="R2684">
        <v>118007</v>
      </c>
    </row>
    <row r="2685" spans="1:18" x14ac:dyDescent="0.25">
      <c r="A2685" s="170">
        <v>45958</v>
      </c>
      <c r="B2685" s="116">
        <v>3599.05</v>
      </c>
      <c r="C2685" s="116">
        <v>3578.1</v>
      </c>
      <c r="D2685" s="116">
        <v>3553.95</v>
      </c>
      <c r="E2685" s="116">
        <v>3566.5</v>
      </c>
      <c r="F2685" s="116">
        <v>3578.1</v>
      </c>
      <c r="G2685">
        <v>1899</v>
      </c>
      <c r="H2685" s="116"/>
      <c r="I2685" s="116"/>
      <c r="L2685" s="170">
        <v>45958</v>
      </c>
      <c r="M2685" s="116">
        <v>3576.5</v>
      </c>
      <c r="N2685" s="116">
        <v>3602.5</v>
      </c>
      <c r="O2685" s="116">
        <v>3552.9</v>
      </c>
      <c r="P2685" s="116">
        <v>3599.8</v>
      </c>
      <c r="Q2685" s="116">
        <v>3576.5</v>
      </c>
      <c r="R2685">
        <v>134453</v>
      </c>
    </row>
    <row r="2686" spans="1:18" x14ac:dyDescent="0.25">
      <c r="A2686" s="170">
        <v>45959</v>
      </c>
      <c r="B2686" s="116">
        <v>3607.8</v>
      </c>
      <c r="C2686" s="116">
        <v>3600</v>
      </c>
      <c r="D2686" s="116">
        <v>3550.55</v>
      </c>
      <c r="E2686" s="116">
        <v>3550.55</v>
      </c>
      <c r="F2686" s="116">
        <v>3600</v>
      </c>
      <c r="G2686">
        <v>3197</v>
      </c>
      <c r="H2686" s="116"/>
      <c r="I2686" s="116"/>
      <c r="L2686" s="170">
        <v>45959</v>
      </c>
      <c r="M2686" s="116">
        <v>3599.3</v>
      </c>
      <c r="N2686" s="116">
        <v>3609.3</v>
      </c>
      <c r="O2686" s="116">
        <v>3567.9</v>
      </c>
      <c r="P2686" s="116">
        <v>3574.7</v>
      </c>
      <c r="Q2686" s="116">
        <v>3599.3</v>
      </c>
      <c r="R2686">
        <v>96326</v>
      </c>
    </row>
    <row r="2687" spans="1:18" x14ac:dyDescent="0.25">
      <c r="A2687" s="170">
        <v>45960</v>
      </c>
      <c r="B2687" s="116">
        <v>3612</v>
      </c>
      <c r="C2687" s="116">
        <v>3600.9</v>
      </c>
      <c r="D2687" s="116">
        <v>3554.85</v>
      </c>
      <c r="E2687" s="116">
        <v>3560.05</v>
      </c>
      <c r="F2687" s="116">
        <v>3600.9</v>
      </c>
      <c r="G2687">
        <v>1963</v>
      </c>
      <c r="H2687" s="116"/>
      <c r="I2687" s="116"/>
      <c r="L2687" s="170">
        <v>45960</v>
      </c>
      <c r="M2687" s="116">
        <v>3602.4</v>
      </c>
      <c r="N2687" s="116">
        <v>3612</v>
      </c>
      <c r="O2687" s="116">
        <v>3554.5</v>
      </c>
      <c r="P2687" s="116">
        <v>3603.9</v>
      </c>
      <c r="Q2687" s="116">
        <v>3602.4</v>
      </c>
      <c r="R2687">
        <v>131170</v>
      </c>
    </row>
    <row r="2688" spans="1:18" x14ac:dyDescent="0.25">
      <c r="A2688" s="170">
        <v>45961</v>
      </c>
      <c r="B2688" s="116">
        <v>3623.6</v>
      </c>
      <c r="C2688" s="116">
        <v>3559.1</v>
      </c>
      <c r="D2688" s="116">
        <v>3544.4</v>
      </c>
      <c r="E2688" s="116">
        <v>3607.65</v>
      </c>
      <c r="F2688" s="116">
        <v>3559.1</v>
      </c>
      <c r="G2688">
        <v>2310</v>
      </c>
      <c r="H2688" s="116"/>
      <c r="I2688" s="116"/>
      <c r="L2688" s="170">
        <v>45961</v>
      </c>
      <c r="M2688" s="116">
        <v>3560.1</v>
      </c>
      <c r="N2688" s="116">
        <v>3623.7</v>
      </c>
      <c r="O2688" s="116">
        <v>3544.1</v>
      </c>
      <c r="P2688" s="116">
        <v>3605.1</v>
      </c>
      <c r="Q2688" s="116">
        <v>3560.1</v>
      </c>
      <c r="R2688">
        <v>354024</v>
      </c>
    </row>
    <row r="2689" spans="1:18" x14ac:dyDescent="0.25">
      <c r="A2689" s="170">
        <v>45964</v>
      </c>
      <c r="B2689" s="116">
        <v>3640.35</v>
      </c>
      <c r="C2689" s="116">
        <v>3628.15</v>
      </c>
      <c r="D2689" s="116">
        <v>3559.5</v>
      </c>
      <c r="E2689" s="116">
        <v>3559.5</v>
      </c>
      <c r="F2689" s="116">
        <v>3628.15</v>
      </c>
      <c r="G2689">
        <v>1720</v>
      </c>
      <c r="H2689" s="116"/>
      <c r="I2689" s="116"/>
      <c r="L2689" s="170">
        <v>45964</v>
      </c>
      <c r="M2689" s="116">
        <v>3628.3</v>
      </c>
      <c r="N2689" s="116">
        <v>3641</v>
      </c>
      <c r="O2689" s="116">
        <v>3560.1</v>
      </c>
      <c r="P2689" s="116">
        <v>3560.1</v>
      </c>
      <c r="Q2689" s="116">
        <v>3628.3</v>
      </c>
      <c r="R2689">
        <v>160187</v>
      </c>
    </row>
    <row r="2690" spans="1:18" x14ac:dyDescent="0.25">
      <c r="A2690" s="170">
        <v>45965</v>
      </c>
      <c r="B2690" s="116">
        <v>3640</v>
      </c>
      <c r="C2690" s="116">
        <v>3576.85</v>
      </c>
      <c r="D2690" s="116">
        <v>3565</v>
      </c>
      <c r="E2690" s="116">
        <v>3640</v>
      </c>
      <c r="F2690" s="116">
        <v>3576.85</v>
      </c>
      <c r="G2690">
        <v>93406</v>
      </c>
      <c r="H2690" s="116"/>
      <c r="I2690" s="116"/>
      <c r="L2690" s="170">
        <v>45965</v>
      </c>
      <c r="M2690" s="116">
        <v>3575</v>
      </c>
      <c r="N2690" s="116">
        <v>3647</v>
      </c>
      <c r="O2690" s="116">
        <v>3562.5</v>
      </c>
      <c r="P2690" s="116">
        <v>3647</v>
      </c>
      <c r="Q2690" s="116">
        <v>3575</v>
      </c>
      <c r="R2690">
        <v>195438</v>
      </c>
    </row>
    <row r="2691" spans="1:18" x14ac:dyDescent="0.25">
      <c r="A2691" s="170">
        <v>45967</v>
      </c>
      <c r="B2691" s="116">
        <v>3578</v>
      </c>
      <c r="C2691" s="116">
        <v>3554.5</v>
      </c>
      <c r="D2691" s="116">
        <v>3532.85</v>
      </c>
      <c r="E2691" s="116">
        <v>3548.35</v>
      </c>
      <c r="F2691" s="116">
        <v>3554.5</v>
      </c>
      <c r="G2691">
        <v>1615</v>
      </c>
      <c r="H2691" s="116"/>
      <c r="I2691" s="116"/>
      <c r="L2691" s="170">
        <v>45967</v>
      </c>
      <c r="M2691" s="116">
        <v>3553.4</v>
      </c>
      <c r="N2691" s="116">
        <v>3593.8</v>
      </c>
      <c r="O2691" s="116">
        <v>3532.6</v>
      </c>
      <c r="P2691" s="116">
        <v>3574.4</v>
      </c>
      <c r="Q2691" s="116">
        <v>3553.4</v>
      </c>
      <c r="R2691">
        <v>173609</v>
      </c>
    </row>
    <row r="2692" spans="1:18" x14ac:dyDescent="0.25">
      <c r="A2692" s="170">
        <v>45968</v>
      </c>
      <c r="B2692" s="116">
        <v>3593.35</v>
      </c>
      <c r="C2692" s="116">
        <v>3579.5</v>
      </c>
      <c r="D2692" s="116">
        <v>3544.15</v>
      </c>
      <c r="E2692" s="116">
        <v>3550.5</v>
      </c>
      <c r="F2692" s="116">
        <v>3579.5</v>
      </c>
      <c r="G2692">
        <v>1879</v>
      </c>
      <c r="H2692" s="116"/>
      <c r="I2692" s="116"/>
      <c r="L2692" s="170">
        <v>45968</v>
      </c>
      <c r="M2692" s="116">
        <v>3580</v>
      </c>
      <c r="N2692" s="116">
        <v>3592</v>
      </c>
      <c r="O2692" s="116">
        <v>3543.3</v>
      </c>
      <c r="P2692" s="116">
        <v>3553.4</v>
      </c>
      <c r="Q2692" s="116">
        <v>3580</v>
      </c>
      <c r="R2692">
        <v>94430</v>
      </c>
    </row>
    <row r="2693" spans="1:18" x14ac:dyDescent="0.25">
      <c r="A2693" s="170">
        <v>45971</v>
      </c>
      <c r="B2693" s="116">
        <v>3835.15</v>
      </c>
      <c r="C2693" s="116">
        <v>3817.5</v>
      </c>
      <c r="D2693" s="116">
        <v>3632</v>
      </c>
      <c r="E2693" s="116">
        <v>3693.35</v>
      </c>
      <c r="F2693" s="116">
        <v>3817.5</v>
      </c>
      <c r="G2693">
        <v>53941</v>
      </c>
      <c r="H2693" s="116"/>
      <c r="I2693" s="116"/>
      <c r="L2693" s="170">
        <v>45971</v>
      </c>
      <c r="M2693" s="116">
        <v>3817.5</v>
      </c>
      <c r="N2693" s="116">
        <v>3835.1</v>
      </c>
      <c r="O2693" s="116">
        <v>3602</v>
      </c>
      <c r="P2693" s="116">
        <v>3660</v>
      </c>
      <c r="Q2693" s="116">
        <v>3817.5</v>
      </c>
      <c r="R2693">
        <v>1651416</v>
      </c>
    </row>
    <row r="2694" spans="1:18" x14ac:dyDescent="0.25">
      <c r="A2694" s="170">
        <v>45972</v>
      </c>
      <c r="B2694" s="116">
        <v>3880.55</v>
      </c>
      <c r="C2694" s="116">
        <v>3825.6</v>
      </c>
      <c r="D2694" s="116">
        <v>3813.85</v>
      </c>
      <c r="E2694" s="116">
        <v>3817</v>
      </c>
      <c r="F2694" s="116">
        <v>3825.6</v>
      </c>
      <c r="G2694">
        <v>17611</v>
      </c>
      <c r="H2694" s="116"/>
      <c r="I2694" s="116"/>
      <c r="L2694" s="170">
        <v>45972</v>
      </c>
      <c r="M2694" s="116">
        <v>3825.8</v>
      </c>
      <c r="N2694" s="116">
        <v>3882.2</v>
      </c>
      <c r="O2694" s="116">
        <v>3810</v>
      </c>
      <c r="P2694" s="116">
        <v>3817.5</v>
      </c>
      <c r="Q2694" s="116">
        <v>3825.8</v>
      </c>
      <c r="R2694">
        <v>623726</v>
      </c>
    </row>
    <row r="2695" spans="1:18" x14ac:dyDescent="0.25">
      <c r="A2695" s="170">
        <v>45973</v>
      </c>
      <c r="B2695" s="116">
        <v>3850</v>
      </c>
      <c r="C2695" s="116">
        <v>3822.65</v>
      </c>
      <c r="D2695" s="116">
        <v>3788.05</v>
      </c>
      <c r="E2695" s="116">
        <v>3821.25</v>
      </c>
      <c r="F2695" s="116">
        <v>3822.65</v>
      </c>
      <c r="G2695">
        <v>65483</v>
      </c>
      <c r="H2695" s="116"/>
      <c r="I2695" s="116"/>
      <c r="L2695" s="170">
        <v>45973</v>
      </c>
      <c r="M2695" s="116">
        <v>3824.6</v>
      </c>
      <c r="N2695" s="116">
        <v>3863.9</v>
      </c>
      <c r="O2695" s="116">
        <v>3786.5</v>
      </c>
      <c r="P2695" s="116">
        <v>3863.9</v>
      </c>
      <c r="Q2695" s="116">
        <v>3824.6</v>
      </c>
      <c r="R2695">
        <v>403999</v>
      </c>
    </row>
    <row r="2696" spans="1:18" x14ac:dyDescent="0.25">
      <c r="A2696" s="170">
        <v>45974</v>
      </c>
      <c r="B2696" s="116">
        <v>3854.5</v>
      </c>
      <c r="C2696" s="116">
        <v>3825.4</v>
      </c>
      <c r="D2696" s="116">
        <v>3753.15</v>
      </c>
      <c r="E2696" s="116">
        <v>3753.15</v>
      </c>
      <c r="F2696" s="116">
        <v>3825.4</v>
      </c>
      <c r="G2696">
        <v>4431</v>
      </c>
      <c r="H2696" s="116"/>
      <c r="I2696" s="116"/>
      <c r="L2696" s="170">
        <v>45974</v>
      </c>
      <c r="M2696" s="116">
        <v>3826.1</v>
      </c>
      <c r="N2696" s="116">
        <v>3856</v>
      </c>
      <c r="O2696" s="116">
        <v>3800</v>
      </c>
      <c r="P2696" s="116">
        <v>3826</v>
      </c>
      <c r="Q2696" s="116">
        <v>3826.1</v>
      </c>
      <c r="R2696">
        <v>182215</v>
      </c>
    </row>
    <row r="2697" spans="1:18" x14ac:dyDescent="0.25">
      <c r="A2697" s="170">
        <v>45975</v>
      </c>
      <c r="B2697" s="116">
        <v>3871.3</v>
      </c>
      <c r="C2697" s="116">
        <v>3839.7</v>
      </c>
      <c r="D2697" s="116">
        <v>3803.45</v>
      </c>
      <c r="E2697" s="116">
        <v>3864.95</v>
      </c>
      <c r="F2697" s="116">
        <v>3839.7</v>
      </c>
      <c r="G2697">
        <v>5124</v>
      </c>
      <c r="H2697" s="116"/>
      <c r="I2697" s="116"/>
      <c r="L2697" s="170">
        <v>45975</v>
      </c>
      <c r="M2697" s="116">
        <v>3831.8</v>
      </c>
      <c r="N2697" s="116">
        <v>3872.7</v>
      </c>
      <c r="O2697" s="116">
        <v>3803</v>
      </c>
      <c r="P2697" s="116">
        <v>3828.5</v>
      </c>
      <c r="Q2697" s="116">
        <v>3831.8</v>
      </c>
      <c r="R2697">
        <v>559539</v>
      </c>
    </row>
    <row r="2698" spans="1:18" x14ac:dyDescent="0.25">
      <c r="A2698" s="170">
        <v>45978</v>
      </c>
      <c r="B2698" s="116">
        <v>3857.05</v>
      </c>
      <c r="C2698" s="116">
        <v>3816.75</v>
      </c>
      <c r="D2698" s="116">
        <v>3808.95</v>
      </c>
      <c r="E2698" s="116">
        <v>3857.05</v>
      </c>
      <c r="F2698" s="116">
        <v>3816.75</v>
      </c>
      <c r="G2698">
        <v>4849</v>
      </c>
      <c r="H2698" s="116"/>
      <c r="I2698" s="116"/>
      <c r="L2698" s="170">
        <v>45978</v>
      </c>
      <c r="M2698" s="116">
        <v>3819.4</v>
      </c>
      <c r="N2698" s="116">
        <v>3859</v>
      </c>
      <c r="O2698" s="116">
        <v>3807.1</v>
      </c>
      <c r="P2698" s="116">
        <v>3859</v>
      </c>
      <c r="Q2698" s="116">
        <v>3819.4</v>
      </c>
      <c r="R2698">
        <v>153147</v>
      </c>
    </row>
    <row r="2699" spans="1:18" x14ac:dyDescent="0.25">
      <c r="A2699" s="170">
        <v>45979</v>
      </c>
      <c r="B2699" s="116">
        <v>3822.85</v>
      </c>
      <c r="C2699" s="116">
        <v>3793.15</v>
      </c>
      <c r="D2699" s="116">
        <v>3770</v>
      </c>
      <c r="E2699" s="116">
        <v>3822.85</v>
      </c>
      <c r="F2699" s="116">
        <v>3793.15</v>
      </c>
      <c r="G2699">
        <v>1510</v>
      </c>
      <c r="H2699" s="116"/>
      <c r="I2699" s="116"/>
      <c r="L2699" s="170">
        <v>45979</v>
      </c>
      <c r="M2699" s="116">
        <v>3790.8</v>
      </c>
      <c r="N2699" s="116">
        <v>3847.9</v>
      </c>
      <c r="O2699" s="116">
        <v>3769.4</v>
      </c>
      <c r="P2699" s="116">
        <v>3847.9</v>
      </c>
      <c r="Q2699" s="116">
        <v>3790.8</v>
      </c>
      <c r="R2699">
        <v>112118</v>
      </c>
    </row>
    <row r="2700" spans="1:18" x14ac:dyDescent="0.25">
      <c r="A2700" s="170">
        <v>45980</v>
      </c>
      <c r="B2700" s="116">
        <v>3780.45</v>
      </c>
      <c r="C2700" s="116">
        <v>3729.85</v>
      </c>
      <c r="D2700" s="116">
        <v>3720.15</v>
      </c>
      <c r="E2700" s="116">
        <v>3771.05</v>
      </c>
      <c r="F2700" s="116">
        <v>3729.85</v>
      </c>
      <c r="G2700">
        <v>2429</v>
      </c>
      <c r="H2700" s="116"/>
      <c r="I2700" s="116"/>
      <c r="L2700" s="170">
        <v>45980</v>
      </c>
      <c r="M2700" s="116">
        <v>3731.4</v>
      </c>
      <c r="N2700" s="116">
        <v>3788.4</v>
      </c>
      <c r="O2700" s="116">
        <v>3721.6</v>
      </c>
      <c r="P2700" s="116">
        <v>3783.5</v>
      </c>
      <c r="Q2700" s="116">
        <v>3731.4</v>
      </c>
      <c r="R2700">
        <v>116182</v>
      </c>
    </row>
    <row r="2701" spans="1:18" x14ac:dyDescent="0.25">
      <c r="A2701" s="170">
        <v>45981</v>
      </c>
      <c r="B2701" s="116">
        <v>3757.7</v>
      </c>
      <c r="C2701" s="116">
        <v>3717.75</v>
      </c>
      <c r="D2701" s="116">
        <v>3710.95</v>
      </c>
      <c r="E2701" s="116">
        <v>3731.35</v>
      </c>
      <c r="F2701" s="116">
        <v>3717.75</v>
      </c>
      <c r="G2701">
        <v>742</v>
      </c>
      <c r="H2701" s="116"/>
      <c r="I2701" s="116"/>
      <c r="L2701" s="170">
        <v>45981</v>
      </c>
      <c r="M2701" s="116">
        <v>3721.4</v>
      </c>
      <c r="N2701" s="116">
        <v>3757.9</v>
      </c>
      <c r="O2701" s="116">
        <v>3712.3</v>
      </c>
      <c r="P2701" s="116">
        <v>3750</v>
      </c>
      <c r="Q2701" s="116">
        <v>3721.4</v>
      </c>
      <c r="R2701">
        <v>114934</v>
      </c>
    </row>
    <row r="2702" spans="1:18" x14ac:dyDescent="0.25">
      <c r="A2702" s="170">
        <v>45982</v>
      </c>
      <c r="B2702" s="116">
        <v>3724.45</v>
      </c>
      <c r="C2702" s="116">
        <v>3689.65</v>
      </c>
      <c r="D2702" s="116">
        <v>3674.6</v>
      </c>
      <c r="E2702" s="116">
        <v>3714.75</v>
      </c>
      <c r="F2702" s="116">
        <v>3689.65</v>
      </c>
      <c r="G2702">
        <v>645</v>
      </c>
      <c r="H2702" s="116"/>
      <c r="I2702" s="116"/>
      <c r="L2702" s="170">
        <v>45982</v>
      </c>
      <c r="M2702" s="116">
        <v>3686.5</v>
      </c>
      <c r="N2702" s="116">
        <v>3724.9</v>
      </c>
      <c r="O2702" s="116">
        <v>3672.3</v>
      </c>
      <c r="P2702" s="116">
        <v>3721.4</v>
      </c>
      <c r="Q2702" s="116">
        <v>3686.5</v>
      </c>
      <c r="R2702">
        <v>86005</v>
      </c>
    </row>
    <row r="2703" spans="1:18" x14ac:dyDescent="0.25">
      <c r="A2703" s="170">
        <v>45985</v>
      </c>
      <c r="B2703" s="116">
        <v>3749.4</v>
      </c>
      <c r="C2703" s="116">
        <v>3718.2</v>
      </c>
      <c r="D2703" s="116">
        <v>3679.35</v>
      </c>
      <c r="E2703" s="116">
        <v>3689.95</v>
      </c>
      <c r="F2703" s="116">
        <v>3718.2</v>
      </c>
      <c r="G2703">
        <v>3668</v>
      </c>
      <c r="H2703" s="116"/>
      <c r="I2703" s="116"/>
      <c r="L2703" s="170">
        <v>45985</v>
      </c>
      <c r="M2703" s="116">
        <v>3718.4</v>
      </c>
      <c r="N2703" s="116">
        <v>3750.5</v>
      </c>
      <c r="O2703" s="116">
        <v>3680.1</v>
      </c>
      <c r="P2703" s="116">
        <v>3686.5</v>
      </c>
      <c r="Q2703" s="116">
        <v>3718.4</v>
      </c>
      <c r="R2703">
        <v>342523</v>
      </c>
    </row>
    <row r="2704" spans="1:18" x14ac:dyDescent="0.25">
      <c r="A2704" s="170">
        <v>45986</v>
      </c>
      <c r="B2704" s="116">
        <v>3754.5</v>
      </c>
      <c r="C2704" s="116">
        <v>3745.15</v>
      </c>
      <c r="D2704" s="116">
        <v>3704.65</v>
      </c>
      <c r="E2704" s="116">
        <v>3718.2</v>
      </c>
      <c r="F2704" s="116">
        <v>3745.15</v>
      </c>
      <c r="G2704">
        <v>1205</v>
      </c>
      <c r="H2704" s="116"/>
      <c r="I2704" s="116"/>
      <c r="L2704" s="170">
        <v>45986</v>
      </c>
      <c r="M2704" s="116">
        <v>3745.2</v>
      </c>
      <c r="N2704" s="116">
        <v>3756.2</v>
      </c>
      <c r="O2704" s="116">
        <v>3705.1</v>
      </c>
      <c r="P2704" s="116">
        <v>3718.4</v>
      </c>
      <c r="Q2704" s="116">
        <v>3745.2</v>
      </c>
      <c r="R2704">
        <v>122282</v>
      </c>
    </row>
    <row r="2705" spans="1:18" x14ac:dyDescent="0.25">
      <c r="A2705" s="170">
        <v>45987</v>
      </c>
      <c r="B2705" s="116">
        <v>3759.2</v>
      </c>
      <c r="C2705" s="116">
        <v>3753.7</v>
      </c>
      <c r="D2705" s="116">
        <v>3730</v>
      </c>
      <c r="E2705" s="116">
        <v>3730</v>
      </c>
      <c r="F2705" s="116">
        <v>3753.7</v>
      </c>
      <c r="G2705">
        <v>577</v>
      </c>
      <c r="H2705" s="116"/>
      <c r="I2705" s="116"/>
      <c r="L2705" s="170">
        <v>45987</v>
      </c>
      <c r="M2705" s="116">
        <v>3755.8</v>
      </c>
      <c r="N2705" s="116">
        <v>3777.9</v>
      </c>
      <c r="O2705" s="116">
        <v>3730</v>
      </c>
      <c r="P2705" s="116">
        <v>3730</v>
      </c>
      <c r="Q2705" s="116">
        <v>3755.8</v>
      </c>
      <c r="R2705">
        <v>107687</v>
      </c>
    </row>
    <row r="2706" spans="1:18" x14ac:dyDescent="0.25">
      <c r="A2706" s="170">
        <v>45988</v>
      </c>
      <c r="B2706" s="116">
        <v>3769.45</v>
      </c>
      <c r="C2706" s="116">
        <v>3735.9</v>
      </c>
      <c r="D2706" s="116">
        <v>3718</v>
      </c>
      <c r="E2706" s="116">
        <v>3752</v>
      </c>
      <c r="F2706" s="116">
        <v>3735.9</v>
      </c>
      <c r="G2706">
        <v>1267</v>
      </c>
      <c r="H2706" s="116"/>
      <c r="I2706" s="116"/>
      <c r="L2706" s="170">
        <v>45988</v>
      </c>
      <c r="M2706" s="116">
        <v>3730.4</v>
      </c>
      <c r="N2706" s="116">
        <v>3768</v>
      </c>
      <c r="O2706" s="116">
        <v>3708.8</v>
      </c>
      <c r="P2706" s="116">
        <v>3754</v>
      </c>
      <c r="Q2706" s="116">
        <v>3730.4</v>
      </c>
      <c r="R2706">
        <v>258852</v>
      </c>
    </row>
    <row r="2707" spans="1:18" x14ac:dyDescent="0.25">
      <c r="A2707" s="170">
        <v>45989</v>
      </c>
      <c r="B2707" s="116">
        <v>3741.65</v>
      </c>
      <c r="C2707" s="116">
        <v>3721.7</v>
      </c>
      <c r="D2707" s="116">
        <v>3709.4</v>
      </c>
      <c r="E2707" s="116">
        <v>3741.65</v>
      </c>
      <c r="F2707" s="116">
        <v>3721.7</v>
      </c>
      <c r="G2707">
        <v>881</v>
      </c>
      <c r="H2707" s="116"/>
      <c r="I2707" s="116"/>
      <c r="L2707" s="170">
        <v>45989</v>
      </c>
      <c r="M2707" s="116">
        <v>3720.6</v>
      </c>
      <c r="N2707" s="116">
        <v>3758.2</v>
      </c>
      <c r="O2707" s="116">
        <v>3711.5</v>
      </c>
      <c r="P2707" s="116">
        <v>3758.2</v>
      </c>
      <c r="Q2707" s="116">
        <v>3720.6</v>
      </c>
      <c r="R2707">
        <v>164885</v>
      </c>
    </row>
    <row r="2708" spans="1:18" x14ac:dyDescent="0.25">
      <c r="A2708" s="170">
        <v>45992</v>
      </c>
      <c r="B2708" s="116">
        <v>3745.25</v>
      </c>
      <c r="C2708" s="116">
        <v>3735.95</v>
      </c>
      <c r="D2708" s="116">
        <v>3707.05</v>
      </c>
      <c r="E2708" s="116">
        <v>3720.15</v>
      </c>
      <c r="F2708" s="116">
        <v>3735.95</v>
      </c>
      <c r="G2708">
        <v>1455</v>
      </c>
      <c r="H2708" s="116"/>
      <c r="I2708" s="116"/>
      <c r="L2708" s="170">
        <v>45992</v>
      </c>
      <c r="M2708" s="116">
        <v>3736.9</v>
      </c>
      <c r="N2708" s="116">
        <v>3746.3</v>
      </c>
      <c r="O2708" s="116">
        <v>3706.3</v>
      </c>
      <c r="P2708" s="116">
        <v>3723.9</v>
      </c>
      <c r="Q2708" s="116">
        <v>3736.9</v>
      </c>
      <c r="R2708">
        <v>136982</v>
      </c>
    </row>
    <row r="2709" spans="1:18" x14ac:dyDescent="0.25">
      <c r="A2709" s="170">
        <v>45993</v>
      </c>
      <c r="B2709">
        <v>3736.6</v>
      </c>
      <c r="C2709">
        <v>3728.55</v>
      </c>
      <c r="D2709">
        <v>3690.45</v>
      </c>
      <c r="E2709">
        <v>3735.95</v>
      </c>
      <c r="F2709">
        <v>3728.55</v>
      </c>
      <c r="G2709">
        <v>1384</v>
      </c>
      <c r="H2709" s="116"/>
      <c r="I2709" s="116"/>
      <c r="L2709" s="170">
        <v>45993</v>
      </c>
      <c r="M2709" s="116">
        <v>3728</v>
      </c>
      <c r="N2709" s="116">
        <v>3744.8</v>
      </c>
      <c r="O2709" s="116">
        <v>3688.8</v>
      </c>
      <c r="P2709" s="116">
        <v>3732</v>
      </c>
      <c r="Q2709" s="116">
        <v>3728</v>
      </c>
      <c r="R2709">
        <v>196142</v>
      </c>
    </row>
    <row r="2710" spans="1:18" x14ac:dyDescent="0.25">
      <c r="A2710" s="170">
        <v>45994</v>
      </c>
      <c r="B2710">
        <v>3770.5</v>
      </c>
      <c r="C2710">
        <v>3717.95</v>
      </c>
      <c r="D2710">
        <v>3705.4</v>
      </c>
      <c r="E2710">
        <v>3740</v>
      </c>
      <c r="F2710">
        <v>3717.95</v>
      </c>
      <c r="G2710">
        <v>2962</v>
      </c>
      <c r="H2710" s="116"/>
      <c r="I2710" s="116"/>
      <c r="L2710" s="170">
        <v>45994</v>
      </c>
      <c r="M2710" s="116">
        <v>3720.9</v>
      </c>
      <c r="N2710" s="116">
        <v>3770.9</v>
      </c>
      <c r="O2710" s="116">
        <v>3705.1</v>
      </c>
      <c r="P2710" s="116">
        <v>3744</v>
      </c>
      <c r="Q2710" s="116">
        <v>3720.9</v>
      </c>
      <c r="R2710">
        <v>163478</v>
      </c>
    </row>
    <row r="2711" spans="1:18" x14ac:dyDescent="0.25">
      <c r="A2711" s="170">
        <v>45995</v>
      </c>
      <c r="B2711">
        <v>3805</v>
      </c>
      <c r="C2711">
        <v>3801.65</v>
      </c>
      <c r="D2711">
        <v>3722.45</v>
      </c>
      <c r="E2711">
        <v>3722.45</v>
      </c>
      <c r="F2711">
        <v>3801.65</v>
      </c>
      <c r="G2711">
        <v>3135</v>
      </c>
      <c r="H2711" s="116"/>
      <c r="I2711" s="116"/>
      <c r="L2711" s="170">
        <v>45995</v>
      </c>
      <c r="M2711" s="116">
        <v>3795.7</v>
      </c>
      <c r="N2711" s="116">
        <v>3807.9</v>
      </c>
      <c r="O2711" s="116">
        <v>3720</v>
      </c>
      <c r="P2711" s="116">
        <v>3733.5</v>
      </c>
      <c r="Q2711" s="116">
        <v>3795.7</v>
      </c>
      <c r="R2711">
        <v>561605</v>
      </c>
    </row>
    <row r="2712" spans="1:18" x14ac:dyDescent="0.25">
      <c r="A2712" s="170">
        <v>45996</v>
      </c>
      <c r="B2712">
        <v>3813.95</v>
      </c>
      <c r="C2712">
        <v>3781.55</v>
      </c>
      <c r="D2712">
        <v>3753.75</v>
      </c>
      <c r="E2712">
        <v>3813.95</v>
      </c>
      <c r="F2712">
        <v>3781.55</v>
      </c>
      <c r="G2712">
        <v>24092</v>
      </c>
      <c r="H2712" s="116"/>
      <c r="I2712" s="116"/>
      <c r="L2712" s="170">
        <v>45996</v>
      </c>
      <c r="M2712" s="116">
        <v>3785.9</v>
      </c>
      <c r="N2712" s="116">
        <v>3805.1</v>
      </c>
      <c r="O2712" s="116">
        <v>3756</v>
      </c>
      <c r="P2712" s="116">
        <v>3805.1</v>
      </c>
      <c r="Q2712" s="116">
        <v>3785.9</v>
      </c>
      <c r="R2712">
        <v>197257</v>
      </c>
    </row>
    <row r="2713" spans="1:18" x14ac:dyDescent="0.25">
      <c r="A2713" s="170">
        <v>45999</v>
      </c>
      <c r="B2713">
        <v>3795.35</v>
      </c>
      <c r="C2713">
        <v>3757.95</v>
      </c>
      <c r="D2713">
        <v>3751.3</v>
      </c>
      <c r="E2713">
        <v>3789</v>
      </c>
      <c r="F2713">
        <v>3757.95</v>
      </c>
      <c r="G2713">
        <v>1140</v>
      </c>
      <c r="H2713" s="116"/>
      <c r="I2713" s="116"/>
      <c r="L2713" s="170">
        <v>45999</v>
      </c>
      <c r="M2713" s="116">
        <v>3760</v>
      </c>
      <c r="N2713" s="116">
        <v>3800</v>
      </c>
      <c r="O2713" s="116">
        <v>3751.2</v>
      </c>
      <c r="P2713" s="116">
        <v>3785.1</v>
      </c>
      <c r="Q2713" s="116">
        <v>3760</v>
      </c>
      <c r="R2713">
        <v>144529</v>
      </c>
    </row>
    <row r="2714" spans="1:18" x14ac:dyDescent="0.25">
      <c r="A2714" s="170">
        <v>46000</v>
      </c>
      <c r="B2714">
        <v>3778.45</v>
      </c>
      <c r="C2714">
        <v>3763</v>
      </c>
      <c r="D2714">
        <v>3716.95</v>
      </c>
      <c r="E2714">
        <v>3740.75</v>
      </c>
      <c r="F2714">
        <v>3763</v>
      </c>
      <c r="G2714">
        <v>1092</v>
      </c>
      <c r="H2714" s="116"/>
      <c r="I2714" s="116"/>
      <c r="L2714" s="170">
        <v>46000</v>
      </c>
      <c r="M2714" s="116">
        <v>3763.9</v>
      </c>
      <c r="N2714" s="116">
        <v>3778.6</v>
      </c>
      <c r="O2714" s="116">
        <v>3714.5</v>
      </c>
      <c r="P2714" s="116">
        <v>3760</v>
      </c>
      <c r="Q2714" s="116">
        <v>3763.9</v>
      </c>
      <c r="R2714">
        <v>210622</v>
      </c>
    </row>
    <row r="2715" spans="1:18" x14ac:dyDescent="0.25">
      <c r="A2715" s="170">
        <v>46001</v>
      </c>
      <c r="B2715">
        <v>3807.7</v>
      </c>
      <c r="C2715">
        <v>3792.85</v>
      </c>
      <c r="D2715">
        <v>3750.8</v>
      </c>
      <c r="E2715">
        <v>3763</v>
      </c>
      <c r="F2715">
        <v>3792.85</v>
      </c>
      <c r="G2715">
        <v>1209</v>
      </c>
      <c r="H2715" s="116"/>
      <c r="I2715" s="116"/>
      <c r="L2715" s="170">
        <v>46001</v>
      </c>
      <c r="M2715" s="116">
        <v>3794.4</v>
      </c>
      <c r="N2715" s="116">
        <v>3809.8</v>
      </c>
      <c r="O2715" s="116">
        <v>3742</v>
      </c>
      <c r="P2715" s="116">
        <v>3765.6</v>
      </c>
      <c r="Q2715" s="116">
        <v>3794.4</v>
      </c>
      <c r="R2715">
        <v>257257</v>
      </c>
    </row>
    <row r="2716" spans="1:18" x14ac:dyDescent="0.25">
      <c r="A2716" s="170">
        <v>46002</v>
      </c>
      <c r="B2716">
        <v>3805</v>
      </c>
      <c r="C2716">
        <v>3801.2</v>
      </c>
      <c r="D2716">
        <v>3765.55</v>
      </c>
      <c r="E2716">
        <v>3795</v>
      </c>
      <c r="F2716">
        <v>3801.2</v>
      </c>
      <c r="G2716">
        <v>573</v>
      </c>
      <c r="H2716" s="116"/>
      <c r="I2716" s="116"/>
      <c r="L2716" s="170">
        <v>46002</v>
      </c>
      <c r="M2716" s="116">
        <v>3799</v>
      </c>
      <c r="N2716" s="116">
        <v>3804.3</v>
      </c>
      <c r="O2716" s="116">
        <v>3764.5</v>
      </c>
      <c r="P2716" s="116">
        <v>3790</v>
      </c>
      <c r="Q2716" s="116">
        <v>3799</v>
      </c>
      <c r="R2716">
        <v>100122</v>
      </c>
    </row>
    <row r="2717" spans="1:18" x14ac:dyDescent="0.25">
      <c r="A2717" s="170">
        <v>46003</v>
      </c>
      <c r="B2717">
        <v>3829</v>
      </c>
      <c r="C2717">
        <v>3789.25</v>
      </c>
      <c r="D2717">
        <v>3751.1</v>
      </c>
      <c r="E2717">
        <v>3751.1</v>
      </c>
      <c r="F2717">
        <v>3789.25</v>
      </c>
      <c r="G2717">
        <v>2834</v>
      </c>
      <c r="H2717" s="116"/>
      <c r="I2717" s="116"/>
      <c r="L2717" s="170">
        <v>46003</v>
      </c>
      <c r="M2717" s="116">
        <v>3791.5</v>
      </c>
      <c r="N2717" s="116">
        <v>3827.8</v>
      </c>
      <c r="O2717" s="116">
        <v>3759.6</v>
      </c>
      <c r="P2717" s="116">
        <v>3801.5</v>
      </c>
      <c r="Q2717" s="116">
        <v>3791.5</v>
      </c>
      <c r="R2717">
        <v>168916</v>
      </c>
    </row>
    <row r="2718" spans="1:18" x14ac:dyDescent="0.25">
      <c r="A2718" s="170">
        <v>46006</v>
      </c>
      <c r="B2718">
        <v>3799</v>
      </c>
      <c r="C2718">
        <v>3780.9</v>
      </c>
      <c r="D2718">
        <v>3755.25</v>
      </c>
      <c r="E2718">
        <v>3780.55</v>
      </c>
      <c r="F2718">
        <v>3780.9</v>
      </c>
      <c r="G2718">
        <v>2029</v>
      </c>
      <c r="H2718" s="116"/>
      <c r="I2718" s="116"/>
      <c r="L2718" s="170">
        <v>46006</v>
      </c>
      <c r="M2718" s="116">
        <v>3782.6</v>
      </c>
      <c r="N2718" s="116">
        <v>3809.9</v>
      </c>
      <c r="O2718" s="116">
        <v>3752.5</v>
      </c>
      <c r="P2718" s="116">
        <v>3791.8</v>
      </c>
      <c r="Q2718" s="116">
        <v>3782.6</v>
      </c>
      <c r="R2718">
        <v>168589</v>
      </c>
    </row>
    <row r="2719" spans="1:18" x14ac:dyDescent="0.25">
      <c r="A2719" s="170">
        <v>46007</v>
      </c>
      <c r="B2719">
        <v>3798.95</v>
      </c>
      <c r="C2719">
        <v>3757.45</v>
      </c>
      <c r="D2719">
        <v>3751.05</v>
      </c>
      <c r="E2719">
        <v>3752.55</v>
      </c>
      <c r="F2719">
        <v>3757.45</v>
      </c>
      <c r="G2719">
        <v>1604</v>
      </c>
      <c r="H2719" s="116"/>
      <c r="I2719" s="116"/>
      <c r="L2719" s="170">
        <v>46007</v>
      </c>
      <c r="M2719" s="116">
        <v>3765.1</v>
      </c>
      <c r="N2719" s="116">
        <v>3799.2</v>
      </c>
      <c r="O2719" s="116">
        <v>3745.1</v>
      </c>
      <c r="P2719" s="116">
        <v>3799.2</v>
      </c>
      <c r="Q2719" s="116">
        <v>3765.1</v>
      </c>
      <c r="R2719">
        <v>136916</v>
      </c>
    </row>
    <row r="2720" spans="1:18" x14ac:dyDescent="0.25">
      <c r="A2720" s="170">
        <v>46008</v>
      </c>
      <c r="B2720">
        <v>3776.5</v>
      </c>
      <c r="C2720">
        <v>3768.85</v>
      </c>
      <c r="D2720">
        <v>3726</v>
      </c>
      <c r="E2720">
        <v>3753.7</v>
      </c>
      <c r="F2720">
        <v>3768.85</v>
      </c>
      <c r="G2720">
        <v>14591</v>
      </c>
      <c r="H2720" s="116"/>
      <c r="I2720" s="116"/>
      <c r="L2720" s="170">
        <v>46008</v>
      </c>
      <c r="M2720" s="116">
        <v>3770.8</v>
      </c>
      <c r="N2720" s="116">
        <v>3784</v>
      </c>
      <c r="O2720" s="116">
        <v>3725</v>
      </c>
      <c r="P2720" s="116">
        <v>3765.1</v>
      </c>
      <c r="Q2720" s="116">
        <v>3770.8</v>
      </c>
      <c r="R2720">
        <v>132340</v>
      </c>
    </row>
    <row r="2721" spans="1:18" x14ac:dyDescent="0.25">
      <c r="A2721" s="170">
        <v>46009</v>
      </c>
      <c r="B2721">
        <v>3767.35</v>
      </c>
      <c r="C2721">
        <v>3759.6</v>
      </c>
      <c r="D2721">
        <v>3700.05</v>
      </c>
      <c r="E2721">
        <v>3700.05</v>
      </c>
      <c r="F2721">
        <v>3759.6</v>
      </c>
      <c r="G2721">
        <v>890</v>
      </c>
      <c r="H2721" s="116"/>
      <c r="I2721" s="116"/>
      <c r="L2721" s="170">
        <v>46009</v>
      </c>
      <c r="M2721" s="116">
        <v>3759.5</v>
      </c>
      <c r="N2721" s="116">
        <v>3784.1</v>
      </c>
      <c r="O2721" s="116">
        <v>3714.9</v>
      </c>
      <c r="P2721" s="116">
        <v>3782.9</v>
      </c>
      <c r="Q2721" s="116">
        <v>3759.5</v>
      </c>
      <c r="R2721">
        <v>125105</v>
      </c>
    </row>
    <row r="2722" spans="1:18" x14ac:dyDescent="0.25">
      <c r="A2722" s="170">
        <v>46010</v>
      </c>
      <c r="B2722">
        <v>3811.95</v>
      </c>
      <c r="C2722">
        <v>3800.3</v>
      </c>
      <c r="D2722">
        <v>3742.05</v>
      </c>
      <c r="E2722">
        <v>3742.05</v>
      </c>
      <c r="F2722">
        <v>3800.3</v>
      </c>
      <c r="G2722">
        <v>1471</v>
      </c>
      <c r="H2722" s="116"/>
      <c r="I2722" s="116"/>
      <c r="L2722" s="170">
        <v>46010</v>
      </c>
      <c r="M2722" s="116">
        <v>3800.3</v>
      </c>
      <c r="N2722" s="116">
        <v>3812.7</v>
      </c>
      <c r="O2722" s="116">
        <v>3745.5</v>
      </c>
      <c r="P2722" s="116">
        <v>3748</v>
      </c>
      <c r="Q2722" s="116">
        <v>3800.3</v>
      </c>
      <c r="R2722">
        <v>150394</v>
      </c>
    </row>
    <row r="2723" spans="1:18" x14ac:dyDescent="0.25">
      <c r="A2723" s="170">
        <v>46013</v>
      </c>
      <c r="B2723">
        <v>3822.85</v>
      </c>
      <c r="C2723">
        <v>3814.35</v>
      </c>
      <c r="D2723">
        <v>3782.55</v>
      </c>
      <c r="E2723">
        <v>3801.1</v>
      </c>
      <c r="F2723">
        <v>3814.35</v>
      </c>
      <c r="G2723">
        <v>2701</v>
      </c>
      <c r="H2723" s="116"/>
      <c r="I2723" s="116"/>
      <c r="L2723" s="170">
        <v>46013</v>
      </c>
      <c r="M2723" s="116">
        <v>3816</v>
      </c>
      <c r="N2723" s="116">
        <v>3824.7</v>
      </c>
      <c r="O2723" s="116">
        <v>3781</v>
      </c>
      <c r="P2723" s="116">
        <v>3811.2</v>
      </c>
      <c r="Q2723" s="116">
        <v>3816</v>
      </c>
      <c r="R2723">
        <v>275033</v>
      </c>
    </row>
    <row r="2724" spans="1:18" x14ac:dyDescent="0.25">
      <c r="A2724" s="170">
        <v>46014</v>
      </c>
      <c r="B2724">
        <v>3839.35</v>
      </c>
      <c r="C2724">
        <v>3819.05</v>
      </c>
      <c r="D2724">
        <v>3788</v>
      </c>
      <c r="E2724">
        <v>3839.35</v>
      </c>
      <c r="F2724">
        <v>3819.05</v>
      </c>
      <c r="G2724">
        <v>820</v>
      </c>
      <c r="H2724" s="116"/>
      <c r="I2724" s="116"/>
      <c r="L2724" s="170">
        <v>46014</v>
      </c>
      <c r="M2724" s="116">
        <v>3820.1</v>
      </c>
      <c r="N2724" s="116">
        <v>3828.9</v>
      </c>
      <c r="O2724" s="116">
        <v>3780.4</v>
      </c>
      <c r="P2724" s="116">
        <v>3817</v>
      </c>
      <c r="Q2724" s="116">
        <v>3820.1</v>
      </c>
      <c r="R2724">
        <v>195979</v>
      </c>
    </row>
    <row r="2725" spans="1:18" x14ac:dyDescent="0.25">
      <c r="A2725" s="170">
        <v>46015</v>
      </c>
      <c r="B2725">
        <v>3841.65</v>
      </c>
      <c r="C2725">
        <v>3834.3</v>
      </c>
      <c r="D2725">
        <v>3800.15</v>
      </c>
      <c r="E2725">
        <v>3819.1</v>
      </c>
      <c r="F2725">
        <v>3834.3</v>
      </c>
      <c r="G2725">
        <v>10148</v>
      </c>
      <c r="H2725" s="116"/>
      <c r="I2725" s="116"/>
      <c r="L2725" s="170">
        <v>46015</v>
      </c>
      <c r="M2725" s="116">
        <v>3834.3</v>
      </c>
      <c r="N2725" s="116">
        <v>3840</v>
      </c>
      <c r="O2725" s="116">
        <v>3801.1</v>
      </c>
      <c r="P2725" s="116">
        <v>3825</v>
      </c>
      <c r="Q2725" s="116">
        <v>3834.3</v>
      </c>
      <c r="R2725">
        <v>152700</v>
      </c>
    </row>
    <row r="2726" spans="1:18" x14ac:dyDescent="0.25">
      <c r="A2726" s="170">
        <v>46017</v>
      </c>
      <c r="B2726">
        <v>3841.85</v>
      </c>
      <c r="C2726">
        <v>3812.85</v>
      </c>
      <c r="D2726">
        <v>3803.85</v>
      </c>
      <c r="E2726">
        <v>3834.3</v>
      </c>
      <c r="F2726">
        <v>3812.85</v>
      </c>
      <c r="G2726">
        <v>1653</v>
      </c>
      <c r="H2726" s="116"/>
      <c r="I2726" s="116"/>
      <c r="L2726" s="170">
        <v>46017</v>
      </c>
      <c r="M2726" s="116">
        <v>3816.6</v>
      </c>
      <c r="N2726" s="116">
        <v>3846.1</v>
      </c>
      <c r="O2726" s="116">
        <v>3802.5</v>
      </c>
      <c r="P2726" s="116">
        <v>3833</v>
      </c>
      <c r="Q2726" s="116">
        <v>3816.6</v>
      </c>
      <c r="R2726">
        <v>38231</v>
      </c>
    </row>
    <row r="2727" spans="1:18" x14ac:dyDescent="0.25">
      <c r="A2727" s="170">
        <v>46020</v>
      </c>
      <c r="B2727">
        <v>3812.8</v>
      </c>
      <c r="C2727">
        <v>3792.65</v>
      </c>
      <c r="D2727">
        <v>3770</v>
      </c>
      <c r="E2727">
        <v>3812.8</v>
      </c>
      <c r="F2727">
        <v>3792.65</v>
      </c>
      <c r="G2727">
        <v>1300</v>
      </c>
      <c r="H2727" s="116"/>
      <c r="I2727" s="116"/>
      <c r="L2727" s="170">
        <v>46020</v>
      </c>
      <c r="M2727" s="116">
        <v>3793.7</v>
      </c>
      <c r="N2727" s="116">
        <v>3816.5</v>
      </c>
      <c r="O2727" s="116">
        <v>3767.4</v>
      </c>
      <c r="P2727" s="116">
        <v>3801</v>
      </c>
      <c r="Q2727" s="116">
        <v>3793.7</v>
      </c>
      <c r="R2727">
        <v>86172</v>
      </c>
    </row>
    <row r="2728" spans="1:18" x14ac:dyDescent="0.25">
      <c r="A2728" s="170">
        <v>46021</v>
      </c>
      <c r="B2728">
        <v>3865.5</v>
      </c>
      <c r="C2728">
        <v>3820.45</v>
      </c>
      <c r="D2728">
        <v>3748.4</v>
      </c>
      <c r="E2728">
        <v>3780.55</v>
      </c>
      <c r="F2728">
        <v>3820.45</v>
      </c>
      <c r="G2728">
        <v>4231</v>
      </c>
      <c r="H2728" s="116"/>
      <c r="I2728" s="116"/>
      <c r="L2728" s="170">
        <v>46021</v>
      </c>
      <c r="M2728" s="116">
        <v>3822.1</v>
      </c>
      <c r="N2728" s="116">
        <v>3863</v>
      </c>
      <c r="O2728" s="116">
        <v>3745.1</v>
      </c>
      <c r="P2728" s="116">
        <v>3790</v>
      </c>
      <c r="Q2728" s="116">
        <v>3822.1</v>
      </c>
      <c r="R2728">
        <v>371621</v>
      </c>
    </row>
    <row r="2729" spans="1:18" x14ac:dyDescent="0.25">
      <c r="A2729" s="170">
        <v>46022</v>
      </c>
      <c r="B2729">
        <v>3877.9</v>
      </c>
      <c r="C2729">
        <v>3841.7</v>
      </c>
      <c r="D2729">
        <v>3796.95</v>
      </c>
      <c r="E2729">
        <v>3877.9</v>
      </c>
      <c r="F2729">
        <v>3841.7</v>
      </c>
      <c r="G2729">
        <v>1354</v>
      </c>
      <c r="H2729" s="116"/>
      <c r="I2729" s="116"/>
      <c r="L2729" s="170">
        <v>46022</v>
      </c>
      <c r="M2729" s="116">
        <v>3850</v>
      </c>
      <c r="N2729" s="116">
        <v>3856.9</v>
      </c>
      <c r="O2729" s="116">
        <v>3791.3</v>
      </c>
      <c r="P2729" s="116">
        <v>3834</v>
      </c>
      <c r="Q2729" s="116">
        <v>3850</v>
      </c>
      <c r="R2729">
        <v>151815</v>
      </c>
    </row>
    <row r="2730" spans="1:18" x14ac:dyDescent="0.25">
      <c r="A2730" s="170">
        <v>46023</v>
      </c>
      <c r="B2730">
        <v>3878.5</v>
      </c>
      <c r="C2730">
        <v>3847.75</v>
      </c>
      <c r="D2730">
        <v>3816.2</v>
      </c>
      <c r="E2730">
        <v>3878.5</v>
      </c>
      <c r="F2730">
        <v>3847.75</v>
      </c>
      <c r="G2730">
        <v>688</v>
      </c>
      <c r="H2730" s="116"/>
      <c r="I2730" s="116"/>
      <c r="L2730" s="170">
        <v>46023</v>
      </c>
      <c r="M2730" s="116">
        <v>3848.4</v>
      </c>
      <c r="N2730" s="116">
        <v>3863.5</v>
      </c>
      <c r="O2730" s="116">
        <v>3815.1</v>
      </c>
      <c r="P2730" s="116">
        <v>3860</v>
      </c>
      <c r="Q2730" s="116">
        <v>3848.4</v>
      </c>
      <c r="R2730">
        <v>39767</v>
      </c>
    </row>
    <row r="2731" spans="1:18" x14ac:dyDescent="0.25">
      <c r="A2731" s="170">
        <v>46024</v>
      </c>
      <c r="B2731">
        <v>3890</v>
      </c>
      <c r="C2731">
        <v>3884.85</v>
      </c>
      <c r="D2731">
        <v>3829.25</v>
      </c>
      <c r="E2731">
        <v>3844.95</v>
      </c>
      <c r="F2731">
        <v>3884.85</v>
      </c>
      <c r="G2731">
        <v>2083</v>
      </c>
      <c r="H2731" s="116"/>
      <c r="I2731" s="116"/>
      <c r="L2731" s="170">
        <v>46024</v>
      </c>
      <c r="M2731" s="116">
        <v>3885.3</v>
      </c>
      <c r="N2731" s="116">
        <v>3891.2</v>
      </c>
      <c r="O2731" s="116">
        <v>3821</v>
      </c>
      <c r="P2731" s="116">
        <v>3856.7</v>
      </c>
      <c r="Q2731" s="116">
        <v>3885.3</v>
      </c>
      <c r="R2731">
        <v>57479</v>
      </c>
    </row>
    <row r="2732" spans="1:18" x14ac:dyDescent="0.25">
      <c r="A2732" s="170">
        <v>46027</v>
      </c>
      <c r="B2732">
        <v>3889</v>
      </c>
      <c r="C2732">
        <v>3869.45</v>
      </c>
      <c r="D2732">
        <v>3856</v>
      </c>
      <c r="E2732">
        <v>3880.8</v>
      </c>
      <c r="F2732">
        <v>3869.45</v>
      </c>
      <c r="G2732">
        <v>1749</v>
      </c>
      <c r="H2732" s="116"/>
      <c r="I2732" s="116"/>
      <c r="L2732" s="170">
        <v>46027</v>
      </c>
      <c r="M2732" s="116">
        <v>3869.8</v>
      </c>
      <c r="N2732" s="116">
        <v>3900.1</v>
      </c>
      <c r="O2732" s="116">
        <v>3855</v>
      </c>
      <c r="P2732" s="116">
        <v>3885.3</v>
      </c>
      <c r="Q2732" s="116">
        <v>3869.8</v>
      </c>
      <c r="R2732">
        <v>100222</v>
      </c>
    </row>
    <row r="2733" spans="1:18" x14ac:dyDescent="0.25">
      <c r="A2733" s="170">
        <v>46028</v>
      </c>
      <c r="B2733">
        <v>3943.35</v>
      </c>
      <c r="C2733">
        <v>3936.85</v>
      </c>
      <c r="D2733">
        <v>3862.65</v>
      </c>
      <c r="E2733">
        <v>3881.05</v>
      </c>
      <c r="F2733">
        <v>3936.85</v>
      </c>
      <c r="G2733">
        <v>2773</v>
      </c>
      <c r="H2733" s="116"/>
      <c r="I2733" s="116"/>
      <c r="L2733" s="170">
        <v>46028</v>
      </c>
      <c r="M2733" s="116">
        <v>3936.8</v>
      </c>
      <c r="N2733" s="116">
        <v>3948</v>
      </c>
      <c r="O2733" s="116">
        <v>3859.8</v>
      </c>
      <c r="P2733" s="116">
        <v>3879.8</v>
      </c>
      <c r="Q2733" s="116">
        <v>3936.8</v>
      </c>
      <c r="R2733">
        <v>193169</v>
      </c>
    </row>
    <row r="2734" spans="1:18" x14ac:dyDescent="0.25">
      <c r="A2734" s="170">
        <v>46029</v>
      </c>
      <c r="B2734">
        <v>4105.8500000000004</v>
      </c>
      <c r="C2734">
        <v>4091.25</v>
      </c>
      <c r="D2734">
        <v>3933.2</v>
      </c>
      <c r="E2734">
        <v>3936.6</v>
      </c>
      <c r="F2734">
        <v>4091.25</v>
      </c>
      <c r="G2734">
        <v>21964</v>
      </c>
      <c r="H2734" s="116"/>
      <c r="I2734" s="116"/>
      <c r="L2734" s="170">
        <v>46029</v>
      </c>
      <c r="M2734" s="116">
        <v>4092.2</v>
      </c>
      <c r="N2734" s="116">
        <v>4104.8</v>
      </c>
      <c r="O2734" s="116">
        <v>3936</v>
      </c>
      <c r="P2734" s="116">
        <v>3936.8</v>
      </c>
      <c r="Q2734" s="116">
        <v>4092.2</v>
      </c>
      <c r="R2734">
        <v>893695</v>
      </c>
    </row>
    <row r="2735" spans="1:18" x14ac:dyDescent="0.25">
      <c r="A2735" s="170">
        <v>46030</v>
      </c>
      <c r="B2735">
        <v>4089.9</v>
      </c>
      <c r="C2735">
        <v>4025.1</v>
      </c>
      <c r="D2735">
        <v>4015.85</v>
      </c>
      <c r="E2735">
        <v>4089.9</v>
      </c>
      <c r="F2735">
        <v>4025.1</v>
      </c>
      <c r="G2735">
        <v>5441</v>
      </c>
      <c r="H2735" s="116"/>
      <c r="I2735" s="116"/>
      <c r="L2735" s="170">
        <v>46030</v>
      </c>
      <c r="M2735" s="116">
        <v>4026.4</v>
      </c>
      <c r="N2735" s="116">
        <v>4080</v>
      </c>
      <c r="O2735" s="116">
        <v>4015.7</v>
      </c>
      <c r="P2735" s="116">
        <v>4080</v>
      </c>
      <c r="Q2735" s="116">
        <v>4026.4</v>
      </c>
      <c r="R2735">
        <v>202187</v>
      </c>
    </row>
    <row r="2736" spans="1:18" x14ac:dyDescent="0.25">
      <c r="A2736" s="170">
        <v>46031</v>
      </c>
      <c r="B2736">
        <v>4033</v>
      </c>
      <c r="C2736">
        <v>3962.85</v>
      </c>
      <c r="D2736">
        <v>3950</v>
      </c>
      <c r="E2736">
        <v>4028.6</v>
      </c>
      <c r="F2736">
        <v>3962.85</v>
      </c>
      <c r="G2736">
        <v>2204</v>
      </c>
      <c r="H2736" s="116"/>
      <c r="I2736" s="116"/>
      <c r="L2736" s="170">
        <v>46031</v>
      </c>
      <c r="M2736" s="116">
        <v>3963.4</v>
      </c>
      <c r="N2736" s="116">
        <v>4037.6</v>
      </c>
      <c r="O2736" s="116">
        <v>3950</v>
      </c>
      <c r="P2736" s="116">
        <v>4016</v>
      </c>
      <c r="Q2736" s="116">
        <v>3963.4</v>
      </c>
      <c r="R2736">
        <v>312744</v>
      </c>
    </row>
    <row r="2737" spans="1:18" x14ac:dyDescent="0.25">
      <c r="A2737" s="170">
        <v>46034</v>
      </c>
      <c r="B2737">
        <v>3973.35</v>
      </c>
      <c r="C2737">
        <v>3948.25</v>
      </c>
      <c r="D2737">
        <v>3895.1</v>
      </c>
      <c r="E2737">
        <v>3966</v>
      </c>
      <c r="F2737">
        <v>3948.25</v>
      </c>
      <c r="G2737">
        <v>1637</v>
      </c>
      <c r="H2737" s="116"/>
      <c r="I2737" s="116"/>
      <c r="L2737" s="170">
        <v>46034</v>
      </c>
      <c r="M2737" s="116">
        <v>3949.8</v>
      </c>
      <c r="N2737" s="116">
        <v>3967.7</v>
      </c>
      <c r="O2737" s="116">
        <v>3893.8</v>
      </c>
      <c r="P2737" s="116">
        <v>3960</v>
      </c>
      <c r="Q2737" s="116">
        <v>3949.8</v>
      </c>
      <c r="R2737">
        <v>161556</v>
      </c>
    </row>
    <row r="2738" spans="1:18" x14ac:dyDescent="0.25">
      <c r="A2738" s="170">
        <v>46035</v>
      </c>
      <c r="B2738">
        <v>3952.95</v>
      </c>
      <c r="C2738">
        <v>3939.55</v>
      </c>
      <c r="D2738">
        <v>3910</v>
      </c>
      <c r="E2738">
        <v>3948.15</v>
      </c>
      <c r="F2738">
        <v>3939.55</v>
      </c>
      <c r="G2738">
        <v>2821</v>
      </c>
      <c r="H2738" s="116"/>
      <c r="I2738" s="116"/>
      <c r="L2738" s="170">
        <v>46035</v>
      </c>
      <c r="M2738" s="116">
        <v>3940.3</v>
      </c>
      <c r="N2738" s="116">
        <v>3959.9</v>
      </c>
      <c r="O2738" s="116">
        <v>3903.7</v>
      </c>
      <c r="P2738" s="116">
        <v>3940</v>
      </c>
      <c r="Q2738" s="116">
        <v>3940.3</v>
      </c>
      <c r="R2738">
        <v>202650</v>
      </c>
    </row>
    <row r="2739" spans="1:18" x14ac:dyDescent="0.25">
      <c r="A2739" s="170">
        <v>46036</v>
      </c>
      <c r="B2739">
        <v>4014.5</v>
      </c>
      <c r="C2739">
        <v>4004.85</v>
      </c>
      <c r="D2739">
        <v>3908</v>
      </c>
      <c r="E2739">
        <v>3952.05</v>
      </c>
      <c r="F2739">
        <v>4004.85</v>
      </c>
      <c r="G2739">
        <v>2225</v>
      </c>
      <c r="H2739" s="116"/>
      <c r="I2739" s="116"/>
      <c r="L2739" s="170">
        <v>46036</v>
      </c>
      <c r="M2739" s="116">
        <v>4003.7</v>
      </c>
      <c r="N2739" s="116">
        <v>4012.9</v>
      </c>
      <c r="O2739" s="116">
        <v>3906.4</v>
      </c>
      <c r="P2739" s="116">
        <v>3940.3</v>
      </c>
      <c r="Q2739" s="116">
        <v>4003.7</v>
      </c>
      <c r="R2739">
        <v>194665</v>
      </c>
    </row>
    <row r="2740" spans="1:18" x14ac:dyDescent="0.25">
      <c r="A2740" s="170">
        <v>46038</v>
      </c>
      <c r="B2740">
        <v>4030</v>
      </c>
      <c r="C2740">
        <v>4018.75</v>
      </c>
      <c r="D2740">
        <v>3971</v>
      </c>
      <c r="E2740">
        <v>4013.5</v>
      </c>
      <c r="F2740">
        <v>4018.75</v>
      </c>
      <c r="G2740">
        <v>2748</v>
      </c>
      <c r="H2740" s="116"/>
      <c r="I2740" s="116"/>
      <c r="L2740" s="170">
        <v>46038</v>
      </c>
      <c r="M2740" s="116">
        <v>4018.2</v>
      </c>
      <c r="N2740" s="116">
        <v>4032</v>
      </c>
      <c r="O2740" s="116">
        <v>3972</v>
      </c>
      <c r="P2740" s="116">
        <v>4020</v>
      </c>
      <c r="Q2740" s="116">
        <v>4018.2</v>
      </c>
      <c r="R2740">
        <v>171667</v>
      </c>
    </row>
    <row r="2741" spans="1:18" x14ac:dyDescent="0.25">
      <c r="A2741" s="170">
        <v>46041</v>
      </c>
      <c r="B2741">
        <v>4107.55</v>
      </c>
      <c r="C2741">
        <v>4090.8</v>
      </c>
      <c r="D2741">
        <v>4004.1</v>
      </c>
      <c r="E2741">
        <v>4020.55</v>
      </c>
      <c r="F2741">
        <v>4090.8</v>
      </c>
      <c r="G2741">
        <v>6970</v>
      </c>
      <c r="H2741" s="116"/>
      <c r="I2741" s="116"/>
      <c r="L2741" s="170">
        <v>46041</v>
      </c>
      <c r="M2741" s="116">
        <v>4086.6</v>
      </c>
      <c r="N2741" s="116">
        <v>4107.2</v>
      </c>
      <c r="O2741" s="116">
        <v>4002</v>
      </c>
      <c r="P2741" s="116">
        <v>4033.3</v>
      </c>
      <c r="Q2741" s="116">
        <v>4086.6</v>
      </c>
      <c r="R2741">
        <v>433688</v>
      </c>
    </row>
    <row r="2742" spans="1:18" x14ac:dyDescent="0.25">
      <c r="A2742" s="170">
        <v>46042</v>
      </c>
      <c r="B2742">
        <v>4124.95</v>
      </c>
      <c r="C2742">
        <v>3974.9</v>
      </c>
      <c r="D2742">
        <v>3965.3</v>
      </c>
      <c r="E2742">
        <v>4124.95</v>
      </c>
      <c r="F2742">
        <v>3974.9</v>
      </c>
      <c r="G2742">
        <v>5355</v>
      </c>
      <c r="H2742" s="116"/>
      <c r="I2742" s="116"/>
      <c r="L2742" s="170">
        <v>46042</v>
      </c>
      <c r="M2742" s="116">
        <v>3976.8</v>
      </c>
      <c r="N2742" s="116">
        <v>4105</v>
      </c>
      <c r="O2742" s="116">
        <v>3962</v>
      </c>
      <c r="P2742" s="116">
        <v>4105</v>
      </c>
      <c r="Q2742" s="116">
        <v>3976.8</v>
      </c>
      <c r="R2742">
        <v>203141</v>
      </c>
    </row>
    <row r="2743" spans="1:18" x14ac:dyDescent="0.25">
      <c r="A2743" s="170">
        <v>46043</v>
      </c>
      <c r="B2743">
        <v>4023.4</v>
      </c>
      <c r="C2743">
        <v>3982.55</v>
      </c>
      <c r="D2743">
        <v>3936</v>
      </c>
      <c r="E2743">
        <v>3959.65</v>
      </c>
      <c r="F2743">
        <v>3982.55</v>
      </c>
      <c r="G2743">
        <v>2142</v>
      </c>
      <c r="H2743" s="116"/>
      <c r="I2743" s="116"/>
      <c r="L2743" s="170">
        <v>46043</v>
      </c>
      <c r="M2743" s="116">
        <v>3981.8</v>
      </c>
      <c r="N2743" s="116">
        <v>4030</v>
      </c>
      <c r="O2743" s="116">
        <v>3936.9</v>
      </c>
      <c r="P2743" s="116">
        <v>3960</v>
      </c>
      <c r="Q2743" s="116">
        <v>3981.8</v>
      </c>
      <c r="R2743">
        <v>367318</v>
      </c>
    </row>
    <row r="2744" spans="1:18" x14ac:dyDescent="0.25">
      <c r="A2744" s="170">
        <v>46044</v>
      </c>
      <c r="B2744">
        <v>4031.45</v>
      </c>
      <c r="C2744">
        <v>4024</v>
      </c>
      <c r="D2744">
        <v>3938.75</v>
      </c>
      <c r="E2744">
        <v>3938.75</v>
      </c>
      <c r="F2744">
        <v>4024</v>
      </c>
      <c r="G2744">
        <v>1490</v>
      </c>
      <c r="H2744" s="116"/>
      <c r="I2744" s="116"/>
      <c r="L2744" s="170">
        <v>46044</v>
      </c>
      <c r="M2744" s="116">
        <v>4020.5</v>
      </c>
      <c r="N2744" s="116">
        <v>4032.1</v>
      </c>
      <c r="O2744" s="116">
        <v>3964.4</v>
      </c>
      <c r="P2744" s="116">
        <v>3982.5</v>
      </c>
      <c r="Q2744" s="116">
        <v>4020.5</v>
      </c>
      <c r="R2744">
        <v>167617</v>
      </c>
    </row>
    <row r="2745" spans="1:18" x14ac:dyDescent="0.25">
      <c r="A2745" s="170">
        <v>46045</v>
      </c>
      <c r="B2745">
        <v>4031.45</v>
      </c>
      <c r="C2745">
        <v>3926.95</v>
      </c>
      <c r="D2745">
        <v>3910.65</v>
      </c>
      <c r="E2745">
        <v>4024.1</v>
      </c>
      <c r="F2745">
        <v>3926.95</v>
      </c>
      <c r="G2745">
        <v>12336</v>
      </c>
      <c r="H2745" s="116"/>
      <c r="I2745" s="116"/>
      <c r="L2745" s="170">
        <v>46045</v>
      </c>
      <c r="M2745" s="116">
        <v>3932.2</v>
      </c>
      <c r="N2745" s="116">
        <v>4037.6</v>
      </c>
      <c r="O2745" s="116">
        <v>3903.7</v>
      </c>
      <c r="P2745" s="116">
        <v>4021</v>
      </c>
      <c r="Q2745" s="116">
        <v>3932.2</v>
      </c>
      <c r="R2745">
        <v>315842</v>
      </c>
    </row>
    <row r="2746" spans="1:18" x14ac:dyDescent="0.25">
      <c r="A2746" s="170">
        <v>46049</v>
      </c>
      <c r="B2746">
        <v>4012.85</v>
      </c>
      <c r="C2746">
        <v>3999.15</v>
      </c>
      <c r="D2746">
        <v>3913.3</v>
      </c>
      <c r="E2746">
        <v>3933.45</v>
      </c>
      <c r="F2746">
        <v>3999.15</v>
      </c>
      <c r="G2746">
        <v>2477</v>
      </c>
      <c r="H2746" s="116"/>
      <c r="I2746" s="116"/>
      <c r="L2746" s="170">
        <v>46049</v>
      </c>
      <c r="M2746" s="116">
        <v>3997.4</v>
      </c>
      <c r="N2746" s="116">
        <v>4012.9</v>
      </c>
      <c r="O2746" s="116">
        <v>3910.4</v>
      </c>
      <c r="P2746" s="116">
        <v>3968</v>
      </c>
      <c r="Q2746" s="116">
        <v>3997.4</v>
      </c>
      <c r="R2746">
        <v>249417</v>
      </c>
    </row>
    <row r="2747" spans="1:18" x14ac:dyDescent="0.25">
      <c r="A2747" s="170">
        <v>46050</v>
      </c>
      <c r="B2747">
        <v>4006.9</v>
      </c>
      <c r="C2747">
        <v>3956.05</v>
      </c>
      <c r="D2747">
        <v>3922.6</v>
      </c>
      <c r="E2747">
        <v>3949.8</v>
      </c>
      <c r="F2747">
        <v>3956.05</v>
      </c>
      <c r="G2747">
        <v>6898</v>
      </c>
      <c r="H2747" s="116"/>
      <c r="I2747" s="116"/>
      <c r="L2747" s="170">
        <v>46050</v>
      </c>
      <c r="M2747" s="116">
        <v>3958.7</v>
      </c>
      <c r="N2747" s="116">
        <v>4013.1</v>
      </c>
      <c r="O2747" s="116">
        <v>3922.5</v>
      </c>
      <c r="P2747" s="116">
        <v>3944.6</v>
      </c>
      <c r="Q2747" s="116">
        <v>3958.7</v>
      </c>
      <c r="R2747">
        <v>384358</v>
      </c>
    </row>
    <row r="2748" spans="1:18" x14ac:dyDescent="0.25">
      <c r="A2748" s="170">
        <v>46051</v>
      </c>
      <c r="B2748">
        <v>3966.8</v>
      </c>
      <c r="C2748">
        <v>3924.45</v>
      </c>
      <c r="D2748">
        <v>3900</v>
      </c>
      <c r="E2748">
        <v>3945</v>
      </c>
      <c r="F2748">
        <v>3924.45</v>
      </c>
      <c r="G2748">
        <v>2382</v>
      </c>
      <c r="H2748" s="116"/>
      <c r="I2748" s="116"/>
      <c r="L2748" s="170">
        <v>46051</v>
      </c>
      <c r="M2748" s="116">
        <v>3930.1</v>
      </c>
      <c r="N2748" s="116">
        <v>3970.2</v>
      </c>
      <c r="O2748" s="116">
        <v>3900</v>
      </c>
      <c r="P2748" s="116">
        <v>3936</v>
      </c>
      <c r="Q2748" s="116">
        <v>3930.1</v>
      </c>
      <c r="R2748">
        <v>219303</v>
      </c>
    </row>
    <row r="2749" spans="1:18" x14ac:dyDescent="0.25">
      <c r="A2749" s="170">
        <v>46052</v>
      </c>
      <c r="B2749">
        <v>4001.6</v>
      </c>
      <c r="C2749">
        <v>3959.75</v>
      </c>
      <c r="D2749">
        <v>3724.1</v>
      </c>
      <c r="E2749">
        <v>3930.1</v>
      </c>
      <c r="F2749">
        <v>3959.75</v>
      </c>
      <c r="G2749">
        <v>11075</v>
      </c>
      <c r="H2749" s="116"/>
      <c r="I2749" s="116"/>
      <c r="L2749" s="170">
        <v>46052</v>
      </c>
      <c r="M2749" s="116">
        <v>3960.8</v>
      </c>
      <c r="N2749" s="116">
        <v>4008.9</v>
      </c>
      <c r="O2749" s="116">
        <v>3695</v>
      </c>
      <c r="P2749" s="116">
        <v>3920</v>
      </c>
      <c r="Q2749" s="116">
        <v>3960.8</v>
      </c>
      <c r="R2749">
        <v>544103</v>
      </c>
    </row>
    <row r="2750" spans="1:18" x14ac:dyDescent="0.25">
      <c r="A2750" s="170">
        <v>46054</v>
      </c>
      <c r="B2750">
        <v>4017.5</v>
      </c>
      <c r="C2750">
        <v>3994</v>
      </c>
      <c r="D2750">
        <v>3855.55</v>
      </c>
      <c r="E2750">
        <v>3855.55</v>
      </c>
      <c r="F2750">
        <v>3994</v>
      </c>
      <c r="G2750">
        <v>1795</v>
      </c>
      <c r="H2750" s="116"/>
      <c r="I2750" s="116"/>
      <c r="L2750" s="170">
        <v>46054</v>
      </c>
      <c r="M2750" s="116">
        <v>3997.1</v>
      </c>
      <c r="N2750" s="116">
        <v>4018.3</v>
      </c>
      <c r="O2750" s="116">
        <v>3926.5</v>
      </c>
      <c r="P2750" s="116">
        <v>3980</v>
      </c>
      <c r="Q2750" s="116">
        <v>3997.1</v>
      </c>
      <c r="R2750">
        <v>127410</v>
      </c>
    </row>
    <row r="2751" spans="1:18" x14ac:dyDescent="0.25">
      <c r="A2751" s="170">
        <v>46055</v>
      </c>
      <c r="B2751">
        <v>4032</v>
      </c>
      <c r="C2751">
        <v>3990.15</v>
      </c>
      <c r="D2751">
        <v>3905.4</v>
      </c>
      <c r="E2751">
        <v>4030.3</v>
      </c>
      <c r="F2751">
        <v>3990.15</v>
      </c>
      <c r="G2751">
        <v>21861</v>
      </c>
      <c r="H2751" s="116"/>
      <c r="I2751" s="116"/>
      <c r="L2751" s="170">
        <v>46055</v>
      </c>
      <c r="M2751" s="116">
        <v>3987.2</v>
      </c>
      <c r="N2751" s="116">
        <v>4018.5</v>
      </c>
      <c r="O2751" s="116">
        <v>3903.9</v>
      </c>
      <c r="P2751" s="116">
        <v>4018.5</v>
      </c>
      <c r="Q2751" s="116">
        <v>3987.2</v>
      </c>
      <c r="R2751">
        <v>293121</v>
      </c>
    </row>
    <row r="2752" spans="1:18" x14ac:dyDescent="0.25">
      <c r="A2752" s="170">
        <v>46056</v>
      </c>
      <c r="B2752">
        <v>4104</v>
      </c>
      <c r="C2752">
        <v>4046.2</v>
      </c>
      <c r="D2752">
        <v>4010.7</v>
      </c>
      <c r="E2752">
        <v>4010.7</v>
      </c>
      <c r="F2752">
        <v>4046.2</v>
      </c>
      <c r="G2752">
        <v>5006</v>
      </c>
      <c r="H2752" s="116"/>
      <c r="I2752" s="116"/>
      <c r="L2752" s="170">
        <v>46056</v>
      </c>
      <c r="M2752" s="116">
        <v>4045.6</v>
      </c>
      <c r="N2752" s="116">
        <v>4104.1000000000004</v>
      </c>
      <c r="O2752" s="116">
        <v>4010.2</v>
      </c>
      <c r="P2752" s="116">
        <v>4039.9</v>
      </c>
      <c r="Q2752" s="116">
        <v>4045.6</v>
      </c>
      <c r="R2752">
        <v>464524</v>
      </c>
    </row>
    <row r="2753" spans="1:18" x14ac:dyDescent="0.25">
      <c r="A2753" s="170">
        <v>46057</v>
      </c>
      <c r="B2753">
        <v>4101.8500000000004</v>
      </c>
      <c r="C2753">
        <v>4028.6</v>
      </c>
      <c r="D2753">
        <v>3988.55</v>
      </c>
      <c r="E2753">
        <v>4101.8500000000004</v>
      </c>
      <c r="F2753">
        <v>4028.6</v>
      </c>
      <c r="G2753">
        <v>5400</v>
      </c>
      <c r="H2753" s="116"/>
      <c r="I2753" s="116"/>
      <c r="L2753" s="170">
        <v>46057</v>
      </c>
      <c r="M2753" s="116">
        <v>4023.5</v>
      </c>
      <c r="N2753" s="116">
        <v>4068.1</v>
      </c>
      <c r="O2753" s="116">
        <v>3986.7</v>
      </c>
      <c r="P2753" s="116">
        <v>4066</v>
      </c>
      <c r="Q2753" s="116">
        <v>4023.5</v>
      </c>
      <c r="R2753">
        <v>319619</v>
      </c>
    </row>
    <row r="2754" spans="1:18" x14ac:dyDescent="0.25">
      <c r="A2754" s="170">
        <v>46058</v>
      </c>
      <c r="B2754">
        <v>4033</v>
      </c>
      <c r="C2754">
        <v>3973.05</v>
      </c>
      <c r="D2754">
        <v>3940</v>
      </c>
      <c r="E2754">
        <v>4033</v>
      </c>
      <c r="F2754">
        <v>3973.05</v>
      </c>
      <c r="G2754">
        <v>3155</v>
      </c>
      <c r="H2754" s="116"/>
      <c r="I2754" s="116"/>
      <c r="L2754" s="170">
        <v>46058</v>
      </c>
      <c r="M2754" s="116">
        <v>3976.4</v>
      </c>
      <c r="N2754" s="116">
        <v>4029.9</v>
      </c>
      <c r="O2754" s="116">
        <v>3931.8</v>
      </c>
      <c r="P2754" s="116">
        <v>4029.9</v>
      </c>
      <c r="Q2754" s="116">
        <v>3976.4</v>
      </c>
      <c r="R2754">
        <v>230235</v>
      </c>
    </row>
    <row r="2755" spans="1:18" x14ac:dyDescent="0.25">
      <c r="A2755" s="170">
        <v>46059</v>
      </c>
      <c r="B2755">
        <v>3979.65</v>
      </c>
      <c r="C2755">
        <v>3939.65</v>
      </c>
      <c r="D2755">
        <v>3916.05</v>
      </c>
      <c r="E2755">
        <v>3979.65</v>
      </c>
      <c r="F2755">
        <v>3939.65</v>
      </c>
      <c r="G2755">
        <v>19324</v>
      </c>
      <c r="H2755" s="116"/>
      <c r="I2755" s="116"/>
      <c r="L2755" s="170">
        <v>46059</v>
      </c>
      <c r="M2755" s="116">
        <v>3939</v>
      </c>
      <c r="N2755" s="116">
        <v>3963.1</v>
      </c>
      <c r="O2755" s="116">
        <v>3908.8</v>
      </c>
      <c r="P2755" s="116">
        <v>3963.1</v>
      </c>
      <c r="Q2755" s="116">
        <v>3939</v>
      </c>
      <c r="R2755">
        <v>231319</v>
      </c>
    </row>
    <row r="2756" spans="1:18" x14ac:dyDescent="0.25">
      <c r="A2756" s="170">
        <v>46062</v>
      </c>
      <c r="B2756">
        <v>4018</v>
      </c>
      <c r="C2756">
        <v>3995.6</v>
      </c>
      <c r="D2756">
        <v>3934.9</v>
      </c>
      <c r="E2756">
        <v>3950.2</v>
      </c>
      <c r="F2756">
        <v>3995.6</v>
      </c>
      <c r="G2756">
        <v>1861</v>
      </c>
      <c r="H2756" s="116"/>
      <c r="I2756" s="116"/>
      <c r="L2756" s="170">
        <v>46062</v>
      </c>
      <c r="M2756" s="116">
        <v>3997.2</v>
      </c>
      <c r="N2756" s="116">
        <v>4018.7</v>
      </c>
      <c r="O2756" s="116">
        <v>3936.2</v>
      </c>
      <c r="P2756" s="116">
        <v>3968.5</v>
      </c>
      <c r="Q2756" s="116">
        <v>3997.2</v>
      </c>
      <c r="R2756">
        <v>483762</v>
      </c>
    </row>
    <row r="2757" spans="1:18" x14ac:dyDescent="0.25">
      <c r="A2757" s="170">
        <v>46063</v>
      </c>
      <c r="B2757">
        <v>4086.85</v>
      </c>
      <c r="C2757">
        <v>4079.3</v>
      </c>
      <c r="D2757">
        <v>3967.6</v>
      </c>
      <c r="E2757">
        <v>3967.6</v>
      </c>
      <c r="F2757">
        <v>4079.3</v>
      </c>
      <c r="G2757">
        <v>2639</v>
      </c>
      <c r="H2757" s="116"/>
      <c r="I2757" s="116"/>
      <c r="L2757" s="170">
        <v>46063</v>
      </c>
      <c r="M2757" s="116">
        <v>4079.6</v>
      </c>
      <c r="N2757" s="116">
        <v>4085</v>
      </c>
      <c r="O2757" s="116">
        <v>4008.2</v>
      </c>
      <c r="P2757" s="116">
        <v>4009</v>
      </c>
      <c r="Q2757" s="116">
        <v>4079.6</v>
      </c>
      <c r="R2757">
        <v>192731</v>
      </c>
    </row>
    <row r="2758" spans="1:18" x14ac:dyDescent="0.25">
      <c r="A2758" s="170">
        <v>46064</v>
      </c>
      <c r="B2758">
        <v>4239.95</v>
      </c>
      <c r="C2758">
        <v>4056.8</v>
      </c>
      <c r="D2758">
        <v>4040.65</v>
      </c>
      <c r="E2758">
        <v>4239.95</v>
      </c>
      <c r="F2758">
        <v>4056.8</v>
      </c>
      <c r="G2758">
        <v>57668</v>
      </c>
      <c r="H2758" s="116"/>
      <c r="I2758" s="116"/>
      <c r="L2758" s="170">
        <v>46064</v>
      </c>
      <c r="M2758" s="116">
        <v>4056.7</v>
      </c>
      <c r="N2758" s="116">
        <v>4092.9</v>
      </c>
      <c r="O2758" s="116">
        <v>4041</v>
      </c>
      <c r="P2758" s="116">
        <v>4085</v>
      </c>
      <c r="Q2758" s="116">
        <v>4056.7</v>
      </c>
      <c r="R2758">
        <v>127696</v>
      </c>
    </row>
    <row r="2759" spans="1:18" x14ac:dyDescent="0.25">
      <c r="A2759" s="170">
        <v>46065</v>
      </c>
      <c r="B2759">
        <v>4091</v>
      </c>
      <c r="C2759">
        <v>4081.6</v>
      </c>
      <c r="D2759">
        <v>4025</v>
      </c>
      <c r="E2759">
        <v>4040</v>
      </c>
      <c r="F2759">
        <v>4081.6</v>
      </c>
      <c r="G2759">
        <v>2273</v>
      </c>
      <c r="H2759" s="116"/>
      <c r="I2759" s="116"/>
      <c r="L2759" s="170">
        <v>46065</v>
      </c>
      <c r="M2759" s="116">
        <v>4077.2</v>
      </c>
      <c r="N2759" s="116">
        <v>4098.8999999999996</v>
      </c>
      <c r="O2759" s="116">
        <v>4027</v>
      </c>
      <c r="P2759" s="116">
        <v>4056.7</v>
      </c>
      <c r="Q2759" s="116">
        <v>4077.2</v>
      </c>
      <c r="R2759">
        <v>223391</v>
      </c>
    </row>
    <row r="2760" spans="1:18" x14ac:dyDescent="0.25">
      <c r="A2760" s="170">
        <v>46066</v>
      </c>
      <c r="B2760">
        <v>4130.95</v>
      </c>
      <c r="C2760">
        <v>4074.05</v>
      </c>
      <c r="D2760">
        <v>4011.25</v>
      </c>
      <c r="E2760">
        <v>4011.25</v>
      </c>
      <c r="F2760">
        <v>4074.05</v>
      </c>
      <c r="G2760">
        <v>9040</v>
      </c>
      <c r="H2760" s="116"/>
      <c r="I2760" s="116"/>
      <c r="L2760" s="170">
        <v>46066</v>
      </c>
      <c r="M2760" s="116">
        <v>4078</v>
      </c>
      <c r="N2760" s="116">
        <v>4130</v>
      </c>
      <c r="O2760" s="116">
        <v>4057.3</v>
      </c>
      <c r="P2760" s="116">
        <v>4077.2</v>
      </c>
      <c r="Q2760" s="116">
        <v>4078</v>
      </c>
      <c r="R2760">
        <v>518965</v>
      </c>
    </row>
    <row r="2761" spans="1:18" x14ac:dyDescent="0.25">
      <c r="A2761" s="170">
        <v>46069</v>
      </c>
      <c r="B2761">
        <v>4322.8</v>
      </c>
      <c r="C2761">
        <v>4260.45</v>
      </c>
      <c r="D2761">
        <v>4130</v>
      </c>
      <c r="E2761">
        <v>4154.95</v>
      </c>
      <c r="F2761">
        <v>4260.45</v>
      </c>
      <c r="G2761">
        <v>68325</v>
      </c>
      <c r="H2761" s="116"/>
      <c r="I2761" s="116"/>
      <c r="L2761" s="170">
        <v>46069</v>
      </c>
      <c r="M2761" s="116">
        <v>4261.5</v>
      </c>
      <c r="N2761" s="116">
        <v>4324.8999999999996</v>
      </c>
      <c r="O2761" s="116">
        <v>4118</v>
      </c>
      <c r="P2761" s="116">
        <v>4144.3</v>
      </c>
      <c r="Q2761" s="116">
        <v>4261.5</v>
      </c>
      <c r="R2761">
        <v>1639922</v>
      </c>
    </row>
    <row r="2762" spans="1:18" x14ac:dyDescent="0.25">
      <c r="A2762" s="170">
        <v>46070</v>
      </c>
      <c r="B2762">
        <v>4279.95</v>
      </c>
      <c r="C2762">
        <v>4258.55</v>
      </c>
      <c r="D2762">
        <v>4215.3999999999996</v>
      </c>
      <c r="E2762">
        <v>4279.95</v>
      </c>
      <c r="F2762">
        <v>4258.55</v>
      </c>
      <c r="G2762">
        <v>5890</v>
      </c>
      <c r="H2762" s="116"/>
      <c r="I2762" s="116"/>
      <c r="L2762" s="170">
        <v>46070</v>
      </c>
      <c r="M2762" s="116">
        <v>4258.3999999999996</v>
      </c>
      <c r="N2762" s="116">
        <v>4276.1000000000004</v>
      </c>
      <c r="O2762" s="116">
        <v>4218.5</v>
      </c>
      <c r="P2762" s="116">
        <v>4271.5</v>
      </c>
      <c r="Q2762" s="116">
        <v>4258.3999999999996</v>
      </c>
      <c r="R2762">
        <v>250826</v>
      </c>
    </row>
    <row r="2763" spans="1:18" x14ac:dyDescent="0.25">
      <c r="A2763" s="170">
        <v>46071</v>
      </c>
      <c r="B2763">
        <v>4264.6000000000004</v>
      </c>
      <c r="C2763">
        <v>4209.8</v>
      </c>
      <c r="D2763">
        <v>4186.2</v>
      </c>
      <c r="E2763">
        <v>4258.55</v>
      </c>
      <c r="F2763">
        <v>4209.8</v>
      </c>
      <c r="G2763">
        <v>4484</v>
      </c>
      <c r="H2763" s="116"/>
      <c r="I2763" s="116"/>
      <c r="L2763" s="170">
        <v>46071</v>
      </c>
      <c r="M2763" s="116">
        <v>4210.8</v>
      </c>
      <c r="N2763" s="116">
        <v>4269.8999999999996</v>
      </c>
      <c r="O2763" s="116">
        <v>4186.6000000000004</v>
      </c>
      <c r="P2763" s="116">
        <v>4258.3999999999996</v>
      </c>
      <c r="Q2763" s="116">
        <v>4210.8</v>
      </c>
      <c r="R2763">
        <v>347894</v>
      </c>
    </row>
    <row r="2764" spans="1:18" x14ac:dyDescent="0.25">
      <c r="A2764" s="170">
        <v>46072</v>
      </c>
      <c r="B2764">
        <v>4335.75</v>
      </c>
      <c r="C2764">
        <v>4222.3500000000004</v>
      </c>
      <c r="D2764">
        <v>4208.45</v>
      </c>
      <c r="E2764">
        <v>4212.95</v>
      </c>
      <c r="F2764">
        <v>4222.3500000000004</v>
      </c>
      <c r="G2764">
        <v>40567</v>
      </c>
      <c r="H2764" s="116"/>
      <c r="I2764" s="116"/>
      <c r="L2764" s="170">
        <v>46072</v>
      </c>
      <c r="M2764" s="116">
        <v>4226.3999999999996</v>
      </c>
      <c r="N2764" s="116">
        <v>4280.7</v>
      </c>
      <c r="O2764" s="116">
        <v>4205</v>
      </c>
      <c r="P2764" s="116">
        <v>4238.7</v>
      </c>
      <c r="Q2764" s="116">
        <v>4226.3999999999996</v>
      </c>
      <c r="R2764">
        <v>436183</v>
      </c>
    </row>
    <row r="2765" spans="1:18" x14ac:dyDescent="0.25">
      <c r="A2765" s="170">
        <v>46073</v>
      </c>
      <c r="B2765">
        <v>4247.2</v>
      </c>
      <c r="C2765">
        <v>4237.8</v>
      </c>
      <c r="D2765">
        <v>4184.8500000000004</v>
      </c>
      <c r="E2765">
        <v>4246.1499999999996</v>
      </c>
      <c r="F2765">
        <v>4237.8</v>
      </c>
      <c r="G2765">
        <v>4512</v>
      </c>
      <c r="H2765" s="116"/>
      <c r="I2765" s="116"/>
      <c r="L2765" s="170">
        <v>46073</v>
      </c>
      <c r="M2765" s="116">
        <v>4241.7</v>
      </c>
      <c r="N2765" s="116">
        <v>4250.3999999999996</v>
      </c>
      <c r="O2765" s="116">
        <v>4175.5</v>
      </c>
      <c r="P2765" s="116">
        <v>4224.1000000000004</v>
      </c>
      <c r="Q2765" s="116">
        <v>4241.7</v>
      </c>
      <c r="R2765">
        <v>341529</v>
      </c>
    </row>
    <row r="2766" spans="1:18" x14ac:dyDescent="0.25">
      <c r="A2766" s="170">
        <v>46076</v>
      </c>
      <c r="B2766">
        <v>4325</v>
      </c>
      <c r="C2766">
        <v>4311.6499999999996</v>
      </c>
      <c r="D2766">
        <v>4246.1499999999996</v>
      </c>
      <c r="E2766">
        <v>4265</v>
      </c>
      <c r="F2766">
        <v>4311.6499999999996</v>
      </c>
      <c r="G2766">
        <v>3531</v>
      </c>
      <c r="H2766" s="116"/>
      <c r="I2766" s="116"/>
      <c r="L2766" s="170">
        <v>46076</v>
      </c>
      <c r="M2766" s="116">
        <v>4307.6000000000004</v>
      </c>
      <c r="N2766" s="116">
        <v>4325</v>
      </c>
      <c r="O2766" s="116">
        <v>4244</v>
      </c>
      <c r="P2766" s="116">
        <v>4276.1000000000004</v>
      </c>
      <c r="Q2766" s="116">
        <v>4307.6000000000004</v>
      </c>
      <c r="R2766">
        <v>299321</v>
      </c>
    </row>
    <row r="2767" spans="1:18" x14ac:dyDescent="0.25">
      <c r="A2767" s="170">
        <v>46077</v>
      </c>
      <c r="B2767">
        <v>4422.95</v>
      </c>
      <c r="C2767">
        <v>4398.7</v>
      </c>
      <c r="D2767">
        <v>4277.8500000000004</v>
      </c>
      <c r="E2767">
        <v>4300.8999999999996</v>
      </c>
      <c r="F2767">
        <v>4398.7</v>
      </c>
      <c r="G2767">
        <v>19640</v>
      </c>
      <c r="H2767" s="116"/>
      <c r="I2767" s="116"/>
      <c r="L2767" s="170">
        <v>46077</v>
      </c>
      <c r="M2767" s="116">
        <v>4397.8999999999996</v>
      </c>
      <c r="N2767" s="116">
        <v>4423</v>
      </c>
      <c r="O2767" s="116">
        <v>4281.5</v>
      </c>
      <c r="P2767" s="116">
        <v>4307</v>
      </c>
      <c r="Q2767" s="116">
        <v>4397.8999999999996</v>
      </c>
      <c r="R2767">
        <v>846802</v>
      </c>
    </row>
    <row r="2768" spans="1:18" x14ac:dyDescent="0.25">
      <c r="A2768" s="170">
        <v>46078</v>
      </c>
      <c r="B2768">
        <v>4443</v>
      </c>
      <c r="C2768">
        <v>4419.8</v>
      </c>
      <c r="D2768">
        <v>4357</v>
      </c>
      <c r="E2768">
        <v>4410.55</v>
      </c>
      <c r="F2768">
        <v>4419.8</v>
      </c>
      <c r="G2768">
        <v>6991</v>
      </c>
      <c r="H2768" s="116"/>
      <c r="I2768" s="116"/>
      <c r="L2768" s="170">
        <v>46078</v>
      </c>
      <c r="M2768" s="116">
        <v>4418.8999999999996</v>
      </c>
      <c r="N2768" s="116">
        <v>4443.5</v>
      </c>
      <c r="O2768" s="116">
        <v>4358</v>
      </c>
      <c r="P2768" s="116">
        <v>4420</v>
      </c>
      <c r="Q2768" s="116">
        <v>4418.8999999999996</v>
      </c>
      <c r="R2768">
        <v>359916</v>
      </c>
    </row>
    <row r="2769" spans="1:18" x14ac:dyDescent="0.25">
      <c r="A2769" s="170">
        <v>46079</v>
      </c>
      <c r="B2769">
        <v>4469.3500000000004</v>
      </c>
      <c r="C2769">
        <v>4400.2</v>
      </c>
      <c r="D2769">
        <v>4389.3500000000004</v>
      </c>
      <c r="E2769">
        <v>4421.5</v>
      </c>
      <c r="F2769">
        <v>4400.2</v>
      </c>
      <c r="G2769">
        <v>20967</v>
      </c>
      <c r="H2769" s="116"/>
      <c r="I2769" s="116"/>
      <c r="L2769" s="170">
        <v>46079</v>
      </c>
      <c r="M2769" s="116">
        <v>4399.8</v>
      </c>
      <c r="N2769" s="116">
        <v>4470</v>
      </c>
      <c r="O2769" s="116">
        <v>4389.2</v>
      </c>
      <c r="P2769" s="116">
        <v>4418.8999999999996</v>
      </c>
      <c r="Q2769" s="116">
        <v>4399.8</v>
      </c>
      <c r="R2769">
        <v>360650</v>
      </c>
    </row>
    <row r="2770" spans="1:18" x14ac:dyDescent="0.25">
      <c r="A2770" s="170">
        <v>46080</v>
      </c>
      <c r="B2770">
        <v>4421.1000000000004</v>
      </c>
      <c r="C2770">
        <v>4337.5</v>
      </c>
      <c r="D2770">
        <v>4323.1000000000004</v>
      </c>
      <c r="E2770">
        <v>4404.55</v>
      </c>
      <c r="F2770">
        <v>4337.5</v>
      </c>
      <c r="G2770">
        <v>9415</v>
      </c>
      <c r="H2770" s="116"/>
      <c r="I2770" s="116"/>
      <c r="L2770" s="170">
        <v>46080</v>
      </c>
      <c r="M2770" s="116">
        <v>4333.3</v>
      </c>
      <c r="N2770" s="116">
        <v>4425</v>
      </c>
      <c r="O2770" s="116">
        <v>4322.7</v>
      </c>
      <c r="P2770" s="116">
        <v>4420.3</v>
      </c>
      <c r="Q2770" s="116">
        <v>4333.3</v>
      </c>
      <c r="R2770">
        <v>404933</v>
      </c>
    </row>
    <row r="2771" spans="1:18" x14ac:dyDescent="0.25">
      <c r="A2771" s="170">
        <v>46083</v>
      </c>
      <c r="B2771">
        <v>4396.3</v>
      </c>
      <c r="C2771">
        <v>4371.05</v>
      </c>
      <c r="D2771">
        <v>4005.95</v>
      </c>
      <c r="E2771">
        <v>4005.95</v>
      </c>
      <c r="F2771">
        <v>4371.05</v>
      </c>
      <c r="G2771">
        <v>9174</v>
      </c>
      <c r="H2771" s="116"/>
      <c r="I2771" s="116"/>
      <c r="L2771" s="170">
        <v>46083</v>
      </c>
      <c r="M2771" s="116">
        <v>4369.2</v>
      </c>
      <c r="N2771" s="116">
        <v>4397.5</v>
      </c>
      <c r="O2771" s="116">
        <v>4175.2</v>
      </c>
      <c r="P2771" s="116">
        <v>4191</v>
      </c>
      <c r="Q2771" s="116">
        <v>4369.2</v>
      </c>
      <c r="R2771">
        <v>231767</v>
      </c>
    </row>
    <row r="2772" spans="1:18" x14ac:dyDescent="0.25">
      <c r="A2772" s="170">
        <v>46085</v>
      </c>
      <c r="B2772">
        <v>4359.3</v>
      </c>
      <c r="C2772">
        <v>4341.95</v>
      </c>
      <c r="D2772">
        <v>4284.45</v>
      </c>
      <c r="E2772">
        <v>4284.45</v>
      </c>
      <c r="F2772">
        <v>4341.95</v>
      </c>
      <c r="G2772">
        <v>9565</v>
      </c>
      <c r="H2772" s="116"/>
      <c r="I2772" s="116"/>
      <c r="L2772" s="170">
        <v>46085</v>
      </c>
      <c r="M2772" s="116">
        <v>4341</v>
      </c>
      <c r="N2772" s="116">
        <v>4364.8999999999996</v>
      </c>
      <c r="O2772" s="116">
        <v>4285.1000000000004</v>
      </c>
      <c r="P2772" s="116">
        <v>4310.1000000000004</v>
      </c>
      <c r="Q2772" s="116">
        <v>4341</v>
      </c>
      <c r="R2772">
        <v>433704</v>
      </c>
    </row>
    <row r="2773" spans="1:18" x14ac:dyDescent="0.25">
      <c r="A2773" s="170">
        <v>46086</v>
      </c>
      <c r="B2773">
        <v>4391.2</v>
      </c>
      <c r="C2773">
        <v>4353.1499999999996</v>
      </c>
      <c r="D2773">
        <v>4330.05</v>
      </c>
      <c r="E2773">
        <v>4348</v>
      </c>
      <c r="F2773">
        <v>4353.1499999999996</v>
      </c>
      <c r="G2773">
        <v>4145</v>
      </c>
      <c r="H2773" s="116"/>
      <c r="I2773" s="116"/>
      <c r="L2773" s="170">
        <v>46086</v>
      </c>
      <c r="M2773" s="116">
        <v>4353.3999999999996</v>
      </c>
      <c r="N2773" s="116">
        <v>4394.3999999999996</v>
      </c>
      <c r="O2773" s="116">
        <v>4328.8999999999996</v>
      </c>
      <c r="P2773" s="116">
        <v>4348.8999999999996</v>
      </c>
      <c r="Q2773" s="116">
        <v>4353.3999999999996</v>
      </c>
      <c r="R2773">
        <v>284382</v>
      </c>
    </row>
    <row r="2774" spans="1:18" x14ac:dyDescent="0.25">
      <c r="A2774" s="170">
        <v>46087</v>
      </c>
      <c r="B2774">
        <v>4389.3999999999996</v>
      </c>
      <c r="C2774">
        <v>4308.05</v>
      </c>
      <c r="D2774">
        <v>4296.05</v>
      </c>
      <c r="E2774">
        <v>4389.3999999999996</v>
      </c>
      <c r="F2774">
        <v>4308.05</v>
      </c>
      <c r="G2774">
        <v>6204</v>
      </c>
      <c r="H2774" s="116"/>
      <c r="I2774" s="116"/>
      <c r="L2774" s="170">
        <v>46087</v>
      </c>
      <c r="M2774" s="116">
        <v>4317.8</v>
      </c>
      <c r="N2774" s="116">
        <v>4380.3</v>
      </c>
      <c r="O2774" s="116">
        <v>4287</v>
      </c>
      <c r="P2774" s="116">
        <v>4353.5</v>
      </c>
      <c r="Q2774" s="116">
        <v>4317.8</v>
      </c>
      <c r="R2774">
        <v>413700</v>
      </c>
    </row>
    <row r="2775" spans="1:18" x14ac:dyDescent="0.25">
      <c r="A2775" s="170">
        <v>46090</v>
      </c>
      <c r="B2775">
        <v>4382.3500000000004</v>
      </c>
      <c r="C2775">
        <v>4370.8</v>
      </c>
      <c r="D2775">
        <v>4258.5</v>
      </c>
      <c r="E2775">
        <v>4291.8999999999996</v>
      </c>
      <c r="F2775">
        <v>4370.8</v>
      </c>
      <c r="G2775">
        <v>4311</v>
      </c>
      <c r="H2775" s="116"/>
      <c r="I2775" s="116"/>
      <c r="L2775" s="170">
        <v>46090</v>
      </c>
      <c r="M2775" s="116">
        <v>4373.7</v>
      </c>
      <c r="N2775" s="116">
        <v>4388.3999999999996</v>
      </c>
      <c r="O2775" s="116">
        <v>4259.2</v>
      </c>
      <c r="P2775" s="116">
        <v>4295</v>
      </c>
      <c r="Q2775" s="116">
        <v>4373.7</v>
      </c>
      <c r="R2775">
        <v>470670</v>
      </c>
    </row>
    <row r="2776" spans="1:18" x14ac:dyDescent="0.25">
      <c r="A2776" s="170">
        <v>46091</v>
      </c>
      <c r="B2776">
        <v>4470</v>
      </c>
      <c r="C2776">
        <v>4425.8500000000004</v>
      </c>
      <c r="D2776">
        <v>4393.5</v>
      </c>
      <c r="E2776">
        <v>4399.95</v>
      </c>
      <c r="F2776">
        <v>4425.8500000000004</v>
      </c>
      <c r="G2776">
        <v>11995</v>
      </c>
      <c r="H2776" s="116"/>
      <c r="I2776" s="116"/>
      <c r="L2776" s="170">
        <v>46091</v>
      </c>
      <c r="M2776" s="116">
        <v>4427.8</v>
      </c>
      <c r="N2776" s="116">
        <v>4470</v>
      </c>
      <c r="O2776" s="116">
        <v>4389</v>
      </c>
      <c r="P2776" s="116">
        <v>4393.7</v>
      </c>
      <c r="Q2776" s="116">
        <v>4427.8</v>
      </c>
      <c r="R2776">
        <v>374410</v>
      </c>
    </row>
    <row r="2777" spans="1:18" x14ac:dyDescent="0.25">
      <c r="A2777" s="170">
        <v>46092</v>
      </c>
      <c r="B2777">
        <v>4456.1000000000004</v>
      </c>
      <c r="C2777">
        <v>4429.25</v>
      </c>
      <c r="D2777">
        <v>4416.55</v>
      </c>
      <c r="E2777">
        <v>4430.3999999999996</v>
      </c>
      <c r="F2777">
        <v>4429.25</v>
      </c>
      <c r="G2777">
        <v>14183</v>
      </c>
      <c r="H2777" s="116"/>
      <c r="I2777" s="116"/>
      <c r="L2777" s="170">
        <v>46092</v>
      </c>
      <c r="M2777" s="116">
        <v>4431.2</v>
      </c>
      <c r="N2777" s="116">
        <v>4456.3999999999996</v>
      </c>
      <c r="O2777" s="116">
        <v>4413.1000000000004</v>
      </c>
      <c r="P2777" s="116">
        <v>4450</v>
      </c>
      <c r="Q2777" s="116">
        <v>4431.2</v>
      </c>
      <c r="R2777">
        <v>311569</v>
      </c>
    </row>
    <row r="2778" spans="1:18" x14ac:dyDescent="0.25">
      <c r="A2778" s="170">
        <v>46093</v>
      </c>
      <c r="B2778">
        <v>4460.1000000000004</v>
      </c>
      <c r="C2778">
        <v>4444.75</v>
      </c>
      <c r="D2778">
        <v>4391.1499999999996</v>
      </c>
      <c r="E2778">
        <v>4413</v>
      </c>
      <c r="F2778">
        <v>4444.75</v>
      </c>
      <c r="G2778">
        <v>2513</v>
      </c>
      <c r="H2778" s="116"/>
      <c r="I2778" s="116"/>
      <c r="L2778" s="170">
        <v>46093</v>
      </c>
      <c r="M2778" s="116">
        <v>4446</v>
      </c>
      <c r="N2778" s="116">
        <v>4460.2</v>
      </c>
      <c r="O2778" s="116">
        <v>4391</v>
      </c>
      <c r="P2778" s="116">
        <v>4406</v>
      </c>
      <c r="Q2778" s="116">
        <v>4446</v>
      </c>
      <c r="R2778">
        <v>322856</v>
      </c>
    </row>
    <row r="2779" spans="1:18" x14ac:dyDescent="0.25">
      <c r="A2779" s="170">
        <v>46094</v>
      </c>
      <c r="B2779">
        <v>4479.7</v>
      </c>
      <c r="C2779">
        <v>4388</v>
      </c>
      <c r="D2779">
        <v>4364.8500000000004</v>
      </c>
      <c r="E2779">
        <v>4460.1499999999996</v>
      </c>
      <c r="F2779">
        <v>4388</v>
      </c>
      <c r="G2779">
        <v>29318</v>
      </c>
      <c r="H2779" s="116"/>
      <c r="I2779" s="116"/>
      <c r="L2779" s="170">
        <v>46094</v>
      </c>
      <c r="M2779" s="116">
        <v>4390</v>
      </c>
      <c r="N2779" s="116">
        <v>4482.8999999999996</v>
      </c>
      <c r="O2779" s="116">
        <v>4360</v>
      </c>
      <c r="P2779" s="116">
        <v>4422.1000000000004</v>
      </c>
      <c r="Q2779" s="116">
        <v>4390</v>
      </c>
      <c r="R2779">
        <v>572557</v>
      </c>
    </row>
    <row r="2780" spans="1:18" x14ac:dyDescent="0.25">
      <c r="A2780" s="170">
        <v>46097</v>
      </c>
      <c r="B2780">
        <v>4434.3</v>
      </c>
      <c r="C2780">
        <v>4263.05</v>
      </c>
      <c r="D2780">
        <v>4247.05</v>
      </c>
      <c r="E2780">
        <v>4330.3500000000004</v>
      </c>
      <c r="F2780">
        <v>4263.05</v>
      </c>
      <c r="G2780">
        <v>7467</v>
      </c>
      <c r="H2780" s="116"/>
      <c r="I2780" s="116"/>
      <c r="L2780" s="170">
        <v>46097</v>
      </c>
      <c r="M2780" s="116">
        <v>4266.6000000000004</v>
      </c>
      <c r="N2780" s="116">
        <v>4443.8999999999996</v>
      </c>
      <c r="O2780" s="116">
        <v>4244.2</v>
      </c>
      <c r="P2780" s="116">
        <v>4390</v>
      </c>
      <c r="Q2780" s="116">
        <v>4266.6000000000004</v>
      </c>
      <c r="R2780">
        <v>397033</v>
      </c>
    </row>
    <row r="2781" spans="1:18" x14ac:dyDescent="0.25">
      <c r="A2781" s="170">
        <v>46098</v>
      </c>
      <c r="B2781">
        <v>4340</v>
      </c>
      <c r="C2781">
        <v>4305.95</v>
      </c>
      <c r="D2781">
        <v>4245.6499999999996</v>
      </c>
      <c r="E2781">
        <v>4299.95</v>
      </c>
      <c r="F2781">
        <v>4305.95</v>
      </c>
      <c r="G2781">
        <v>3280</v>
      </c>
      <c r="H2781" s="116"/>
      <c r="I2781" s="116"/>
      <c r="L2781" s="170">
        <v>46098</v>
      </c>
      <c r="M2781" s="116">
        <v>4305.5</v>
      </c>
      <c r="N2781" s="116">
        <v>4341.6000000000004</v>
      </c>
      <c r="O2781" s="116">
        <v>4242.7</v>
      </c>
      <c r="P2781" s="116">
        <v>4266.6000000000004</v>
      </c>
      <c r="Q2781" s="116">
        <v>4305.5</v>
      </c>
      <c r="R2781">
        <v>438235</v>
      </c>
    </row>
    <row r="2782" spans="1:18" x14ac:dyDescent="0.25">
      <c r="A2782" s="170">
        <v>46099</v>
      </c>
      <c r="B2782">
        <v>4347.5</v>
      </c>
      <c r="C2782">
        <v>4291.75</v>
      </c>
      <c r="D2782">
        <v>4250.55</v>
      </c>
      <c r="E2782">
        <v>4347.5</v>
      </c>
      <c r="F2782">
        <v>4291.75</v>
      </c>
      <c r="G2782">
        <v>4693</v>
      </c>
      <c r="H2782" s="116"/>
      <c r="I2782" s="116"/>
      <c r="L2782" s="170">
        <v>46099</v>
      </c>
      <c r="M2782" s="116">
        <v>4289.3</v>
      </c>
      <c r="N2782" s="116">
        <v>4323.8999999999996</v>
      </c>
      <c r="O2782" s="116">
        <v>4251</v>
      </c>
      <c r="P2782" s="116">
        <v>4306</v>
      </c>
      <c r="Q2782" s="116">
        <v>4289.3</v>
      </c>
      <c r="R2782">
        <v>239014</v>
      </c>
    </row>
    <row r="2783" spans="1:18" x14ac:dyDescent="0.25">
      <c r="A2783" s="170">
        <v>46100</v>
      </c>
      <c r="B2783">
        <v>4254.95</v>
      </c>
      <c r="C2783">
        <v>4209.1499999999996</v>
      </c>
      <c r="D2783">
        <v>4200</v>
      </c>
      <c r="E2783">
        <v>4211.6000000000004</v>
      </c>
      <c r="F2783">
        <v>4209.1499999999996</v>
      </c>
      <c r="G2783">
        <v>4929</v>
      </c>
      <c r="H2783" s="116"/>
      <c r="I2783" s="116"/>
      <c r="L2783" s="170">
        <v>46100</v>
      </c>
      <c r="M2783" s="116">
        <v>4210.8</v>
      </c>
      <c r="N2783" s="116">
        <v>4257.3999999999996</v>
      </c>
      <c r="O2783" s="116">
        <v>4199</v>
      </c>
      <c r="P2783" s="116">
        <v>4250</v>
      </c>
      <c r="Q2783" s="116">
        <v>4210.8</v>
      </c>
      <c r="R2783">
        <v>203313</v>
      </c>
    </row>
    <row r="2784" spans="1:18" x14ac:dyDescent="0.25">
      <c r="A2784" s="170">
        <v>46101</v>
      </c>
      <c r="B2784">
        <v>4309.8</v>
      </c>
      <c r="C2784">
        <v>4267.75</v>
      </c>
      <c r="D2784">
        <v>4201.8</v>
      </c>
      <c r="E2784">
        <v>4201.8</v>
      </c>
      <c r="F2784">
        <v>4267.75</v>
      </c>
      <c r="G2784">
        <v>2222</v>
      </c>
      <c r="H2784" s="116"/>
      <c r="I2784" s="116"/>
      <c r="L2784" s="170">
        <v>46101</v>
      </c>
      <c r="M2784" s="116">
        <v>4270.2</v>
      </c>
      <c r="N2784" s="116">
        <v>4313.7</v>
      </c>
      <c r="O2784" s="116">
        <v>4205.8</v>
      </c>
      <c r="P2784" s="116">
        <v>4210.8</v>
      </c>
      <c r="Q2784" s="116">
        <v>4270.2</v>
      </c>
      <c r="R2784">
        <v>269110</v>
      </c>
    </row>
    <row r="2785" spans="1:18" x14ac:dyDescent="0.25">
      <c r="A2785" s="170">
        <v>46104</v>
      </c>
      <c r="B2785">
        <v>4279.8999999999996</v>
      </c>
      <c r="C2785">
        <v>4213.95</v>
      </c>
      <c r="D2785">
        <v>4163.8500000000004</v>
      </c>
      <c r="E2785">
        <v>4279.8999999999996</v>
      </c>
      <c r="F2785">
        <v>4213.95</v>
      </c>
      <c r="G2785">
        <v>11285</v>
      </c>
      <c r="H2785" s="116"/>
      <c r="I2785" s="116"/>
      <c r="L2785" s="170">
        <v>46104</v>
      </c>
      <c r="M2785" s="116">
        <v>4213.8999999999996</v>
      </c>
      <c r="N2785" s="116">
        <v>4270.3</v>
      </c>
      <c r="O2785" s="116">
        <v>4164.6000000000004</v>
      </c>
      <c r="P2785" s="116">
        <v>4270.3</v>
      </c>
      <c r="Q2785" s="116">
        <v>4213.8999999999996</v>
      </c>
      <c r="R2785">
        <v>320186</v>
      </c>
    </row>
    <row r="2786" spans="1:18" x14ac:dyDescent="0.25">
      <c r="A2786" s="170">
        <v>46105</v>
      </c>
      <c r="B2786">
        <v>4292.1499999999996</v>
      </c>
      <c r="C2786">
        <v>4256.8999999999996</v>
      </c>
      <c r="D2786">
        <v>4162.2</v>
      </c>
      <c r="E2786">
        <v>4292.1499999999996</v>
      </c>
      <c r="F2786">
        <v>4256.8999999999996</v>
      </c>
      <c r="G2786">
        <v>15058</v>
      </c>
      <c r="H2786" s="116"/>
      <c r="I2786" s="116"/>
      <c r="L2786" s="170">
        <v>46105</v>
      </c>
      <c r="M2786" s="116">
        <v>4256.6000000000004</v>
      </c>
      <c r="N2786" s="116">
        <v>4339.8999999999996</v>
      </c>
      <c r="O2786" s="116">
        <v>4161.2</v>
      </c>
      <c r="P2786" s="116">
        <v>4200</v>
      </c>
      <c r="Q2786" s="116">
        <v>4256.6000000000004</v>
      </c>
      <c r="R2786">
        <v>288474</v>
      </c>
    </row>
    <row r="2787" spans="1:18" x14ac:dyDescent="0.25">
      <c r="A2787" s="170">
        <v>46106</v>
      </c>
      <c r="B2787">
        <v>4334.95</v>
      </c>
      <c r="C2787">
        <v>4296.55</v>
      </c>
      <c r="D2787">
        <v>4233.8999999999996</v>
      </c>
      <c r="E2787">
        <v>4241.05</v>
      </c>
      <c r="F2787">
        <v>4296.55</v>
      </c>
      <c r="G2787">
        <v>6359</v>
      </c>
      <c r="H2787" s="116"/>
      <c r="I2787" s="116"/>
      <c r="L2787" s="170">
        <v>46106</v>
      </c>
      <c r="M2787" s="116">
        <v>4297.5</v>
      </c>
      <c r="N2787" s="116">
        <v>4335</v>
      </c>
      <c r="O2787" s="116">
        <v>4231</v>
      </c>
      <c r="P2787" s="116">
        <v>4277.8999999999996</v>
      </c>
      <c r="Q2787" s="116">
        <v>4297.5</v>
      </c>
      <c r="R2787">
        <v>237001</v>
      </c>
    </row>
    <row r="2788" spans="1:18" x14ac:dyDescent="0.25">
      <c r="A2788" s="170">
        <v>46108</v>
      </c>
      <c r="B2788">
        <v>4378.95</v>
      </c>
      <c r="C2788">
        <v>4266.3999999999996</v>
      </c>
      <c r="D2788">
        <v>4254.2</v>
      </c>
      <c r="E2788">
        <v>4378.95</v>
      </c>
      <c r="F2788">
        <v>4266.3999999999996</v>
      </c>
      <c r="G2788">
        <v>5944</v>
      </c>
      <c r="H2788" s="116"/>
      <c r="I2788" s="116"/>
      <c r="L2788" s="170">
        <v>46108</v>
      </c>
      <c r="M2788" s="116">
        <v>4265.6000000000004</v>
      </c>
      <c r="N2788" s="116">
        <v>4332.8</v>
      </c>
      <c r="O2788" s="116">
        <v>4252.8</v>
      </c>
      <c r="P2788" s="116">
        <v>4300</v>
      </c>
      <c r="Q2788" s="116">
        <v>4265.6000000000004</v>
      </c>
      <c r="R2788">
        <v>564869</v>
      </c>
    </row>
    <row r="2789" spans="1:18" x14ac:dyDescent="0.25">
      <c r="A2789" s="170">
        <v>46111</v>
      </c>
      <c r="B2789">
        <v>4254</v>
      </c>
      <c r="C2789">
        <v>4220.6499999999996</v>
      </c>
      <c r="D2789">
        <v>4188.2</v>
      </c>
      <c r="E2789">
        <v>4249.8</v>
      </c>
      <c r="F2789">
        <v>4220.6499999999996</v>
      </c>
      <c r="G2789">
        <v>9183</v>
      </c>
      <c r="H2789" s="116"/>
      <c r="I2789" s="116"/>
      <c r="L2789" s="170">
        <v>46111</v>
      </c>
      <c r="M2789" s="116">
        <v>4220.2</v>
      </c>
      <c r="N2789" s="116">
        <v>4261.6000000000004</v>
      </c>
      <c r="O2789" s="116">
        <v>4188.2</v>
      </c>
      <c r="P2789" s="116">
        <v>4222.8999999999996</v>
      </c>
      <c r="Q2789" s="116">
        <v>4220.2</v>
      </c>
      <c r="R2789">
        <v>558051</v>
      </c>
    </row>
    <row r="2790" spans="1:18" x14ac:dyDescent="0.25">
      <c r="A2790" s="170">
        <v>46113</v>
      </c>
      <c r="B2790">
        <v>4327.25</v>
      </c>
      <c r="C2790">
        <v>4108.55</v>
      </c>
      <c r="D2790">
        <v>4091.3</v>
      </c>
      <c r="E2790">
        <v>4246.8999999999996</v>
      </c>
      <c r="F2790">
        <v>4108.55</v>
      </c>
      <c r="G2790">
        <v>12473</v>
      </c>
      <c r="H2790" s="116"/>
      <c r="I2790" s="116"/>
      <c r="L2790" s="170">
        <v>46113</v>
      </c>
      <c r="M2790" s="116">
        <v>4111.3</v>
      </c>
      <c r="N2790" s="116">
        <v>4333</v>
      </c>
      <c r="O2790" s="116">
        <v>4092</v>
      </c>
      <c r="P2790" s="116">
        <v>4277.6000000000004</v>
      </c>
      <c r="Q2790" s="116">
        <v>4111.3</v>
      </c>
      <c r="R2790">
        <v>425740</v>
      </c>
    </row>
    <row r="2791" spans="1:18" x14ac:dyDescent="0.25">
      <c r="A2791" s="170">
        <v>46114</v>
      </c>
      <c r="B2791">
        <v>4099.05</v>
      </c>
      <c r="C2791">
        <v>3989.1</v>
      </c>
      <c r="D2791">
        <v>3871.25</v>
      </c>
      <c r="E2791">
        <v>4099.05</v>
      </c>
      <c r="F2791">
        <v>3989.1</v>
      </c>
      <c r="G2791">
        <v>13521</v>
      </c>
      <c r="H2791" s="116"/>
      <c r="I2791" s="116"/>
      <c r="L2791" s="170">
        <v>46114</v>
      </c>
      <c r="M2791" s="116">
        <v>3987.2</v>
      </c>
      <c r="N2791" s="116">
        <v>4090.8</v>
      </c>
      <c r="O2791" s="116">
        <v>3871.1</v>
      </c>
      <c r="P2791" s="116">
        <v>4075</v>
      </c>
      <c r="Q2791" s="116">
        <v>3987.2</v>
      </c>
      <c r="R2791">
        <v>810162</v>
      </c>
    </row>
    <row r="2792" spans="1:18" x14ac:dyDescent="0.25">
      <c r="A2792" s="170">
        <v>46118</v>
      </c>
      <c r="B2792">
        <v>4034.85</v>
      </c>
      <c r="C2792">
        <v>4007.55</v>
      </c>
      <c r="D2792">
        <v>3950.45</v>
      </c>
      <c r="E2792">
        <v>3950.45</v>
      </c>
      <c r="F2792">
        <v>4007.55</v>
      </c>
      <c r="G2792">
        <v>8196</v>
      </c>
      <c r="H2792" s="116"/>
      <c r="I2792" s="116"/>
      <c r="L2792" s="170">
        <v>46118</v>
      </c>
      <c r="M2792" s="116">
        <v>4011.6</v>
      </c>
      <c r="N2792" s="116">
        <v>4035.1</v>
      </c>
      <c r="O2792" s="116">
        <v>3950</v>
      </c>
      <c r="P2792" s="116">
        <v>3987.2</v>
      </c>
      <c r="Q2792" s="116">
        <v>4011.6</v>
      </c>
      <c r="R2792">
        <v>420340</v>
      </c>
    </row>
    <row r="2793" spans="1:18" x14ac:dyDescent="0.25">
      <c r="A2793" s="170">
        <v>46119</v>
      </c>
      <c r="B2793">
        <v>4071</v>
      </c>
      <c r="C2793">
        <v>4049.2</v>
      </c>
      <c r="D2793">
        <v>3946.55</v>
      </c>
      <c r="E2793">
        <v>4019.5</v>
      </c>
      <c r="F2793">
        <v>4049.2</v>
      </c>
      <c r="G2793">
        <v>46611</v>
      </c>
      <c r="H2793" s="116"/>
      <c r="I2793" s="116"/>
      <c r="L2793" s="170">
        <v>46119</v>
      </c>
      <c r="M2793" s="116">
        <v>4051.3</v>
      </c>
      <c r="N2793" s="116">
        <v>4073.7</v>
      </c>
      <c r="O2793" s="116">
        <v>3945.7</v>
      </c>
      <c r="P2793" s="116">
        <v>4002</v>
      </c>
      <c r="Q2793" s="116">
        <v>4051.3</v>
      </c>
      <c r="R2793">
        <v>484787</v>
      </c>
    </row>
    <row r="2794" spans="1:18" x14ac:dyDescent="0.25">
      <c r="A2794" s="170">
        <v>46120</v>
      </c>
      <c r="B2794">
        <v>4090.85</v>
      </c>
      <c r="C2794">
        <v>4027.6</v>
      </c>
      <c r="D2794">
        <v>4000</v>
      </c>
      <c r="E2794">
        <v>4075.95</v>
      </c>
      <c r="F2794">
        <v>4027.6</v>
      </c>
      <c r="G2794">
        <v>94075</v>
      </c>
      <c r="H2794" s="116"/>
      <c r="I2794" s="116"/>
      <c r="L2794" s="170">
        <v>46120</v>
      </c>
      <c r="M2794" s="116">
        <v>4029.2</v>
      </c>
      <c r="N2794" s="116">
        <v>4098.8999999999996</v>
      </c>
      <c r="O2794" s="116">
        <v>3997.7</v>
      </c>
      <c r="P2794" s="116">
        <v>4098.8999999999996</v>
      </c>
      <c r="Q2794" s="116">
        <v>4029.2</v>
      </c>
      <c r="R2794">
        <v>434801</v>
      </c>
    </row>
    <row r="2795" spans="1:18" x14ac:dyDescent="0.25">
      <c r="A2795" s="170">
        <v>46121</v>
      </c>
      <c r="B2795">
        <v>4105</v>
      </c>
      <c r="C2795">
        <v>4093.15</v>
      </c>
      <c r="D2795">
        <v>4034.4</v>
      </c>
      <c r="E2795">
        <v>4060</v>
      </c>
      <c r="F2795">
        <v>4093.15</v>
      </c>
      <c r="G2795">
        <v>3904</v>
      </c>
      <c r="H2795" s="116"/>
      <c r="I2795" s="116"/>
      <c r="L2795" s="170">
        <v>46121</v>
      </c>
      <c r="M2795" s="116">
        <v>4094.5</v>
      </c>
      <c r="N2795" s="116">
        <v>4104.7</v>
      </c>
      <c r="O2795" s="116">
        <v>4029.3</v>
      </c>
      <c r="P2795" s="116">
        <v>4048.8</v>
      </c>
      <c r="Q2795" s="116">
        <v>4094.5</v>
      </c>
      <c r="R2795">
        <v>362204</v>
      </c>
    </row>
    <row r="2796" spans="1:18" x14ac:dyDescent="0.25">
      <c r="A2796" s="170">
        <v>46122</v>
      </c>
      <c r="B2796">
        <v>4165.8</v>
      </c>
      <c r="C2796">
        <v>4157.3</v>
      </c>
      <c r="D2796">
        <v>4082.4</v>
      </c>
      <c r="E2796">
        <v>4148.55</v>
      </c>
      <c r="F2796">
        <v>4157.3</v>
      </c>
      <c r="G2796">
        <v>4615</v>
      </c>
      <c r="H2796" s="116"/>
      <c r="I2796" s="116"/>
      <c r="L2796" s="170">
        <v>46122</v>
      </c>
      <c r="M2796" s="116">
        <v>4155.2</v>
      </c>
      <c r="N2796" s="116">
        <v>4160</v>
      </c>
      <c r="O2796" s="116">
        <v>4074.6</v>
      </c>
      <c r="P2796" s="116">
        <v>4116.8999999999996</v>
      </c>
      <c r="Q2796" s="116">
        <v>4155.2</v>
      </c>
      <c r="R2796">
        <v>354702</v>
      </c>
    </row>
    <row r="2797" spans="1:18" x14ac:dyDescent="0.25">
      <c r="A2797" s="170">
        <v>46125</v>
      </c>
      <c r="B2797">
        <v>4209.2</v>
      </c>
      <c r="C2797">
        <v>4179.05</v>
      </c>
      <c r="D2797">
        <v>4110.3</v>
      </c>
      <c r="E2797">
        <v>4126.05</v>
      </c>
      <c r="F2797">
        <v>4179.05</v>
      </c>
      <c r="G2797">
        <v>10107</v>
      </c>
      <c r="H2797" s="116"/>
      <c r="I2797" s="116"/>
      <c r="L2797" s="170">
        <v>46125</v>
      </c>
      <c r="M2797" s="116">
        <v>4181</v>
      </c>
      <c r="N2797" s="116">
        <v>4210</v>
      </c>
      <c r="O2797" s="116">
        <v>4110</v>
      </c>
      <c r="P2797" s="116">
        <v>4116.6000000000004</v>
      </c>
      <c r="Q2797" s="116">
        <v>4181</v>
      </c>
      <c r="R2797">
        <v>701920</v>
      </c>
    </row>
    <row r="2798" spans="1:18" x14ac:dyDescent="0.25">
      <c r="A2798" s="170">
        <v>46127</v>
      </c>
      <c r="B2798">
        <v>4259.8</v>
      </c>
      <c r="C2798">
        <v>4156.05</v>
      </c>
      <c r="D2798">
        <v>4135.05</v>
      </c>
      <c r="E2798">
        <v>4259.8</v>
      </c>
      <c r="F2798">
        <v>4156.05</v>
      </c>
      <c r="G2798">
        <v>20497</v>
      </c>
      <c r="H2798" s="116"/>
      <c r="I2798" s="116"/>
      <c r="L2798" s="170">
        <v>46127</v>
      </c>
      <c r="M2798" s="116">
        <v>4159.3</v>
      </c>
      <c r="N2798" s="116">
        <v>4235</v>
      </c>
      <c r="O2798" s="116">
        <v>4130.1000000000004</v>
      </c>
      <c r="P2798" s="116">
        <v>4235</v>
      </c>
      <c r="Q2798" s="116">
        <v>4159.3</v>
      </c>
      <c r="R2798">
        <v>552360</v>
      </c>
    </row>
    <row r="2799" spans="1:18" x14ac:dyDescent="0.25">
      <c r="A2799" s="170">
        <v>46128</v>
      </c>
      <c r="B2799">
        <v>4179.8999999999996</v>
      </c>
      <c r="C2799">
        <v>4156.3500000000004</v>
      </c>
      <c r="D2799">
        <v>4105</v>
      </c>
      <c r="E2799">
        <v>4179.8999999999996</v>
      </c>
      <c r="F2799">
        <v>4156.3500000000004</v>
      </c>
      <c r="G2799">
        <v>36815</v>
      </c>
      <c r="H2799" s="116"/>
      <c r="I2799" s="116"/>
      <c r="L2799" s="170">
        <v>46128</v>
      </c>
      <c r="M2799" s="116">
        <v>4155.8999999999996</v>
      </c>
      <c r="N2799" s="116">
        <v>4165.8</v>
      </c>
      <c r="O2799" s="116">
        <v>4102.6000000000004</v>
      </c>
      <c r="P2799" s="116">
        <v>4158.8999999999996</v>
      </c>
      <c r="Q2799" s="116">
        <v>4155.8999999999996</v>
      </c>
      <c r="R2799">
        <v>303666</v>
      </c>
    </row>
    <row r="2800" spans="1:18" x14ac:dyDescent="0.25">
      <c r="A2800" s="170">
        <v>46129</v>
      </c>
      <c r="B2800">
        <v>4192.8</v>
      </c>
      <c r="C2800">
        <v>4178.8500000000004</v>
      </c>
      <c r="D2800">
        <v>4126.5</v>
      </c>
      <c r="E2800">
        <v>4150.05</v>
      </c>
      <c r="F2800">
        <v>4178.8500000000004</v>
      </c>
      <c r="G2800">
        <v>10581</v>
      </c>
      <c r="H2800" s="116"/>
      <c r="I2800" s="116"/>
      <c r="L2800" s="170">
        <v>46129</v>
      </c>
      <c r="M2800" s="116">
        <v>4179.5</v>
      </c>
      <c r="N2800" s="116">
        <v>4193</v>
      </c>
      <c r="O2800" s="116">
        <v>4125.7</v>
      </c>
      <c r="P2800" s="116">
        <v>4157</v>
      </c>
      <c r="Q2800" s="116">
        <v>4179.5</v>
      </c>
      <c r="R2800">
        <v>310122</v>
      </c>
    </row>
    <row r="2801" spans="1:18" x14ac:dyDescent="0.25">
      <c r="A2801" s="170">
        <v>46132</v>
      </c>
      <c r="B2801">
        <v>4224.45</v>
      </c>
      <c r="C2801">
        <v>4188.1499999999996</v>
      </c>
      <c r="D2801">
        <v>4149</v>
      </c>
      <c r="E2801">
        <v>4224.45</v>
      </c>
      <c r="F2801">
        <v>4188.1499999999996</v>
      </c>
      <c r="G2801">
        <v>3575</v>
      </c>
      <c r="H2801" s="116"/>
      <c r="I2801" s="116"/>
      <c r="L2801" s="170">
        <v>46132</v>
      </c>
      <c r="M2801" s="116">
        <v>4191.2</v>
      </c>
      <c r="N2801" s="116">
        <v>4215</v>
      </c>
      <c r="O2801" s="116">
        <v>4145.2</v>
      </c>
      <c r="P2801" s="116">
        <v>4215</v>
      </c>
      <c r="Q2801" s="116">
        <v>4191.2</v>
      </c>
      <c r="R2801">
        <v>296605</v>
      </c>
    </row>
    <row r="2802" spans="1:18" x14ac:dyDescent="0.25">
      <c r="A2802" s="170">
        <v>46133</v>
      </c>
      <c r="B2802">
        <v>4224.75</v>
      </c>
      <c r="C2802">
        <v>4133.95</v>
      </c>
      <c r="D2802">
        <v>4120</v>
      </c>
      <c r="E2802">
        <v>4224.75</v>
      </c>
      <c r="F2802">
        <v>4133.95</v>
      </c>
      <c r="G2802">
        <v>2594</v>
      </c>
      <c r="H2802" s="116"/>
      <c r="I2802" s="116"/>
      <c r="L2802" s="170">
        <v>46133</v>
      </c>
      <c r="M2802" s="116">
        <v>4135.7</v>
      </c>
      <c r="N2802" s="116">
        <v>4208.8</v>
      </c>
      <c r="O2802" s="116">
        <v>4114</v>
      </c>
      <c r="P2802" s="116">
        <v>4172</v>
      </c>
      <c r="Q2802" s="116">
        <v>4135.7</v>
      </c>
      <c r="R2802">
        <v>230855</v>
      </c>
    </row>
    <row r="2803" spans="1:18" x14ac:dyDescent="0.25">
      <c r="A2803" s="170">
        <v>46134</v>
      </c>
      <c r="B2803">
        <v>4140.05</v>
      </c>
      <c r="C2803">
        <v>4080.7</v>
      </c>
      <c r="D2803">
        <v>4072</v>
      </c>
      <c r="E2803">
        <v>4140.05</v>
      </c>
      <c r="F2803">
        <v>4080.7</v>
      </c>
      <c r="G2803">
        <v>18834</v>
      </c>
      <c r="H2803" s="116"/>
      <c r="I2803" s="116"/>
      <c r="L2803" s="170">
        <v>46134</v>
      </c>
      <c r="M2803" s="116">
        <v>4084.6</v>
      </c>
      <c r="N2803" s="116">
        <v>4140.6000000000004</v>
      </c>
      <c r="O2803" s="116">
        <v>4071.2</v>
      </c>
      <c r="P2803" s="116">
        <v>4138.8999999999996</v>
      </c>
      <c r="Q2803" s="116">
        <v>4084.6</v>
      </c>
      <c r="R2803">
        <v>413095</v>
      </c>
    </row>
    <row r="2804" spans="1:18" x14ac:dyDescent="0.25">
      <c r="A2804" s="170">
        <v>46135</v>
      </c>
      <c r="B2804">
        <v>4172.1000000000004</v>
      </c>
      <c r="C2804">
        <v>4145.75</v>
      </c>
      <c r="D2804">
        <v>4067.35</v>
      </c>
      <c r="E2804">
        <v>4123.95</v>
      </c>
      <c r="F2804">
        <v>4145.75</v>
      </c>
      <c r="G2804">
        <v>14124</v>
      </c>
      <c r="H2804" s="116"/>
      <c r="I2804" s="116"/>
      <c r="L2804" s="170">
        <v>46135</v>
      </c>
      <c r="M2804" s="116">
        <v>4147.2</v>
      </c>
      <c r="N2804" s="116">
        <v>4174</v>
      </c>
      <c r="O2804" s="116">
        <v>4065.1</v>
      </c>
      <c r="P2804" s="116">
        <v>4068.6</v>
      </c>
      <c r="Q2804" s="116">
        <v>4147.2</v>
      </c>
      <c r="R2804">
        <v>492873</v>
      </c>
    </row>
    <row r="2805" spans="1:18" x14ac:dyDescent="0.25">
      <c r="A2805" s="170">
        <v>46136</v>
      </c>
      <c r="B2805">
        <v>4161.8999999999996</v>
      </c>
      <c r="C2805">
        <v>4115.8</v>
      </c>
      <c r="D2805">
        <v>4100</v>
      </c>
      <c r="E2805">
        <v>4147</v>
      </c>
      <c r="F2805">
        <v>4115.8</v>
      </c>
      <c r="G2805">
        <v>5388</v>
      </c>
      <c r="H2805" s="116"/>
      <c r="I2805" s="116"/>
      <c r="L2805" s="170">
        <v>46136</v>
      </c>
      <c r="M2805" s="116">
        <v>4117.2</v>
      </c>
      <c r="N2805" s="116">
        <v>4158</v>
      </c>
      <c r="O2805" s="116">
        <v>4097.3999999999996</v>
      </c>
      <c r="P2805" s="116">
        <v>4151</v>
      </c>
      <c r="Q2805" s="116">
        <v>4117.2</v>
      </c>
      <c r="R2805">
        <v>282947</v>
      </c>
    </row>
    <row r="2806" spans="1:18" x14ac:dyDescent="0.25">
      <c r="A2806" s="170">
        <v>46139</v>
      </c>
      <c r="B2806">
        <v>4242.1000000000004</v>
      </c>
      <c r="C2806">
        <v>4219.3999999999996</v>
      </c>
      <c r="D2806">
        <v>4118.7</v>
      </c>
      <c r="E2806">
        <v>4118.7</v>
      </c>
      <c r="F2806">
        <v>4219.3999999999996</v>
      </c>
      <c r="G2806">
        <v>13312</v>
      </c>
      <c r="H2806" s="116"/>
      <c r="I2806" s="116"/>
      <c r="L2806" s="170">
        <v>46139</v>
      </c>
      <c r="M2806" s="116">
        <v>4219.8</v>
      </c>
      <c r="N2806" s="116">
        <v>4244</v>
      </c>
      <c r="O2806" s="116">
        <v>4118.6000000000004</v>
      </c>
      <c r="P2806" s="116">
        <v>4125</v>
      </c>
      <c r="Q2806" s="116">
        <v>4219.8</v>
      </c>
      <c r="R2806">
        <v>353785</v>
      </c>
    </row>
    <row r="2807" spans="1:18" x14ac:dyDescent="0.25">
      <c r="A2807" s="170">
        <v>46140</v>
      </c>
      <c r="B2807">
        <v>4251.75</v>
      </c>
      <c r="C2807">
        <v>4183.2</v>
      </c>
      <c r="D2807">
        <v>4176.3</v>
      </c>
      <c r="E2807">
        <v>4249.6499999999996</v>
      </c>
      <c r="F2807">
        <v>4183.2</v>
      </c>
      <c r="G2807">
        <v>6975</v>
      </c>
      <c r="H2807" s="116"/>
      <c r="I2807" s="116"/>
      <c r="L2807" s="170">
        <v>46140</v>
      </c>
      <c r="M2807" s="116">
        <v>4182.8999999999996</v>
      </c>
      <c r="N2807" s="116">
        <v>4250.3999999999996</v>
      </c>
      <c r="O2807" s="116">
        <v>4172.8</v>
      </c>
      <c r="P2807" s="116">
        <v>4219.8</v>
      </c>
      <c r="Q2807" s="116">
        <v>4182.8999999999996</v>
      </c>
      <c r="R2807">
        <v>322631</v>
      </c>
    </row>
    <row r="2808" spans="1:18" x14ac:dyDescent="0.25">
      <c r="A2808" s="170">
        <v>46141</v>
      </c>
      <c r="B2808">
        <v>4283.45</v>
      </c>
      <c r="C2808">
        <v>4230.1000000000004</v>
      </c>
      <c r="D2808">
        <v>4200.3999999999996</v>
      </c>
      <c r="E2808">
        <v>4200.3999999999996</v>
      </c>
      <c r="F2808">
        <v>4230.1000000000004</v>
      </c>
      <c r="G2808">
        <v>7356</v>
      </c>
      <c r="H2808" s="116"/>
      <c r="I2808" s="116"/>
      <c r="L2808" s="170">
        <v>46141</v>
      </c>
      <c r="M2808" s="116">
        <v>4231.5</v>
      </c>
      <c r="N2808" s="116">
        <v>4281.3999999999996</v>
      </c>
      <c r="O2808" s="116">
        <v>4200</v>
      </c>
      <c r="P2808" s="116">
        <v>4220</v>
      </c>
      <c r="Q2808" s="116">
        <v>4231.5</v>
      </c>
      <c r="R2808">
        <v>222082</v>
      </c>
    </row>
    <row r="2809" spans="1:18" x14ac:dyDescent="0.25">
      <c r="A2809" s="170">
        <v>46142</v>
      </c>
      <c r="B2809">
        <v>4256.8500000000004</v>
      </c>
      <c r="C2809">
        <v>4191.5</v>
      </c>
      <c r="D2809">
        <v>4147.45</v>
      </c>
      <c r="E2809">
        <v>4256.8500000000004</v>
      </c>
      <c r="F2809">
        <v>4191.5</v>
      </c>
      <c r="G2809">
        <v>21869</v>
      </c>
      <c r="H2809" s="116"/>
      <c r="I2809" s="116"/>
      <c r="L2809" s="170">
        <v>46142</v>
      </c>
      <c r="M2809" s="116">
        <v>4185.1000000000004</v>
      </c>
      <c r="N2809" s="116">
        <v>4234.7</v>
      </c>
      <c r="O2809" s="116">
        <v>4146.1000000000004</v>
      </c>
      <c r="P2809" s="116">
        <v>4231.7</v>
      </c>
      <c r="Q2809" s="116">
        <v>4185.1000000000004</v>
      </c>
      <c r="R2809">
        <v>278059</v>
      </c>
    </row>
    <row r="2810" spans="1:18" x14ac:dyDescent="0.25">
      <c r="A2810" s="170">
        <v>46146</v>
      </c>
      <c r="B2810">
        <v>4279.1000000000004</v>
      </c>
      <c r="C2810">
        <v>4252.05</v>
      </c>
      <c r="D2810">
        <v>4213.3999999999996</v>
      </c>
      <c r="E2810">
        <v>4249.05</v>
      </c>
      <c r="F2810">
        <v>4252.05</v>
      </c>
      <c r="G2810">
        <v>53458</v>
      </c>
      <c r="H2810" s="116"/>
      <c r="I2810" s="116"/>
      <c r="L2810" s="170">
        <v>46146</v>
      </c>
      <c r="M2810" s="116">
        <v>4251.8</v>
      </c>
      <c r="N2810" s="116">
        <v>4280</v>
      </c>
      <c r="O2810" s="116">
        <v>4213</v>
      </c>
      <c r="P2810" s="116">
        <v>4223.2</v>
      </c>
      <c r="Q2810" s="116">
        <v>4251.8</v>
      </c>
      <c r="R2810">
        <v>245394</v>
      </c>
    </row>
    <row r="2811" spans="1:18" x14ac:dyDescent="0.25">
      <c r="A2811" s="170">
        <v>46147</v>
      </c>
      <c r="B2811">
        <v>4293.8999999999996</v>
      </c>
      <c r="C2811">
        <v>4275.95</v>
      </c>
      <c r="D2811">
        <v>4235.1000000000004</v>
      </c>
      <c r="E2811">
        <v>4260.45</v>
      </c>
      <c r="F2811">
        <v>4275.95</v>
      </c>
      <c r="G2811">
        <v>19918</v>
      </c>
      <c r="H2811" s="116"/>
      <c r="I2811" s="116"/>
      <c r="L2811" s="170">
        <v>46147</v>
      </c>
      <c r="M2811" s="116">
        <v>4275.1000000000004</v>
      </c>
      <c r="N2811" s="116">
        <v>4300</v>
      </c>
      <c r="O2811" s="116">
        <v>4236.3999999999996</v>
      </c>
      <c r="P2811" s="116">
        <v>4251.8</v>
      </c>
      <c r="Q2811" s="116">
        <v>4275.1000000000004</v>
      </c>
      <c r="R2811">
        <v>162268</v>
      </c>
    </row>
    <row r="2812" spans="1:18" x14ac:dyDescent="0.25">
      <c r="A2812" s="170">
        <v>46148</v>
      </c>
      <c r="B2812">
        <v>4437</v>
      </c>
      <c r="C2812">
        <v>4357.5</v>
      </c>
      <c r="D2812">
        <v>4273.8500000000004</v>
      </c>
      <c r="E2812">
        <v>4278.95</v>
      </c>
      <c r="F2812">
        <v>4357.5</v>
      </c>
      <c r="G2812">
        <v>22623</v>
      </c>
      <c r="H2812" s="116"/>
      <c r="I2812" s="116"/>
      <c r="L2812" s="170">
        <v>46148</v>
      </c>
      <c r="M2812" s="116">
        <v>4358.3</v>
      </c>
      <c r="N2812" s="116">
        <v>4436.8</v>
      </c>
      <c r="O2812" s="116">
        <v>4274</v>
      </c>
      <c r="P2812" s="116">
        <v>4299.8999999999996</v>
      </c>
      <c r="Q2812" s="116">
        <v>4358.3</v>
      </c>
      <c r="R2812">
        <v>322957</v>
      </c>
    </row>
    <row r="2813" spans="1:18" x14ac:dyDescent="0.25">
      <c r="A2813" s="170">
        <v>46149</v>
      </c>
      <c r="B2813">
        <v>4402</v>
      </c>
      <c r="C2813">
        <v>4358.95</v>
      </c>
      <c r="D2813">
        <v>4350</v>
      </c>
      <c r="E2813">
        <v>4398.1499999999996</v>
      </c>
      <c r="F2813">
        <v>4358.95</v>
      </c>
      <c r="G2813">
        <v>4741</v>
      </c>
      <c r="H2813" s="116"/>
      <c r="I2813" s="116"/>
      <c r="L2813" s="170">
        <v>46149</v>
      </c>
      <c r="M2813" s="116">
        <v>4362.7</v>
      </c>
      <c r="N2813" s="116">
        <v>4405.7</v>
      </c>
      <c r="O2813" s="116">
        <v>4346.5</v>
      </c>
      <c r="P2813" s="116">
        <v>4360</v>
      </c>
      <c r="Q2813" s="116">
        <v>4362.7</v>
      </c>
      <c r="R2813">
        <v>190314</v>
      </c>
    </row>
    <row r="2814" spans="1:18" x14ac:dyDescent="0.25">
      <c r="A2814" s="170">
        <v>46150</v>
      </c>
      <c r="B2814">
        <v>4399</v>
      </c>
      <c r="C2814">
        <v>4380.3500000000004</v>
      </c>
      <c r="D2814">
        <v>4339.6000000000004</v>
      </c>
      <c r="E2814">
        <v>4372.05</v>
      </c>
      <c r="F2814">
        <v>4380.3500000000004</v>
      </c>
      <c r="G2814">
        <v>3654</v>
      </c>
      <c r="H2814" s="116"/>
      <c r="I2814" s="116"/>
      <c r="L2814" s="170">
        <v>46150</v>
      </c>
      <c r="M2814" s="116">
        <v>4380.8</v>
      </c>
      <c r="N2814" s="116">
        <v>4398.3999999999996</v>
      </c>
      <c r="O2814" s="116">
        <v>4336.7</v>
      </c>
      <c r="P2814" s="116">
        <v>4350</v>
      </c>
      <c r="Q2814" s="116">
        <v>4380.8</v>
      </c>
      <c r="R2814">
        <v>116850</v>
      </c>
    </row>
    <row r="2815" spans="1:18" x14ac:dyDescent="0.25">
      <c r="A2815" s="170">
        <v>46153</v>
      </c>
      <c r="B2815">
        <v>4555.95</v>
      </c>
      <c r="C2815">
        <v>4519.25</v>
      </c>
      <c r="D2815">
        <v>4350</v>
      </c>
      <c r="E2815">
        <v>4428.1499999999996</v>
      </c>
      <c r="F2815">
        <v>4519.25</v>
      </c>
      <c r="G2815">
        <v>20836</v>
      </c>
      <c r="H2815" s="116"/>
      <c r="I2815" s="116"/>
      <c r="L2815" s="170">
        <v>46153</v>
      </c>
      <c r="M2815" s="116">
        <v>4517.1000000000004</v>
      </c>
      <c r="N2815" s="116">
        <v>4555.1000000000004</v>
      </c>
      <c r="O2815" s="116">
        <v>4337.8999999999996</v>
      </c>
      <c r="P2815" s="116">
        <v>4406.3</v>
      </c>
      <c r="Q2815" s="116">
        <v>4517.1000000000004</v>
      </c>
      <c r="R2815">
        <v>567958</v>
      </c>
    </row>
    <row r="2816" spans="1:18" x14ac:dyDescent="0.25">
      <c r="A2816" s="170">
        <v>46154</v>
      </c>
      <c r="B2816">
        <v>4525</v>
      </c>
      <c r="C2816">
        <v>4380.05</v>
      </c>
      <c r="D2816">
        <v>4370.45</v>
      </c>
      <c r="E2816">
        <v>4523.7</v>
      </c>
      <c r="F2816">
        <v>4380.05</v>
      </c>
      <c r="G2816">
        <v>14466</v>
      </c>
      <c r="H2816" s="116"/>
      <c r="I2816" s="116"/>
      <c r="L2816" s="170">
        <v>46154</v>
      </c>
      <c r="M2816" s="116">
        <v>4381.8999999999996</v>
      </c>
      <c r="N2816" s="116">
        <v>4509.5</v>
      </c>
      <c r="O2816" s="116">
        <v>4373</v>
      </c>
      <c r="P2816" s="116">
        <v>4509.5</v>
      </c>
      <c r="Q2816" s="116">
        <v>4381.8999999999996</v>
      </c>
      <c r="R2816">
        <v>273700</v>
      </c>
    </row>
    <row r="2817" spans="1:18" x14ac:dyDescent="0.25">
      <c r="A2817" s="170">
        <v>46155</v>
      </c>
      <c r="B2817">
        <v>4405.8</v>
      </c>
      <c r="C2817">
        <v>4295.2</v>
      </c>
      <c r="D2817">
        <v>4231.75</v>
      </c>
      <c r="E2817">
        <v>4231.75</v>
      </c>
      <c r="F2817">
        <v>4295.2</v>
      </c>
      <c r="G2817">
        <v>16585</v>
      </c>
      <c r="H2817" s="116"/>
      <c r="I2817" s="116"/>
      <c r="L2817" s="170">
        <v>46155</v>
      </c>
      <c r="M2817" s="116">
        <v>4295.8</v>
      </c>
      <c r="N2817" s="116">
        <v>4409.8999999999996</v>
      </c>
      <c r="O2817" s="116">
        <v>4264</v>
      </c>
      <c r="P2817" s="116">
        <v>4355.8</v>
      </c>
      <c r="Q2817" s="116">
        <v>4295.8</v>
      </c>
      <c r="R2817">
        <v>316867</v>
      </c>
    </row>
    <row r="2818" spans="1:18" x14ac:dyDescent="0.25">
      <c r="A2818" s="170">
        <v>46156</v>
      </c>
      <c r="B2818">
        <v>4422.7</v>
      </c>
      <c r="C2818">
        <v>4409.1000000000004</v>
      </c>
      <c r="D2818">
        <v>4330.95</v>
      </c>
      <c r="E2818">
        <v>4350.1000000000004</v>
      </c>
      <c r="F2818">
        <v>4409.1000000000004</v>
      </c>
      <c r="G2818">
        <v>59551</v>
      </c>
      <c r="H2818" s="116"/>
      <c r="I2818" s="116"/>
      <c r="L2818" s="170">
        <v>46156</v>
      </c>
      <c r="M2818" s="116">
        <v>4403.8999999999996</v>
      </c>
      <c r="N2818" s="116">
        <v>4420.7</v>
      </c>
      <c r="O2818" s="116">
        <v>4318</v>
      </c>
      <c r="P2818" s="116">
        <v>4348.2</v>
      </c>
      <c r="Q2818" s="116">
        <v>4403.8999999999996</v>
      </c>
      <c r="R2818">
        <v>243561</v>
      </c>
    </row>
    <row r="2819" spans="1:18" x14ac:dyDescent="0.25">
      <c r="A2819" s="170">
        <v>46157</v>
      </c>
      <c r="B2819">
        <v>4469.05</v>
      </c>
      <c r="C2819">
        <v>4406.1499999999996</v>
      </c>
      <c r="D2819">
        <v>4385.25</v>
      </c>
      <c r="E2819">
        <v>4402.25</v>
      </c>
      <c r="F2819">
        <v>4406.1499999999996</v>
      </c>
      <c r="G2819">
        <v>11433</v>
      </c>
      <c r="H2819" s="116"/>
      <c r="I2819" s="116"/>
      <c r="L2819" s="170">
        <v>46157</v>
      </c>
      <c r="M2819" s="116">
        <v>4405.7</v>
      </c>
      <c r="N2819" s="116">
        <v>4450.3999999999996</v>
      </c>
      <c r="O2819" s="116">
        <v>4380.3</v>
      </c>
      <c r="P2819" s="116">
        <v>4425</v>
      </c>
      <c r="Q2819" s="116">
        <v>4405.7</v>
      </c>
      <c r="R2819">
        <v>303882</v>
      </c>
    </row>
    <row r="2820" spans="1:18" x14ac:dyDescent="0.25">
      <c r="A2820" s="170">
        <v>46160</v>
      </c>
      <c r="B2820">
        <v>4427.7</v>
      </c>
      <c r="C2820">
        <v>4394.5</v>
      </c>
      <c r="D2820">
        <v>4309.25</v>
      </c>
      <c r="E2820">
        <v>4320.1000000000004</v>
      </c>
      <c r="F2820">
        <v>4394.5</v>
      </c>
      <c r="G2820">
        <v>5676</v>
      </c>
      <c r="H2820" s="116"/>
      <c r="I2820" s="116"/>
      <c r="L2820" s="170">
        <v>46160</v>
      </c>
      <c r="M2820" s="116">
        <v>4393.7</v>
      </c>
      <c r="N2820" s="116">
        <v>4429.8999999999996</v>
      </c>
      <c r="O2820" s="116">
        <v>4306</v>
      </c>
      <c r="P2820" s="116">
        <v>4357</v>
      </c>
      <c r="Q2820" s="116">
        <v>4393.7</v>
      </c>
      <c r="R2820">
        <v>329331</v>
      </c>
    </row>
    <row r="2821" spans="1:18" x14ac:dyDescent="0.25">
      <c r="A2821" s="170">
        <v>46161</v>
      </c>
      <c r="B2821">
        <v>4501.8999999999996</v>
      </c>
      <c r="C2821">
        <v>4457.1499999999996</v>
      </c>
      <c r="D2821">
        <v>4357.25</v>
      </c>
      <c r="E2821">
        <v>4357.25</v>
      </c>
      <c r="F2821">
        <v>4457.1499999999996</v>
      </c>
      <c r="G2821">
        <v>8704</v>
      </c>
      <c r="H2821" s="116"/>
      <c r="I2821" s="116"/>
      <c r="L2821" s="170">
        <v>46161</v>
      </c>
      <c r="M2821" s="116">
        <v>4460.1000000000004</v>
      </c>
      <c r="N2821" s="116">
        <v>4500</v>
      </c>
      <c r="O2821" s="116">
        <v>4358</v>
      </c>
      <c r="P2821" s="116">
        <v>4392</v>
      </c>
      <c r="Q2821" s="116">
        <v>4460.1000000000004</v>
      </c>
      <c r="R2821">
        <v>314462</v>
      </c>
    </row>
    <row r="2822" spans="1:18" x14ac:dyDescent="0.25">
      <c r="A2822" s="170">
        <v>46162</v>
      </c>
      <c r="B2822">
        <v>4518.7</v>
      </c>
      <c r="C2822">
        <v>4429.8500000000004</v>
      </c>
      <c r="D2822">
        <v>4400.8</v>
      </c>
      <c r="E2822">
        <v>4473.3999999999996</v>
      </c>
      <c r="F2822">
        <v>4429.8500000000004</v>
      </c>
      <c r="G2822">
        <v>5097</v>
      </c>
      <c r="H2822" s="116"/>
      <c r="I2822" s="116"/>
      <c r="L2822" s="170">
        <v>46162</v>
      </c>
      <c r="M2822" s="116">
        <v>4429.2</v>
      </c>
      <c r="N2822" s="116">
        <v>4520.8999999999996</v>
      </c>
      <c r="O2822" s="116">
        <v>4400</v>
      </c>
      <c r="P2822" s="116">
        <v>4440.1000000000004</v>
      </c>
      <c r="Q2822" s="116">
        <v>4429.2</v>
      </c>
      <c r="R2822">
        <v>331283</v>
      </c>
    </row>
    <row r="2823" spans="1:18" x14ac:dyDescent="0.25">
      <c r="A2823" s="170">
        <v>46163</v>
      </c>
      <c r="B2823">
        <v>4515.3500000000004</v>
      </c>
      <c r="C2823">
        <v>4470.8500000000004</v>
      </c>
      <c r="D2823">
        <v>4430.1000000000004</v>
      </c>
      <c r="E2823">
        <v>4430.1000000000004</v>
      </c>
      <c r="F2823">
        <v>4470.8500000000004</v>
      </c>
      <c r="G2823">
        <v>6458</v>
      </c>
      <c r="H2823" s="116"/>
      <c r="I2823" s="116"/>
      <c r="L2823" s="170">
        <v>46163</v>
      </c>
      <c r="M2823" s="116">
        <v>4469.2</v>
      </c>
      <c r="N2823" s="116">
        <v>4517.7</v>
      </c>
      <c r="O2823" s="116">
        <v>4444.2</v>
      </c>
      <c r="P2823" s="116">
        <v>4517.7</v>
      </c>
      <c r="Q2823" s="116">
        <v>4469.2</v>
      </c>
      <c r="R2823">
        <v>245755</v>
      </c>
    </row>
    <row r="2824" spans="1:18" x14ac:dyDescent="0.25">
      <c r="A2824" s="170">
        <v>46164</v>
      </c>
      <c r="B2824">
        <v>4533.3999999999996</v>
      </c>
      <c r="C2824">
        <v>4484.1499999999996</v>
      </c>
      <c r="D2824">
        <v>4444.25</v>
      </c>
      <c r="E2824">
        <v>4476</v>
      </c>
      <c r="F2824">
        <v>4484.1499999999996</v>
      </c>
      <c r="G2824">
        <v>7179</v>
      </c>
      <c r="H2824" s="116"/>
      <c r="I2824" s="116"/>
      <c r="L2824" s="170">
        <v>46164</v>
      </c>
      <c r="M2824" s="116">
        <v>4486.2</v>
      </c>
      <c r="N2824" s="116">
        <v>4535</v>
      </c>
      <c r="O2824" s="116">
        <v>4440.7</v>
      </c>
      <c r="P2824" s="116">
        <v>4474.3</v>
      </c>
      <c r="Q2824" s="116">
        <v>4486.2</v>
      </c>
      <c r="R2824">
        <v>205928</v>
      </c>
    </row>
    <row r="2825" spans="1:18" x14ac:dyDescent="0.25">
      <c r="A2825" s="170">
        <v>46167</v>
      </c>
      <c r="B2825">
        <v>4714.5</v>
      </c>
      <c r="C2825">
        <v>4571.8999999999996</v>
      </c>
      <c r="D2825">
        <v>4512.1000000000004</v>
      </c>
      <c r="E2825">
        <v>4539.95</v>
      </c>
      <c r="F2825">
        <v>4571.8999999999996</v>
      </c>
      <c r="G2825">
        <v>44870</v>
      </c>
      <c r="H2825" s="116"/>
      <c r="I2825" s="116"/>
      <c r="L2825" s="170">
        <v>46167</v>
      </c>
      <c r="M2825" s="116">
        <v>4572.6000000000004</v>
      </c>
      <c r="N2825" s="116">
        <v>4712.8999999999996</v>
      </c>
      <c r="O2825" s="116">
        <v>4510</v>
      </c>
      <c r="P2825" s="116">
        <v>4525</v>
      </c>
      <c r="Q2825" s="116">
        <v>4572.6000000000004</v>
      </c>
      <c r="R2825">
        <v>1007365</v>
      </c>
    </row>
    <row r="2826" spans="1:18" x14ac:dyDescent="0.25">
      <c r="A2826" s="170">
        <v>46168</v>
      </c>
      <c r="B2826">
        <v>4599.8</v>
      </c>
      <c r="C2826">
        <v>4451.2</v>
      </c>
      <c r="D2826">
        <v>4415</v>
      </c>
      <c r="E2826">
        <v>4599.8</v>
      </c>
      <c r="F2826">
        <v>4451.2</v>
      </c>
      <c r="G2826">
        <v>16881</v>
      </c>
      <c r="H2826" s="116"/>
      <c r="I2826" s="116"/>
      <c r="L2826" s="170">
        <v>46168</v>
      </c>
      <c r="M2826" s="116">
        <v>4452.1000000000004</v>
      </c>
      <c r="N2826" s="116">
        <v>4595.2</v>
      </c>
      <c r="O2826" s="116">
        <v>4413</v>
      </c>
      <c r="P2826" s="116">
        <v>4572.3</v>
      </c>
      <c r="Q2826" s="116">
        <v>4452.1000000000004</v>
      </c>
      <c r="R2826">
        <v>506176</v>
      </c>
    </row>
    <row r="2827" spans="1:18" x14ac:dyDescent="0.25">
      <c r="A2827" s="170">
        <v>46169</v>
      </c>
      <c r="B2827">
        <v>4551.05</v>
      </c>
      <c r="C2827">
        <v>4540.8999999999996</v>
      </c>
      <c r="D2827">
        <v>4437.1000000000004</v>
      </c>
      <c r="E2827">
        <v>4497.7</v>
      </c>
      <c r="F2827">
        <v>4540.8999999999996</v>
      </c>
      <c r="G2827">
        <v>6604</v>
      </c>
      <c r="H2827" s="116"/>
      <c r="I2827" s="116"/>
      <c r="L2827" s="170">
        <v>46169</v>
      </c>
      <c r="M2827" s="116">
        <v>4537.8</v>
      </c>
      <c r="N2827" s="116">
        <v>4552.8999999999996</v>
      </c>
      <c r="O2827" s="116">
        <v>4434.1000000000004</v>
      </c>
      <c r="P2827" s="116">
        <v>4468</v>
      </c>
      <c r="Q2827" s="116">
        <v>4537.8</v>
      </c>
      <c r="R2827">
        <v>217334</v>
      </c>
    </row>
    <row r="2828" spans="1:18" x14ac:dyDescent="0.25">
      <c r="A2828" s="170">
        <v>46171</v>
      </c>
      <c r="B2828">
        <v>4570.7</v>
      </c>
      <c r="C2828">
        <v>4394.1499999999996</v>
      </c>
      <c r="D2828">
        <v>4355.2</v>
      </c>
      <c r="E2828">
        <v>4545</v>
      </c>
      <c r="F2828">
        <v>4394.1499999999996</v>
      </c>
      <c r="G2828">
        <v>27667</v>
      </c>
      <c r="H2828" s="116"/>
      <c r="I2828" s="116"/>
      <c r="L2828" s="170">
        <v>46171</v>
      </c>
      <c r="M2828" s="116">
        <v>4410.8</v>
      </c>
      <c r="N2828" s="116">
        <v>4575</v>
      </c>
      <c r="O2828" s="116">
        <v>4356.1000000000004</v>
      </c>
      <c r="P2828" s="116">
        <v>4554.8</v>
      </c>
      <c r="Q2828" s="116">
        <v>4410.8</v>
      </c>
      <c r="R2828">
        <v>3002937</v>
      </c>
    </row>
    <row r="2829" spans="1:18" x14ac:dyDescent="0.25">
      <c r="A2829" s="170">
        <v>46174</v>
      </c>
      <c r="B2829">
        <v>4445.25</v>
      </c>
      <c r="C2829">
        <v>4348.75</v>
      </c>
      <c r="D2829">
        <v>4329.1000000000004</v>
      </c>
      <c r="E2829">
        <v>4431.1000000000004</v>
      </c>
      <c r="F2829">
        <v>4348.75</v>
      </c>
      <c r="G2829">
        <v>27499</v>
      </c>
      <c r="H2829" s="116"/>
      <c r="I2829" s="116"/>
      <c r="L2829" s="170">
        <v>46174</v>
      </c>
      <c r="M2829" s="116">
        <v>4350.3999999999996</v>
      </c>
      <c r="N2829" s="116">
        <v>4444</v>
      </c>
      <c r="O2829" s="116">
        <v>4325.3</v>
      </c>
      <c r="P2829" s="116">
        <v>4438.1000000000004</v>
      </c>
      <c r="Q2829" s="116">
        <v>4350.3999999999996</v>
      </c>
      <c r="R2829">
        <v>694048</v>
      </c>
    </row>
    <row r="2830" spans="1:18" x14ac:dyDescent="0.25">
      <c r="A2830" s="170">
        <v>46175</v>
      </c>
      <c r="B2830">
        <v>4337.55</v>
      </c>
      <c r="C2830">
        <v>4314.25</v>
      </c>
      <c r="D2830">
        <v>4242</v>
      </c>
      <c r="E2830">
        <v>4242.1000000000004</v>
      </c>
      <c r="F2830">
        <v>4314.25</v>
      </c>
      <c r="G2830">
        <v>12030</v>
      </c>
      <c r="H2830" s="116"/>
      <c r="I2830" s="116"/>
      <c r="L2830" s="170">
        <v>46175</v>
      </c>
      <c r="M2830" s="116">
        <v>4317.8999999999996</v>
      </c>
      <c r="N2830" s="116">
        <v>4338.3999999999996</v>
      </c>
      <c r="O2830" s="116">
        <v>4240.3</v>
      </c>
      <c r="P2830" s="116">
        <v>4280</v>
      </c>
      <c r="Q2830" s="116">
        <v>4317.8999999999996</v>
      </c>
      <c r="R2830">
        <v>644323</v>
      </c>
    </row>
    <row r="2831" spans="1:18" x14ac:dyDescent="0.25">
      <c r="A2831" s="170">
        <v>46176</v>
      </c>
      <c r="B2831">
        <v>4389.6499999999996</v>
      </c>
      <c r="C2831">
        <v>4369.5</v>
      </c>
      <c r="D2831">
        <v>4289.1499999999996</v>
      </c>
      <c r="E2831">
        <v>4314.3</v>
      </c>
      <c r="F2831">
        <v>4369.5</v>
      </c>
      <c r="G2831">
        <v>16948</v>
      </c>
      <c r="H2831" s="116"/>
      <c r="I2831" s="116"/>
      <c r="L2831" s="170">
        <v>46176</v>
      </c>
      <c r="M2831" s="116">
        <v>4368.5</v>
      </c>
      <c r="N2831" s="116">
        <v>4389.8999999999996</v>
      </c>
      <c r="O2831" s="116">
        <v>4284.1000000000004</v>
      </c>
      <c r="P2831" s="116">
        <v>4317.8999999999996</v>
      </c>
      <c r="Q2831" s="116">
        <v>4368.5</v>
      </c>
      <c r="R2831">
        <v>405210</v>
      </c>
    </row>
    <row r="2832" spans="1:18" x14ac:dyDescent="0.25">
      <c r="A2832" s="170">
        <v>46177</v>
      </c>
      <c r="B2832">
        <v>4423</v>
      </c>
      <c r="C2832">
        <v>4337.6499999999996</v>
      </c>
      <c r="D2832">
        <v>4327.05</v>
      </c>
      <c r="E2832">
        <v>4327.05</v>
      </c>
      <c r="F2832">
        <v>4337.6499999999996</v>
      </c>
      <c r="G2832">
        <v>16936</v>
      </c>
      <c r="H2832" s="116"/>
      <c r="I2832" s="116"/>
      <c r="L2832" s="170">
        <v>46177</v>
      </c>
      <c r="M2832" s="116">
        <v>4339.8999999999996</v>
      </c>
      <c r="N2832" s="116">
        <v>4425</v>
      </c>
      <c r="O2832" s="116">
        <v>4328.1000000000004</v>
      </c>
      <c r="P2832" s="116">
        <v>4389</v>
      </c>
      <c r="Q2832" s="116">
        <v>4339.8999999999996</v>
      </c>
      <c r="R2832">
        <v>595200</v>
      </c>
    </row>
    <row r="2833" spans="1:18" x14ac:dyDescent="0.25">
      <c r="A2833" s="170">
        <v>46178</v>
      </c>
      <c r="B2833">
        <v>4450</v>
      </c>
      <c r="C2833">
        <v>4418.7</v>
      </c>
      <c r="D2833">
        <v>4324.7</v>
      </c>
      <c r="E2833">
        <v>4343.75</v>
      </c>
      <c r="F2833">
        <v>4418.7</v>
      </c>
      <c r="G2833">
        <v>7841</v>
      </c>
      <c r="H2833" s="116"/>
      <c r="I2833" s="116"/>
      <c r="L2833" s="170">
        <v>46178</v>
      </c>
      <c r="M2833" s="116">
        <v>4420.8999999999996</v>
      </c>
      <c r="N2833" s="116">
        <v>4453.5</v>
      </c>
      <c r="O2833" s="116">
        <v>4323</v>
      </c>
      <c r="P2833" s="116">
        <v>4350</v>
      </c>
      <c r="Q2833" s="116">
        <v>4420.8999999999996</v>
      </c>
      <c r="R2833">
        <v>425216</v>
      </c>
    </row>
    <row r="2834" spans="1:18" x14ac:dyDescent="0.25">
      <c r="A2834" s="170">
        <v>46181</v>
      </c>
      <c r="B2834">
        <v>4519.95</v>
      </c>
      <c r="C2834">
        <v>4412</v>
      </c>
      <c r="D2834">
        <v>4347.3</v>
      </c>
      <c r="E2834">
        <v>4378.1000000000004</v>
      </c>
      <c r="F2834">
        <v>4412</v>
      </c>
      <c r="G2834">
        <v>22031</v>
      </c>
      <c r="H2834" s="116"/>
      <c r="I2834" s="116"/>
      <c r="L2834" s="170">
        <v>46181</v>
      </c>
      <c r="M2834" s="116">
        <v>4410.3999999999996</v>
      </c>
      <c r="N2834" s="116">
        <v>4520</v>
      </c>
      <c r="O2834" s="116">
        <v>4350</v>
      </c>
      <c r="P2834" s="116">
        <v>4350</v>
      </c>
      <c r="Q2834" s="116">
        <v>4410.3999999999996</v>
      </c>
      <c r="R2834">
        <v>389687</v>
      </c>
    </row>
    <row r="2835" spans="1:18" x14ac:dyDescent="0.25">
      <c r="A2835" s="170">
        <v>46182</v>
      </c>
      <c r="B2835">
        <v>4497.8999999999996</v>
      </c>
      <c r="C2835">
        <v>4472.95</v>
      </c>
      <c r="D2835">
        <v>4413.1499999999996</v>
      </c>
      <c r="E2835">
        <v>4475.95</v>
      </c>
      <c r="F2835">
        <v>4472.95</v>
      </c>
      <c r="G2835">
        <v>8451</v>
      </c>
      <c r="H2835" s="116"/>
      <c r="I2835" s="116"/>
      <c r="L2835" s="170">
        <v>46182</v>
      </c>
      <c r="M2835" s="116">
        <v>4472.8999999999996</v>
      </c>
      <c r="N2835" s="116">
        <v>4497.3</v>
      </c>
      <c r="O2835" s="116">
        <v>4413</v>
      </c>
      <c r="P2835" s="116">
        <v>4442.8</v>
      </c>
      <c r="Q2835" s="116">
        <v>4472.8999999999996</v>
      </c>
      <c r="R2835">
        <v>221954</v>
      </c>
    </row>
    <row r="2836" spans="1:18" x14ac:dyDescent="0.25">
      <c r="A2836" s="170">
        <v>46183</v>
      </c>
      <c r="B2836">
        <v>4560</v>
      </c>
      <c r="C2836">
        <v>4463.3</v>
      </c>
      <c r="D2836">
        <v>4453.05</v>
      </c>
      <c r="E2836">
        <v>4494.6499999999996</v>
      </c>
      <c r="F2836">
        <v>4463.3</v>
      </c>
      <c r="G2836">
        <v>12836</v>
      </c>
      <c r="H2836" s="116"/>
      <c r="I2836" s="116"/>
      <c r="L2836" s="170">
        <v>46183</v>
      </c>
      <c r="M2836" s="116">
        <v>4463.7</v>
      </c>
      <c r="N2836" s="116">
        <v>4560.1000000000004</v>
      </c>
      <c r="O2836" s="116">
        <v>4452.2</v>
      </c>
      <c r="P2836" s="116">
        <v>4490</v>
      </c>
      <c r="Q2836" s="116">
        <v>4463.7</v>
      </c>
      <c r="R2836">
        <v>349028</v>
      </c>
    </row>
    <row r="2837" spans="1:18" x14ac:dyDescent="0.25">
      <c r="A2837" s="170">
        <v>46184</v>
      </c>
      <c r="B2837">
        <v>4610</v>
      </c>
      <c r="C2837">
        <v>4570</v>
      </c>
      <c r="D2837">
        <v>4445</v>
      </c>
      <c r="E2837">
        <v>4453.05</v>
      </c>
      <c r="F2837">
        <v>4570</v>
      </c>
      <c r="G2837">
        <v>17098</v>
      </c>
      <c r="H2837" s="116"/>
      <c r="I2837" s="116"/>
      <c r="L2837" s="170">
        <v>46184</v>
      </c>
      <c r="M2837" s="116">
        <v>4572.2</v>
      </c>
      <c r="N2837" s="116">
        <v>4611.5</v>
      </c>
      <c r="O2837" s="116">
        <v>4431.1000000000004</v>
      </c>
      <c r="P2837" s="116">
        <v>4471.6000000000004</v>
      </c>
      <c r="Q2837" s="116">
        <v>4572.2</v>
      </c>
      <c r="R2837">
        <v>830928</v>
      </c>
    </row>
    <row r="2838" spans="1:18" x14ac:dyDescent="0.25">
      <c r="A2838" s="170">
        <v>46185</v>
      </c>
      <c r="B2838">
        <v>4664.95</v>
      </c>
      <c r="C2838">
        <v>4574.95</v>
      </c>
      <c r="D2838">
        <v>4562.55</v>
      </c>
      <c r="E2838">
        <v>4634.75</v>
      </c>
      <c r="F2838">
        <v>4574.95</v>
      </c>
      <c r="G2838">
        <v>13748</v>
      </c>
      <c r="H2838" s="116"/>
      <c r="I2838" s="116"/>
      <c r="L2838" s="170">
        <v>46185</v>
      </c>
      <c r="M2838" s="116">
        <v>4571.2</v>
      </c>
      <c r="N2838" s="116">
        <v>4666</v>
      </c>
      <c r="O2838" s="116">
        <v>4557.8999999999996</v>
      </c>
      <c r="P2838" s="116">
        <v>4619.5</v>
      </c>
      <c r="Q2838" s="116">
        <v>4571.2</v>
      </c>
      <c r="R2838">
        <v>426095</v>
      </c>
    </row>
    <row r="2839" spans="1:18" x14ac:dyDescent="0.25">
      <c r="A2839" s="170">
        <v>46188</v>
      </c>
      <c r="B2839">
        <v>4600.1000000000004</v>
      </c>
      <c r="C2839">
        <v>4508.95</v>
      </c>
      <c r="D2839">
        <v>4496.55</v>
      </c>
      <c r="E2839">
        <v>4600.1000000000004</v>
      </c>
      <c r="F2839">
        <v>4508.95</v>
      </c>
      <c r="G2839">
        <v>10879</v>
      </c>
      <c r="H2839" s="116"/>
      <c r="I2839" s="116"/>
      <c r="L2839" s="170">
        <v>46188</v>
      </c>
      <c r="M2839" s="116">
        <v>4504</v>
      </c>
      <c r="N2839" s="116">
        <v>4600</v>
      </c>
      <c r="O2839" s="116">
        <v>4497.5</v>
      </c>
      <c r="P2839" s="116">
        <v>4600</v>
      </c>
      <c r="Q2839" s="116">
        <v>4504</v>
      </c>
      <c r="R2839">
        <v>573684</v>
      </c>
    </row>
    <row r="2840" spans="1:18" x14ac:dyDescent="0.25">
      <c r="A2840" s="170">
        <v>46189</v>
      </c>
      <c r="B2840">
        <v>4544</v>
      </c>
      <c r="C2840">
        <v>4464.5</v>
      </c>
      <c r="D2840">
        <v>4438.8</v>
      </c>
      <c r="E2840">
        <v>4544</v>
      </c>
      <c r="F2840">
        <v>4464.5</v>
      </c>
      <c r="G2840">
        <v>5798</v>
      </c>
      <c r="H2840" s="116"/>
      <c r="I2840" s="116"/>
      <c r="L2840" s="170">
        <v>46189</v>
      </c>
      <c r="M2840" s="116">
        <v>4466.7</v>
      </c>
      <c r="N2840" s="116">
        <v>4536.1000000000004</v>
      </c>
      <c r="O2840" s="116">
        <v>4440</v>
      </c>
      <c r="P2840" s="116">
        <v>4529</v>
      </c>
      <c r="Q2840" s="116">
        <v>4466.7</v>
      </c>
      <c r="R2840">
        <v>270242</v>
      </c>
    </row>
    <row r="2841" spans="1:18" x14ac:dyDescent="0.25">
      <c r="A2841" s="170">
        <v>46190</v>
      </c>
      <c r="B2841">
        <v>4490.05</v>
      </c>
      <c r="C2841">
        <v>4448.3999999999996</v>
      </c>
      <c r="D2841">
        <v>4415.8</v>
      </c>
      <c r="E2841">
        <v>4489.3500000000004</v>
      </c>
      <c r="F2841">
        <v>4448.3999999999996</v>
      </c>
      <c r="G2841">
        <v>19765</v>
      </c>
      <c r="H2841" s="116"/>
      <c r="I2841" s="116"/>
      <c r="L2841" s="170">
        <v>46190</v>
      </c>
      <c r="M2841" s="116">
        <v>4442.8</v>
      </c>
      <c r="N2841" s="116">
        <v>4496.3999999999996</v>
      </c>
      <c r="O2841" s="116">
        <v>4414.8</v>
      </c>
      <c r="P2841" s="116">
        <v>4475</v>
      </c>
      <c r="Q2841" s="116">
        <v>4442.8</v>
      </c>
      <c r="R2841">
        <v>304463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2026-06-17T17:00:20Z</dcterms:modified>
  <cp:category/>
  <cp:contentStatus/>
</cp:coreProperties>
</file>